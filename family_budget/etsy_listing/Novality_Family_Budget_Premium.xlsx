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💰 Income" sheetId="2" state="visible" r:id="rId2"/>
    <sheet name="💳 Transactions" sheetId="3" state="visible" r:id="rId3"/>
    <sheet name="📋 Budget" sheetId="4" state="visible" r:id="rId4"/>
    <sheet name="🧾 Bills &amp; Subs" sheetId="5" state="visible" r:id="rId5"/>
    <sheet name="🏦 Accounts" sheetId="6" state="visible" r:id="rId6"/>
    <sheet name="💸 Debt Manager" sheetId="7" state="visible" r:id="rId7"/>
    <sheet name="🎯 Goals &amp; Funds" sheetId="8" state="visible" r:id="rId8"/>
    <sheet name="📈 Savings &amp; Invest" sheetId="9" state="visible" r:id="rId9"/>
    <sheet name="🏡 Home &amp; Mortgage" sheetId="10" state="visible" r:id="rId10"/>
    <sheet name="🚗 Vehicles" sheetId="11" state="visible" r:id="rId11"/>
    <sheet name="👨‍👩‍👧‍👦 Family &amp; Kids" sheetId="12" state="visible" r:id="rId12"/>
    <sheet name="🏥 Healthcare" sheetId="13" state="visible" r:id="rId13"/>
    <sheet name="🇺🇸 Tax Center" sheetId="14" state="visible" r:id="rId14"/>
    <sheet name="📊 Analytics" sheetId="15" state="visible" r:id="rId15"/>
    <sheet name="📅 Calendar" sheetId="16" state="visible" r:id="rId16"/>
    <sheet name="⚙️ Settings" sheetId="17" state="visible" r:id="rId17"/>
    <sheet name="📖 Instructions" sheetId="18" state="visible" r:id="rId18"/>
  </sheets>
  <definedNames>
    <definedName name="L_Family_Members">'⚙️ Settings'!$A$13:$A$18</definedName>
    <definedName name="L_Account_Master">'⚙️ Settings'!$C$13:$C$28</definedName>
    <definedName name="L_Categories">'⚙️ Settings'!$E$13:$E$23</definedName>
    <definedName name="L_Subcategories">'⚙️ Settings'!$G$13:$G$77</definedName>
    <definedName name="L_Income_Sources">'⚙️ Settings'!$I$13:$I$23</definedName>
    <definedName name="L_Pay_Frequencies">'⚙️ Settings'!$K$13:$K$17</definedName>
    <definedName name="L_Account_Types">'⚙️ Settings'!$M$13:$M$28</definedName>
    <definedName name="L_Payment_Methods">'⚙️ Settings'!$O$13:$O$19</definedName>
    <definedName name="L_Transaction_Types">'⚙️ Settings'!$Q$13:$Q$15</definedName>
    <definedName name="L_Bill_Frequencies">'⚙️ Settings'!$S$13:$S$19</definedName>
    <definedName name="L_Yes_No">'⚙️ Settings'!$U$13:$U$14</definedName>
    <definedName name="L_Essential_Discretionary">'⚙️ Settings'!$W$13:$W$14</definedName>
    <definedName name="L_Months">'⚙️ Settings'!$Y$13:$Y$24</definedName>
    <definedName name="L_Filing_Status">'⚙️ Settings'!$AA$13:$AA$17</definedName>
    <definedName name="L_Debt_Types">'⚙️ Settings'!$AC$13:$AC$18</definedName>
    <definedName name="L_Goal_Types">'⚙️ Settings'!$AE$13:$AE$23</definedName>
    <definedName name="L_Investment_Types">'⚙️ Settings'!$AG$13:$AG$23</definedName>
    <definedName name="C_Date">'⚙️ Settings'!$B$5</definedName>
    <definedName name="C_Month">'⚙️ Settings'!$B$6</definedName>
    <definedName name="C_Year">'⚙️ Settings'!$B$7</definedName>
    <definedName name="_xlnm._FilterDatabase" localSheetId="1" hidden="1">'💰 Income'!$A$3:$Q$203</definedName>
    <definedName name="_xlnm._FilterDatabase" localSheetId="2" hidden="1">'💳 Transactions'!$A$3:$Q$403</definedName>
    <definedName name="_xlnm._FilterDatabase" localSheetId="4" hidden="1">'🧾 Bills &amp; Subs'!$A$3:$M$303</definedName>
    <definedName name="_xlnm._FilterDatabase" localSheetId="5" hidden="1">'🏦 Accounts'!$A$3:$K$103</definedName>
    <definedName name="_xlnm._FilterDatabase" localSheetId="6" hidden="1">'💸 Debt Manager'!$A$10:$R$107</definedName>
    <definedName name="_xlnm._FilterDatabase" localSheetId="7" hidden="1">'🎯 Goals &amp; Funds'!$A$3:$K$103</definedName>
    <definedName name="_xlnm._FilterDatabase" localSheetId="10" hidden="1">'🚗 Vehicles'!$A$3:$O$33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yyyy-mm-dd"/>
    <numFmt numFmtId="167" formatCode="0.0%"/>
    <numFmt numFmtId="168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D4A46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B3D2E"/>
      <sz val="11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9C5500"/>
      <sz val="9"/>
    </font>
    <font>
      <name val="Calibri"/>
      <b val="1"/>
      <color rgb="00000000"/>
      <sz val="12"/>
    </font>
    <font>
      <name val="Calibri"/>
      <b val="1"/>
      <color rgb="00000000"/>
      <sz val="13"/>
    </font>
  </fonts>
  <fills count="12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EAF3EE"/>
      </patternFill>
    </fill>
    <fill>
      <patternFill patternType="solid">
        <fgColor rgb="00DCEFE4"/>
      </patternFill>
    </fill>
    <fill>
      <patternFill patternType="solid">
        <fgColor rgb="00FFF9EC"/>
      </patternFill>
    </fill>
    <fill>
      <patternFill patternType="solid">
        <fgColor rgb="001F7A5C"/>
      </patternFill>
    </fill>
    <fill>
      <patternFill patternType="solid">
        <fgColor rgb="00EAF6EF"/>
      </patternFill>
    </fill>
    <fill>
      <patternFill patternType="solid">
        <fgColor rgb="00CBE6D4"/>
      </patternFill>
    </fill>
    <fill>
      <patternFill patternType="solid">
        <fgColor rgb="00F4F8F5"/>
      </patternFill>
    </fill>
    <fill>
      <patternFill patternType="solid">
        <fgColor rgb="002E8B6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C0"/>
      </left>
      <right style="thin">
        <color rgb="00B7C9C0"/>
      </right>
      <top style="thin">
        <color rgb="00B7C9C0"/>
      </top>
      <bottom style="thin">
        <color rgb="00B7C9C0"/>
      </bottom>
    </border>
    <border>
      <left/>
      <right/>
      <top style="thin">
        <color rgb="00B7C9C0"/>
      </top>
      <bottom/>
      <diagonal/>
    </border>
    <border>
      <left/>
      <right style="thin">
        <color rgb="00B7C9C0"/>
      </right>
      <top style="thin">
        <color rgb="00B7C9C0"/>
      </top>
      <bottom/>
      <diagonal/>
    </border>
    <border>
      <left/>
      <right/>
      <top style="thin">
        <color rgb="00B7C9C0"/>
      </top>
      <bottom style="thin">
        <color rgb="00B7C9C0"/>
      </bottom>
      <diagonal/>
    </border>
    <border>
      <left/>
      <right style="thin">
        <color rgb="00B7C9C0"/>
      </right>
      <top style="thin">
        <color rgb="00B7C9C0"/>
      </top>
      <bottom style="thin">
        <color rgb="00B7C9C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applyProtection="1" pivotButton="0" quotePrefix="0" xfId="0">
      <alignment horizontal="left" vertical="center"/>
      <protection locked="0" hidden="0"/>
    </xf>
    <xf numFmtId="0" fontId="2" fillId="3" borderId="0" applyAlignment="1" applyProtection="1" pivotButton="0" quotePrefix="0" xfId="0">
      <alignment horizontal="left" vertical="center" wrapText="1"/>
      <protection locked="0" hidden="0"/>
    </xf>
    <xf numFmtId="0" fontId="3" fillId="4" borderId="1" applyAlignment="1" applyProtection="1" pivotButton="0" quotePrefix="0" xfId="0">
      <alignment horizontal="left" vertical="center"/>
      <protection locked="0" hidden="0"/>
    </xf>
    <xf numFmtId="0" fontId="5" fillId="7" borderId="1" applyAlignment="1" pivotButton="0" quotePrefix="0" xfId="0">
      <alignment horizontal="left" vertical="center"/>
    </xf>
    <xf numFmtId="0" fontId="10" fillId="4" borderId="1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165" fontId="3" fillId="7" borderId="1" applyAlignment="1" pivotButton="0" quotePrefix="0" xfId="0">
      <alignment horizontal="right" vertical="center"/>
    </xf>
    <xf numFmtId="167" fontId="3" fillId="7" borderId="1" applyAlignment="1" pivotButton="0" quotePrefix="0" xfId="0">
      <alignment horizontal="right" vertical="center"/>
    </xf>
    <xf numFmtId="168" fontId="3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5" fontId="4" fillId="7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left" vertical="center"/>
      <protection locked="0" hidden="0"/>
    </xf>
    <xf numFmtId="165" fontId="4" fillId="7" borderId="1" applyAlignment="1" pivotButton="0" quotePrefix="0" xfId="0">
      <alignment horizontal="left" vertical="center"/>
    </xf>
    <xf numFmtId="167" fontId="4" fillId="7" borderId="1" applyAlignment="1" pivotButton="0" quotePrefix="0" xfId="0">
      <alignment horizontal="left" vertical="center"/>
    </xf>
    <xf numFmtId="164" fontId="4" fillId="5" borderId="1" applyAlignment="1" applyProtection="1" pivotButton="0" quotePrefix="0" xfId="0">
      <alignment horizontal="left" vertical="center"/>
      <protection locked="0" hidden="0"/>
    </xf>
    <xf numFmtId="165" fontId="4" fillId="5" borderId="1" applyAlignment="1" applyProtection="1" pivotButton="0" quotePrefix="0" xfId="0">
      <alignment horizontal="left" vertical="center"/>
      <protection locked="0" hidden="0"/>
    </xf>
    <xf numFmtId="3" fontId="4" fillId="7" borderId="1" applyAlignment="1" pivotButton="0" quotePrefix="0" xfId="0">
      <alignment horizontal="center" vertical="center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7" fontId="4" fillId="7" borderId="1" applyAlignment="1" pivotButton="0" quotePrefix="0" xfId="0">
      <alignment horizontal="center" vertical="center"/>
    </xf>
    <xf numFmtId="0" fontId="3" fillId="8" borderId="1" applyAlignment="1" applyProtection="1" pivotButton="0" quotePrefix="0" xfId="0">
      <alignment horizontal="left" vertical="center"/>
      <protection locked="0" hidden="0"/>
    </xf>
    <xf numFmtId="165" fontId="3" fillId="8" borderId="1" applyAlignment="1" pivotButton="0" quotePrefix="0" xfId="0">
      <alignment horizontal="left" vertical="center"/>
    </xf>
    <xf numFmtId="167" fontId="3" fillId="8" borderId="1" applyAlignment="1" pivotButton="0" quotePrefix="0" xfId="0">
      <alignment horizontal="center" vertical="center"/>
    </xf>
    <xf numFmtId="0" fontId="4" fillId="8" borderId="1" applyAlignment="1" applyProtection="1" pivotButton="0" quotePrefix="0" xfId="0">
      <alignment horizontal="left" vertical="center"/>
      <protection locked="0" hidden="0"/>
    </xf>
    <xf numFmtId="0" fontId="8" fillId="10" borderId="1" applyAlignment="1" applyProtection="1" pivotButton="0" quotePrefix="0" xfId="0">
      <alignment horizontal="left" vertical="center"/>
      <protection locked="0" hidden="0"/>
    </xf>
    <xf numFmtId="165" fontId="8" fillId="10" borderId="1" applyAlignment="1" pivotButton="0" quotePrefix="0" xfId="0">
      <alignment horizontal="left" vertical="center"/>
    </xf>
    <xf numFmtId="167" fontId="8" fillId="10" borderId="1" applyAlignment="1" pivotButton="0" quotePrefix="0" xfId="0">
      <alignment horizontal="center" vertical="center"/>
    </xf>
    <xf numFmtId="0" fontId="4" fillId="10" borderId="1" applyAlignment="1" applyProtection="1" pivotButton="0" quotePrefix="0" xfId="0">
      <alignment horizontal="left" vertical="center"/>
      <protection locked="0" hidden="0"/>
    </xf>
    <xf numFmtId="167" fontId="4" fillId="5" borderId="1" applyAlignment="1" applyProtection="1" pivotButton="0" quotePrefix="0" xfId="0">
      <alignment horizontal="left" vertical="center"/>
      <protection locked="0" hidden="0"/>
    </xf>
    <xf numFmtId="164" fontId="4" fillId="7" borderId="1" applyAlignment="1" pivotButton="0" quotePrefix="0" xfId="0">
      <alignment horizontal="left" vertical="center"/>
    </xf>
    <xf numFmtId="3" fontId="4" fillId="5" borderId="1" applyAlignment="1" applyProtection="1" pivotButton="0" quotePrefix="0" xfId="0">
      <alignment horizontal="left" vertical="center"/>
      <protection locked="0" hidden="0"/>
    </xf>
    <xf numFmtId="165" fontId="3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left" vertical="center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3" fillId="8" borderId="1" applyAlignment="1" applyProtection="1" pivotButton="0" quotePrefix="0" xfId="0">
      <alignment horizontal="center" vertical="center"/>
      <protection locked="0" hidden="0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3" fillId="7" borderId="1" applyAlignment="1" applyProtection="1" pivotButton="0" quotePrefix="0" xfId="0">
      <alignment horizontal="left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8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3" fontId="4" fillId="5" borderId="1" applyAlignment="1" applyProtection="1" pivotButton="0" quotePrefix="0" xfId="0">
      <alignment horizontal="center" vertical="center"/>
      <protection locked="0" hidden="0"/>
    </xf>
    <xf numFmtId="165" fontId="4" fillId="7" borderId="1" applyAlignment="1" pivotButton="0" quotePrefix="0" xfId="0">
      <alignment horizontal="center" vertical="center"/>
    </xf>
    <xf numFmtId="3" fontId="4" fillId="11" borderId="1" applyAlignment="1" applyProtection="1" pivotButton="0" quotePrefix="0" xfId="0">
      <alignment horizontal="center" vertical="center"/>
      <protection locked="0" hidden="0"/>
    </xf>
    <xf numFmtId="165" fontId="4" fillId="11" borderId="1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left" vertical="center"/>
      <protection locked="0" hidden="0"/>
    </xf>
    <xf numFmtId="0" fontId="4" fillId="4" borderId="1" applyAlignment="1" applyProtection="1" pivotButton="0" quotePrefix="0" xfId="0">
      <alignment horizontal="left" vertical="center"/>
      <protection locked="0" hidden="0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applyProtection="1" pivotButton="0" quotePrefix="0" xfId="0">
      <alignment horizontal="left" vertical="center"/>
      <protection locked="0" hidden="0"/>
    </xf>
    <xf numFmtId="0" fontId="11" fillId="4" borderId="1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name val="Calibri"/>
        <color rgb="009C0006"/>
        <sz val="11"/>
      </font>
      <fill>
        <patternFill patternType="solid">
          <fgColor rgb="00F4CCCC"/>
        </patternFill>
      </fill>
    </dxf>
    <dxf>
      <font>
        <name val="Calibri"/>
        <color rgb="00006100"/>
        <sz val="11"/>
      </font>
      <fill>
        <patternFill patternType="solid">
          <fgColor rgb="00D9EAD3"/>
        </patternFill>
      </fill>
    </dxf>
    <dxf>
      <font>
        <name val="Calibri"/>
        <color rgb="009C0006"/>
        <sz val="11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Monthly Income vs Spending (this year)</a:t>
            </a:r>
          </a:p>
        </rich>
      </tx>
    </title>
    <plotArea>
      <lineChart>
        <grouping val="standard"/>
        <ser>
          <idx val="0"/>
          <order val="0"/>
          <tx>
            <strRef>
              <f>'📊 Analytics'!B23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Analytics'!$A$24:$A$35</f>
            </numRef>
          </cat>
          <val>
            <numRef>
              <f>'📊 Analytics'!$B$24:$B$35</f>
            </numRef>
          </val>
        </ser>
        <ser>
          <idx val="1"/>
          <order val="1"/>
          <tx>
            <strRef>
              <f>'📊 Analytics'!C23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Analytics'!$A$24:$A$35</f>
            </numRef>
          </cat>
          <val>
            <numRef>
              <f>'📊 Analytics'!$C$24:$C$35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 (YTD)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Analytics'!C9</f>
            </strRef>
          </tx>
          <spPr>
            <a:ln>
              <a:prstDash val="solid"/>
            </a:ln>
          </spPr>
          <cat>
            <numRef>
              <f>'📊 Analytics'!$A$10:$A$20</f>
            </numRef>
          </cat>
          <val>
            <numRef>
              <f>'📊 Analytics'!$C$10:$C$20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50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50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1" t="inlineStr">
        <is>
          <t>🏠 Family Financial Dashboard</t>
        </is>
      </c>
    </row>
    <row r="2" ht="28" customHeight="1">
      <c r="A2" s="2" t="inlineStr">
        <is>
          <t>Your entire household on one screen. Every number below flows automatically from the other tabs.</t>
        </is>
      </c>
    </row>
    <row r="4">
      <c r="A4" s="3" t="inlineStr">
        <is>
          <t>Report Period</t>
        </is>
      </c>
      <c r="B4" s="4">
        <f>TEXT(C_Date,"mmmm yyyy")</f>
        <v/>
      </c>
    </row>
    <row r="6">
      <c r="A6" s="5" t="inlineStr">
        <is>
          <t>MONTHLY SNAPSHOT</t>
        </is>
      </c>
    </row>
    <row r="7">
      <c r="A7" s="6" t="inlineStr">
        <is>
          <t>Gross Monthly Income</t>
        </is>
      </c>
      <c r="B7" s="7">
        <f>SUMIFS('💰 Income'!$M$4:$M$203,'💰 Income'!$O$4:$O$203,C_Month,'💰 Income'!$P$4:$P$203,C_Year)</f>
        <v/>
      </c>
    </row>
    <row r="8">
      <c r="A8" s="6" t="inlineStr">
        <is>
          <t>Monthly Spending</t>
        </is>
      </c>
      <c r="B8" s="7">
        <f>SUMIFS('💳 Transactions'!$F$4:$F$403,'💳 Transactions'!$B$4:$B$403,"Expense",'💳 Transactions'!$O$4:$O$403,C_Month,'💳 Transactions'!$P$4:$P$403,C_Year)</f>
        <v/>
      </c>
    </row>
    <row r="9">
      <c r="A9" s="6" t="inlineStr">
        <is>
          <t>Surplus / (Deficit)</t>
        </is>
      </c>
      <c r="B9" s="7">
        <f>B7-B8</f>
        <v/>
      </c>
    </row>
    <row r="10">
      <c r="A10" s="6" t="inlineStr">
        <is>
          <t>Savings Rate</t>
        </is>
      </c>
      <c r="B10" s="8">
        <f>IF(B7=0,"",B9/B7)</f>
        <v/>
      </c>
    </row>
    <row r="11">
      <c r="A11" s="6" t="inlineStr">
        <is>
          <t>Bills Due This Month</t>
        </is>
      </c>
      <c r="B11" s="7">
        <f>SUMIFS('🧾 Bills &amp; Subs'!$B$4:$B$303,'🧾 Bills &amp; Subs'!$K$4:$K$303,C_Month,'🧾 Bills &amp; Subs'!$L$4:$L$303,C_Year)</f>
        <v/>
      </c>
    </row>
    <row r="12">
      <c r="A12" s="6" t="inlineStr">
        <is>
          <t>Monthly Budget</t>
        </is>
      </c>
      <c r="B12" s="7">
        <f>'📋 Budget'!$C$81</f>
        <v/>
      </c>
    </row>
    <row r="13">
      <c r="A13" s="6" t="inlineStr">
        <is>
          <t>Budget vs Actual Variance</t>
        </is>
      </c>
      <c r="B13" s="7">
        <f>B12-B8</f>
        <v/>
      </c>
    </row>
    <row r="14">
      <c r="A14" s="6" t="inlineStr">
        <is>
          <t>YTD Spending</t>
        </is>
      </c>
      <c r="B14" s="7">
        <f>SUMIFS('💳 Transactions'!$F$4:$F$403,'💳 Transactions'!$B$4:$B$403,"Expense",'💳 Transactions'!$P$4:$P$403,C_Year)</f>
        <v/>
      </c>
    </row>
    <row r="16">
      <c r="A16" s="5" t="inlineStr">
        <is>
          <t>CASH &amp; DEBT POSITION</t>
        </is>
      </c>
    </row>
    <row r="17">
      <c r="A17" s="6" t="inlineStr">
        <is>
          <t>Total Assets</t>
        </is>
      </c>
      <c r="B17" s="9">
        <f>SUMIF('🏦 Accounts'!$B$4:$B$103,"Checking",'🏦 Accounts'!$D$4:$D$103)+SUMIF('🏦 Accounts'!$B$4:$B$103,"Savings",'🏦 Accounts'!$D$4:$D$103)+SUMIF('🏦 Accounts'!$B$4:$B$103,"HYSA",'🏦 Accounts'!$D$4:$D$103)+SUMIF('🏦 Accounts'!$B$4:$B$103,"Cash",'🏦 Accounts'!$D$4:$D$103)+SUMIF('🏦 Accounts'!$B$4:$B$103,"401(k)",'🏦 Accounts'!$D$4:$D$103)+SUMIF('🏦 Accounts'!$B$4:$B$103,"403(b)",'🏦 Accounts'!$D$4:$D$103)+SUMIF('🏦 Accounts'!$B$4:$B$103,"IRA",'🏦 Accounts'!$D$4:$D$103)+SUMIF('🏦 Accounts'!$B$4:$B$103,"Roth IRA",'🏦 Accounts'!$D$4:$D$103)+SUMIF('🏦 Accounts'!$B$4:$B$103,"Brokerage",'🏦 Accounts'!$D$4:$D$103)+SUMIF('🏦 Accounts'!$B$4:$B$103,"529",'🏦 Accounts'!$D$4:$D$103)+SUMIF('🏦 Accounts'!$B$4:$B$103,"HSA",'🏦 Accounts'!$D$4:$D$103)+SUMIF('🏦 Accounts'!$B$4:$B$103,"FSA",'🏦 Accounts'!$D$4:$D$103)+SUMIF('🏦 Accounts'!$B$4:$B$103,"CD",'🏦 Accounts'!$D$4:$D$103)+SUMIF('🏦 Accounts'!$B$4:$B$103,"Other Investment",'🏦 Accounts'!$D$4:$D$103)+'🏡 Home &amp; Mortgage'!$B$5+SUM('🚗 Vehicles'!$L$4:$L$33)</f>
        <v/>
      </c>
    </row>
    <row r="18">
      <c r="A18" s="6" t="inlineStr">
        <is>
          <t>Total Liabilities</t>
        </is>
      </c>
      <c r="B18" s="9">
        <f>SUMIFS('🏦 Accounts'!$D$4:$D$103,'🏦 Accounts'!$B$4:$B$103,"Credit Card")+SUMIFS('💸 Debt Manager'!$D$8:$D$107,'💸 Debt Manager'!$C$8:$C$107,"&lt;&gt;Credit Card")+'🏡 Home &amp; Mortgage'!$B$10</f>
        <v/>
      </c>
    </row>
    <row r="19">
      <c r="A19" s="6" t="inlineStr">
        <is>
          <t>Net Worth</t>
        </is>
      </c>
      <c r="B19" s="9">
        <f>B17-B18</f>
        <v/>
      </c>
    </row>
    <row r="20">
      <c r="A20" s="6" t="inlineStr">
        <is>
          <t>Total Debt</t>
        </is>
      </c>
      <c r="B20" s="9">
        <f>SUMIFS('🏦 Accounts'!$D$4:$D$103,'🏦 Accounts'!$B$4:$B$103,"Credit Card")+SUMIFS('💸 Debt Manager'!$D$8:$D$107,'💸 Debt Manager'!$C$8:$C$107,"&lt;&gt;Credit Card")+'🏡 Home &amp; Mortgage'!$B$10</f>
        <v/>
      </c>
    </row>
    <row r="21">
      <c r="A21" s="6" t="inlineStr">
        <is>
          <t>Cash Available</t>
        </is>
      </c>
      <c r="B21" s="7">
        <f>SUMIF('🏦 Accounts'!$B$4:$B$103,"Checking",'🏦 Accounts'!$D$4:$D$103)+SUMIF('🏦 Accounts'!$B$4:$B$103,"Savings",'🏦 Accounts'!$D$4:$D$103)+SUMIF('🏦 Accounts'!$B$4:$B$103,"HYSA",'🏦 Accounts'!$D$4:$D$103)+SUMIF('🏦 Accounts'!$B$4:$B$103,"Cash",'🏦 Accounts'!$D$4:$D$103)</f>
        <v/>
      </c>
    </row>
    <row r="22">
      <c r="A22" s="6" t="inlineStr">
        <is>
          <t>Emergency Fund (liquid)</t>
        </is>
      </c>
      <c r="B22" s="7">
        <f>SUMIFS('🏦 Accounts'!$D$4:$D$103,'🏦 Accounts'!$B$4:$B$103,"Savings")+SUMIFS('🏦 Accounts'!$D$4:$D$103,'🏦 Accounts'!$B$4:$B$103,"HYSA")+SUMIFS('🏦 Accounts'!$D$4:$D$103,'🏦 Accounts'!$B$4:$B$103,"Cash")</f>
        <v/>
      </c>
    </row>
    <row r="23">
      <c r="A23" s="6" t="inlineStr">
        <is>
          <t>Credit Available</t>
        </is>
      </c>
      <c r="B23" s="7">
        <f>SUMIF('🏦 Accounts'!$B$4:$B$103,"Credit Card",'🏦 Accounts'!$E$4:$E$103)-SUMIFS('🏦 Accounts'!$D$4:$D$103,'🏦 Accounts'!$B$4:$B$103,"Credit Card")</f>
        <v/>
      </c>
    </row>
    <row r="25">
      <c r="A25" s="5" t="inlineStr">
        <is>
          <t>YEAR-TO-DATE</t>
        </is>
      </c>
    </row>
    <row r="26">
      <c r="A26" s="6" t="inlineStr">
        <is>
          <t>YTD Savings</t>
        </is>
      </c>
      <c r="B26" s="7">
        <f>B7-B8</f>
        <v/>
      </c>
    </row>
    <row r="27">
      <c r="A27" s="6" t="inlineStr">
        <is>
          <t>YTD Savings Rate</t>
        </is>
      </c>
      <c r="B27" s="8">
        <f>IFERROR((B7-B8)/B7,"")</f>
        <v/>
      </c>
    </row>
    <row r="28">
      <c r="A28" s="6" t="inlineStr">
        <is>
          <t>Avg Monthly Spend</t>
        </is>
      </c>
      <c r="B28" s="7">
        <f>'📊 Analytics'!$H$6</f>
        <v/>
      </c>
    </row>
    <row r="29">
      <c r="A29" s="6" t="inlineStr">
        <is>
          <t>Subscriptions (YTD)</t>
        </is>
      </c>
      <c r="B29" s="7">
        <f>SUMIFS('💳 Transactions'!$F$4:$F$403,'💳 Transactions'!$D$4:$D$403,"Subscriptions",'💳 Transactions'!$P$4:$P$403,C_Year)</f>
        <v/>
      </c>
    </row>
    <row r="30">
      <c r="A30" s="6" t="inlineStr">
        <is>
          <t>Goals Completion %</t>
        </is>
      </c>
      <c r="B30" s="8">
        <f>IF(SUM('🎯 Goals &amp; Funds'!$C$4:$C$103)=0,"",SUM('🎯 Goals &amp; Funds'!$D$4:$D$103)/SUM('🎯 Goals &amp; Funds'!$C$4:$C$103))</f>
        <v/>
      </c>
    </row>
    <row r="31">
      <c r="A31" s="6" t="inlineStr">
        <is>
          <t>Goals Total Saved</t>
        </is>
      </c>
      <c r="B31" s="7">
        <f>SUM('🎯 Goals &amp; Funds'!$D$4:$D$103)</f>
        <v/>
      </c>
    </row>
    <row r="32">
      <c r="A32" s="6" t="inlineStr">
        <is>
          <t>Goals Total Target</t>
        </is>
      </c>
      <c r="B32" s="7">
        <f>SUM('🎯 Goals &amp; Funds'!$C$4:$C$103)</f>
        <v/>
      </c>
    </row>
    <row r="34">
      <c r="A34" s="5" t="inlineStr">
        <is>
          <t>ALERTS</t>
        </is>
      </c>
    </row>
    <row r="35">
      <c r="A35" s="6" t="inlineStr">
        <is>
          <t>Emergency Fund (months covered)</t>
        </is>
      </c>
      <c r="B35" s="10">
        <f>IFERROR((SUMIFS('🏦 Accounts'!$D$4:$D$103,'🏦 Accounts'!$B$4:$B$103,"Savings")+SUMIFS('🏦 Accounts'!$D$4:$D$103,'🏦 Accounts'!$B$4:$B$103,"HYSA")+SUMIFS('🏦 Accounts'!$D$4:$D$103,'🏦 Accounts'!$B$4:$B$103,"Cash"))/'📊 Analytics'!$H$6,"")</f>
        <v/>
      </c>
      <c r="C35" s="11">
        <f>IF(B35="","",IF(B35&lt;3,"🔴 Under 3 months",IF(B35&lt;6,"🟡 3-6 months","🟢 6+ months")))</f>
        <v/>
      </c>
    </row>
    <row r="36">
      <c r="A36" s="6" t="inlineStr">
        <is>
          <t>Budget Status (this month)</t>
        </is>
      </c>
      <c r="B36" s="12">
        <f>B13</f>
        <v/>
      </c>
      <c r="C36" s="11">
        <f>IF(B36="","",IF(B36&lt;0,"🟡 Over budget","🟢 Under budget"))</f>
        <v/>
      </c>
    </row>
    <row r="37">
      <c r="A37" s="6" t="inlineStr">
        <is>
          <t>Savings Rate vs 20% target</t>
        </is>
      </c>
      <c r="B37" s="13">
        <f>IF(B7=0,"",B9/B7)</f>
        <v/>
      </c>
      <c r="C37" s="11">
        <f>IF(B37="","",IF(B37&gt;=0.2,"🟢 20%+ saved","🟡 Below 20% target"))</f>
        <v/>
      </c>
    </row>
    <row r="38">
      <c r="A38" s="6" t="inlineStr">
        <is>
          <t>Credit Utilization</t>
        </is>
      </c>
      <c r="B38" s="13">
        <f>IF(SUMIF('🏦 Accounts'!$B$4:$B$103,"Credit Card",'🏦 Accounts'!$E$4:$E$103)=0,"",SUMIFS('🏦 Accounts'!$D$4:$D$103,'🏦 Accounts'!$B$4:$B$103,"Credit Card")/SUMIF('🏦 Accounts'!$B$4:$B$103,"Credit Card",'🏦 Accounts'!$E$4:$E$103))</f>
        <v/>
      </c>
      <c r="C38" s="11">
        <f>IF(B38="","",IF(B38&gt;0.3,"🔴 High utilization",IF(B38&gt;0.1,"🟡 Moderate","🟢 Low utilization")))</f>
        <v/>
      </c>
    </row>
    <row r="41">
      <c r="A41" s="5" t="inlineStr">
        <is>
          <t>GOALS &amp; SINKING FUNDS</t>
        </is>
      </c>
    </row>
    <row r="42">
      <c r="A42" s="14" t="inlineStr">
        <is>
          <t>Goal</t>
        </is>
      </c>
      <c r="B42" s="14" t="inlineStr">
        <is>
          <t>Target</t>
        </is>
      </c>
      <c r="C42" s="14" t="inlineStr">
        <is>
          <t>Current</t>
        </is>
      </c>
      <c r="D42" s="14" t="inlineStr">
        <is>
          <t>% Complete</t>
        </is>
      </c>
      <c r="E42" s="14" t="inlineStr">
        <is>
          <t>Status</t>
        </is>
      </c>
    </row>
    <row r="43">
      <c r="A43" s="15">
        <f>'🎯 Goals &amp; Funds'!$A$4</f>
        <v/>
      </c>
      <c r="B43" s="16">
        <f>'🎯 Goals &amp; Funds'!$C$4</f>
        <v/>
      </c>
      <c r="C43" s="16">
        <f>'🎯 Goals &amp; Funds'!$D$4</f>
        <v/>
      </c>
      <c r="D43" s="17">
        <f>'🎯 Goals &amp; Funds'!$H$4</f>
        <v/>
      </c>
      <c r="E43" s="11">
        <f>IF(D43="","",IF(D43&gt;=1,"🏆 Complete","🔵 In progress"))</f>
        <v/>
      </c>
    </row>
    <row r="44">
      <c r="A44" s="15">
        <f>'🎯 Goals &amp; Funds'!$A$5</f>
        <v/>
      </c>
      <c r="B44" s="16">
        <f>'🎯 Goals &amp; Funds'!$C$5</f>
        <v/>
      </c>
      <c r="C44" s="16">
        <f>'🎯 Goals &amp; Funds'!$D$5</f>
        <v/>
      </c>
      <c r="D44" s="17">
        <f>'🎯 Goals &amp; Funds'!$H$5</f>
        <v/>
      </c>
      <c r="E44" s="11">
        <f>IF(D44="","",IF(D44&gt;=1,"🏆 Complete","🔵 In progress"))</f>
        <v/>
      </c>
    </row>
    <row r="45">
      <c r="A45" s="15">
        <f>'🎯 Goals &amp; Funds'!$A$6</f>
        <v/>
      </c>
      <c r="B45" s="16">
        <f>'🎯 Goals &amp; Funds'!$C$6</f>
        <v/>
      </c>
      <c r="C45" s="16">
        <f>'🎯 Goals &amp; Funds'!$D$6</f>
        <v/>
      </c>
      <c r="D45" s="17">
        <f>'🎯 Goals &amp; Funds'!$H$6</f>
        <v/>
      </c>
      <c r="E45" s="11">
        <f>IF(D45="","",IF(D45&gt;=1,"🏆 Complete","🔵 In progress"))</f>
        <v/>
      </c>
    </row>
    <row r="46">
      <c r="A46" s="15">
        <f>'🎯 Goals &amp; Funds'!$A$7</f>
        <v/>
      </c>
      <c r="B46" s="16">
        <f>'🎯 Goals &amp; Funds'!$C$7</f>
        <v/>
      </c>
      <c r="C46" s="16">
        <f>'🎯 Goals &amp; Funds'!$D$7</f>
        <v/>
      </c>
      <c r="D46" s="17">
        <f>'🎯 Goals &amp; Funds'!$H$7</f>
        <v/>
      </c>
      <c r="E46" s="11">
        <f>IF(D46="","",IF(D46&gt;=1,"🏆 Complete","🔵 In progress"))</f>
        <v/>
      </c>
    </row>
    <row r="47">
      <c r="A47" s="15">
        <f>'🎯 Goals &amp; Funds'!$A$8</f>
        <v/>
      </c>
      <c r="B47" s="16">
        <f>'🎯 Goals &amp; Funds'!$C$8</f>
        <v/>
      </c>
      <c r="C47" s="16">
        <f>'🎯 Goals &amp; Funds'!$D$8</f>
        <v/>
      </c>
      <c r="D47" s="17">
        <f>'🎯 Goals &amp; Funds'!$H$8</f>
        <v/>
      </c>
      <c r="E47" s="11">
        <f>IF(D47="","",IF(D47&gt;=1,"🏆 Complete","🔵 In progress"))</f>
        <v/>
      </c>
    </row>
    <row r="48">
      <c r="A48" s="15">
        <f>'🎯 Goals &amp; Funds'!$A$9</f>
        <v/>
      </c>
      <c r="B48" s="16">
        <f>'🎯 Goals &amp; Funds'!$C$9</f>
        <v/>
      </c>
      <c r="C48" s="16">
        <f>'🎯 Goals &amp; Funds'!$D$9</f>
        <v/>
      </c>
      <c r="D48" s="17">
        <f>'🎯 Goals &amp; Funds'!$H$9</f>
        <v/>
      </c>
      <c r="E48" s="11">
        <f>IF(D48="","",IF(D48&gt;=1,"🏆 Complete","🔵 In progress"))</f>
        <v/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3" customWidth="1" min="12" max="12"/>
    <col width="12" customWidth="1" min="13" max="13"/>
    <col width="24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1" t="inlineStr">
        <is>
          <t>💰 Income Tracker</t>
        </is>
      </c>
    </row>
    <row r="2" ht="28" customHeight="1">
      <c r="A2" s="2" t="inlineStr">
        <is>
          <t>List every paycheck &amp; income stream. Net take-home is auto-computed from gross minus deductions.</t>
        </is>
      </c>
    </row>
    <row r="3">
      <c r="A3" s="14" t="inlineStr">
        <is>
          <t>Earner</t>
        </is>
      </c>
      <c r="B3" s="14" t="inlineStr">
        <is>
          <t>Source</t>
        </is>
      </c>
      <c r="C3" s="14" t="inlineStr">
        <is>
          <t>Pay Frequency</t>
        </is>
      </c>
      <c r="D3" s="14" t="inlineStr">
        <is>
          <t>Pay Date</t>
        </is>
      </c>
      <c r="E3" s="14" t="inlineStr">
        <is>
          <t>Gross</t>
        </is>
      </c>
      <c r="F3" s="14" t="inlineStr">
        <is>
          <t>Federal Tax</t>
        </is>
      </c>
      <c r="G3" s="14" t="inlineStr">
        <is>
          <t>State/Local Tax</t>
        </is>
      </c>
      <c r="H3" s="14" t="inlineStr">
        <is>
          <t>Social Security Tax</t>
        </is>
      </c>
      <c r="I3" s="14" t="inlineStr">
        <is>
          <t>Medicare Tax</t>
        </is>
      </c>
      <c r="J3" s="14" t="inlineStr">
        <is>
          <t>401(k)/403(b)</t>
        </is>
      </c>
      <c r="K3" s="14" t="inlineStr">
        <is>
          <t>HSA/FSA</t>
        </is>
      </c>
      <c r="L3" s="14" t="inlineStr">
        <is>
          <t>Other Deductions</t>
        </is>
      </c>
      <c r="M3" s="14" t="inlineStr">
        <is>
          <t>Net Take-Home</t>
        </is>
      </c>
      <c r="N3" s="14" t="inlineStr">
        <is>
          <t>Remarks</t>
        </is>
      </c>
      <c r="O3" s="14" t="inlineStr">
        <is>
          <t>Month</t>
        </is>
      </c>
      <c r="P3" s="14" t="inlineStr">
        <is>
          <t>Year</t>
        </is>
      </c>
      <c r="Q3" s="14" t="inlineStr">
        <is>
          <t>Day</t>
        </is>
      </c>
    </row>
    <row r="4">
      <c r="A4" s="15" t="inlineStr">
        <is>
          <t>Parent 1</t>
        </is>
      </c>
      <c r="B4" s="15" t="inlineStr">
        <is>
          <t>Salary</t>
        </is>
      </c>
      <c r="C4" s="15" t="inlineStr">
        <is>
          <t>Biweekly</t>
        </is>
      </c>
      <c r="D4" s="18" t="n">
        <v>46027</v>
      </c>
      <c r="E4" s="19" t="n">
        <v>2600</v>
      </c>
      <c r="F4" s="19" t="n">
        <v>210</v>
      </c>
      <c r="G4" s="19" t="n">
        <v>95</v>
      </c>
      <c r="H4" s="19" t="n">
        <v>161</v>
      </c>
      <c r="I4" s="19" t="n">
        <v>38</v>
      </c>
      <c r="J4" s="19" t="n">
        <v>260</v>
      </c>
      <c r="K4" s="19" t="n">
        <v>0</v>
      </c>
      <c r="L4" s="19" t="n">
        <v>60</v>
      </c>
      <c r="M4" s="16">
        <f>IF(E4="","",E4-SUM(F4:L4))</f>
        <v/>
      </c>
      <c r="N4" s="15" t="inlineStr"/>
      <c r="O4" s="20">
        <f>IF(D4="","",MONTH(D4))</f>
        <v/>
      </c>
      <c r="P4" s="20">
        <f>IF(D4="","",YEAR(D4))</f>
        <v/>
      </c>
      <c r="Q4" s="20">
        <f>IF(D4="","",DAY(D4))</f>
        <v/>
      </c>
    </row>
    <row r="5">
      <c r="A5" s="15" t="inlineStr">
        <is>
          <t>Parent 1</t>
        </is>
      </c>
      <c r="B5" s="15" t="inlineStr">
        <is>
          <t>Salary</t>
        </is>
      </c>
      <c r="C5" s="15" t="inlineStr">
        <is>
          <t>Biweekly</t>
        </is>
      </c>
      <c r="D5" s="18" t="n">
        <v>46041</v>
      </c>
      <c r="E5" s="19" t="n">
        <v>2600</v>
      </c>
      <c r="F5" s="19" t="n">
        <v>210</v>
      </c>
      <c r="G5" s="19" t="n">
        <v>95</v>
      </c>
      <c r="H5" s="19" t="n">
        <v>161</v>
      </c>
      <c r="I5" s="19" t="n">
        <v>38</v>
      </c>
      <c r="J5" s="19" t="n">
        <v>260</v>
      </c>
      <c r="K5" s="19" t="n">
        <v>0</v>
      </c>
      <c r="L5" s="19" t="n">
        <v>60</v>
      </c>
      <c r="M5" s="16">
        <f>IF(E5="","",E5-SUM(F5:L5))</f>
        <v/>
      </c>
      <c r="N5" s="15" t="inlineStr"/>
      <c r="O5" s="20">
        <f>IF(D5="","",MONTH(D5))</f>
        <v/>
      </c>
      <c r="P5" s="20">
        <f>IF(D5="","",YEAR(D5))</f>
        <v/>
      </c>
      <c r="Q5" s="20">
        <f>IF(D5="","",DAY(D5))</f>
        <v/>
      </c>
    </row>
    <row r="6">
      <c r="A6" s="15" t="inlineStr">
        <is>
          <t>Parent 2</t>
        </is>
      </c>
      <c r="B6" s="15" t="inlineStr">
        <is>
          <t>Salary</t>
        </is>
      </c>
      <c r="C6" s="15" t="inlineStr">
        <is>
          <t>Twice Monthly</t>
        </is>
      </c>
      <c r="D6" s="18" t="n">
        <v>46030</v>
      </c>
      <c r="E6" s="19" t="n">
        <v>1720</v>
      </c>
      <c r="F6" s="19" t="n">
        <v>140</v>
      </c>
      <c r="G6" s="19" t="n">
        <v>62</v>
      </c>
      <c r="H6" s="19" t="n">
        <v>107</v>
      </c>
      <c r="I6" s="19" t="n">
        <v>25</v>
      </c>
      <c r="J6" s="19" t="n">
        <v>170</v>
      </c>
      <c r="K6" s="19" t="n">
        <v>0</v>
      </c>
      <c r="L6" s="19" t="n">
        <v>40</v>
      </c>
      <c r="M6" s="16">
        <f>IF(E6="","",E6-SUM(F6:L6))</f>
        <v/>
      </c>
      <c r="N6" s="15" t="inlineStr"/>
      <c r="O6" s="20">
        <f>IF(D6="","",MONTH(D6))</f>
        <v/>
      </c>
      <c r="P6" s="20">
        <f>IF(D6="","",YEAR(D6))</f>
        <v/>
      </c>
      <c r="Q6" s="20">
        <f>IF(D6="","",DAY(D6))</f>
        <v/>
      </c>
    </row>
    <row r="7">
      <c r="A7" s="15" t="inlineStr">
        <is>
          <t>Parent 2</t>
        </is>
      </c>
      <c r="B7" s="15" t="inlineStr">
        <is>
          <t>Salary</t>
        </is>
      </c>
      <c r="C7" s="15" t="inlineStr">
        <is>
          <t>Twice Monthly</t>
        </is>
      </c>
      <c r="D7" s="18" t="n">
        <v>46045</v>
      </c>
      <c r="E7" s="19" t="n">
        <v>1720</v>
      </c>
      <c r="F7" s="19" t="n">
        <v>140</v>
      </c>
      <c r="G7" s="19" t="n">
        <v>62</v>
      </c>
      <c r="H7" s="19" t="n">
        <v>107</v>
      </c>
      <c r="I7" s="19" t="n">
        <v>25</v>
      </c>
      <c r="J7" s="19" t="n">
        <v>170</v>
      </c>
      <c r="K7" s="19" t="n">
        <v>0</v>
      </c>
      <c r="L7" s="19" t="n">
        <v>40</v>
      </c>
      <c r="M7" s="16">
        <f>IF(E7="","",E7-SUM(F7:L7))</f>
        <v/>
      </c>
      <c r="N7" s="15" t="inlineStr"/>
      <c r="O7" s="20">
        <f>IF(D7="","",MONTH(D7))</f>
        <v/>
      </c>
      <c r="P7" s="20">
        <f>IF(D7="","",YEAR(D7))</f>
        <v/>
      </c>
      <c r="Q7" s="20">
        <f>IF(D7="","",DAY(D7))</f>
        <v/>
      </c>
    </row>
    <row r="8">
      <c r="A8" s="15" t="inlineStr">
        <is>
          <t>Parent 1</t>
        </is>
      </c>
      <c r="B8" s="15" t="inlineStr">
        <is>
          <t>Salary</t>
        </is>
      </c>
      <c r="C8" s="15" t="inlineStr">
        <is>
          <t>Biweekly</t>
        </is>
      </c>
      <c r="D8" s="18" t="n">
        <v>46058</v>
      </c>
      <c r="E8" s="19" t="n">
        <v>2600</v>
      </c>
      <c r="F8" s="19" t="n">
        <v>210</v>
      </c>
      <c r="G8" s="19" t="n">
        <v>95</v>
      </c>
      <c r="H8" s="19" t="n">
        <v>161</v>
      </c>
      <c r="I8" s="19" t="n">
        <v>38</v>
      </c>
      <c r="J8" s="19" t="n">
        <v>260</v>
      </c>
      <c r="K8" s="19" t="n">
        <v>0</v>
      </c>
      <c r="L8" s="19" t="n">
        <v>60</v>
      </c>
      <c r="M8" s="16">
        <f>IF(E8="","",E8-SUM(F8:L8))</f>
        <v/>
      </c>
      <c r="N8" s="15" t="inlineStr"/>
      <c r="O8" s="20">
        <f>IF(D8="","",MONTH(D8))</f>
        <v/>
      </c>
      <c r="P8" s="20">
        <f>IF(D8="","",YEAR(D8))</f>
        <v/>
      </c>
      <c r="Q8" s="20">
        <f>IF(D8="","",DAY(D8))</f>
        <v/>
      </c>
    </row>
    <row r="9">
      <c r="A9" s="15" t="inlineStr">
        <is>
          <t>Parent 1</t>
        </is>
      </c>
      <c r="B9" s="15" t="inlineStr">
        <is>
          <t>Salary</t>
        </is>
      </c>
      <c r="C9" s="15" t="inlineStr">
        <is>
          <t>Biweekly</t>
        </is>
      </c>
      <c r="D9" s="18" t="n">
        <v>46072</v>
      </c>
      <c r="E9" s="19" t="n">
        <v>2600</v>
      </c>
      <c r="F9" s="19" t="n">
        <v>210</v>
      </c>
      <c r="G9" s="19" t="n">
        <v>95</v>
      </c>
      <c r="H9" s="19" t="n">
        <v>161</v>
      </c>
      <c r="I9" s="19" t="n">
        <v>38</v>
      </c>
      <c r="J9" s="19" t="n">
        <v>260</v>
      </c>
      <c r="K9" s="19" t="n">
        <v>0</v>
      </c>
      <c r="L9" s="19" t="n">
        <v>60</v>
      </c>
      <c r="M9" s="16">
        <f>IF(E9="","",E9-SUM(F9:L9))</f>
        <v/>
      </c>
      <c r="N9" s="15" t="inlineStr"/>
      <c r="O9" s="20">
        <f>IF(D9="","",MONTH(D9))</f>
        <v/>
      </c>
      <c r="P9" s="20">
        <f>IF(D9="","",YEAR(D9))</f>
        <v/>
      </c>
      <c r="Q9" s="20">
        <f>IF(D9="","",DAY(D9))</f>
        <v/>
      </c>
    </row>
    <row r="10">
      <c r="A10" s="15" t="inlineStr">
        <is>
          <t>Parent 2</t>
        </is>
      </c>
      <c r="B10" s="15" t="inlineStr">
        <is>
          <t>Salary</t>
        </is>
      </c>
      <c r="C10" s="15" t="inlineStr">
        <is>
          <t>Twice Monthly</t>
        </is>
      </c>
      <c r="D10" s="18" t="n">
        <v>46061</v>
      </c>
      <c r="E10" s="19" t="n">
        <v>1720</v>
      </c>
      <c r="F10" s="19" t="n">
        <v>140</v>
      </c>
      <c r="G10" s="19" t="n">
        <v>62</v>
      </c>
      <c r="H10" s="19" t="n">
        <v>107</v>
      </c>
      <c r="I10" s="19" t="n">
        <v>25</v>
      </c>
      <c r="J10" s="19" t="n">
        <v>170</v>
      </c>
      <c r="K10" s="19" t="n">
        <v>0</v>
      </c>
      <c r="L10" s="19" t="n">
        <v>40</v>
      </c>
      <c r="M10" s="16">
        <f>IF(E10="","",E10-SUM(F10:L10))</f>
        <v/>
      </c>
      <c r="N10" s="15" t="inlineStr"/>
      <c r="O10" s="20">
        <f>IF(D10="","",MONTH(D10))</f>
        <v/>
      </c>
      <c r="P10" s="20">
        <f>IF(D10="","",YEAR(D10))</f>
        <v/>
      </c>
      <c r="Q10" s="20">
        <f>IF(D10="","",DAY(D10))</f>
        <v/>
      </c>
    </row>
    <row r="11">
      <c r="A11" s="15" t="inlineStr">
        <is>
          <t>Parent 2</t>
        </is>
      </c>
      <c r="B11" s="15" t="inlineStr">
        <is>
          <t>Salary</t>
        </is>
      </c>
      <c r="C11" s="15" t="inlineStr">
        <is>
          <t>Twice Monthly</t>
        </is>
      </c>
      <c r="D11" s="18" t="n">
        <v>46076</v>
      </c>
      <c r="E11" s="19" t="n">
        <v>1720</v>
      </c>
      <c r="F11" s="19" t="n">
        <v>140</v>
      </c>
      <c r="G11" s="19" t="n">
        <v>62</v>
      </c>
      <c r="H11" s="19" t="n">
        <v>107</v>
      </c>
      <c r="I11" s="19" t="n">
        <v>25</v>
      </c>
      <c r="J11" s="19" t="n">
        <v>170</v>
      </c>
      <c r="K11" s="19" t="n">
        <v>0</v>
      </c>
      <c r="L11" s="19" t="n">
        <v>40</v>
      </c>
      <c r="M11" s="16">
        <f>IF(E11="","",E11-SUM(F11:L11))</f>
        <v/>
      </c>
      <c r="N11" s="15" t="inlineStr"/>
      <c r="O11" s="20">
        <f>IF(D11="","",MONTH(D11))</f>
        <v/>
      </c>
      <c r="P11" s="20">
        <f>IF(D11="","",YEAR(D11))</f>
        <v/>
      </c>
      <c r="Q11" s="20">
        <f>IF(D11="","",DAY(D11))</f>
        <v/>
      </c>
    </row>
    <row r="12">
      <c r="A12" s="15" t="inlineStr">
        <is>
          <t>Parent 1</t>
        </is>
      </c>
      <c r="B12" s="15" t="inlineStr">
        <is>
          <t>Salary</t>
        </is>
      </c>
      <c r="C12" s="15" t="inlineStr">
        <is>
          <t>Biweekly</t>
        </is>
      </c>
      <c r="D12" s="18" t="n">
        <v>46086</v>
      </c>
      <c r="E12" s="19" t="n">
        <v>2600</v>
      </c>
      <c r="F12" s="19" t="n">
        <v>210</v>
      </c>
      <c r="G12" s="19" t="n">
        <v>95</v>
      </c>
      <c r="H12" s="19" t="n">
        <v>161</v>
      </c>
      <c r="I12" s="19" t="n">
        <v>38</v>
      </c>
      <c r="J12" s="19" t="n">
        <v>260</v>
      </c>
      <c r="K12" s="19" t="n">
        <v>0</v>
      </c>
      <c r="L12" s="19" t="n">
        <v>60</v>
      </c>
      <c r="M12" s="16">
        <f>IF(E12="","",E12-SUM(F12:L12))</f>
        <v/>
      </c>
      <c r="N12" s="15" t="inlineStr"/>
      <c r="O12" s="20">
        <f>IF(D12="","",MONTH(D12))</f>
        <v/>
      </c>
      <c r="P12" s="20">
        <f>IF(D12="","",YEAR(D12))</f>
        <v/>
      </c>
      <c r="Q12" s="20">
        <f>IF(D12="","",DAY(D12))</f>
        <v/>
      </c>
    </row>
    <row r="13">
      <c r="A13" s="15" t="inlineStr">
        <is>
          <t>Parent 1</t>
        </is>
      </c>
      <c r="B13" s="15" t="inlineStr">
        <is>
          <t>Salary</t>
        </is>
      </c>
      <c r="C13" s="15" t="inlineStr">
        <is>
          <t>Biweekly</t>
        </is>
      </c>
      <c r="D13" s="18" t="n">
        <v>46100</v>
      </c>
      <c r="E13" s="19" t="n">
        <v>2600</v>
      </c>
      <c r="F13" s="19" t="n">
        <v>210</v>
      </c>
      <c r="G13" s="19" t="n">
        <v>95</v>
      </c>
      <c r="H13" s="19" t="n">
        <v>161</v>
      </c>
      <c r="I13" s="19" t="n">
        <v>38</v>
      </c>
      <c r="J13" s="19" t="n">
        <v>260</v>
      </c>
      <c r="K13" s="19" t="n">
        <v>0</v>
      </c>
      <c r="L13" s="19" t="n">
        <v>60</v>
      </c>
      <c r="M13" s="16">
        <f>IF(E13="","",E13-SUM(F13:L13))</f>
        <v/>
      </c>
      <c r="N13" s="15" t="inlineStr"/>
      <c r="O13" s="20">
        <f>IF(D13="","",MONTH(D13))</f>
        <v/>
      </c>
      <c r="P13" s="20">
        <f>IF(D13="","",YEAR(D13))</f>
        <v/>
      </c>
      <c r="Q13" s="20">
        <f>IF(D13="","",DAY(D13))</f>
        <v/>
      </c>
    </row>
    <row r="14">
      <c r="A14" s="15" t="inlineStr">
        <is>
          <t>Parent 2</t>
        </is>
      </c>
      <c r="B14" s="15" t="inlineStr">
        <is>
          <t>Salary</t>
        </is>
      </c>
      <c r="C14" s="15" t="inlineStr">
        <is>
          <t>Twice Monthly</t>
        </is>
      </c>
      <c r="D14" s="18" t="n">
        <v>46089</v>
      </c>
      <c r="E14" s="19" t="n">
        <v>1720</v>
      </c>
      <c r="F14" s="19" t="n">
        <v>140</v>
      </c>
      <c r="G14" s="19" t="n">
        <v>62</v>
      </c>
      <c r="H14" s="19" t="n">
        <v>107</v>
      </c>
      <c r="I14" s="19" t="n">
        <v>25</v>
      </c>
      <c r="J14" s="19" t="n">
        <v>170</v>
      </c>
      <c r="K14" s="19" t="n">
        <v>0</v>
      </c>
      <c r="L14" s="19" t="n">
        <v>40</v>
      </c>
      <c r="M14" s="16">
        <f>IF(E14="","",E14-SUM(F14:L14))</f>
        <v/>
      </c>
      <c r="N14" s="15" t="inlineStr"/>
      <c r="O14" s="20">
        <f>IF(D14="","",MONTH(D14))</f>
        <v/>
      </c>
      <c r="P14" s="20">
        <f>IF(D14="","",YEAR(D14))</f>
        <v/>
      </c>
      <c r="Q14" s="20">
        <f>IF(D14="","",DAY(D14))</f>
        <v/>
      </c>
    </row>
    <row r="15">
      <c r="A15" s="15" t="inlineStr">
        <is>
          <t>Parent 2</t>
        </is>
      </c>
      <c r="B15" s="15" t="inlineStr">
        <is>
          <t>Salary</t>
        </is>
      </c>
      <c r="C15" s="15" t="inlineStr">
        <is>
          <t>Twice Monthly</t>
        </is>
      </c>
      <c r="D15" s="18" t="n">
        <v>46104</v>
      </c>
      <c r="E15" s="19" t="n">
        <v>1720</v>
      </c>
      <c r="F15" s="19" t="n">
        <v>140</v>
      </c>
      <c r="G15" s="19" t="n">
        <v>62</v>
      </c>
      <c r="H15" s="19" t="n">
        <v>107</v>
      </c>
      <c r="I15" s="19" t="n">
        <v>25</v>
      </c>
      <c r="J15" s="19" t="n">
        <v>170</v>
      </c>
      <c r="K15" s="19" t="n">
        <v>0</v>
      </c>
      <c r="L15" s="19" t="n">
        <v>40</v>
      </c>
      <c r="M15" s="16">
        <f>IF(E15="","",E15-SUM(F15:L15))</f>
        <v/>
      </c>
      <c r="N15" s="15" t="inlineStr"/>
      <c r="O15" s="20">
        <f>IF(D15="","",MONTH(D15))</f>
        <v/>
      </c>
      <c r="P15" s="20">
        <f>IF(D15="","",YEAR(D15))</f>
        <v/>
      </c>
      <c r="Q15" s="20">
        <f>IF(D15="","",DAY(D15))</f>
        <v/>
      </c>
    </row>
    <row r="16">
      <c r="A16" s="15" t="inlineStr">
        <is>
          <t>Parent 1</t>
        </is>
      </c>
      <c r="B16" s="15" t="inlineStr">
        <is>
          <t>Salary</t>
        </is>
      </c>
      <c r="C16" s="15" t="inlineStr">
        <is>
          <t>Biweekly</t>
        </is>
      </c>
      <c r="D16" s="18" t="n">
        <v>46117</v>
      </c>
      <c r="E16" s="19" t="n">
        <v>2600</v>
      </c>
      <c r="F16" s="19" t="n">
        <v>210</v>
      </c>
      <c r="G16" s="19" t="n">
        <v>95</v>
      </c>
      <c r="H16" s="19" t="n">
        <v>161</v>
      </c>
      <c r="I16" s="19" t="n">
        <v>38</v>
      </c>
      <c r="J16" s="19" t="n">
        <v>260</v>
      </c>
      <c r="K16" s="19" t="n">
        <v>0</v>
      </c>
      <c r="L16" s="19" t="n">
        <v>60</v>
      </c>
      <c r="M16" s="16">
        <f>IF(E16="","",E16-SUM(F16:L16))</f>
        <v/>
      </c>
      <c r="N16" s="15" t="inlineStr"/>
      <c r="O16" s="20">
        <f>IF(D16="","",MONTH(D16))</f>
        <v/>
      </c>
      <c r="P16" s="20">
        <f>IF(D16="","",YEAR(D16))</f>
        <v/>
      </c>
      <c r="Q16" s="20">
        <f>IF(D16="","",DAY(D16))</f>
        <v/>
      </c>
    </row>
    <row r="17">
      <c r="A17" s="15" t="inlineStr">
        <is>
          <t>Parent 1</t>
        </is>
      </c>
      <c r="B17" s="15" t="inlineStr">
        <is>
          <t>Salary</t>
        </is>
      </c>
      <c r="C17" s="15" t="inlineStr">
        <is>
          <t>Biweekly</t>
        </is>
      </c>
      <c r="D17" s="18" t="n">
        <v>46131</v>
      </c>
      <c r="E17" s="19" t="n">
        <v>2600</v>
      </c>
      <c r="F17" s="19" t="n">
        <v>210</v>
      </c>
      <c r="G17" s="19" t="n">
        <v>95</v>
      </c>
      <c r="H17" s="19" t="n">
        <v>161</v>
      </c>
      <c r="I17" s="19" t="n">
        <v>38</v>
      </c>
      <c r="J17" s="19" t="n">
        <v>260</v>
      </c>
      <c r="K17" s="19" t="n">
        <v>0</v>
      </c>
      <c r="L17" s="19" t="n">
        <v>60</v>
      </c>
      <c r="M17" s="16">
        <f>IF(E17="","",E17-SUM(F17:L17))</f>
        <v/>
      </c>
      <c r="N17" s="15" t="inlineStr"/>
      <c r="O17" s="20">
        <f>IF(D17="","",MONTH(D17))</f>
        <v/>
      </c>
      <c r="P17" s="20">
        <f>IF(D17="","",YEAR(D17))</f>
        <v/>
      </c>
      <c r="Q17" s="20">
        <f>IF(D17="","",DAY(D17))</f>
        <v/>
      </c>
    </row>
    <row r="18">
      <c r="A18" s="15" t="inlineStr">
        <is>
          <t>Parent 2</t>
        </is>
      </c>
      <c r="B18" s="15" t="inlineStr">
        <is>
          <t>Salary</t>
        </is>
      </c>
      <c r="C18" s="15" t="inlineStr">
        <is>
          <t>Twice Monthly</t>
        </is>
      </c>
      <c r="D18" s="18" t="n">
        <v>46120</v>
      </c>
      <c r="E18" s="19" t="n">
        <v>1720</v>
      </c>
      <c r="F18" s="19" t="n">
        <v>140</v>
      </c>
      <c r="G18" s="19" t="n">
        <v>62</v>
      </c>
      <c r="H18" s="19" t="n">
        <v>107</v>
      </c>
      <c r="I18" s="19" t="n">
        <v>25</v>
      </c>
      <c r="J18" s="19" t="n">
        <v>170</v>
      </c>
      <c r="K18" s="19" t="n">
        <v>0</v>
      </c>
      <c r="L18" s="19" t="n">
        <v>40</v>
      </c>
      <c r="M18" s="16">
        <f>IF(E18="","",E18-SUM(F18:L18))</f>
        <v/>
      </c>
      <c r="N18" s="15" t="inlineStr"/>
      <c r="O18" s="20">
        <f>IF(D18="","",MONTH(D18))</f>
        <v/>
      </c>
      <c r="P18" s="20">
        <f>IF(D18="","",YEAR(D18))</f>
        <v/>
      </c>
      <c r="Q18" s="20">
        <f>IF(D18="","",DAY(D18))</f>
        <v/>
      </c>
    </row>
    <row r="19">
      <c r="A19" s="15" t="inlineStr">
        <is>
          <t>Parent 2</t>
        </is>
      </c>
      <c r="B19" s="15" t="inlineStr">
        <is>
          <t>Salary</t>
        </is>
      </c>
      <c r="C19" s="15" t="inlineStr">
        <is>
          <t>Twice Monthly</t>
        </is>
      </c>
      <c r="D19" s="18" t="n">
        <v>46135</v>
      </c>
      <c r="E19" s="19" t="n">
        <v>1720</v>
      </c>
      <c r="F19" s="19" t="n">
        <v>140</v>
      </c>
      <c r="G19" s="19" t="n">
        <v>62</v>
      </c>
      <c r="H19" s="19" t="n">
        <v>107</v>
      </c>
      <c r="I19" s="19" t="n">
        <v>25</v>
      </c>
      <c r="J19" s="19" t="n">
        <v>170</v>
      </c>
      <c r="K19" s="19" t="n">
        <v>0</v>
      </c>
      <c r="L19" s="19" t="n">
        <v>40</v>
      </c>
      <c r="M19" s="16">
        <f>IF(E19="","",E19-SUM(F19:L19))</f>
        <v/>
      </c>
      <c r="N19" s="15" t="inlineStr"/>
      <c r="O19" s="20">
        <f>IF(D19="","",MONTH(D19))</f>
        <v/>
      </c>
      <c r="P19" s="20">
        <f>IF(D19="","",YEAR(D19))</f>
        <v/>
      </c>
      <c r="Q19" s="20">
        <f>IF(D19="","",DAY(D19))</f>
        <v/>
      </c>
    </row>
    <row r="20">
      <c r="A20" s="15" t="inlineStr">
        <is>
          <t>Parent 1</t>
        </is>
      </c>
      <c r="B20" s="15" t="inlineStr">
        <is>
          <t>Salary</t>
        </is>
      </c>
      <c r="C20" s="15" t="inlineStr">
        <is>
          <t>Biweekly</t>
        </is>
      </c>
      <c r="D20" s="18" t="n">
        <v>46147</v>
      </c>
      <c r="E20" s="19" t="n">
        <v>2600</v>
      </c>
      <c r="F20" s="19" t="n">
        <v>210</v>
      </c>
      <c r="G20" s="19" t="n">
        <v>95</v>
      </c>
      <c r="H20" s="19" t="n">
        <v>161</v>
      </c>
      <c r="I20" s="19" t="n">
        <v>38</v>
      </c>
      <c r="J20" s="19" t="n">
        <v>260</v>
      </c>
      <c r="K20" s="19" t="n">
        <v>0</v>
      </c>
      <c r="L20" s="19" t="n">
        <v>60</v>
      </c>
      <c r="M20" s="16">
        <f>IF(E20="","",E20-SUM(F20:L20))</f>
        <v/>
      </c>
      <c r="N20" s="15" t="inlineStr"/>
      <c r="O20" s="20">
        <f>IF(D20="","",MONTH(D20))</f>
        <v/>
      </c>
      <c r="P20" s="20">
        <f>IF(D20="","",YEAR(D20))</f>
        <v/>
      </c>
      <c r="Q20" s="20">
        <f>IF(D20="","",DAY(D20))</f>
        <v/>
      </c>
    </row>
    <row r="21">
      <c r="A21" s="15" t="inlineStr">
        <is>
          <t>Parent 1</t>
        </is>
      </c>
      <c r="B21" s="15" t="inlineStr">
        <is>
          <t>Salary</t>
        </is>
      </c>
      <c r="C21" s="15" t="inlineStr">
        <is>
          <t>Biweekly</t>
        </is>
      </c>
      <c r="D21" s="18" t="n">
        <v>46161</v>
      </c>
      <c r="E21" s="19" t="n">
        <v>2600</v>
      </c>
      <c r="F21" s="19" t="n">
        <v>210</v>
      </c>
      <c r="G21" s="19" t="n">
        <v>95</v>
      </c>
      <c r="H21" s="19" t="n">
        <v>161</v>
      </c>
      <c r="I21" s="19" t="n">
        <v>38</v>
      </c>
      <c r="J21" s="19" t="n">
        <v>260</v>
      </c>
      <c r="K21" s="19" t="n">
        <v>0</v>
      </c>
      <c r="L21" s="19" t="n">
        <v>60</v>
      </c>
      <c r="M21" s="16">
        <f>IF(E21="","",E21-SUM(F21:L21))</f>
        <v/>
      </c>
      <c r="N21" s="15" t="inlineStr"/>
      <c r="O21" s="20">
        <f>IF(D21="","",MONTH(D21))</f>
        <v/>
      </c>
      <c r="P21" s="20">
        <f>IF(D21="","",YEAR(D21))</f>
        <v/>
      </c>
      <c r="Q21" s="20">
        <f>IF(D21="","",DAY(D21))</f>
        <v/>
      </c>
    </row>
    <row r="22">
      <c r="A22" s="15" t="inlineStr">
        <is>
          <t>Parent 2</t>
        </is>
      </c>
      <c r="B22" s="15" t="inlineStr">
        <is>
          <t>Salary</t>
        </is>
      </c>
      <c r="C22" s="15" t="inlineStr">
        <is>
          <t>Twice Monthly</t>
        </is>
      </c>
      <c r="D22" s="18" t="n">
        <v>46150</v>
      </c>
      <c r="E22" s="19" t="n">
        <v>1720</v>
      </c>
      <c r="F22" s="19" t="n">
        <v>140</v>
      </c>
      <c r="G22" s="19" t="n">
        <v>62</v>
      </c>
      <c r="H22" s="19" t="n">
        <v>107</v>
      </c>
      <c r="I22" s="19" t="n">
        <v>25</v>
      </c>
      <c r="J22" s="19" t="n">
        <v>170</v>
      </c>
      <c r="K22" s="19" t="n">
        <v>0</v>
      </c>
      <c r="L22" s="19" t="n">
        <v>40</v>
      </c>
      <c r="M22" s="16">
        <f>IF(E22="","",E22-SUM(F22:L22))</f>
        <v/>
      </c>
      <c r="N22" s="15" t="inlineStr"/>
      <c r="O22" s="20">
        <f>IF(D22="","",MONTH(D22))</f>
        <v/>
      </c>
      <c r="P22" s="20">
        <f>IF(D22="","",YEAR(D22))</f>
        <v/>
      </c>
      <c r="Q22" s="20">
        <f>IF(D22="","",DAY(D22))</f>
        <v/>
      </c>
    </row>
    <row r="23">
      <c r="A23" s="15" t="inlineStr">
        <is>
          <t>Parent 2</t>
        </is>
      </c>
      <c r="B23" s="15" t="inlineStr">
        <is>
          <t>Salary</t>
        </is>
      </c>
      <c r="C23" s="15" t="inlineStr">
        <is>
          <t>Twice Monthly</t>
        </is>
      </c>
      <c r="D23" s="18" t="n">
        <v>46165</v>
      </c>
      <c r="E23" s="19" t="n">
        <v>1720</v>
      </c>
      <c r="F23" s="19" t="n">
        <v>140</v>
      </c>
      <c r="G23" s="19" t="n">
        <v>62</v>
      </c>
      <c r="H23" s="19" t="n">
        <v>107</v>
      </c>
      <c r="I23" s="19" t="n">
        <v>25</v>
      </c>
      <c r="J23" s="19" t="n">
        <v>170</v>
      </c>
      <c r="K23" s="19" t="n">
        <v>0</v>
      </c>
      <c r="L23" s="19" t="n">
        <v>40</v>
      </c>
      <c r="M23" s="16">
        <f>IF(E23="","",E23-SUM(F23:L23))</f>
        <v/>
      </c>
      <c r="N23" s="15" t="inlineStr"/>
      <c r="O23" s="20">
        <f>IF(D23="","",MONTH(D23))</f>
        <v/>
      </c>
      <c r="P23" s="20">
        <f>IF(D23="","",YEAR(D23))</f>
        <v/>
      </c>
      <c r="Q23" s="20">
        <f>IF(D23="","",DAY(D23))</f>
        <v/>
      </c>
    </row>
    <row r="24">
      <c r="A24" s="15" t="inlineStr">
        <is>
          <t>Parent 1</t>
        </is>
      </c>
      <c r="B24" s="15" t="inlineStr">
        <is>
          <t>Salary</t>
        </is>
      </c>
      <c r="C24" s="15" t="inlineStr">
        <is>
          <t>Biweekly</t>
        </is>
      </c>
      <c r="D24" s="18" t="n">
        <v>46178</v>
      </c>
      <c r="E24" s="19" t="n">
        <v>2600</v>
      </c>
      <c r="F24" s="19" t="n">
        <v>210</v>
      </c>
      <c r="G24" s="19" t="n">
        <v>95</v>
      </c>
      <c r="H24" s="19" t="n">
        <v>161</v>
      </c>
      <c r="I24" s="19" t="n">
        <v>38</v>
      </c>
      <c r="J24" s="19" t="n">
        <v>260</v>
      </c>
      <c r="K24" s="19" t="n">
        <v>0</v>
      </c>
      <c r="L24" s="19" t="n">
        <v>60</v>
      </c>
      <c r="M24" s="16">
        <f>IF(E24="","",E24-SUM(F24:L24))</f>
        <v/>
      </c>
      <c r="N24" s="15" t="inlineStr"/>
      <c r="O24" s="20">
        <f>IF(D24="","",MONTH(D24))</f>
        <v/>
      </c>
      <c r="P24" s="20">
        <f>IF(D24="","",YEAR(D24))</f>
        <v/>
      </c>
      <c r="Q24" s="20">
        <f>IF(D24="","",DAY(D24))</f>
        <v/>
      </c>
    </row>
    <row r="25">
      <c r="A25" s="15" t="inlineStr">
        <is>
          <t>Parent 1</t>
        </is>
      </c>
      <c r="B25" s="15" t="inlineStr">
        <is>
          <t>Salary</t>
        </is>
      </c>
      <c r="C25" s="15" t="inlineStr">
        <is>
          <t>Biweekly</t>
        </is>
      </c>
      <c r="D25" s="18" t="n">
        <v>46192</v>
      </c>
      <c r="E25" s="19" t="n">
        <v>2600</v>
      </c>
      <c r="F25" s="19" t="n">
        <v>210</v>
      </c>
      <c r="G25" s="19" t="n">
        <v>95</v>
      </c>
      <c r="H25" s="19" t="n">
        <v>161</v>
      </c>
      <c r="I25" s="19" t="n">
        <v>38</v>
      </c>
      <c r="J25" s="19" t="n">
        <v>260</v>
      </c>
      <c r="K25" s="19" t="n">
        <v>0</v>
      </c>
      <c r="L25" s="19" t="n">
        <v>60</v>
      </c>
      <c r="M25" s="16">
        <f>IF(E25="","",E25-SUM(F25:L25))</f>
        <v/>
      </c>
      <c r="N25" s="15" t="inlineStr"/>
      <c r="O25" s="20">
        <f>IF(D25="","",MONTH(D25))</f>
        <v/>
      </c>
      <c r="P25" s="20">
        <f>IF(D25="","",YEAR(D25))</f>
        <v/>
      </c>
      <c r="Q25" s="20">
        <f>IF(D25="","",DAY(D25))</f>
        <v/>
      </c>
    </row>
    <row r="26">
      <c r="A26" s="15" t="inlineStr">
        <is>
          <t>Parent 2</t>
        </is>
      </c>
      <c r="B26" s="15" t="inlineStr">
        <is>
          <t>Salary</t>
        </is>
      </c>
      <c r="C26" s="15" t="inlineStr">
        <is>
          <t>Twice Monthly</t>
        </is>
      </c>
      <c r="D26" s="18" t="n">
        <v>46181</v>
      </c>
      <c r="E26" s="19" t="n">
        <v>1720</v>
      </c>
      <c r="F26" s="19" t="n">
        <v>140</v>
      </c>
      <c r="G26" s="19" t="n">
        <v>62</v>
      </c>
      <c r="H26" s="19" t="n">
        <v>107</v>
      </c>
      <c r="I26" s="19" t="n">
        <v>25</v>
      </c>
      <c r="J26" s="19" t="n">
        <v>170</v>
      </c>
      <c r="K26" s="19" t="n">
        <v>0</v>
      </c>
      <c r="L26" s="19" t="n">
        <v>40</v>
      </c>
      <c r="M26" s="16">
        <f>IF(E26="","",E26-SUM(F26:L26))</f>
        <v/>
      </c>
      <c r="N26" s="15" t="inlineStr"/>
      <c r="O26" s="20">
        <f>IF(D26="","",MONTH(D26))</f>
        <v/>
      </c>
      <c r="P26" s="20">
        <f>IF(D26="","",YEAR(D26))</f>
        <v/>
      </c>
      <c r="Q26" s="20">
        <f>IF(D26="","",DAY(D26))</f>
        <v/>
      </c>
    </row>
    <row r="27">
      <c r="A27" s="15" t="inlineStr">
        <is>
          <t>Parent 2</t>
        </is>
      </c>
      <c r="B27" s="15" t="inlineStr">
        <is>
          <t>Salary</t>
        </is>
      </c>
      <c r="C27" s="15" t="inlineStr">
        <is>
          <t>Twice Monthly</t>
        </is>
      </c>
      <c r="D27" s="18" t="n">
        <v>46196</v>
      </c>
      <c r="E27" s="19" t="n">
        <v>1720</v>
      </c>
      <c r="F27" s="19" t="n">
        <v>140</v>
      </c>
      <c r="G27" s="19" t="n">
        <v>62</v>
      </c>
      <c r="H27" s="19" t="n">
        <v>107</v>
      </c>
      <c r="I27" s="19" t="n">
        <v>25</v>
      </c>
      <c r="J27" s="19" t="n">
        <v>170</v>
      </c>
      <c r="K27" s="19" t="n">
        <v>0</v>
      </c>
      <c r="L27" s="19" t="n">
        <v>40</v>
      </c>
      <c r="M27" s="16">
        <f>IF(E27="","",E27-SUM(F27:L27))</f>
        <v/>
      </c>
      <c r="N27" s="15" t="inlineStr"/>
      <c r="O27" s="20">
        <f>IF(D27="","",MONTH(D27))</f>
        <v/>
      </c>
      <c r="P27" s="20">
        <f>IF(D27="","",YEAR(D27))</f>
        <v/>
      </c>
      <c r="Q27" s="20">
        <f>IF(D27="","",DAY(D27))</f>
        <v/>
      </c>
    </row>
    <row r="28">
      <c r="A28" s="15" t="inlineStr">
        <is>
          <t>Parent 1</t>
        </is>
      </c>
      <c r="B28" s="15" t="inlineStr">
        <is>
          <t>Salary</t>
        </is>
      </c>
      <c r="C28" s="15" t="inlineStr">
        <is>
          <t>Biweekly</t>
        </is>
      </c>
      <c r="D28" s="18" t="n">
        <v>46208</v>
      </c>
      <c r="E28" s="19" t="n">
        <v>2600</v>
      </c>
      <c r="F28" s="19" t="n">
        <v>210</v>
      </c>
      <c r="G28" s="19" t="n">
        <v>95</v>
      </c>
      <c r="H28" s="19" t="n">
        <v>161</v>
      </c>
      <c r="I28" s="19" t="n">
        <v>38</v>
      </c>
      <c r="J28" s="19" t="n">
        <v>260</v>
      </c>
      <c r="K28" s="19" t="n">
        <v>0</v>
      </c>
      <c r="L28" s="19" t="n">
        <v>60</v>
      </c>
      <c r="M28" s="16">
        <f>IF(E28="","",E28-SUM(F28:L28))</f>
        <v/>
      </c>
      <c r="N28" s="15" t="inlineStr"/>
      <c r="O28" s="20">
        <f>IF(D28="","",MONTH(D28))</f>
        <v/>
      </c>
      <c r="P28" s="20">
        <f>IF(D28="","",YEAR(D28))</f>
        <v/>
      </c>
      <c r="Q28" s="20">
        <f>IF(D28="","",DAY(D28))</f>
        <v/>
      </c>
    </row>
    <row r="29">
      <c r="A29" s="15" t="inlineStr">
        <is>
          <t>Parent 1</t>
        </is>
      </c>
      <c r="B29" s="15" t="inlineStr">
        <is>
          <t>Salary</t>
        </is>
      </c>
      <c r="C29" s="15" t="inlineStr">
        <is>
          <t>Biweekly</t>
        </is>
      </c>
      <c r="D29" s="18" t="n">
        <v>46222</v>
      </c>
      <c r="E29" s="19" t="n">
        <v>2600</v>
      </c>
      <c r="F29" s="19" t="n">
        <v>210</v>
      </c>
      <c r="G29" s="19" t="n">
        <v>95</v>
      </c>
      <c r="H29" s="19" t="n">
        <v>161</v>
      </c>
      <c r="I29" s="19" t="n">
        <v>38</v>
      </c>
      <c r="J29" s="19" t="n">
        <v>260</v>
      </c>
      <c r="K29" s="19" t="n">
        <v>0</v>
      </c>
      <c r="L29" s="19" t="n">
        <v>60</v>
      </c>
      <c r="M29" s="16">
        <f>IF(E29="","",E29-SUM(F29:L29))</f>
        <v/>
      </c>
      <c r="N29" s="15" t="inlineStr"/>
      <c r="O29" s="20">
        <f>IF(D29="","",MONTH(D29))</f>
        <v/>
      </c>
      <c r="P29" s="20">
        <f>IF(D29="","",YEAR(D29))</f>
        <v/>
      </c>
      <c r="Q29" s="20">
        <f>IF(D29="","",DAY(D29))</f>
        <v/>
      </c>
    </row>
    <row r="30">
      <c r="A30" s="15" t="inlineStr">
        <is>
          <t>Parent 2</t>
        </is>
      </c>
      <c r="B30" s="15" t="inlineStr">
        <is>
          <t>Salary</t>
        </is>
      </c>
      <c r="C30" s="15" t="inlineStr">
        <is>
          <t>Twice Monthly</t>
        </is>
      </c>
      <c r="D30" s="18" t="n">
        <v>46211</v>
      </c>
      <c r="E30" s="19" t="n">
        <v>1720</v>
      </c>
      <c r="F30" s="19" t="n">
        <v>140</v>
      </c>
      <c r="G30" s="19" t="n">
        <v>62</v>
      </c>
      <c r="H30" s="19" t="n">
        <v>107</v>
      </c>
      <c r="I30" s="19" t="n">
        <v>25</v>
      </c>
      <c r="J30" s="19" t="n">
        <v>170</v>
      </c>
      <c r="K30" s="19" t="n">
        <v>0</v>
      </c>
      <c r="L30" s="19" t="n">
        <v>40</v>
      </c>
      <c r="M30" s="16">
        <f>IF(E30="","",E30-SUM(F30:L30))</f>
        <v/>
      </c>
      <c r="N30" s="15" t="inlineStr"/>
      <c r="O30" s="20">
        <f>IF(D30="","",MONTH(D30))</f>
        <v/>
      </c>
      <c r="P30" s="20">
        <f>IF(D30="","",YEAR(D30))</f>
        <v/>
      </c>
      <c r="Q30" s="20">
        <f>IF(D30="","",DAY(D30))</f>
        <v/>
      </c>
    </row>
    <row r="31">
      <c r="A31" s="15" t="inlineStr">
        <is>
          <t>Parent 2</t>
        </is>
      </c>
      <c r="B31" s="15" t="inlineStr">
        <is>
          <t>Salary</t>
        </is>
      </c>
      <c r="C31" s="15" t="inlineStr">
        <is>
          <t>Twice Monthly</t>
        </is>
      </c>
      <c r="D31" s="18" t="n">
        <v>46226</v>
      </c>
      <c r="E31" s="19" t="n">
        <v>1720</v>
      </c>
      <c r="F31" s="19" t="n">
        <v>140</v>
      </c>
      <c r="G31" s="19" t="n">
        <v>62</v>
      </c>
      <c r="H31" s="19" t="n">
        <v>107</v>
      </c>
      <c r="I31" s="19" t="n">
        <v>25</v>
      </c>
      <c r="J31" s="19" t="n">
        <v>170</v>
      </c>
      <c r="K31" s="19" t="n">
        <v>0</v>
      </c>
      <c r="L31" s="19" t="n">
        <v>40</v>
      </c>
      <c r="M31" s="16">
        <f>IF(E31="","",E31-SUM(F31:L31))</f>
        <v/>
      </c>
      <c r="N31" s="15" t="inlineStr"/>
      <c r="O31" s="20">
        <f>IF(D31="","",MONTH(D31))</f>
        <v/>
      </c>
      <c r="P31" s="20">
        <f>IF(D31="","",YEAR(D31))</f>
        <v/>
      </c>
      <c r="Q31" s="20">
        <f>IF(D31="","",DAY(D31))</f>
        <v/>
      </c>
    </row>
    <row r="32">
      <c r="A32" s="15" t="inlineStr">
        <is>
          <t>Parent 1</t>
        </is>
      </c>
      <c r="B32" s="15" t="inlineStr">
        <is>
          <t>Freelance/Side Hustle</t>
        </is>
      </c>
      <c r="C32" s="15" t="inlineStr">
        <is>
          <t>Irregular</t>
        </is>
      </c>
      <c r="D32" s="18" t="n">
        <v>46223</v>
      </c>
      <c r="E32" s="19" t="n">
        <v>650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6">
        <f>IF(E32="","",E32-SUM(F32:L32))</f>
        <v/>
      </c>
      <c r="N32" s="15" t="inlineStr"/>
      <c r="O32" s="20">
        <f>IF(D32="","",MONTH(D32))</f>
        <v/>
      </c>
      <c r="P32" s="20">
        <f>IF(D32="","",YEAR(D32))</f>
        <v/>
      </c>
      <c r="Q32" s="20">
        <f>IF(D32="","",DAY(D32))</f>
        <v/>
      </c>
    </row>
    <row r="33">
      <c r="A33" s="15" t="inlineStr">
        <is>
          <t>Parent 1</t>
        </is>
      </c>
      <c r="B33" s="15" t="inlineStr">
        <is>
          <t>Salary</t>
        </is>
      </c>
      <c r="C33" s="15" t="inlineStr">
        <is>
          <t>Biweekly</t>
        </is>
      </c>
      <c r="D33" s="18" t="n">
        <v>46239</v>
      </c>
      <c r="E33" s="19" t="n">
        <v>2600</v>
      </c>
      <c r="F33" s="19" t="n">
        <v>210</v>
      </c>
      <c r="G33" s="19" t="n">
        <v>95</v>
      </c>
      <c r="H33" s="19" t="n">
        <v>161</v>
      </c>
      <c r="I33" s="19" t="n">
        <v>38</v>
      </c>
      <c r="J33" s="19" t="n">
        <v>260</v>
      </c>
      <c r="K33" s="19" t="n">
        <v>0</v>
      </c>
      <c r="L33" s="19" t="n">
        <v>60</v>
      </c>
      <c r="M33" s="16">
        <f>IF(E33="","",E33-SUM(F33:L33))</f>
        <v/>
      </c>
      <c r="N33" s="15" t="inlineStr"/>
      <c r="O33" s="20">
        <f>IF(D33="","",MONTH(D33))</f>
        <v/>
      </c>
      <c r="P33" s="20">
        <f>IF(D33="","",YEAR(D33))</f>
        <v/>
      </c>
      <c r="Q33" s="20">
        <f>IF(D33="","",DAY(D33))</f>
        <v/>
      </c>
    </row>
    <row r="34">
      <c r="A34" s="15" t="inlineStr">
        <is>
          <t>Parent 1</t>
        </is>
      </c>
      <c r="B34" s="15" t="inlineStr">
        <is>
          <t>Salary</t>
        </is>
      </c>
      <c r="C34" s="15" t="inlineStr">
        <is>
          <t>Biweekly</t>
        </is>
      </c>
      <c r="D34" s="18" t="n">
        <v>46253</v>
      </c>
      <c r="E34" s="19" t="n">
        <v>2600</v>
      </c>
      <c r="F34" s="19" t="n">
        <v>210</v>
      </c>
      <c r="G34" s="19" t="n">
        <v>95</v>
      </c>
      <c r="H34" s="19" t="n">
        <v>161</v>
      </c>
      <c r="I34" s="19" t="n">
        <v>38</v>
      </c>
      <c r="J34" s="19" t="n">
        <v>260</v>
      </c>
      <c r="K34" s="19" t="n">
        <v>0</v>
      </c>
      <c r="L34" s="19" t="n">
        <v>60</v>
      </c>
      <c r="M34" s="16">
        <f>IF(E34="","",E34-SUM(F34:L34))</f>
        <v/>
      </c>
      <c r="N34" s="15" t="inlineStr"/>
      <c r="O34" s="20">
        <f>IF(D34="","",MONTH(D34))</f>
        <v/>
      </c>
      <c r="P34" s="20">
        <f>IF(D34="","",YEAR(D34))</f>
        <v/>
      </c>
      <c r="Q34" s="20">
        <f>IF(D34="","",DAY(D34))</f>
        <v/>
      </c>
    </row>
    <row r="35">
      <c r="A35" s="15" t="inlineStr">
        <is>
          <t>Parent 2</t>
        </is>
      </c>
      <c r="B35" s="15" t="inlineStr">
        <is>
          <t>Salary</t>
        </is>
      </c>
      <c r="C35" s="15" t="inlineStr">
        <is>
          <t>Twice Monthly</t>
        </is>
      </c>
      <c r="D35" s="18" t="n">
        <v>46242</v>
      </c>
      <c r="E35" s="19" t="n">
        <v>1720</v>
      </c>
      <c r="F35" s="19" t="n">
        <v>140</v>
      </c>
      <c r="G35" s="19" t="n">
        <v>62</v>
      </c>
      <c r="H35" s="19" t="n">
        <v>107</v>
      </c>
      <c r="I35" s="19" t="n">
        <v>25</v>
      </c>
      <c r="J35" s="19" t="n">
        <v>170</v>
      </c>
      <c r="K35" s="19" t="n">
        <v>0</v>
      </c>
      <c r="L35" s="19" t="n">
        <v>40</v>
      </c>
      <c r="M35" s="16">
        <f>IF(E35="","",E35-SUM(F35:L35))</f>
        <v/>
      </c>
      <c r="N35" s="15" t="inlineStr"/>
      <c r="O35" s="20">
        <f>IF(D35="","",MONTH(D35))</f>
        <v/>
      </c>
      <c r="P35" s="20">
        <f>IF(D35="","",YEAR(D35))</f>
        <v/>
      </c>
      <c r="Q35" s="20">
        <f>IF(D35="","",DAY(D35))</f>
        <v/>
      </c>
    </row>
    <row r="36">
      <c r="A36" s="15" t="inlineStr">
        <is>
          <t>Parent 2</t>
        </is>
      </c>
      <c r="B36" s="15" t="inlineStr">
        <is>
          <t>Salary</t>
        </is>
      </c>
      <c r="C36" s="15" t="inlineStr">
        <is>
          <t>Twice Monthly</t>
        </is>
      </c>
      <c r="D36" s="18" t="n">
        <v>46257</v>
      </c>
      <c r="E36" s="19" t="n">
        <v>1720</v>
      </c>
      <c r="F36" s="19" t="n">
        <v>140</v>
      </c>
      <c r="G36" s="19" t="n">
        <v>62</v>
      </c>
      <c r="H36" s="19" t="n">
        <v>107</v>
      </c>
      <c r="I36" s="19" t="n">
        <v>25</v>
      </c>
      <c r="J36" s="19" t="n">
        <v>170</v>
      </c>
      <c r="K36" s="19" t="n">
        <v>0</v>
      </c>
      <c r="L36" s="19" t="n">
        <v>40</v>
      </c>
      <c r="M36" s="16">
        <f>IF(E36="","",E36-SUM(F36:L36))</f>
        <v/>
      </c>
      <c r="N36" s="15" t="inlineStr"/>
      <c r="O36" s="20">
        <f>IF(D36="","",MONTH(D36))</f>
        <v/>
      </c>
      <c r="P36" s="20">
        <f>IF(D36="","",YEAR(D36))</f>
        <v/>
      </c>
      <c r="Q36" s="20">
        <f>IF(D36="","",DAY(D36))</f>
        <v/>
      </c>
    </row>
    <row r="37">
      <c r="A37" s="15" t="inlineStr">
        <is>
          <t>Parent 1</t>
        </is>
      </c>
      <c r="B37" s="15" t="inlineStr">
        <is>
          <t>Freelance/Side Hustle</t>
        </is>
      </c>
      <c r="C37" s="15" t="inlineStr">
        <is>
          <t>Irregular</t>
        </is>
      </c>
      <c r="D37" s="18" t="n">
        <v>46254</v>
      </c>
      <c r="E37" s="19" t="n">
        <v>650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6">
        <f>IF(E37="","",E37-SUM(F37:L37))</f>
        <v/>
      </c>
      <c r="N37" s="15" t="inlineStr"/>
      <c r="O37" s="20">
        <f>IF(D37="","",MONTH(D37))</f>
        <v/>
      </c>
      <c r="P37" s="20">
        <f>IF(D37="","",YEAR(D37))</f>
        <v/>
      </c>
      <c r="Q37" s="20">
        <f>IF(D37="","",DAY(D37))</f>
        <v/>
      </c>
    </row>
    <row r="38">
      <c r="A38" s="15" t="n"/>
      <c r="B38" s="15" t="n"/>
      <c r="C38" s="15" t="n"/>
      <c r="D38" s="15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6">
        <f>IF(E38="","",E38-SUM(F38:L38))</f>
        <v/>
      </c>
      <c r="N38" s="21" t="n"/>
      <c r="O38" s="20">
        <f>IF(D38="","",MONTH(D38))</f>
        <v/>
      </c>
      <c r="P38" s="20">
        <f>IF(D38="","",YEAR(D38))</f>
        <v/>
      </c>
      <c r="Q38" s="20">
        <f>IF(D38="","",DAY(D38))</f>
        <v/>
      </c>
    </row>
    <row r="39">
      <c r="A39" s="15" t="n"/>
      <c r="B39" s="15" t="n"/>
      <c r="C39" s="15" t="n"/>
      <c r="D39" s="15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6">
        <f>IF(E39="","",E39-SUM(F39:L39))</f>
        <v/>
      </c>
      <c r="N39" s="21" t="n"/>
      <c r="O39" s="20">
        <f>IF(D39="","",MONTH(D39))</f>
        <v/>
      </c>
      <c r="P39" s="20">
        <f>IF(D39="","",YEAR(D39))</f>
        <v/>
      </c>
      <c r="Q39" s="20">
        <f>IF(D39="","",DAY(D39))</f>
        <v/>
      </c>
    </row>
    <row r="40">
      <c r="A40" s="15" t="n"/>
      <c r="B40" s="15" t="n"/>
      <c r="C40" s="15" t="n"/>
      <c r="D40" s="15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6">
        <f>IF(E40="","",E40-SUM(F40:L40))</f>
        <v/>
      </c>
      <c r="N40" s="21" t="n"/>
      <c r="O40" s="20">
        <f>IF(D40="","",MONTH(D40))</f>
        <v/>
      </c>
      <c r="P40" s="20">
        <f>IF(D40="","",YEAR(D40))</f>
        <v/>
      </c>
      <c r="Q40" s="20">
        <f>IF(D40="","",DAY(D40))</f>
        <v/>
      </c>
    </row>
    <row r="41">
      <c r="A41" s="15" t="n"/>
      <c r="B41" s="15" t="n"/>
      <c r="C41" s="15" t="n"/>
      <c r="D41" s="15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6">
        <f>IF(E41="","",E41-SUM(F41:L41))</f>
        <v/>
      </c>
      <c r="N41" s="21" t="n"/>
      <c r="O41" s="20">
        <f>IF(D41="","",MONTH(D41))</f>
        <v/>
      </c>
      <c r="P41" s="20">
        <f>IF(D41="","",YEAR(D41))</f>
        <v/>
      </c>
      <c r="Q41" s="20">
        <f>IF(D41="","",DAY(D41))</f>
        <v/>
      </c>
    </row>
    <row r="42">
      <c r="A42" s="15" t="n"/>
      <c r="B42" s="15" t="n"/>
      <c r="C42" s="15" t="n"/>
      <c r="D42" s="15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6">
        <f>IF(E42="","",E42-SUM(F42:L42))</f>
        <v/>
      </c>
      <c r="N42" s="21" t="n"/>
      <c r="O42" s="20">
        <f>IF(D42="","",MONTH(D42))</f>
        <v/>
      </c>
      <c r="P42" s="20">
        <f>IF(D42="","",YEAR(D42))</f>
        <v/>
      </c>
      <c r="Q42" s="20">
        <f>IF(D42="","",DAY(D42))</f>
        <v/>
      </c>
    </row>
    <row r="43">
      <c r="A43" s="15" t="n"/>
      <c r="B43" s="15" t="n"/>
      <c r="C43" s="15" t="n"/>
      <c r="D43" s="15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6">
        <f>IF(E43="","",E43-SUM(F43:L43))</f>
        <v/>
      </c>
      <c r="N43" s="21" t="n"/>
      <c r="O43" s="20">
        <f>IF(D43="","",MONTH(D43))</f>
        <v/>
      </c>
      <c r="P43" s="20">
        <f>IF(D43="","",YEAR(D43))</f>
        <v/>
      </c>
      <c r="Q43" s="20">
        <f>IF(D43="","",DAY(D43))</f>
        <v/>
      </c>
    </row>
    <row r="44">
      <c r="A44" s="15" t="n"/>
      <c r="B44" s="15" t="n"/>
      <c r="C44" s="15" t="n"/>
      <c r="D44" s="15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6">
        <f>IF(E44="","",E44-SUM(F44:L44))</f>
        <v/>
      </c>
      <c r="N44" s="21" t="n"/>
      <c r="O44" s="20">
        <f>IF(D44="","",MONTH(D44))</f>
        <v/>
      </c>
      <c r="P44" s="20">
        <f>IF(D44="","",YEAR(D44))</f>
        <v/>
      </c>
      <c r="Q44" s="20">
        <f>IF(D44="","",DAY(D44))</f>
        <v/>
      </c>
    </row>
    <row r="45">
      <c r="A45" s="15" t="n"/>
      <c r="B45" s="15" t="n"/>
      <c r="C45" s="15" t="n"/>
      <c r="D45" s="1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6">
        <f>IF(E45="","",E45-SUM(F45:L45))</f>
        <v/>
      </c>
      <c r="N45" s="21" t="n"/>
      <c r="O45" s="20">
        <f>IF(D45="","",MONTH(D45))</f>
        <v/>
      </c>
      <c r="P45" s="20">
        <f>IF(D45="","",YEAR(D45))</f>
        <v/>
      </c>
      <c r="Q45" s="20">
        <f>IF(D45="","",DAY(D45))</f>
        <v/>
      </c>
    </row>
    <row r="46">
      <c r="A46" s="15" t="n"/>
      <c r="B46" s="15" t="n"/>
      <c r="C46" s="15" t="n"/>
      <c r="D46" s="1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6">
        <f>IF(E46="","",E46-SUM(F46:L46))</f>
        <v/>
      </c>
      <c r="N46" s="21" t="n"/>
      <c r="O46" s="20">
        <f>IF(D46="","",MONTH(D46))</f>
        <v/>
      </c>
      <c r="P46" s="20">
        <f>IF(D46="","",YEAR(D46))</f>
        <v/>
      </c>
      <c r="Q46" s="20">
        <f>IF(D46="","",DAY(D46))</f>
        <v/>
      </c>
    </row>
    <row r="47">
      <c r="A47" s="15" t="n"/>
      <c r="B47" s="15" t="n"/>
      <c r="C47" s="15" t="n"/>
      <c r="D47" s="1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6">
        <f>IF(E47="","",E47-SUM(F47:L47))</f>
        <v/>
      </c>
      <c r="N47" s="21" t="n"/>
      <c r="O47" s="20">
        <f>IF(D47="","",MONTH(D47))</f>
        <v/>
      </c>
      <c r="P47" s="20">
        <f>IF(D47="","",YEAR(D47))</f>
        <v/>
      </c>
      <c r="Q47" s="20">
        <f>IF(D47="","",DAY(D47))</f>
        <v/>
      </c>
    </row>
    <row r="48">
      <c r="A48" s="15" t="n"/>
      <c r="B48" s="15" t="n"/>
      <c r="C48" s="15" t="n"/>
      <c r="D48" s="15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6">
        <f>IF(E48="","",E48-SUM(F48:L48))</f>
        <v/>
      </c>
      <c r="N48" s="21" t="n"/>
      <c r="O48" s="20">
        <f>IF(D48="","",MONTH(D48))</f>
        <v/>
      </c>
      <c r="P48" s="20">
        <f>IF(D48="","",YEAR(D48))</f>
        <v/>
      </c>
      <c r="Q48" s="20">
        <f>IF(D48="","",DAY(D48))</f>
        <v/>
      </c>
    </row>
    <row r="49">
      <c r="A49" s="15" t="n"/>
      <c r="B49" s="15" t="n"/>
      <c r="C49" s="15" t="n"/>
      <c r="D49" s="15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6">
        <f>IF(E49="","",E49-SUM(F49:L49))</f>
        <v/>
      </c>
      <c r="N49" s="21" t="n"/>
      <c r="O49" s="20">
        <f>IF(D49="","",MONTH(D49))</f>
        <v/>
      </c>
      <c r="P49" s="20">
        <f>IF(D49="","",YEAR(D49))</f>
        <v/>
      </c>
      <c r="Q49" s="20">
        <f>IF(D49="","",DAY(D49))</f>
        <v/>
      </c>
    </row>
    <row r="50">
      <c r="A50" s="15" t="n"/>
      <c r="B50" s="15" t="n"/>
      <c r="C50" s="15" t="n"/>
      <c r="D50" s="15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6">
        <f>IF(E50="","",E50-SUM(F50:L50))</f>
        <v/>
      </c>
      <c r="N50" s="21" t="n"/>
      <c r="O50" s="20">
        <f>IF(D50="","",MONTH(D50))</f>
        <v/>
      </c>
      <c r="P50" s="20">
        <f>IF(D50="","",YEAR(D50))</f>
        <v/>
      </c>
      <c r="Q50" s="20">
        <f>IF(D50="","",DAY(D50))</f>
        <v/>
      </c>
    </row>
    <row r="51">
      <c r="A51" s="15" t="n"/>
      <c r="B51" s="15" t="n"/>
      <c r="C51" s="15" t="n"/>
      <c r="D51" s="15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6">
        <f>IF(E51="","",E51-SUM(F51:L51))</f>
        <v/>
      </c>
      <c r="N51" s="21" t="n"/>
      <c r="O51" s="20">
        <f>IF(D51="","",MONTH(D51))</f>
        <v/>
      </c>
      <c r="P51" s="20">
        <f>IF(D51="","",YEAR(D51))</f>
        <v/>
      </c>
      <c r="Q51" s="20">
        <f>IF(D51="","",DAY(D51))</f>
        <v/>
      </c>
    </row>
    <row r="52">
      <c r="A52" s="15" t="n"/>
      <c r="B52" s="15" t="n"/>
      <c r="C52" s="15" t="n"/>
      <c r="D52" s="15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6">
        <f>IF(E52="","",E52-SUM(F52:L52))</f>
        <v/>
      </c>
      <c r="N52" s="21" t="n"/>
      <c r="O52" s="20">
        <f>IF(D52="","",MONTH(D52))</f>
        <v/>
      </c>
      <c r="P52" s="20">
        <f>IF(D52="","",YEAR(D52))</f>
        <v/>
      </c>
      <c r="Q52" s="20">
        <f>IF(D52="","",DAY(D52))</f>
        <v/>
      </c>
    </row>
    <row r="53">
      <c r="A53" s="15" t="n"/>
      <c r="B53" s="15" t="n"/>
      <c r="C53" s="15" t="n"/>
      <c r="D53" s="1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6">
        <f>IF(E53="","",E53-SUM(F53:L53))</f>
        <v/>
      </c>
      <c r="N53" s="21" t="n"/>
      <c r="O53" s="20">
        <f>IF(D53="","",MONTH(D53))</f>
        <v/>
      </c>
      <c r="P53" s="20">
        <f>IF(D53="","",YEAR(D53))</f>
        <v/>
      </c>
      <c r="Q53" s="20">
        <f>IF(D53="","",DAY(D53))</f>
        <v/>
      </c>
    </row>
    <row r="54">
      <c r="A54" s="15" t="n"/>
      <c r="B54" s="15" t="n"/>
      <c r="C54" s="15" t="n"/>
      <c r="D54" s="15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6">
        <f>IF(E54="","",E54-SUM(F54:L54))</f>
        <v/>
      </c>
      <c r="N54" s="21" t="n"/>
      <c r="O54" s="20">
        <f>IF(D54="","",MONTH(D54))</f>
        <v/>
      </c>
      <c r="P54" s="20">
        <f>IF(D54="","",YEAR(D54))</f>
        <v/>
      </c>
      <c r="Q54" s="20">
        <f>IF(D54="","",DAY(D54))</f>
        <v/>
      </c>
    </row>
    <row r="55">
      <c r="A55" s="15" t="n"/>
      <c r="B55" s="15" t="n"/>
      <c r="C55" s="15" t="n"/>
      <c r="D55" s="15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6">
        <f>IF(E55="","",E55-SUM(F55:L55))</f>
        <v/>
      </c>
      <c r="N55" s="21" t="n"/>
      <c r="O55" s="20">
        <f>IF(D55="","",MONTH(D55))</f>
        <v/>
      </c>
      <c r="P55" s="20">
        <f>IF(D55="","",YEAR(D55))</f>
        <v/>
      </c>
      <c r="Q55" s="20">
        <f>IF(D55="","",DAY(D55))</f>
        <v/>
      </c>
    </row>
    <row r="56">
      <c r="A56" s="15" t="n"/>
      <c r="B56" s="15" t="n"/>
      <c r="C56" s="15" t="n"/>
      <c r="D56" s="1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6">
        <f>IF(E56="","",E56-SUM(F56:L56))</f>
        <v/>
      </c>
      <c r="N56" s="21" t="n"/>
      <c r="O56" s="20">
        <f>IF(D56="","",MONTH(D56))</f>
        <v/>
      </c>
      <c r="P56" s="20">
        <f>IF(D56="","",YEAR(D56))</f>
        <v/>
      </c>
      <c r="Q56" s="20">
        <f>IF(D56="","",DAY(D56))</f>
        <v/>
      </c>
    </row>
    <row r="57">
      <c r="A57" s="15" t="n"/>
      <c r="B57" s="15" t="n"/>
      <c r="C57" s="15" t="n"/>
      <c r="D57" s="1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6">
        <f>IF(E57="","",E57-SUM(F57:L57))</f>
        <v/>
      </c>
      <c r="N57" s="21" t="n"/>
      <c r="O57" s="20">
        <f>IF(D57="","",MONTH(D57))</f>
        <v/>
      </c>
      <c r="P57" s="20">
        <f>IF(D57="","",YEAR(D57))</f>
        <v/>
      </c>
      <c r="Q57" s="20">
        <f>IF(D57="","",DAY(D57))</f>
        <v/>
      </c>
    </row>
    <row r="58">
      <c r="A58" s="15" t="n"/>
      <c r="B58" s="15" t="n"/>
      <c r="C58" s="15" t="n"/>
      <c r="D58" s="15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6">
        <f>IF(E58="","",E58-SUM(F58:L58))</f>
        <v/>
      </c>
      <c r="N58" s="21" t="n"/>
      <c r="O58" s="20">
        <f>IF(D58="","",MONTH(D58))</f>
        <v/>
      </c>
      <c r="P58" s="20">
        <f>IF(D58="","",YEAR(D58))</f>
        <v/>
      </c>
      <c r="Q58" s="20">
        <f>IF(D58="","",DAY(D58))</f>
        <v/>
      </c>
    </row>
    <row r="59">
      <c r="A59" s="15" t="n"/>
      <c r="B59" s="15" t="n"/>
      <c r="C59" s="15" t="n"/>
      <c r="D59" s="15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6">
        <f>IF(E59="","",E59-SUM(F59:L59))</f>
        <v/>
      </c>
      <c r="N59" s="21" t="n"/>
      <c r="O59" s="20">
        <f>IF(D59="","",MONTH(D59))</f>
        <v/>
      </c>
      <c r="P59" s="20">
        <f>IF(D59="","",YEAR(D59))</f>
        <v/>
      </c>
      <c r="Q59" s="20">
        <f>IF(D59="","",DAY(D59))</f>
        <v/>
      </c>
    </row>
    <row r="60">
      <c r="A60" s="15" t="n"/>
      <c r="B60" s="15" t="n"/>
      <c r="C60" s="15" t="n"/>
      <c r="D60" s="15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6">
        <f>IF(E60="","",E60-SUM(F60:L60))</f>
        <v/>
      </c>
      <c r="N60" s="21" t="n"/>
      <c r="O60" s="20">
        <f>IF(D60="","",MONTH(D60))</f>
        <v/>
      </c>
      <c r="P60" s="20">
        <f>IF(D60="","",YEAR(D60))</f>
        <v/>
      </c>
      <c r="Q60" s="20">
        <f>IF(D60="","",DAY(D60))</f>
        <v/>
      </c>
    </row>
    <row r="61">
      <c r="A61" s="15" t="n"/>
      <c r="B61" s="15" t="n"/>
      <c r="C61" s="15" t="n"/>
      <c r="D61" s="15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6">
        <f>IF(E61="","",E61-SUM(F61:L61))</f>
        <v/>
      </c>
      <c r="N61" s="21" t="n"/>
      <c r="O61" s="20">
        <f>IF(D61="","",MONTH(D61))</f>
        <v/>
      </c>
      <c r="P61" s="20">
        <f>IF(D61="","",YEAR(D61))</f>
        <v/>
      </c>
      <c r="Q61" s="20">
        <f>IF(D61="","",DAY(D61))</f>
        <v/>
      </c>
    </row>
    <row r="62">
      <c r="A62" s="15" t="n"/>
      <c r="B62" s="15" t="n"/>
      <c r="C62" s="15" t="n"/>
      <c r="D62" s="15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6">
        <f>IF(E62="","",E62-SUM(F62:L62))</f>
        <v/>
      </c>
      <c r="N62" s="21" t="n"/>
      <c r="O62" s="20">
        <f>IF(D62="","",MONTH(D62))</f>
        <v/>
      </c>
      <c r="P62" s="20">
        <f>IF(D62="","",YEAR(D62))</f>
        <v/>
      </c>
      <c r="Q62" s="20">
        <f>IF(D62="","",DAY(D62))</f>
        <v/>
      </c>
    </row>
    <row r="63">
      <c r="A63" s="15" t="n"/>
      <c r="B63" s="15" t="n"/>
      <c r="C63" s="15" t="n"/>
      <c r="D63" s="15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6">
        <f>IF(E63="","",E63-SUM(F63:L63))</f>
        <v/>
      </c>
      <c r="N63" s="21" t="n"/>
      <c r="O63" s="20">
        <f>IF(D63="","",MONTH(D63))</f>
        <v/>
      </c>
      <c r="P63" s="20">
        <f>IF(D63="","",YEAR(D63))</f>
        <v/>
      </c>
      <c r="Q63" s="20">
        <f>IF(D63="","",DAY(D63))</f>
        <v/>
      </c>
    </row>
    <row r="64">
      <c r="A64" s="15" t="n"/>
      <c r="B64" s="15" t="n"/>
      <c r="C64" s="15" t="n"/>
      <c r="D64" s="15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6">
        <f>IF(E64="","",E64-SUM(F64:L64))</f>
        <v/>
      </c>
      <c r="N64" s="21" t="n"/>
      <c r="O64" s="20">
        <f>IF(D64="","",MONTH(D64))</f>
        <v/>
      </c>
      <c r="P64" s="20">
        <f>IF(D64="","",YEAR(D64))</f>
        <v/>
      </c>
      <c r="Q64" s="20">
        <f>IF(D64="","",DAY(D64))</f>
        <v/>
      </c>
    </row>
    <row r="65">
      <c r="A65" s="15" t="n"/>
      <c r="B65" s="15" t="n"/>
      <c r="C65" s="15" t="n"/>
      <c r="D65" s="15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6">
        <f>IF(E65="","",E65-SUM(F65:L65))</f>
        <v/>
      </c>
      <c r="N65" s="21" t="n"/>
      <c r="O65" s="20">
        <f>IF(D65="","",MONTH(D65))</f>
        <v/>
      </c>
      <c r="P65" s="20">
        <f>IF(D65="","",YEAR(D65))</f>
        <v/>
      </c>
      <c r="Q65" s="20">
        <f>IF(D65="","",DAY(D65))</f>
        <v/>
      </c>
    </row>
    <row r="66">
      <c r="A66" s="15" t="n"/>
      <c r="B66" s="15" t="n"/>
      <c r="C66" s="15" t="n"/>
      <c r="D66" s="15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6">
        <f>IF(E66="","",E66-SUM(F66:L66))</f>
        <v/>
      </c>
      <c r="N66" s="21" t="n"/>
      <c r="O66" s="20">
        <f>IF(D66="","",MONTH(D66))</f>
        <v/>
      </c>
      <c r="P66" s="20">
        <f>IF(D66="","",YEAR(D66))</f>
        <v/>
      </c>
      <c r="Q66" s="20">
        <f>IF(D66="","",DAY(D66))</f>
        <v/>
      </c>
    </row>
    <row r="67">
      <c r="A67" s="15" t="n"/>
      <c r="B67" s="15" t="n"/>
      <c r="C67" s="15" t="n"/>
      <c r="D67" s="15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6">
        <f>IF(E67="","",E67-SUM(F67:L67))</f>
        <v/>
      </c>
      <c r="N67" s="21" t="n"/>
      <c r="O67" s="20">
        <f>IF(D67="","",MONTH(D67))</f>
        <v/>
      </c>
      <c r="P67" s="20">
        <f>IF(D67="","",YEAR(D67))</f>
        <v/>
      </c>
      <c r="Q67" s="20">
        <f>IF(D67="","",DAY(D67))</f>
        <v/>
      </c>
    </row>
    <row r="68">
      <c r="A68" s="15" t="n"/>
      <c r="B68" s="15" t="n"/>
      <c r="C68" s="15" t="n"/>
      <c r="D68" s="15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6">
        <f>IF(E68="","",E68-SUM(F68:L68))</f>
        <v/>
      </c>
      <c r="N68" s="21" t="n"/>
      <c r="O68" s="20">
        <f>IF(D68="","",MONTH(D68))</f>
        <v/>
      </c>
      <c r="P68" s="20">
        <f>IF(D68="","",YEAR(D68))</f>
        <v/>
      </c>
      <c r="Q68" s="20">
        <f>IF(D68="","",DAY(D68))</f>
        <v/>
      </c>
    </row>
    <row r="69">
      <c r="A69" s="15" t="n"/>
      <c r="B69" s="15" t="n"/>
      <c r="C69" s="15" t="n"/>
      <c r="D69" s="15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6">
        <f>IF(E69="","",E69-SUM(F69:L69))</f>
        <v/>
      </c>
      <c r="N69" s="21" t="n"/>
      <c r="O69" s="20">
        <f>IF(D69="","",MONTH(D69))</f>
        <v/>
      </c>
      <c r="P69" s="20">
        <f>IF(D69="","",YEAR(D69))</f>
        <v/>
      </c>
      <c r="Q69" s="20">
        <f>IF(D69="","",DAY(D69))</f>
        <v/>
      </c>
    </row>
    <row r="70">
      <c r="A70" s="15" t="n"/>
      <c r="B70" s="15" t="n"/>
      <c r="C70" s="15" t="n"/>
      <c r="D70" s="15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6">
        <f>IF(E70="","",E70-SUM(F70:L70))</f>
        <v/>
      </c>
      <c r="N70" s="21" t="n"/>
      <c r="O70" s="20">
        <f>IF(D70="","",MONTH(D70))</f>
        <v/>
      </c>
      <c r="P70" s="20">
        <f>IF(D70="","",YEAR(D70))</f>
        <v/>
      </c>
      <c r="Q70" s="20">
        <f>IF(D70="","",DAY(D70))</f>
        <v/>
      </c>
    </row>
    <row r="71">
      <c r="A71" s="15" t="n"/>
      <c r="B71" s="15" t="n"/>
      <c r="C71" s="15" t="n"/>
      <c r="D71" s="15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6">
        <f>IF(E71="","",E71-SUM(F71:L71))</f>
        <v/>
      </c>
      <c r="N71" s="21" t="n"/>
      <c r="O71" s="20">
        <f>IF(D71="","",MONTH(D71))</f>
        <v/>
      </c>
      <c r="P71" s="20">
        <f>IF(D71="","",YEAR(D71))</f>
        <v/>
      </c>
      <c r="Q71" s="20">
        <f>IF(D71="","",DAY(D71))</f>
        <v/>
      </c>
    </row>
    <row r="72">
      <c r="A72" s="15" t="n"/>
      <c r="B72" s="15" t="n"/>
      <c r="C72" s="15" t="n"/>
      <c r="D72" s="15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6">
        <f>IF(E72="","",E72-SUM(F72:L72))</f>
        <v/>
      </c>
      <c r="N72" s="21" t="n"/>
      <c r="O72" s="20">
        <f>IF(D72="","",MONTH(D72))</f>
        <v/>
      </c>
      <c r="P72" s="20">
        <f>IF(D72="","",YEAR(D72))</f>
        <v/>
      </c>
      <c r="Q72" s="20">
        <f>IF(D72="","",DAY(D72))</f>
        <v/>
      </c>
    </row>
    <row r="73">
      <c r="A73" s="15" t="n"/>
      <c r="B73" s="15" t="n"/>
      <c r="C73" s="15" t="n"/>
      <c r="D73" s="15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6">
        <f>IF(E73="","",E73-SUM(F73:L73))</f>
        <v/>
      </c>
      <c r="N73" s="21" t="n"/>
      <c r="O73" s="20">
        <f>IF(D73="","",MONTH(D73))</f>
        <v/>
      </c>
      <c r="P73" s="20">
        <f>IF(D73="","",YEAR(D73))</f>
        <v/>
      </c>
      <c r="Q73" s="20">
        <f>IF(D73="","",DAY(D73))</f>
        <v/>
      </c>
    </row>
    <row r="74">
      <c r="A74" s="15" t="n"/>
      <c r="B74" s="15" t="n"/>
      <c r="C74" s="15" t="n"/>
      <c r="D74" s="15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6">
        <f>IF(E74="","",E74-SUM(F74:L74))</f>
        <v/>
      </c>
      <c r="N74" s="21" t="n"/>
      <c r="O74" s="20">
        <f>IF(D74="","",MONTH(D74))</f>
        <v/>
      </c>
      <c r="P74" s="20">
        <f>IF(D74="","",YEAR(D74))</f>
        <v/>
      </c>
      <c r="Q74" s="20">
        <f>IF(D74="","",DAY(D74))</f>
        <v/>
      </c>
    </row>
    <row r="75">
      <c r="A75" s="15" t="n"/>
      <c r="B75" s="15" t="n"/>
      <c r="C75" s="15" t="n"/>
      <c r="D75" s="15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6">
        <f>IF(E75="","",E75-SUM(F75:L75))</f>
        <v/>
      </c>
      <c r="N75" s="21" t="n"/>
      <c r="O75" s="20">
        <f>IF(D75="","",MONTH(D75))</f>
        <v/>
      </c>
      <c r="P75" s="20">
        <f>IF(D75="","",YEAR(D75))</f>
        <v/>
      </c>
      <c r="Q75" s="20">
        <f>IF(D75="","",DAY(D75))</f>
        <v/>
      </c>
    </row>
    <row r="76">
      <c r="A76" s="15" t="n"/>
      <c r="B76" s="15" t="n"/>
      <c r="C76" s="15" t="n"/>
      <c r="D76" s="15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6">
        <f>IF(E76="","",E76-SUM(F76:L76))</f>
        <v/>
      </c>
      <c r="N76" s="21" t="n"/>
      <c r="O76" s="20">
        <f>IF(D76="","",MONTH(D76))</f>
        <v/>
      </c>
      <c r="P76" s="20">
        <f>IF(D76="","",YEAR(D76))</f>
        <v/>
      </c>
      <c r="Q76" s="20">
        <f>IF(D76="","",DAY(D76))</f>
        <v/>
      </c>
    </row>
    <row r="77">
      <c r="A77" s="15" t="n"/>
      <c r="B77" s="15" t="n"/>
      <c r="C77" s="15" t="n"/>
      <c r="D77" s="15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6">
        <f>IF(E77="","",E77-SUM(F77:L77))</f>
        <v/>
      </c>
      <c r="N77" s="21" t="n"/>
      <c r="O77" s="20">
        <f>IF(D77="","",MONTH(D77))</f>
        <v/>
      </c>
      <c r="P77" s="20">
        <f>IF(D77="","",YEAR(D77))</f>
        <v/>
      </c>
      <c r="Q77" s="20">
        <f>IF(D77="","",DAY(D77))</f>
        <v/>
      </c>
    </row>
    <row r="78">
      <c r="A78" s="15" t="n"/>
      <c r="B78" s="15" t="n"/>
      <c r="C78" s="15" t="n"/>
      <c r="D78" s="15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6">
        <f>IF(E78="","",E78-SUM(F78:L78))</f>
        <v/>
      </c>
      <c r="N78" s="21" t="n"/>
      <c r="O78" s="20">
        <f>IF(D78="","",MONTH(D78))</f>
        <v/>
      </c>
      <c r="P78" s="20">
        <f>IF(D78="","",YEAR(D78))</f>
        <v/>
      </c>
      <c r="Q78" s="20">
        <f>IF(D78="","",DAY(D78))</f>
        <v/>
      </c>
    </row>
    <row r="79">
      <c r="A79" s="15" t="n"/>
      <c r="B79" s="15" t="n"/>
      <c r="C79" s="15" t="n"/>
      <c r="D79" s="15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6">
        <f>IF(E79="","",E79-SUM(F79:L79))</f>
        <v/>
      </c>
      <c r="N79" s="21" t="n"/>
      <c r="O79" s="20">
        <f>IF(D79="","",MONTH(D79))</f>
        <v/>
      </c>
      <c r="P79" s="20">
        <f>IF(D79="","",YEAR(D79))</f>
        <v/>
      </c>
      <c r="Q79" s="20">
        <f>IF(D79="","",DAY(D79))</f>
        <v/>
      </c>
    </row>
    <row r="80">
      <c r="A80" s="15" t="n"/>
      <c r="B80" s="15" t="n"/>
      <c r="C80" s="15" t="n"/>
      <c r="D80" s="15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6">
        <f>IF(E80="","",E80-SUM(F80:L80))</f>
        <v/>
      </c>
      <c r="N80" s="21" t="n"/>
      <c r="O80" s="20">
        <f>IF(D80="","",MONTH(D80))</f>
        <v/>
      </c>
      <c r="P80" s="20">
        <f>IF(D80="","",YEAR(D80))</f>
        <v/>
      </c>
      <c r="Q80" s="20">
        <f>IF(D80="","",DAY(D80))</f>
        <v/>
      </c>
    </row>
    <row r="81">
      <c r="A81" s="15" t="n"/>
      <c r="B81" s="15" t="n"/>
      <c r="C81" s="15" t="n"/>
      <c r="D81" s="15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6">
        <f>IF(E81="","",E81-SUM(F81:L81))</f>
        <v/>
      </c>
      <c r="N81" s="21" t="n"/>
      <c r="O81" s="20">
        <f>IF(D81="","",MONTH(D81))</f>
        <v/>
      </c>
      <c r="P81" s="20">
        <f>IF(D81="","",YEAR(D81))</f>
        <v/>
      </c>
      <c r="Q81" s="20">
        <f>IF(D81="","",DAY(D81))</f>
        <v/>
      </c>
    </row>
    <row r="82">
      <c r="A82" s="15" t="n"/>
      <c r="B82" s="15" t="n"/>
      <c r="C82" s="15" t="n"/>
      <c r="D82" s="15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6">
        <f>IF(E82="","",E82-SUM(F82:L82))</f>
        <v/>
      </c>
      <c r="N82" s="21" t="n"/>
      <c r="O82" s="20">
        <f>IF(D82="","",MONTH(D82))</f>
        <v/>
      </c>
      <c r="P82" s="20">
        <f>IF(D82="","",YEAR(D82))</f>
        <v/>
      </c>
      <c r="Q82" s="20">
        <f>IF(D82="","",DAY(D82))</f>
        <v/>
      </c>
    </row>
    <row r="83">
      <c r="A83" s="15" t="n"/>
      <c r="B83" s="15" t="n"/>
      <c r="C83" s="15" t="n"/>
      <c r="D83" s="15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6">
        <f>IF(E83="","",E83-SUM(F83:L83))</f>
        <v/>
      </c>
      <c r="N83" s="21" t="n"/>
      <c r="O83" s="20">
        <f>IF(D83="","",MONTH(D83))</f>
        <v/>
      </c>
      <c r="P83" s="20">
        <f>IF(D83="","",YEAR(D83))</f>
        <v/>
      </c>
      <c r="Q83" s="20">
        <f>IF(D83="","",DAY(D83))</f>
        <v/>
      </c>
    </row>
    <row r="84">
      <c r="A84" s="15" t="n"/>
      <c r="B84" s="15" t="n"/>
      <c r="C84" s="15" t="n"/>
      <c r="D84" s="15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6">
        <f>IF(E84="","",E84-SUM(F84:L84))</f>
        <v/>
      </c>
      <c r="N84" s="21" t="n"/>
      <c r="O84" s="20">
        <f>IF(D84="","",MONTH(D84))</f>
        <v/>
      </c>
      <c r="P84" s="20">
        <f>IF(D84="","",YEAR(D84))</f>
        <v/>
      </c>
      <c r="Q84" s="20">
        <f>IF(D84="","",DAY(D84))</f>
        <v/>
      </c>
    </row>
    <row r="85">
      <c r="A85" s="15" t="n"/>
      <c r="B85" s="15" t="n"/>
      <c r="C85" s="15" t="n"/>
      <c r="D85" s="15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6">
        <f>IF(E85="","",E85-SUM(F85:L85))</f>
        <v/>
      </c>
      <c r="N85" s="21" t="n"/>
      <c r="O85" s="20">
        <f>IF(D85="","",MONTH(D85))</f>
        <v/>
      </c>
      <c r="P85" s="20">
        <f>IF(D85="","",YEAR(D85))</f>
        <v/>
      </c>
      <c r="Q85" s="20">
        <f>IF(D85="","",DAY(D85))</f>
        <v/>
      </c>
    </row>
    <row r="86">
      <c r="A86" s="15" t="n"/>
      <c r="B86" s="15" t="n"/>
      <c r="C86" s="15" t="n"/>
      <c r="D86" s="15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6">
        <f>IF(E86="","",E86-SUM(F86:L86))</f>
        <v/>
      </c>
      <c r="N86" s="21" t="n"/>
      <c r="O86" s="20">
        <f>IF(D86="","",MONTH(D86))</f>
        <v/>
      </c>
      <c r="P86" s="20">
        <f>IF(D86="","",YEAR(D86))</f>
        <v/>
      </c>
      <c r="Q86" s="20">
        <f>IF(D86="","",DAY(D86))</f>
        <v/>
      </c>
    </row>
    <row r="87">
      <c r="A87" s="15" t="n"/>
      <c r="B87" s="15" t="n"/>
      <c r="C87" s="15" t="n"/>
      <c r="D87" s="15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6">
        <f>IF(E87="","",E87-SUM(F87:L87))</f>
        <v/>
      </c>
      <c r="N87" s="21" t="n"/>
      <c r="O87" s="20">
        <f>IF(D87="","",MONTH(D87))</f>
        <v/>
      </c>
      <c r="P87" s="20">
        <f>IF(D87="","",YEAR(D87))</f>
        <v/>
      </c>
      <c r="Q87" s="20">
        <f>IF(D87="","",DAY(D87))</f>
        <v/>
      </c>
    </row>
    <row r="88">
      <c r="A88" s="15" t="n"/>
      <c r="B88" s="15" t="n"/>
      <c r="C88" s="15" t="n"/>
      <c r="D88" s="15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6">
        <f>IF(E88="","",E88-SUM(F88:L88))</f>
        <v/>
      </c>
      <c r="N88" s="21" t="n"/>
      <c r="O88" s="20">
        <f>IF(D88="","",MONTH(D88))</f>
        <v/>
      </c>
      <c r="P88" s="20">
        <f>IF(D88="","",YEAR(D88))</f>
        <v/>
      </c>
      <c r="Q88" s="20">
        <f>IF(D88="","",DAY(D88))</f>
        <v/>
      </c>
    </row>
    <row r="89">
      <c r="A89" s="15" t="n"/>
      <c r="B89" s="15" t="n"/>
      <c r="C89" s="15" t="n"/>
      <c r="D89" s="15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6">
        <f>IF(E89="","",E89-SUM(F89:L89))</f>
        <v/>
      </c>
      <c r="N89" s="21" t="n"/>
      <c r="O89" s="20">
        <f>IF(D89="","",MONTH(D89))</f>
        <v/>
      </c>
      <c r="P89" s="20">
        <f>IF(D89="","",YEAR(D89))</f>
        <v/>
      </c>
      <c r="Q89" s="20">
        <f>IF(D89="","",DAY(D89))</f>
        <v/>
      </c>
    </row>
    <row r="90">
      <c r="A90" s="15" t="n"/>
      <c r="B90" s="15" t="n"/>
      <c r="C90" s="15" t="n"/>
      <c r="D90" s="15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6">
        <f>IF(E90="","",E90-SUM(F90:L90))</f>
        <v/>
      </c>
      <c r="N90" s="21" t="n"/>
      <c r="O90" s="20">
        <f>IF(D90="","",MONTH(D90))</f>
        <v/>
      </c>
      <c r="P90" s="20">
        <f>IF(D90="","",YEAR(D90))</f>
        <v/>
      </c>
      <c r="Q90" s="20">
        <f>IF(D90="","",DAY(D90))</f>
        <v/>
      </c>
    </row>
    <row r="91">
      <c r="A91" s="15" t="n"/>
      <c r="B91" s="15" t="n"/>
      <c r="C91" s="15" t="n"/>
      <c r="D91" s="15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6">
        <f>IF(E91="","",E91-SUM(F91:L91))</f>
        <v/>
      </c>
      <c r="N91" s="21" t="n"/>
      <c r="O91" s="20">
        <f>IF(D91="","",MONTH(D91))</f>
        <v/>
      </c>
      <c r="P91" s="20">
        <f>IF(D91="","",YEAR(D91))</f>
        <v/>
      </c>
      <c r="Q91" s="20">
        <f>IF(D91="","",DAY(D91))</f>
        <v/>
      </c>
    </row>
    <row r="92">
      <c r="A92" s="15" t="n"/>
      <c r="B92" s="15" t="n"/>
      <c r="C92" s="15" t="n"/>
      <c r="D92" s="15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6">
        <f>IF(E92="","",E92-SUM(F92:L92))</f>
        <v/>
      </c>
      <c r="N92" s="21" t="n"/>
      <c r="O92" s="20">
        <f>IF(D92="","",MONTH(D92))</f>
        <v/>
      </c>
      <c r="P92" s="20">
        <f>IF(D92="","",YEAR(D92))</f>
        <v/>
      </c>
      <c r="Q92" s="20">
        <f>IF(D92="","",DAY(D92))</f>
        <v/>
      </c>
    </row>
    <row r="93">
      <c r="A93" s="15" t="n"/>
      <c r="B93" s="15" t="n"/>
      <c r="C93" s="15" t="n"/>
      <c r="D93" s="15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6">
        <f>IF(E93="","",E93-SUM(F93:L93))</f>
        <v/>
      </c>
      <c r="N93" s="21" t="n"/>
      <c r="O93" s="20">
        <f>IF(D93="","",MONTH(D93))</f>
        <v/>
      </c>
      <c r="P93" s="20">
        <f>IF(D93="","",YEAR(D93))</f>
        <v/>
      </c>
      <c r="Q93" s="20">
        <f>IF(D93="","",DAY(D93))</f>
        <v/>
      </c>
    </row>
    <row r="94">
      <c r="A94" s="15" t="n"/>
      <c r="B94" s="15" t="n"/>
      <c r="C94" s="15" t="n"/>
      <c r="D94" s="15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6">
        <f>IF(E94="","",E94-SUM(F94:L94))</f>
        <v/>
      </c>
      <c r="N94" s="21" t="n"/>
      <c r="O94" s="20">
        <f>IF(D94="","",MONTH(D94))</f>
        <v/>
      </c>
      <c r="P94" s="20">
        <f>IF(D94="","",YEAR(D94))</f>
        <v/>
      </c>
      <c r="Q94" s="20">
        <f>IF(D94="","",DAY(D94))</f>
        <v/>
      </c>
    </row>
    <row r="95">
      <c r="A95" s="15" t="n"/>
      <c r="B95" s="15" t="n"/>
      <c r="C95" s="15" t="n"/>
      <c r="D95" s="15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6">
        <f>IF(E95="","",E95-SUM(F95:L95))</f>
        <v/>
      </c>
      <c r="N95" s="21" t="n"/>
      <c r="O95" s="20">
        <f>IF(D95="","",MONTH(D95))</f>
        <v/>
      </c>
      <c r="P95" s="20">
        <f>IF(D95="","",YEAR(D95))</f>
        <v/>
      </c>
      <c r="Q95" s="20">
        <f>IF(D95="","",DAY(D95))</f>
        <v/>
      </c>
    </row>
    <row r="96">
      <c r="A96" s="15" t="n"/>
      <c r="B96" s="15" t="n"/>
      <c r="C96" s="15" t="n"/>
      <c r="D96" s="15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6">
        <f>IF(E96="","",E96-SUM(F96:L96))</f>
        <v/>
      </c>
      <c r="N96" s="21" t="n"/>
      <c r="O96" s="20">
        <f>IF(D96="","",MONTH(D96))</f>
        <v/>
      </c>
      <c r="P96" s="20">
        <f>IF(D96="","",YEAR(D96))</f>
        <v/>
      </c>
      <c r="Q96" s="20">
        <f>IF(D96="","",DAY(D96))</f>
        <v/>
      </c>
    </row>
    <row r="97">
      <c r="A97" s="15" t="n"/>
      <c r="B97" s="15" t="n"/>
      <c r="C97" s="15" t="n"/>
      <c r="D97" s="15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6">
        <f>IF(E97="","",E97-SUM(F97:L97))</f>
        <v/>
      </c>
      <c r="N97" s="21" t="n"/>
      <c r="O97" s="20">
        <f>IF(D97="","",MONTH(D97))</f>
        <v/>
      </c>
      <c r="P97" s="20">
        <f>IF(D97="","",YEAR(D97))</f>
        <v/>
      </c>
      <c r="Q97" s="20">
        <f>IF(D97="","",DAY(D97))</f>
        <v/>
      </c>
    </row>
    <row r="98">
      <c r="A98" s="15" t="n"/>
      <c r="B98" s="15" t="n"/>
      <c r="C98" s="15" t="n"/>
      <c r="D98" s="1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6">
        <f>IF(E98="","",E98-SUM(F98:L98))</f>
        <v/>
      </c>
      <c r="N98" s="21" t="n"/>
      <c r="O98" s="20">
        <f>IF(D98="","",MONTH(D98))</f>
        <v/>
      </c>
      <c r="P98" s="20">
        <f>IF(D98="","",YEAR(D98))</f>
        <v/>
      </c>
      <c r="Q98" s="20">
        <f>IF(D98="","",DAY(D98))</f>
        <v/>
      </c>
    </row>
    <row r="99">
      <c r="A99" s="15" t="n"/>
      <c r="B99" s="15" t="n"/>
      <c r="C99" s="15" t="n"/>
      <c r="D99" s="15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6">
        <f>IF(E99="","",E99-SUM(F99:L99))</f>
        <v/>
      </c>
      <c r="N99" s="21" t="n"/>
      <c r="O99" s="20">
        <f>IF(D99="","",MONTH(D99))</f>
        <v/>
      </c>
      <c r="P99" s="20">
        <f>IF(D99="","",YEAR(D99))</f>
        <v/>
      </c>
      <c r="Q99" s="20">
        <f>IF(D99="","",DAY(D99))</f>
        <v/>
      </c>
    </row>
    <row r="100">
      <c r="A100" s="15" t="n"/>
      <c r="B100" s="15" t="n"/>
      <c r="C100" s="15" t="n"/>
      <c r="D100" s="15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6">
        <f>IF(E100="","",E100-SUM(F100:L100))</f>
        <v/>
      </c>
      <c r="N100" s="21" t="n"/>
      <c r="O100" s="20">
        <f>IF(D100="","",MONTH(D100))</f>
        <v/>
      </c>
      <c r="P100" s="20">
        <f>IF(D100="","",YEAR(D100))</f>
        <v/>
      </c>
      <c r="Q100" s="20">
        <f>IF(D100="","",DAY(D100))</f>
        <v/>
      </c>
    </row>
    <row r="101">
      <c r="A101" s="15" t="n"/>
      <c r="B101" s="15" t="n"/>
      <c r="C101" s="15" t="n"/>
      <c r="D101" s="15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6">
        <f>IF(E101="","",E101-SUM(F101:L101))</f>
        <v/>
      </c>
      <c r="N101" s="21" t="n"/>
      <c r="O101" s="20">
        <f>IF(D101="","",MONTH(D101))</f>
        <v/>
      </c>
      <c r="P101" s="20">
        <f>IF(D101="","",YEAR(D101))</f>
        <v/>
      </c>
      <c r="Q101" s="20">
        <f>IF(D101="","",DAY(D101))</f>
        <v/>
      </c>
    </row>
    <row r="102">
      <c r="A102" s="15" t="n"/>
      <c r="B102" s="15" t="n"/>
      <c r="C102" s="15" t="n"/>
      <c r="D102" s="15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6">
        <f>IF(E102="","",E102-SUM(F102:L102))</f>
        <v/>
      </c>
      <c r="N102" s="21" t="n"/>
      <c r="O102" s="20">
        <f>IF(D102="","",MONTH(D102))</f>
        <v/>
      </c>
      <c r="P102" s="20">
        <f>IF(D102="","",YEAR(D102))</f>
        <v/>
      </c>
      <c r="Q102" s="20">
        <f>IF(D102="","",DAY(D102))</f>
        <v/>
      </c>
    </row>
    <row r="103">
      <c r="A103" s="15" t="n"/>
      <c r="B103" s="15" t="n"/>
      <c r="C103" s="15" t="n"/>
      <c r="D103" s="15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6">
        <f>IF(E103="","",E103-SUM(F103:L103))</f>
        <v/>
      </c>
      <c r="N103" s="21" t="n"/>
      <c r="O103" s="20">
        <f>IF(D103="","",MONTH(D103))</f>
        <v/>
      </c>
      <c r="P103" s="20">
        <f>IF(D103="","",YEAR(D103))</f>
        <v/>
      </c>
      <c r="Q103" s="20">
        <f>IF(D103="","",DAY(D103))</f>
        <v/>
      </c>
    </row>
    <row r="104">
      <c r="A104" s="15" t="n"/>
      <c r="B104" s="15" t="n"/>
      <c r="C104" s="15" t="n"/>
      <c r="D104" s="15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6">
        <f>IF(E104="","",E104-SUM(F104:L104))</f>
        <v/>
      </c>
      <c r="N104" s="21" t="n"/>
      <c r="O104" s="20">
        <f>IF(D104="","",MONTH(D104))</f>
        <v/>
      </c>
      <c r="P104" s="20">
        <f>IF(D104="","",YEAR(D104))</f>
        <v/>
      </c>
      <c r="Q104" s="20">
        <f>IF(D104="","",DAY(D104))</f>
        <v/>
      </c>
    </row>
    <row r="105">
      <c r="A105" s="15" t="n"/>
      <c r="B105" s="15" t="n"/>
      <c r="C105" s="15" t="n"/>
      <c r="D105" s="15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6">
        <f>IF(E105="","",E105-SUM(F105:L105))</f>
        <v/>
      </c>
      <c r="N105" s="21" t="n"/>
      <c r="O105" s="20">
        <f>IF(D105="","",MONTH(D105))</f>
        <v/>
      </c>
      <c r="P105" s="20">
        <f>IF(D105="","",YEAR(D105))</f>
        <v/>
      </c>
      <c r="Q105" s="20">
        <f>IF(D105="","",DAY(D105))</f>
        <v/>
      </c>
    </row>
    <row r="106">
      <c r="A106" s="15" t="n"/>
      <c r="B106" s="15" t="n"/>
      <c r="C106" s="15" t="n"/>
      <c r="D106" s="15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6">
        <f>IF(E106="","",E106-SUM(F106:L106))</f>
        <v/>
      </c>
      <c r="N106" s="21" t="n"/>
      <c r="O106" s="20">
        <f>IF(D106="","",MONTH(D106))</f>
        <v/>
      </c>
      <c r="P106" s="20">
        <f>IF(D106="","",YEAR(D106))</f>
        <v/>
      </c>
      <c r="Q106" s="20">
        <f>IF(D106="","",DAY(D106))</f>
        <v/>
      </c>
    </row>
    <row r="107">
      <c r="A107" s="15" t="n"/>
      <c r="B107" s="15" t="n"/>
      <c r="C107" s="15" t="n"/>
      <c r="D107" s="15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6">
        <f>IF(E107="","",E107-SUM(F107:L107))</f>
        <v/>
      </c>
      <c r="N107" s="21" t="n"/>
      <c r="O107" s="20">
        <f>IF(D107="","",MONTH(D107))</f>
        <v/>
      </c>
      <c r="P107" s="20">
        <f>IF(D107="","",YEAR(D107))</f>
        <v/>
      </c>
      <c r="Q107" s="20">
        <f>IF(D107="","",DAY(D107))</f>
        <v/>
      </c>
    </row>
    <row r="108">
      <c r="A108" s="15" t="n"/>
      <c r="B108" s="15" t="n"/>
      <c r="C108" s="15" t="n"/>
      <c r="D108" s="15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6">
        <f>IF(E108="","",E108-SUM(F108:L108))</f>
        <v/>
      </c>
      <c r="N108" s="21" t="n"/>
      <c r="O108" s="20">
        <f>IF(D108="","",MONTH(D108))</f>
        <v/>
      </c>
      <c r="P108" s="20">
        <f>IF(D108="","",YEAR(D108))</f>
        <v/>
      </c>
      <c r="Q108" s="20">
        <f>IF(D108="","",DAY(D108))</f>
        <v/>
      </c>
    </row>
    <row r="109">
      <c r="A109" s="15" t="n"/>
      <c r="B109" s="15" t="n"/>
      <c r="C109" s="15" t="n"/>
      <c r="D109" s="15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6">
        <f>IF(E109="","",E109-SUM(F109:L109))</f>
        <v/>
      </c>
      <c r="N109" s="21" t="n"/>
      <c r="O109" s="20">
        <f>IF(D109="","",MONTH(D109))</f>
        <v/>
      </c>
      <c r="P109" s="20">
        <f>IF(D109="","",YEAR(D109))</f>
        <v/>
      </c>
      <c r="Q109" s="20">
        <f>IF(D109="","",DAY(D109))</f>
        <v/>
      </c>
    </row>
    <row r="110">
      <c r="A110" s="15" t="n"/>
      <c r="B110" s="15" t="n"/>
      <c r="C110" s="15" t="n"/>
      <c r="D110" s="15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6">
        <f>IF(E110="","",E110-SUM(F110:L110))</f>
        <v/>
      </c>
      <c r="N110" s="21" t="n"/>
      <c r="O110" s="20">
        <f>IF(D110="","",MONTH(D110))</f>
        <v/>
      </c>
      <c r="P110" s="20">
        <f>IF(D110="","",YEAR(D110))</f>
        <v/>
      </c>
      <c r="Q110" s="20">
        <f>IF(D110="","",DAY(D110))</f>
        <v/>
      </c>
    </row>
    <row r="111">
      <c r="A111" s="15" t="n"/>
      <c r="B111" s="15" t="n"/>
      <c r="C111" s="15" t="n"/>
      <c r="D111" s="15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6">
        <f>IF(E111="","",E111-SUM(F111:L111))</f>
        <v/>
      </c>
      <c r="N111" s="21" t="n"/>
      <c r="O111" s="20">
        <f>IF(D111="","",MONTH(D111))</f>
        <v/>
      </c>
      <c r="P111" s="20">
        <f>IF(D111="","",YEAR(D111))</f>
        <v/>
      </c>
      <c r="Q111" s="20">
        <f>IF(D111="","",DAY(D111))</f>
        <v/>
      </c>
    </row>
    <row r="112">
      <c r="A112" s="15" t="n"/>
      <c r="B112" s="15" t="n"/>
      <c r="C112" s="15" t="n"/>
      <c r="D112" s="15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6">
        <f>IF(E112="","",E112-SUM(F112:L112))</f>
        <v/>
      </c>
      <c r="N112" s="21" t="n"/>
      <c r="O112" s="20">
        <f>IF(D112="","",MONTH(D112))</f>
        <v/>
      </c>
      <c r="P112" s="20">
        <f>IF(D112="","",YEAR(D112))</f>
        <v/>
      </c>
      <c r="Q112" s="20">
        <f>IF(D112="","",DAY(D112))</f>
        <v/>
      </c>
    </row>
    <row r="113">
      <c r="A113" s="15" t="n"/>
      <c r="B113" s="15" t="n"/>
      <c r="C113" s="15" t="n"/>
      <c r="D113" s="15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6">
        <f>IF(E113="","",E113-SUM(F113:L113))</f>
        <v/>
      </c>
      <c r="N113" s="21" t="n"/>
      <c r="O113" s="20">
        <f>IF(D113="","",MONTH(D113))</f>
        <v/>
      </c>
      <c r="P113" s="20">
        <f>IF(D113="","",YEAR(D113))</f>
        <v/>
      </c>
      <c r="Q113" s="20">
        <f>IF(D113="","",DAY(D113))</f>
        <v/>
      </c>
    </row>
    <row r="114">
      <c r="A114" s="15" t="n"/>
      <c r="B114" s="15" t="n"/>
      <c r="C114" s="15" t="n"/>
      <c r="D114" s="15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6">
        <f>IF(E114="","",E114-SUM(F114:L114))</f>
        <v/>
      </c>
      <c r="N114" s="21" t="n"/>
      <c r="O114" s="20">
        <f>IF(D114="","",MONTH(D114))</f>
        <v/>
      </c>
      <c r="P114" s="20">
        <f>IF(D114="","",YEAR(D114))</f>
        <v/>
      </c>
      <c r="Q114" s="20">
        <f>IF(D114="","",DAY(D114))</f>
        <v/>
      </c>
    </row>
    <row r="115">
      <c r="A115" s="15" t="n"/>
      <c r="B115" s="15" t="n"/>
      <c r="C115" s="15" t="n"/>
      <c r="D115" s="1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6">
        <f>IF(E115="","",E115-SUM(F115:L115))</f>
        <v/>
      </c>
      <c r="N115" s="21" t="n"/>
      <c r="O115" s="20">
        <f>IF(D115="","",MONTH(D115))</f>
        <v/>
      </c>
      <c r="P115" s="20">
        <f>IF(D115="","",YEAR(D115))</f>
        <v/>
      </c>
      <c r="Q115" s="20">
        <f>IF(D115="","",DAY(D115))</f>
        <v/>
      </c>
    </row>
    <row r="116">
      <c r="A116" s="15" t="n"/>
      <c r="B116" s="15" t="n"/>
      <c r="C116" s="15" t="n"/>
      <c r="D116" s="15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6">
        <f>IF(E116="","",E116-SUM(F116:L116))</f>
        <v/>
      </c>
      <c r="N116" s="21" t="n"/>
      <c r="O116" s="20">
        <f>IF(D116="","",MONTH(D116))</f>
        <v/>
      </c>
      <c r="P116" s="20">
        <f>IF(D116="","",YEAR(D116))</f>
        <v/>
      </c>
      <c r="Q116" s="20">
        <f>IF(D116="","",DAY(D116))</f>
        <v/>
      </c>
    </row>
    <row r="117">
      <c r="A117" s="15" t="n"/>
      <c r="B117" s="15" t="n"/>
      <c r="C117" s="15" t="n"/>
      <c r="D117" s="15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6">
        <f>IF(E117="","",E117-SUM(F117:L117))</f>
        <v/>
      </c>
      <c r="N117" s="21" t="n"/>
      <c r="O117" s="20">
        <f>IF(D117="","",MONTH(D117))</f>
        <v/>
      </c>
      <c r="P117" s="20">
        <f>IF(D117="","",YEAR(D117))</f>
        <v/>
      </c>
      <c r="Q117" s="20">
        <f>IF(D117="","",DAY(D117))</f>
        <v/>
      </c>
    </row>
    <row r="118">
      <c r="A118" s="15" t="n"/>
      <c r="B118" s="15" t="n"/>
      <c r="C118" s="15" t="n"/>
      <c r="D118" s="15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6">
        <f>IF(E118="","",E118-SUM(F118:L118))</f>
        <v/>
      </c>
      <c r="N118" s="21" t="n"/>
      <c r="O118" s="20">
        <f>IF(D118="","",MONTH(D118))</f>
        <v/>
      </c>
      <c r="P118" s="20">
        <f>IF(D118="","",YEAR(D118))</f>
        <v/>
      </c>
      <c r="Q118" s="20">
        <f>IF(D118="","",DAY(D118))</f>
        <v/>
      </c>
    </row>
    <row r="119">
      <c r="A119" s="15" t="n"/>
      <c r="B119" s="15" t="n"/>
      <c r="C119" s="15" t="n"/>
      <c r="D119" s="15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6">
        <f>IF(E119="","",E119-SUM(F119:L119))</f>
        <v/>
      </c>
      <c r="N119" s="21" t="n"/>
      <c r="O119" s="20">
        <f>IF(D119="","",MONTH(D119))</f>
        <v/>
      </c>
      <c r="P119" s="20">
        <f>IF(D119="","",YEAR(D119))</f>
        <v/>
      </c>
      <c r="Q119" s="20">
        <f>IF(D119="","",DAY(D119))</f>
        <v/>
      </c>
    </row>
    <row r="120">
      <c r="A120" s="15" t="n"/>
      <c r="B120" s="15" t="n"/>
      <c r="C120" s="15" t="n"/>
      <c r="D120" s="15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6">
        <f>IF(E120="","",E120-SUM(F120:L120))</f>
        <v/>
      </c>
      <c r="N120" s="21" t="n"/>
      <c r="O120" s="20">
        <f>IF(D120="","",MONTH(D120))</f>
        <v/>
      </c>
      <c r="P120" s="20">
        <f>IF(D120="","",YEAR(D120))</f>
        <v/>
      </c>
      <c r="Q120" s="20">
        <f>IF(D120="","",DAY(D120))</f>
        <v/>
      </c>
    </row>
    <row r="121">
      <c r="A121" s="15" t="n"/>
      <c r="B121" s="15" t="n"/>
      <c r="C121" s="15" t="n"/>
      <c r="D121" s="15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6">
        <f>IF(E121="","",E121-SUM(F121:L121))</f>
        <v/>
      </c>
      <c r="N121" s="21" t="n"/>
      <c r="O121" s="20">
        <f>IF(D121="","",MONTH(D121))</f>
        <v/>
      </c>
      <c r="P121" s="20">
        <f>IF(D121="","",YEAR(D121))</f>
        <v/>
      </c>
      <c r="Q121" s="20">
        <f>IF(D121="","",DAY(D121))</f>
        <v/>
      </c>
    </row>
    <row r="122">
      <c r="A122" s="15" t="n"/>
      <c r="B122" s="15" t="n"/>
      <c r="C122" s="15" t="n"/>
      <c r="D122" s="15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6">
        <f>IF(E122="","",E122-SUM(F122:L122))</f>
        <v/>
      </c>
      <c r="N122" s="21" t="n"/>
      <c r="O122" s="20">
        <f>IF(D122="","",MONTH(D122))</f>
        <v/>
      </c>
      <c r="P122" s="20">
        <f>IF(D122="","",YEAR(D122))</f>
        <v/>
      </c>
      <c r="Q122" s="20">
        <f>IF(D122="","",DAY(D122))</f>
        <v/>
      </c>
    </row>
    <row r="123">
      <c r="A123" s="15" t="n"/>
      <c r="B123" s="15" t="n"/>
      <c r="C123" s="15" t="n"/>
      <c r="D123" s="15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6">
        <f>IF(E123="","",E123-SUM(F123:L123))</f>
        <v/>
      </c>
      <c r="N123" s="21" t="n"/>
      <c r="O123" s="20">
        <f>IF(D123="","",MONTH(D123))</f>
        <v/>
      </c>
      <c r="P123" s="20">
        <f>IF(D123="","",YEAR(D123))</f>
        <v/>
      </c>
      <c r="Q123" s="20">
        <f>IF(D123="","",DAY(D123))</f>
        <v/>
      </c>
    </row>
    <row r="124">
      <c r="A124" s="15" t="n"/>
      <c r="B124" s="15" t="n"/>
      <c r="C124" s="15" t="n"/>
      <c r="D124" s="15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6">
        <f>IF(E124="","",E124-SUM(F124:L124))</f>
        <v/>
      </c>
      <c r="N124" s="21" t="n"/>
      <c r="O124" s="20">
        <f>IF(D124="","",MONTH(D124))</f>
        <v/>
      </c>
      <c r="P124" s="20">
        <f>IF(D124="","",YEAR(D124))</f>
        <v/>
      </c>
      <c r="Q124" s="20">
        <f>IF(D124="","",DAY(D124))</f>
        <v/>
      </c>
    </row>
    <row r="125">
      <c r="A125" s="15" t="n"/>
      <c r="B125" s="15" t="n"/>
      <c r="C125" s="15" t="n"/>
      <c r="D125" s="15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6">
        <f>IF(E125="","",E125-SUM(F125:L125))</f>
        <v/>
      </c>
      <c r="N125" s="21" t="n"/>
      <c r="O125" s="20">
        <f>IF(D125="","",MONTH(D125))</f>
        <v/>
      </c>
      <c r="P125" s="20">
        <f>IF(D125="","",YEAR(D125))</f>
        <v/>
      </c>
      <c r="Q125" s="20">
        <f>IF(D125="","",DAY(D125))</f>
        <v/>
      </c>
    </row>
    <row r="126">
      <c r="A126" s="15" t="n"/>
      <c r="B126" s="15" t="n"/>
      <c r="C126" s="15" t="n"/>
      <c r="D126" s="15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6">
        <f>IF(E126="","",E126-SUM(F126:L126))</f>
        <v/>
      </c>
      <c r="N126" s="21" t="n"/>
      <c r="O126" s="20">
        <f>IF(D126="","",MONTH(D126))</f>
        <v/>
      </c>
      <c r="P126" s="20">
        <f>IF(D126="","",YEAR(D126))</f>
        <v/>
      </c>
      <c r="Q126" s="20">
        <f>IF(D126="","",DAY(D126))</f>
        <v/>
      </c>
    </row>
    <row r="127">
      <c r="A127" s="15" t="n"/>
      <c r="B127" s="15" t="n"/>
      <c r="C127" s="15" t="n"/>
      <c r="D127" s="15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6">
        <f>IF(E127="","",E127-SUM(F127:L127))</f>
        <v/>
      </c>
      <c r="N127" s="21" t="n"/>
      <c r="O127" s="20">
        <f>IF(D127="","",MONTH(D127))</f>
        <v/>
      </c>
      <c r="P127" s="20">
        <f>IF(D127="","",YEAR(D127))</f>
        <v/>
      </c>
      <c r="Q127" s="20">
        <f>IF(D127="","",DAY(D127))</f>
        <v/>
      </c>
    </row>
    <row r="128">
      <c r="A128" s="15" t="n"/>
      <c r="B128" s="15" t="n"/>
      <c r="C128" s="15" t="n"/>
      <c r="D128" s="15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6">
        <f>IF(E128="","",E128-SUM(F128:L128))</f>
        <v/>
      </c>
      <c r="N128" s="21" t="n"/>
      <c r="O128" s="20">
        <f>IF(D128="","",MONTH(D128))</f>
        <v/>
      </c>
      <c r="P128" s="20">
        <f>IF(D128="","",YEAR(D128))</f>
        <v/>
      </c>
      <c r="Q128" s="20">
        <f>IF(D128="","",DAY(D128))</f>
        <v/>
      </c>
    </row>
    <row r="129">
      <c r="A129" s="15" t="n"/>
      <c r="B129" s="15" t="n"/>
      <c r="C129" s="15" t="n"/>
      <c r="D129" s="15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6">
        <f>IF(E129="","",E129-SUM(F129:L129))</f>
        <v/>
      </c>
      <c r="N129" s="21" t="n"/>
      <c r="O129" s="20">
        <f>IF(D129="","",MONTH(D129))</f>
        <v/>
      </c>
      <c r="P129" s="20">
        <f>IF(D129="","",YEAR(D129))</f>
        <v/>
      </c>
      <c r="Q129" s="20">
        <f>IF(D129="","",DAY(D129))</f>
        <v/>
      </c>
    </row>
    <row r="130">
      <c r="A130" s="15" t="n"/>
      <c r="B130" s="15" t="n"/>
      <c r="C130" s="15" t="n"/>
      <c r="D130" s="15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6">
        <f>IF(E130="","",E130-SUM(F130:L130))</f>
        <v/>
      </c>
      <c r="N130" s="21" t="n"/>
      <c r="O130" s="20">
        <f>IF(D130="","",MONTH(D130))</f>
        <v/>
      </c>
      <c r="P130" s="20">
        <f>IF(D130="","",YEAR(D130))</f>
        <v/>
      </c>
      <c r="Q130" s="20">
        <f>IF(D130="","",DAY(D130))</f>
        <v/>
      </c>
    </row>
    <row r="131">
      <c r="A131" s="15" t="n"/>
      <c r="B131" s="15" t="n"/>
      <c r="C131" s="15" t="n"/>
      <c r="D131" s="15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6">
        <f>IF(E131="","",E131-SUM(F131:L131))</f>
        <v/>
      </c>
      <c r="N131" s="21" t="n"/>
      <c r="O131" s="20">
        <f>IF(D131="","",MONTH(D131))</f>
        <v/>
      </c>
      <c r="P131" s="20">
        <f>IF(D131="","",YEAR(D131))</f>
        <v/>
      </c>
      <c r="Q131" s="20">
        <f>IF(D131="","",DAY(D131))</f>
        <v/>
      </c>
    </row>
    <row r="132">
      <c r="A132" s="15" t="n"/>
      <c r="B132" s="15" t="n"/>
      <c r="C132" s="15" t="n"/>
      <c r="D132" s="15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6">
        <f>IF(E132="","",E132-SUM(F132:L132))</f>
        <v/>
      </c>
      <c r="N132" s="21" t="n"/>
      <c r="O132" s="20">
        <f>IF(D132="","",MONTH(D132))</f>
        <v/>
      </c>
      <c r="P132" s="20">
        <f>IF(D132="","",YEAR(D132))</f>
        <v/>
      </c>
      <c r="Q132" s="20">
        <f>IF(D132="","",DAY(D132))</f>
        <v/>
      </c>
    </row>
    <row r="133">
      <c r="A133" s="15" t="n"/>
      <c r="B133" s="15" t="n"/>
      <c r="C133" s="15" t="n"/>
      <c r="D133" s="15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6">
        <f>IF(E133="","",E133-SUM(F133:L133))</f>
        <v/>
      </c>
      <c r="N133" s="21" t="n"/>
      <c r="O133" s="20">
        <f>IF(D133="","",MONTH(D133))</f>
        <v/>
      </c>
      <c r="P133" s="20">
        <f>IF(D133="","",YEAR(D133))</f>
        <v/>
      </c>
      <c r="Q133" s="20">
        <f>IF(D133="","",DAY(D133))</f>
        <v/>
      </c>
    </row>
    <row r="134">
      <c r="A134" s="15" t="n"/>
      <c r="B134" s="15" t="n"/>
      <c r="C134" s="15" t="n"/>
      <c r="D134" s="15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6">
        <f>IF(E134="","",E134-SUM(F134:L134))</f>
        <v/>
      </c>
      <c r="N134" s="21" t="n"/>
      <c r="O134" s="20">
        <f>IF(D134="","",MONTH(D134))</f>
        <v/>
      </c>
      <c r="P134" s="20">
        <f>IF(D134="","",YEAR(D134))</f>
        <v/>
      </c>
      <c r="Q134" s="20">
        <f>IF(D134="","",DAY(D134))</f>
        <v/>
      </c>
    </row>
    <row r="135">
      <c r="A135" s="15" t="n"/>
      <c r="B135" s="15" t="n"/>
      <c r="C135" s="15" t="n"/>
      <c r="D135" s="15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6">
        <f>IF(E135="","",E135-SUM(F135:L135))</f>
        <v/>
      </c>
      <c r="N135" s="21" t="n"/>
      <c r="O135" s="20">
        <f>IF(D135="","",MONTH(D135))</f>
        <v/>
      </c>
      <c r="P135" s="20">
        <f>IF(D135="","",YEAR(D135))</f>
        <v/>
      </c>
      <c r="Q135" s="20">
        <f>IF(D135="","",DAY(D135))</f>
        <v/>
      </c>
    </row>
    <row r="136">
      <c r="A136" s="15" t="n"/>
      <c r="B136" s="15" t="n"/>
      <c r="C136" s="15" t="n"/>
      <c r="D136" s="15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6">
        <f>IF(E136="","",E136-SUM(F136:L136))</f>
        <v/>
      </c>
      <c r="N136" s="21" t="n"/>
      <c r="O136" s="20">
        <f>IF(D136="","",MONTH(D136))</f>
        <v/>
      </c>
      <c r="P136" s="20">
        <f>IF(D136="","",YEAR(D136))</f>
        <v/>
      </c>
      <c r="Q136" s="20">
        <f>IF(D136="","",DAY(D136))</f>
        <v/>
      </c>
    </row>
    <row r="137">
      <c r="A137" s="15" t="n"/>
      <c r="B137" s="15" t="n"/>
      <c r="C137" s="15" t="n"/>
      <c r="D137" s="15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6">
        <f>IF(E137="","",E137-SUM(F137:L137))</f>
        <v/>
      </c>
      <c r="N137" s="21" t="n"/>
      <c r="O137" s="20">
        <f>IF(D137="","",MONTH(D137))</f>
        <v/>
      </c>
      <c r="P137" s="20">
        <f>IF(D137="","",YEAR(D137))</f>
        <v/>
      </c>
      <c r="Q137" s="20">
        <f>IF(D137="","",DAY(D137))</f>
        <v/>
      </c>
    </row>
    <row r="138">
      <c r="A138" s="15" t="n"/>
      <c r="B138" s="15" t="n"/>
      <c r="C138" s="15" t="n"/>
      <c r="D138" s="15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6">
        <f>IF(E138="","",E138-SUM(F138:L138))</f>
        <v/>
      </c>
      <c r="N138" s="21" t="n"/>
      <c r="O138" s="20">
        <f>IF(D138="","",MONTH(D138))</f>
        <v/>
      </c>
      <c r="P138" s="20">
        <f>IF(D138="","",YEAR(D138))</f>
        <v/>
      </c>
      <c r="Q138" s="20">
        <f>IF(D138="","",DAY(D138))</f>
        <v/>
      </c>
    </row>
    <row r="139">
      <c r="A139" s="15" t="n"/>
      <c r="B139" s="15" t="n"/>
      <c r="C139" s="15" t="n"/>
      <c r="D139" s="15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6">
        <f>IF(E139="","",E139-SUM(F139:L139))</f>
        <v/>
      </c>
      <c r="N139" s="21" t="n"/>
      <c r="O139" s="20">
        <f>IF(D139="","",MONTH(D139))</f>
        <v/>
      </c>
      <c r="P139" s="20">
        <f>IF(D139="","",YEAR(D139))</f>
        <v/>
      </c>
      <c r="Q139" s="20">
        <f>IF(D139="","",DAY(D139))</f>
        <v/>
      </c>
    </row>
    <row r="140">
      <c r="A140" s="15" t="n"/>
      <c r="B140" s="15" t="n"/>
      <c r="C140" s="15" t="n"/>
      <c r="D140" s="15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6">
        <f>IF(E140="","",E140-SUM(F140:L140))</f>
        <v/>
      </c>
      <c r="N140" s="21" t="n"/>
      <c r="O140" s="20">
        <f>IF(D140="","",MONTH(D140))</f>
        <v/>
      </c>
      <c r="P140" s="20">
        <f>IF(D140="","",YEAR(D140))</f>
        <v/>
      </c>
      <c r="Q140" s="20">
        <f>IF(D140="","",DAY(D140))</f>
        <v/>
      </c>
    </row>
    <row r="141">
      <c r="A141" s="15" t="n"/>
      <c r="B141" s="15" t="n"/>
      <c r="C141" s="15" t="n"/>
      <c r="D141" s="15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6">
        <f>IF(E141="","",E141-SUM(F141:L141))</f>
        <v/>
      </c>
      <c r="N141" s="21" t="n"/>
      <c r="O141" s="20">
        <f>IF(D141="","",MONTH(D141))</f>
        <v/>
      </c>
      <c r="P141" s="20">
        <f>IF(D141="","",YEAR(D141))</f>
        <v/>
      </c>
      <c r="Q141" s="20">
        <f>IF(D141="","",DAY(D141))</f>
        <v/>
      </c>
    </row>
    <row r="142">
      <c r="A142" s="15" t="n"/>
      <c r="B142" s="15" t="n"/>
      <c r="C142" s="15" t="n"/>
      <c r="D142" s="15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6">
        <f>IF(E142="","",E142-SUM(F142:L142))</f>
        <v/>
      </c>
      <c r="N142" s="21" t="n"/>
      <c r="O142" s="20">
        <f>IF(D142="","",MONTH(D142))</f>
        <v/>
      </c>
      <c r="P142" s="20">
        <f>IF(D142="","",YEAR(D142))</f>
        <v/>
      </c>
      <c r="Q142" s="20">
        <f>IF(D142="","",DAY(D142))</f>
        <v/>
      </c>
    </row>
    <row r="143">
      <c r="A143" s="15" t="n"/>
      <c r="B143" s="15" t="n"/>
      <c r="C143" s="15" t="n"/>
      <c r="D143" s="15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6">
        <f>IF(E143="","",E143-SUM(F143:L143))</f>
        <v/>
      </c>
      <c r="N143" s="21" t="n"/>
      <c r="O143" s="20">
        <f>IF(D143="","",MONTH(D143))</f>
        <v/>
      </c>
      <c r="P143" s="20">
        <f>IF(D143="","",YEAR(D143))</f>
        <v/>
      </c>
      <c r="Q143" s="20">
        <f>IF(D143="","",DAY(D143))</f>
        <v/>
      </c>
    </row>
    <row r="144">
      <c r="A144" s="15" t="n"/>
      <c r="B144" s="15" t="n"/>
      <c r="C144" s="15" t="n"/>
      <c r="D144" s="15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6">
        <f>IF(E144="","",E144-SUM(F144:L144))</f>
        <v/>
      </c>
      <c r="N144" s="21" t="n"/>
      <c r="O144" s="20">
        <f>IF(D144="","",MONTH(D144))</f>
        <v/>
      </c>
      <c r="P144" s="20">
        <f>IF(D144="","",YEAR(D144))</f>
        <v/>
      </c>
      <c r="Q144" s="20">
        <f>IF(D144="","",DAY(D144))</f>
        <v/>
      </c>
    </row>
    <row r="145">
      <c r="A145" s="15" t="n"/>
      <c r="B145" s="15" t="n"/>
      <c r="C145" s="15" t="n"/>
      <c r="D145" s="15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6">
        <f>IF(E145="","",E145-SUM(F145:L145))</f>
        <v/>
      </c>
      <c r="N145" s="21" t="n"/>
      <c r="O145" s="20">
        <f>IF(D145="","",MONTH(D145))</f>
        <v/>
      </c>
      <c r="P145" s="20">
        <f>IF(D145="","",YEAR(D145))</f>
        <v/>
      </c>
      <c r="Q145" s="20">
        <f>IF(D145="","",DAY(D145))</f>
        <v/>
      </c>
    </row>
    <row r="146">
      <c r="A146" s="15" t="n"/>
      <c r="B146" s="15" t="n"/>
      <c r="C146" s="15" t="n"/>
      <c r="D146" s="15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6">
        <f>IF(E146="","",E146-SUM(F146:L146))</f>
        <v/>
      </c>
      <c r="N146" s="21" t="n"/>
      <c r="O146" s="20">
        <f>IF(D146="","",MONTH(D146))</f>
        <v/>
      </c>
      <c r="P146" s="20">
        <f>IF(D146="","",YEAR(D146))</f>
        <v/>
      </c>
      <c r="Q146" s="20">
        <f>IF(D146="","",DAY(D146))</f>
        <v/>
      </c>
    </row>
    <row r="147">
      <c r="A147" s="15" t="n"/>
      <c r="B147" s="15" t="n"/>
      <c r="C147" s="15" t="n"/>
      <c r="D147" s="15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6">
        <f>IF(E147="","",E147-SUM(F147:L147))</f>
        <v/>
      </c>
      <c r="N147" s="21" t="n"/>
      <c r="O147" s="20">
        <f>IF(D147="","",MONTH(D147))</f>
        <v/>
      </c>
      <c r="P147" s="20">
        <f>IF(D147="","",YEAR(D147))</f>
        <v/>
      </c>
      <c r="Q147" s="20">
        <f>IF(D147="","",DAY(D147))</f>
        <v/>
      </c>
    </row>
    <row r="148">
      <c r="A148" s="15" t="n"/>
      <c r="B148" s="15" t="n"/>
      <c r="C148" s="15" t="n"/>
      <c r="D148" s="15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6">
        <f>IF(E148="","",E148-SUM(F148:L148))</f>
        <v/>
      </c>
      <c r="N148" s="21" t="n"/>
      <c r="O148" s="20">
        <f>IF(D148="","",MONTH(D148))</f>
        <v/>
      </c>
      <c r="P148" s="20">
        <f>IF(D148="","",YEAR(D148))</f>
        <v/>
      </c>
      <c r="Q148" s="20">
        <f>IF(D148="","",DAY(D148))</f>
        <v/>
      </c>
    </row>
    <row r="149">
      <c r="A149" s="15" t="n"/>
      <c r="B149" s="15" t="n"/>
      <c r="C149" s="15" t="n"/>
      <c r="D149" s="15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6">
        <f>IF(E149="","",E149-SUM(F149:L149))</f>
        <v/>
      </c>
      <c r="N149" s="21" t="n"/>
      <c r="O149" s="20">
        <f>IF(D149="","",MONTH(D149))</f>
        <v/>
      </c>
      <c r="P149" s="20">
        <f>IF(D149="","",YEAR(D149))</f>
        <v/>
      </c>
      <c r="Q149" s="20">
        <f>IF(D149="","",DAY(D149))</f>
        <v/>
      </c>
    </row>
    <row r="150">
      <c r="A150" s="15" t="n"/>
      <c r="B150" s="15" t="n"/>
      <c r="C150" s="15" t="n"/>
      <c r="D150" s="15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6">
        <f>IF(E150="","",E150-SUM(F150:L150))</f>
        <v/>
      </c>
      <c r="N150" s="21" t="n"/>
      <c r="O150" s="20">
        <f>IF(D150="","",MONTH(D150))</f>
        <v/>
      </c>
      <c r="P150" s="20">
        <f>IF(D150="","",YEAR(D150))</f>
        <v/>
      </c>
      <c r="Q150" s="20">
        <f>IF(D150="","",DAY(D150))</f>
        <v/>
      </c>
    </row>
    <row r="151">
      <c r="A151" s="15" t="n"/>
      <c r="B151" s="15" t="n"/>
      <c r="C151" s="15" t="n"/>
      <c r="D151" s="15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6">
        <f>IF(E151="","",E151-SUM(F151:L151))</f>
        <v/>
      </c>
      <c r="N151" s="21" t="n"/>
      <c r="O151" s="20">
        <f>IF(D151="","",MONTH(D151))</f>
        <v/>
      </c>
      <c r="P151" s="20">
        <f>IF(D151="","",YEAR(D151))</f>
        <v/>
      </c>
      <c r="Q151" s="20">
        <f>IF(D151="","",DAY(D151))</f>
        <v/>
      </c>
    </row>
    <row r="152">
      <c r="A152" s="15" t="n"/>
      <c r="B152" s="15" t="n"/>
      <c r="C152" s="15" t="n"/>
      <c r="D152" s="15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6">
        <f>IF(E152="","",E152-SUM(F152:L152))</f>
        <v/>
      </c>
      <c r="N152" s="21" t="n"/>
      <c r="O152" s="20">
        <f>IF(D152="","",MONTH(D152))</f>
        <v/>
      </c>
      <c r="P152" s="20">
        <f>IF(D152="","",YEAR(D152))</f>
        <v/>
      </c>
      <c r="Q152" s="20">
        <f>IF(D152="","",DAY(D152))</f>
        <v/>
      </c>
    </row>
    <row r="153">
      <c r="A153" s="15" t="n"/>
      <c r="B153" s="15" t="n"/>
      <c r="C153" s="15" t="n"/>
      <c r="D153" s="15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6">
        <f>IF(E153="","",E153-SUM(F153:L153))</f>
        <v/>
      </c>
      <c r="N153" s="21" t="n"/>
      <c r="O153" s="20">
        <f>IF(D153="","",MONTH(D153))</f>
        <v/>
      </c>
      <c r="P153" s="20">
        <f>IF(D153="","",YEAR(D153))</f>
        <v/>
      </c>
      <c r="Q153" s="20">
        <f>IF(D153="","",DAY(D153))</f>
        <v/>
      </c>
    </row>
    <row r="154">
      <c r="A154" s="15" t="n"/>
      <c r="B154" s="15" t="n"/>
      <c r="C154" s="15" t="n"/>
      <c r="D154" s="15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6">
        <f>IF(E154="","",E154-SUM(F154:L154))</f>
        <v/>
      </c>
      <c r="N154" s="21" t="n"/>
      <c r="O154" s="20">
        <f>IF(D154="","",MONTH(D154))</f>
        <v/>
      </c>
      <c r="P154" s="20">
        <f>IF(D154="","",YEAR(D154))</f>
        <v/>
      </c>
      <c r="Q154" s="20">
        <f>IF(D154="","",DAY(D154))</f>
        <v/>
      </c>
    </row>
    <row r="155">
      <c r="A155" s="15" t="n"/>
      <c r="B155" s="15" t="n"/>
      <c r="C155" s="15" t="n"/>
      <c r="D155" s="15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6">
        <f>IF(E155="","",E155-SUM(F155:L155))</f>
        <v/>
      </c>
      <c r="N155" s="21" t="n"/>
      <c r="O155" s="20">
        <f>IF(D155="","",MONTH(D155))</f>
        <v/>
      </c>
      <c r="P155" s="20">
        <f>IF(D155="","",YEAR(D155))</f>
        <v/>
      </c>
      <c r="Q155" s="20">
        <f>IF(D155="","",DAY(D155))</f>
        <v/>
      </c>
    </row>
    <row r="156">
      <c r="A156" s="15" t="n"/>
      <c r="B156" s="15" t="n"/>
      <c r="C156" s="15" t="n"/>
      <c r="D156" s="15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6">
        <f>IF(E156="","",E156-SUM(F156:L156))</f>
        <v/>
      </c>
      <c r="N156" s="21" t="n"/>
      <c r="O156" s="20">
        <f>IF(D156="","",MONTH(D156))</f>
        <v/>
      </c>
      <c r="P156" s="20">
        <f>IF(D156="","",YEAR(D156))</f>
        <v/>
      </c>
      <c r="Q156" s="20">
        <f>IF(D156="","",DAY(D156))</f>
        <v/>
      </c>
    </row>
    <row r="157">
      <c r="A157" s="15" t="n"/>
      <c r="B157" s="15" t="n"/>
      <c r="C157" s="15" t="n"/>
      <c r="D157" s="15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6">
        <f>IF(E157="","",E157-SUM(F157:L157))</f>
        <v/>
      </c>
      <c r="N157" s="21" t="n"/>
      <c r="O157" s="20">
        <f>IF(D157="","",MONTH(D157))</f>
        <v/>
      </c>
      <c r="P157" s="20">
        <f>IF(D157="","",YEAR(D157))</f>
        <v/>
      </c>
      <c r="Q157" s="20">
        <f>IF(D157="","",DAY(D157))</f>
        <v/>
      </c>
    </row>
    <row r="158">
      <c r="A158" s="15" t="n"/>
      <c r="B158" s="15" t="n"/>
      <c r="C158" s="15" t="n"/>
      <c r="D158" s="15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6">
        <f>IF(E158="","",E158-SUM(F158:L158))</f>
        <v/>
      </c>
      <c r="N158" s="21" t="n"/>
      <c r="O158" s="20">
        <f>IF(D158="","",MONTH(D158))</f>
        <v/>
      </c>
      <c r="P158" s="20">
        <f>IF(D158="","",YEAR(D158))</f>
        <v/>
      </c>
      <c r="Q158" s="20">
        <f>IF(D158="","",DAY(D158))</f>
        <v/>
      </c>
    </row>
    <row r="159">
      <c r="A159" s="15" t="n"/>
      <c r="B159" s="15" t="n"/>
      <c r="C159" s="15" t="n"/>
      <c r="D159" s="15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6">
        <f>IF(E159="","",E159-SUM(F159:L159))</f>
        <v/>
      </c>
      <c r="N159" s="21" t="n"/>
      <c r="O159" s="20">
        <f>IF(D159="","",MONTH(D159))</f>
        <v/>
      </c>
      <c r="P159" s="20">
        <f>IF(D159="","",YEAR(D159))</f>
        <v/>
      </c>
      <c r="Q159" s="20">
        <f>IF(D159="","",DAY(D159))</f>
        <v/>
      </c>
    </row>
    <row r="160">
      <c r="A160" s="15" t="n"/>
      <c r="B160" s="15" t="n"/>
      <c r="C160" s="15" t="n"/>
      <c r="D160" s="15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6">
        <f>IF(E160="","",E160-SUM(F160:L160))</f>
        <v/>
      </c>
      <c r="N160" s="21" t="n"/>
      <c r="O160" s="20">
        <f>IF(D160="","",MONTH(D160))</f>
        <v/>
      </c>
      <c r="P160" s="20">
        <f>IF(D160="","",YEAR(D160))</f>
        <v/>
      </c>
      <c r="Q160" s="20">
        <f>IF(D160="","",DAY(D160))</f>
        <v/>
      </c>
    </row>
    <row r="161">
      <c r="A161" s="15" t="n"/>
      <c r="B161" s="15" t="n"/>
      <c r="C161" s="15" t="n"/>
      <c r="D161" s="15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6">
        <f>IF(E161="","",E161-SUM(F161:L161))</f>
        <v/>
      </c>
      <c r="N161" s="21" t="n"/>
      <c r="O161" s="20">
        <f>IF(D161="","",MONTH(D161))</f>
        <v/>
      </c>
      <c r="P161" s="20">
        <f>IF(D161="","",YEAR(D161))</f>
        <v/>
      </c>
      <c r="Q161" s="20">
        <f>IF(D161="","",DAY(D161))</f>
        <v/>
      </c>
    </row>
    <row r="162">
      <c r="A162" s="15" t="n"/>
      <c r="B162" s="15" t="n"/>
      <c r="C162" s="15" t="n"/>
      <c r="D162" s="15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6">
        <f>IF(E162="","",E162-SUM(F162:L162))</f>
        <v/>
      </c>
      <c r="N162" s="21" t="n"/>
      <c r="O162" s="20">
        <f>IF(D162="","",MONTH(D162))</f>
        <v/>
      </c>
      <c r="P162" s="20">
        <f>IF(D162="","",YEAR(D162))</f>
        <v/>
      </c>
      <c r="Q162" s="20">
        <f>IF(D162="","",DAY(D162))</f>
        <v/>
      </c>
    </row>
    <row r="163">
      <c r="A163" s="15" t="n"/>
      <c r="B163" s="15" t="n"/>
      <c r="C163" s="15" t="n"/>
      <c r="D163" s="15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6">
        <f>IF(E163="","",E163-SUM(F163:L163))</f>
        <v/>
      </c>
      <c r="N163" s="21" t="n"/>
      <c r="O163" s="20">
        <f>IF(D163="","",MONTH(D163))</f>
        <v/>
      </c>
      <c r="P163" s="20">
        <f>IF(D163="","",YEAR(D163))</f>
        <v/>
      </c>
      <c r="Q163" s="20">
        <f>IF(D163="","",DAY(D163))</f>
        <v/>
      </c>
    </row>
    <row r="164">
      <c r="A164" s="15" t="n"/>
      <c r="B164" s="15" t="n"/>
      <c r="C164" s="15" t="n"/>
      <c r="D164" s="15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6">
        <f>IF(E164="","",E164-SUM(F164:L164))</f>
        <v/>
      </c>
      <c r="N164" s="21" t="n"/>
      <c r="O164" s="20">
        <f>IF(D164="","",MONTH(D164))</f>
        <v/>
      </c>
      <c r="P164" s="20">
        <f>IF(D164="","",YEAR(D164))</f>
        <v/>
      </c>
      <c r="Q164" s="20">
        <f>IF(D164="","",DAY(D164))</f>
        <v/>
      </c>
    </row>
    <row r="165">
      <c r="A165" s="15" t="n"/>
      <c r="B165" s="15" t="n"/>
      <c r="C165" s="15" t="n"/>
      <c r="D165" s="15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6">
        <f>IF(E165="","",E165-SUM(F165:L165))</f>
        <v/>
      </c>
      <c r="N165" s="21" t="n"/>
      <c r="O165" s="20">
        <f>IF(D165="","",MONTH(D165))</f>
        <v/>
      </c>
      <c r="P165" s="20">
        <f>IF(D165="","",YEAR(D165))</f>
        <v/>
      </c>
      <c r="Q165" s="20">
        <f>IF(D165="","",DAY(D165))</f>
        <v/>
      </c>
    </row>
    <row r="166">
      <c r="A166" s="15" t="n"/>
      <c r="B166" s="15" t="n"/>
      <c r="C166" s="15" t="n"/>
      <c r="D166" s="15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6">
        <f>IF(E166="","",E166-SUM(F166:L166))</f>
        <v/>
      </c>
      <c r="N166" s="21" t="n"/>
      <c r="O166" s="20">
        <f>IF(D166="","",MONTH(D166))</f>
        <v/>
      </c>
      <c r="P166" s="20">
        <f>IF(D166="","",YEAR(D166))</f>
        <v/>
      </c>
      <c r="Q166" s="20">
        <f>IF(D166="","",DAY(D166))</f>
        <v/>
      </c>
    </row>
    <row r="167">
      <c r="A167" s="15" t="n"/>
      <c r="B167" s="15" t="n"/>
      <c r="C167" s="15" t="n"/>
      <c r="D167" s="15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6">
        <f>IF(E167="","",E167-SUM(F167:L167))</f>
        <v/>
      </c>
      <c r="N167" s="21" t="n"/>
      <c r="O167" s="20">
        <f>IF(D167="","",MONTH(D167))</f>
        <v/>
      </c>
      <c r="P167" s="20">
        <f>IF(D167="","",YEAR(D167))</f>
        <v/>
      </c>
      <c r="Q167" s="20">
        <f>IF(D167="","",DAY(D167))</f>
        <v/>
      </c>
    </row>
    <row r="168">
      <c r="A168" s="15" t="n"/>
      <c r="B168" s="15" t="n"/>
      <c r="C168" s="15" t="n"/>
      <c r="D168" s="15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6">
        <f>IF(E168="","",E168-SUM(F168:L168))</f>
        <v/>
      </c>
      <c r="N168" s="21" t="n"/>
      <c r="O168" s="20">
        <f>IF(D168="","",MONTH(D168))</f>
        <v/>
      </c>
      <c r="P168" s="20">
        <f>IF(D168="","",YEAR(D168))</f>
        <v/>
      </c>
      <c r="Q168" s="20">
        <f>IF(D168="","",DAY(D168))</f>
        <v/>
      </c>
    </row>
    <row r="169">
      <c r="A169" s="15" t="n"/>
      <c r="B169" s="15" t="n"/>
      <c r="C169" s="15" t="n"/>
      <c r="D169" s="15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6">
        <f>IF(E169="","",E169-SUM(F169:L169))</f>
        <v/>
      </c>
      <c r="N169" s="21" t="n"/>
      <c r="O169" s="20">
        <f>IF(D169="","",MONTH(D169))</f>
        <v/>
      </c>
      <c r="P169" s="20">
        <f>IF(D169="","",YEAR(D169))</f>
        <v/>
      </c>
      <c r="Q169" s="20">
        <f>IF(D169="","",DAY(D169))</f>
        <v/>
      </c>
    </row>
    <row r="170">
      <c r="A170" s="15" t="n"/>
      <c r="B170" s="15" t="n"/>
      <c r="C170" s="15" t="n"/>
      <c r="D170" s="15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6">
        <f>IF(E170="","",E170-SUM(F170:L170))</f>
        <v/>
      </c>
      <c r="N170" s="21" t="n"/>
      <c r="O170" s="20">
        <f>IF(D170="","",MONTH(D170))</f>
        <v/>
      </c>
      <c r="P170" s="20">
        <f>IF(D170="","",YEAR(D170))</f>
        <v/>
      </c>
      <c r="Q170" s="20">
        <f>IF(D170="","",DAY(D170))</f>
        <v/>
      </c>
    </row>
    <row r="171">
      <c r="A171" s="15" t="n"/>
      <c r="B171" s="15" t="n"/>
      <c r="C171" s="15" t="n"/>
      <c r="D171" s="15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6">
        <f>IF(E171="","",E171-SUM(F171:L171))</f>
        <v/>
      </c>
      <c r="N171" s="21" t="n"/>
      <c r="O171" s="20">
        <f>IF(D171="","",MONTH(D171))</f>
        <v/>
      </c>
      <c r="P171" s="20">
        <f>IF(D171="","",YEAR(D171))</f>
        <v/>
      </c>
      <c r="Q171" s="20">
        <f>IF(D171="","",DAY(D171))</f>
        <v/>
      </c>
    </row>
    <row r="172">
      <c r="A172" s="15" t="n"/>
      <c r="B172" s="15" t="n"/>
      <c r="C172" s="15" t="n"/>
      <c r="D172" s="15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6">
        <f>IF(E172="","",E172-SUM(F172:L172))</f>
        <v/>
      </c>
      <c r="N172" s="21" t="n"/>
      <c r="O172" s="20">
        <f>IF(D172="","",MONTH(D172))</f>
        <v/>
      </c>
      <c r="P172" s="20">
        <f>IF(D172="","",YEAR(D172))</f>
        <v/>
      </c>
      <c r="Q172" s="20">
        <f>IF(D172="","",DAY(D172))</f>
        <v/>
      </c>
    </row>
    <row r="173">
      <c r="A173" s="15" t="n"/>
      <c r="B173" s="15" t="n"/>
      <c r="C173" s="15" t="n"/>
      <c r="D173" s="15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6">
        <f>IF(E173="","",E173-SUM(F173:L173))</f>
        <v/>
      </c>
      <c r="N173" s="21" t="n"/>
      <c r="O173" s="20">
        <f>IF(D173="","",MONTH(D173))</f>
        <v/>
      </c>
      <c r="P173" s="20">
        <f>IF(D173="","",YEAR(D173))</f>
        <v/>
      </c>
      <c r="Q173" s="20">
        <f>IF(D173="","",DAY(D173))</f>
        <v/>
      </c>
    </row>
    <row r="174">
      <c r="A174" s="15" t="n"/>
      <c r="B174" s="15" t="n"/>
      <c r="C174" s="15" t="n"/>
      <c r="D174" s="15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6">
        <f>IF(E174="","",E174-SUM(F174:L174))</f>
        <v/>
      </c>
      <c r="N174" s="21" t="n"/>
      <c r="O174" s="20">
        <f>IF(D174="","",MONTH(D174))</f>
        <v/>
      </c>
      <c r="P174" s="20">
        <f>IF(D174="","",YEAR(D174))</f>
        <v/>
      </c>
      <c r="Q174" s="20">
        <f>IF(D174="","",DAY(D174))</f>
        <v/>
      </c>
    </row>
    <row r="175">
      <c r="A175" s="15" t="n"/>
      <c r="B175" s="15" t="n"/>
      <c r="C175" s="15" t="n"/>
      <c r="D175" s="15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6">
        <f>IF(E175="","",E175-SUM(F175:L175))</f>
        <v/>
      </c>
      <c r="N175" s="21" t="n"/>
      <c r="O175" s="20">
        <f>IF(D175="","",MONTH(D175))</f>
        <v/>
      </c>
      <c r="P175" s="20">
        <f>IF(D175="","",YEAR(D175))</f>
        <v/>
      </c>
      <c r="Q175" s="20">
        <f>IF(D175="","",DAY(D175))</f>
        <v/>
      </c>
    </row>
    <row r="176">
      <c r="A176" s="15" t="n"/>
      <c r="B176" s="15" t="n"/>
      <c r="C176" s="15" t="n"/>
      <c r="D176" s="15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6">
        <f>IF(E176="","",E176-SUM(F176:L176))</f>
        <v/>
      </c>
      <c r="N176" s="21" t="n"/>
      <c r="O176" s="20">
        <f>IF(D176="","",MONTH(D176))</f>
        <v/>
      </c>
      <c r="P176" s="20">
        <f>IF(D176="","",YEAR(D176))</f>
        <v/>
      </c>
      <c r="Q176" s="20">
        <f>IF(D176="","",DAY(D176))</f>
        <v/>
      </c>
    </row>
    <row r="177">
      <c r="A177" s="15" t="n"/>
      <c r="B177" s="15" t="n"/>
      <c r="C177" s="15" t="n"/>
      <c r="D177" s="15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6">
        <f>IF(E177="","",E177-SUM(F177:L177))</f>
        <v/>
      </c>
      <c r="N177" s="21" t="n"/>
      <c r="O177" s="20">
        <f>IF(D177="","",MONTH(D177))</f>
        <v/>
      </c>
      <c r="P177" s="20">
        <f>IF(D177="","",YEAR(D177))</f>
        <v/>
      </c>
      <c r="Q177" s="20">
        <f>IF(D177="","",DAY(D177))</f>
        <v/>
      </c>
    </row>
    <row r="178">
      <c r="A178" s="15" t="n"/>
      <c r="B178" s="15" t="n"/>
      <c r="C178" s="15" t="n"/>
      <c r="D178" s="15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6">
        <f>IF(E178="","",E178-SUM(F178:L178))</f>
        <v/>
      </c>
      <c r="N178" s="21" t="n"/>
      <c r="O178" s="20">
        <f>IF(D178="","",MONTH(D178))</f>
        <v/>
      </c>
      <c r="P178" s="20">
        <f>IF(D178="","",YEAR(D178))</f>
        <v/>
      </c>
      <c r="Q178" s="20">
        <f>IF(D178="","",DAY(D178))</f>
        <v/>
      </c>
    </row>
    <row r="179">
      <c r="A179" s="15" t="n"/>
      <c r="B179" s="15" t="n"/>
      <c r="C179" s="15" t="n"/>
      <c r="D179" s="15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6">
        <f>IF(E179="","",E179-SUM(F179:L179))</f>
        <v/>
      </c>
      <c r="N179" s="21" t="n"/>
      <c r="O179" s="20">
        <f>IF(D179="","",MONTH(D179))</f>
        <v/>
      </c>
      <c r="P179" s="20">
        <f>IF(D179="","",YEAR(D179))</f>
        <v/>
      </c>
      <c r="Q179" s="20">
        <f>IF(D179="","",DAY(D179))</f>
        <v/>
      </c>
    </row>
    <row r="180">
      <c r="A180" s="15" t="n"/>
      <c r="B180" s="15" t="n"/>
      <c r="C180" s="15" t="n"/>
      <c r="D180" s="15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6">
        <f>IF(E180="","",E180-SUM(F180:L180))</f>
        <v/>
      </c>
      <c r="N180" s="21" t="n"/>
      <c r="O180" s="20">
        <f>IF(D180="","",MONTH(D180))</f>
        <v/>
      </c>
      <c r="P180" s="20">
        <f>IF(D180="","",YEAR(D180))</f>
        <v/>
      </c>
      <c r="Q180" s="20">
        <f>IF(D180="","",DAY(D180))</f>
        <v/>
      </c>
    </row>
    <row r="181">
      <c r="A181" s="15" t="n"/>
      <c r="B181" s="15" t="n"/>
      <c r="C181" s="15" t="n"/>
      <c r="D181" s="15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6">
        <f>IF(E181="","",E181-SUM(F181:L181))</f>
        <v/>
      </c>
      <c r="N181" s="21" t="n"/>
      <c r="O181" s="20">
        <f>IF(D181="","",MONTH(D181))</f>
        <v/>
      </c>
      <c r="P181" s="20">
        <f>IF(D181="","",YEAR(D181))</f>
        <v/>
      </c>
      <c r="Q181" s="20">
        <f>IF(D181="","",DAY(D181))</f>
        <v/>
      </c>
    </row>
    <row r="182">
      <c r="A182" s="15" t="n"/>
      <c r="B182" s="15" t="n"/>
      <c r="C182" s="15" t="n"/>
      <c r="D182" s="15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6">
        <f>IF(E182="","",E182-SUM(F182:L182))</f>
        <v/>
      </c>
      <c r="N182" s="21" t="n"/>
      <c r="O182" s="20">
        <f>IF(D182="","",MONTH(D182))</f>
        <v/>
      </c>
      <c r="P182" s="20">
        <f>IF(D182="","",YEAR(D182))</f>
        <v/>
      </c>
      <c r="Q182" s="20">
        <f>IF(D182="","",DAY(D182))</f>
        <v/>
      </c>
    </row>
    <row r="183">
      <c r="A183" s="15" t="n"/>
      <c r="B183" s="15" t="n"/>
      <c r="C183" s="15" t="n"/>
      <c r="D183" s="15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6">
        <f>IF(E183="","",E183-SUM(F183:L183))</f>
        <v/>
      </c>
      <c r="N183" s="21" t="n"/>
      <c r="O183" s="20">
        <f>IF(D183="","",MONTH(D183))</f>
        <v/>
      </c>
      <c r="P183" s="20">
        <f>IF(D183="","",YEAR(D183))</f>
        <v/>
      </c>
      <c r="Q183" s="20">
        <f>IF(D183="","",DAY(D183))</f>
        <v/>
      </c>
    </row>
    <row r="184">
      <c r="A184" s="15" t="n"/>
      <c r="B184" s="15" t="n"/>
      <c r="C184" s="15" t="n"/>
      <c r="D184" s="15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6">
        <f>IF(E184="","",E184-SUM(F184:L184))</f>
        <v/>
      </c>
      <c r="N184" s="21" t="n"/>
      <c r="O184" s="20">
        <f>IF(D184="","",MONTH(D184))</f>
        <v/>
      </c>
      <c r="P184" s="20">
        <f>IF(D184="","",YEAR(D184))</f>
        <v/>
      </c>
      <c r="Q184" s="20">
        <f>IF(D184="","",DAY(D184))</f>
        <v/>
      </c>
    </row>
    <row r="185">
      <c r="A185" s="15" t="n"/>
      <c r="B185" s="15" t="n"/>
      <c r="C185" s="15" t="n"/>
      <c r="D185" s="15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6">
        <f>IF(E185="","",E185-SUM(F185:L185))</f>
        <v/>
      </c>
      <c r="N185" s="21" t="n"/>
      <c r="O185" s="20">
        <f>IF(D185="","",MONTH(D185))</f>
        <v/>
      </c>
      <c r="P185" s="20">
        <f>IF(D185="","",YEAR(D185))</f>
        <v/>
      </c>
      <c r="Q185" s="20">
        <f>IF(D185="","",DAY(D185))</f>
        <v/>
      </c>
    </row>
    <row r="186">
      <c r="A186" s="15" t="n"/>
      <c r="B186" s="15" t="n"/>
      <c r="C186" s="15" t="n"/>
      <c r="D186" s="15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6">
        <f>IF(E186="","",E186-SUM(F186:L186))</f>
        <v/>
      </c>
      <c r="N186" s="21" t="n"/>
      <c r="O186" s="20">
        <f>IF(D186="","",MONTH(D186))</f>
        <v/>
      </c>
      <c r="P186" s="20">
        <f>IF(D186="","",YEAR(D186))</f>
        <v/>
      </c>
      <c r="Q186" s="20">
        <f>IF(D186="","",DAY(D186))</f>
        <v/>
      </c>
    </row>
    <row r="187">
      <c r="A187" s="15" t="n"/>
      <c r="B187" s="15" t="n"/>
      <c r="C187" s="15" t="n"/>
      <c r="D187" s="15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6">
        <f>IF(E187="","",E187-SUM(F187:L187))</f>
        <v/>
      </c>
      <c r="N187" s="21" t="n"/>
      <c r="O187" s="20">
        <f>IF(D187="","",MONTH(D187))</f>
        <v/>
      </c>
      <c r="P187" s="20">
        <f>IF(D187="","",YEAR(D187))</f>
        <v/>
      </c>
      <c r="Q187" s="20">
        <f>IF(D187="","",DAY(D187))</f>
        <v/>
      </c>
    </row>
    <row r="188">
      <c r="A188" s="15" t="n"/>
      <c r="B188" s="15" t="n"/>
      <c r="C188" s="15" t="n"/>
      <c r="D188" s="15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6">
        <f>IF(E188="","",E188-SUM(F188:L188))</f>
        <v/>
      </c>
      <c r="N188" s="21" t="n"/>
      <c r="O188" s="20">
        <f>IF(D188="","",MONTH(D188))</f>
        <v/>
      </c>
      <c r="P188" s="20">
        <f>IF(D188="","",YEAR(D188))</f>
        <v/>
      </c>
      <c r="Q188" s="20">
        <f>IF(D188="","",DAY(D188))</f>
        <v/>
      </c>
    </row>
    <row r="189">
      <c r="A189" s="15" t="n"/>
      <c r="B189" s="15" t="n"/>
      <c r="C189" s="15" t="n"/>
      <c r="D189" s="15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6">
        <f>IF(E189="","",E189-SUM(F189:L189))</f>
        <v/>
      </c>
      <c r="N189" s="21" t="n"/>
      <c r="O189" s="20">
        <f>IF(D189="","",MONTH(D189))</f>
        <v/>
      </c>
      <c r="P189" s="20">
        <f>IF(D189="","",YEAR(D189))</f>
        <v/>
      </c>
      <c r="Q189" s="20">
        <f>IF(D189="","",DAY(D189))</f>
        <v/>
      </c>
    </row>
    <row r="190">
      <c r="A190" s="15" t="n"/>
      <c r="B190" s="15" t="n"/>
      <c r="C190" s="15" t="n"/>
      <c r="D190" s="15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6">
        <f>IF(E190="","",E190-SUM(F190:L190))</f>
        <v/>
      </c>
      <c r="N190" s="21" t="n"/>
      <c r="O190" s="20">
        <f>IF(D190="","",MONTH(D190))</f>
        <v/>
      </c>
      <c r="P190" s="20">
        <f>IF(D190="","",YEAR(D190))</f>
        <v/>
      </c>
      <c r="Q190" s="20">
        <f>IF(D190="","",DAY(D190))</f>
        <v/>
      </c>
    </row>
    <row r="191">
      <c r="A191" s="15" t="n"/>
      <c r="B191" s="15" t="n"/>
      <c r="C191" s="15" t="n"/>
      <c r="D191" s="15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6">
        <f>IF(E191="","",E191-SUM(F191:L191))</f>
        <v/>
      </c>
      <c r="N191" s="21" t="n"/>
      <c r="O191" s="20">
        <f>IF(D191="","",MONTH(D191))</f>
        <v/>
      </c>
      <c r="P191" s="20">
        <f>IF(D191="","",YEAR(D191))</f>
        <v/>
      </c>
      <c r="Q191" s="20">
        <f>IF(D191="","",DAY(D191))</f>
        <v/>
      </c>
    </row>
    <row r="192">
      <c r="A192" s="15" t="n"/>
      <c r="B192" s="15" t="n"/>
      <c r="C192" s="15" t="n"/>
      <c r="D192" s="15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6">
        <f>IF(E192="","",E192-SUM(F192:L192))</f>
        <v/>
      </c>
      <c r="N192" s="21" t="n"/>
      <c r="O192" s="20">
        <f>IF(D192="","",MONTH(D192))</f>
        <v/>
      </c>
      <c r="P192" s="20">
        <f>IF(D192="","",YEAR(D192))</f>
        <v/>
      </c>
      <c r="Q192" s="20">
        <f>IF(D192="","",DAY(D192))</f>
        <v/>
      </c>
    </row>
    <row r="193">
      <c r="A193" s="15" t="n"/>
      <c r="B193" s="15" t="n"/>
      <c r="C193" s="15" t="n"/>
      <c r="D193" s="15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6">
        <f>IF(E193="","",E193-SUM(F193:L193))</f>
        <v/>
      </c>
      <c r="N193" s="21" t="n"/>
      <c r="O193" s="20">
        <f>IF(D193="","",MONTH(D193))</f>
        <v/>
      </c>
      <c r="P193" s="20">
        <f>IF(D193="","",YEAR(D193))</f>
        <v/>
      </c>
      <c r="Q193" s="20">
        <f>IF(D193="","",DAY(D193))</f>
        <v/>
      </c>
    </row>
    <row r="194">
      <c r="A194" s="15" t="n"/>
      <c r="B194" s="15" t="n"/>
      <c r="C194" s="15" t="n"/>
      <c r="D194" s="15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6">
        <f>IF(E194="","",E194-SUM(F194:L194))</f>
        <v/>
      </c>
      <c r="N194" s="21" t="n"/>
      <c r="O194" s="20">
        <f>IF(D194="","",MONTH(D194))</f>
        <v/>
      </c>
      <c r="P194" s="20">
        <f>IF(D194="","",YEAR(D194))</f>
        <v/>
      </c>
      <c r="Q194" s="20">
        <f>IF(D194="","",DAY(D194))</f>
        <v/>
      </c>
    </row>
    <row r="195">
      <c r="A195" s="15" t="n"/>
      <c r="B195" s="15" t="n"/>
      <c r="C195" s="15" t="n"/>
      <c r="D195" s="15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6">
        <f>IF(E195="","",E195-SUM(F195:L195))</f>
        <v/>
      </c>
      <c r="N195" s="21" t="n"/>
      <c r="O195" s="20">
        <f>IF(D195="","",MONTH(D195))</f>
        <v/>
      </c>
      <c r="P195" s="20">
        <f>IF(D195="","",YEAR(D195))</f>
        <v/>
      </c>
      <c r="Q195" s="20">
        <f>IF(D195="","",DAY(D195))</f>
        <v/>
      </c>
    </row>
    <row r="196">
      <c r="A196" s="15" t="n"/>
      <c r="B196" s="15" t="n"/>
      <c r="C196" s="15" t="n"/>
      <c r="D196" s="15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6">
        <f>IF(E196="","",E196-SUM(F196:L196))</f>
        <v/>
      </c>
      <c r="N196" s="21" t="n"/>
      <c r="O196" s="20">
        <f>IF(D196="","",MONTH(D196))</f>
        <v/>
      </c>
      <c r="P196" s="20">
        <f>IF(D196="","",YEAR(D196))</f>
        <v/>
      </c>
      <c r="Q196" s="20">
        <f>IF(D196="","",DAY(D196))</f>
        <v/>
      </c>
    </row>
    <row r="197">
      <c r="A197" s="15" t="n"/>
      <c r="B197" s="15" t="n"/>
      <c r="C197" s="15" t="n"/>
      <c r="D197" s="15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6">
        <f>IF(E197="","",E197-SUM(F197:L197))</f>
        <v/>
      </c>
      <c r="N197" s="21" t="n"/>
      <c r="O197" s="20">
        <f>IF(D197="","",MONTH(D197))</f>
        <v/>
      </c>
      <c r="P197" s="20">
        <f>IF(D197="","",YEAR(D197))</f>
        <v/>
      </c>
      <c r="Q197" s="20">
        <f>IF(D197="","",DAY(D197))</f>
        <v/>
      </c>
    </row>
    <row r="198">
      <c r="A198" s="15" t="n"/>
      <c r="B198" s="15" t="n"/>
      <c r="C198" s="15" t="n"/>
      <c r="D198" s="15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6">
        <f>IF(E198="","",E198-SUM(F198:L198))</f>
        <v/>
      </c>
      <c r="N198" s="21" t="n"/>
      <c r="O198" s="20">
        <f>IF(D198="","",MONTH(D198))</f>
        <v/>
      </c>
      <c r="P198" s="20">
        <f>IF(D198="","",YEAR(D198))</f>
        <v/>
      </c>
      <c r="Q198" s="20">
        <f>IF(D198="","",DAY(D198))</f>
        <v/>
      </c>
    </row>
    <row r="199">
      <c r="A199" s="15" t="n"/>
      <c r="B199" s="15" t="n"/>
      <c r="C199" s="15" t="n"/>
      <c r="D199" s="15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6">
        <f>IF(E199="","",E199-SUM(F199:L199))</f>
        <v/>
      </c>
      <c r="N199" s="21" t="n"/>
      <c r="O199" s="20">
        <f>IF(D199="","",MONTH(D199))</f>
        <v/>
      </c>
      <c r="P199" s="20">
        <f>IF(D199="","",YEAR(D199))</f>
        <v/>
      </c>
      <c r="Q199" s="20">
        <f>IF(D199="","",DAY(D199))</f>
        <v/>
      </c>
    </row>
    <row r="200">
      <c r="A200" s="15" t="n"/>
      <c r="B200" s="15" t="n"/>
      <c r="C200" s="15" t="n"/>
      <c r="D200" s="15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6">
        <f>IF(E200="","",E200-SUM(F200:L200))</f>
        <v/>
      </c>
      <c r="N200" s="21" t="n"/>
      <c r="O200" s="20">
        <f>IF(D200="","",MONTH(D200))</f>
        <v/>
      </c>
      <c r="P200" s="20">
        <f>IF(D200="","",YEAR(D200))</f>
        <v/>
      </c>
      <c r="Q200" s="20">
        <f>IF(D200="","",DAY(D200))</f>
        <v/>
      </c>
    </row>
    <row r="201">
      <c r="A201" s="15" t="n"/>
      <c r="B201" s="15" t="n"/>
      <c r="C201" s="15" t="n"/>
      <c r="D201" s="15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6">
        <f>IF(E201="","",E201-SUM(F201:L201))</f>
        <v/>
      </c>
      <c r="N201" s="21" t="n"/>
      <c r="O201" s="20">
        <f>IF(D201="","",MONTH(D201))</f>
        <v/>
      </c>
      <c r="P201" s="20">
        <f>IF(D201="","",YEAR(D201))</f>
        <v/>
      </c>
      <c r="Q201" s="20">
        <f>IF(D201="","",DAY(D201))</f>
        <v/>
      </c>
    </row>
    <row r="202">
      <c r="A202" s="15" t="n"/>
      <c r="B202" s="15" t="n"/>
      <c r="C202" s="15" t="n"/>
      <c r="D202" s="15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6">
        <f>IF(E202="","",E202-SUM(F202:L202))</f>
        <v/>
      </c>
      <c r="N202" s="21" t="n"/>
      <c r="O202" s="20">
        <f>IF(D202="","",MONTH(D202))</f>
        <v/>
      </c>
      <c r="P202" s="20">
        <f>IF(D202="","",YEAR(D202))</f>
        <v/>
      </c>
      <c r="Q202" s="20">
        <f>IF(D202="","",DAY(D202))</f>
        <v/>
      </c>
    </row>
    <row r="203">
      <c r="A203" s="15" t="n"/>
      <c r="B203" s="15" t="n"/>
      <c r="C203" s="15" t="n"/>
      <c r="D203" s="15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6">
        <f>IF(E203="","",E203-SUM(F203:L203))</f>
        <v/>
      </c>
      <c r="N203" s="21" t="n"/>
      <c r="O203" s="20">
        <f>IF(D203="","",MONTH(D203))</f>
        <v/>
      </c>
      <c r="P203" s="20">
        <f>IF(D203="","",YEAR(D203))</f>
        <v/>
      </c>
      <c r="Q203" s="20">
        <f>IF(D203="","",DAY(D203))</f>
        <v/>
      </c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3:Q203"/>
  <mergeCells count="2">
    <mergeCell ref="A2:Q2"/>
    <mergeCell ref="A1:Q1"/>
  </mergeCells>
  <dataValidations count="3">
    <dataValidation sqref="A4:A203" showDropDown="0" showInputMessage="0" showErrorMessage="1" allowBlank="1" type="list">
      <formula1>L_Family_Members</formula1>
    </dataValidation>
    <dataValidation sqref="B4:B203" showDropDown="0" showInputMessage="0" showErrorMessage="1" allowBlank="1" type="list">
      <formula1>L_Income_Sources</formula1>
    </dataValidation>
    <dataValidation sqref="C4:C203" showDropDown="0" showInputMessage="0" showErrorMessage="1" allowBlank="1" type="list">
      <formula1>L_Pay_Frequencies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20" customWidth="1" min="4" max="4"/>
    <col width="22" customWidth="1" min="5" max="5"/>
    <col width="11" customWidth="1" min="6" max="6"/>
    <col width="15" customWidth="1" min="7" max="7"/>
    <col width="12" customWidth="1" min="8" max="8"/>
    <col width="11" customWidth="1" min="9" max="9"/>
    <col width="10" customWidth="1" min="10" max="10"/>
    <col width="14" customWidth="1" min="11" max="11"/>
    <col width="28" customWidth="1" min="12" max="12"/>
    <col width="11" customWidth="1" min="13" max="13"/>
    <col width="11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1" t="inlineStr">
        <is>
          <t>💳 Transaction Ledger</t>
        </is>
      </c>
    </row>
    <row r="2" ht="28" customHeight="1">
      <c r="A2" s="2" t="inlineStr">
        <is>
          <t>Your single source of truth. Enter each transaction once — the Dashboard, Budget and Analytics read from here. Cream cells are input.</t>
        </is>
      </c>
    </row>
    <row r="3">
      <c r="A3" s="14" t="inlineStr">
        <is>
          <t>Date</t>
        </is>
      </c>
      <c r="B3" s="14" t="inlineStr">
        <is>
          <t>Type</t>
        </is>
      </c>
      <c r="C3" s="14" t="inlineStr">
        <is>
          <t>Category</t>
        </is>
      </c>
      <c r="D3" s="14" t="inlineStr">
        <is>
          <t>Subcategory</t>
        </is>
      </c>
      <c r="E3" s="14" t="inlineStr">
        <is>
          <t>Merchant</t>
        </is>
      </c>
      <c r="F3" s="14" t="inlineStr">
        <is>
          <t>Amount</t>
        </is>
      </c>
      <c r="G3" s="14" t="inlineStr">
        <is>
          <t>Account</t>
        </is>
      </c>
      <c r="H3" s="14" t="inlineStr">
        <is>
          <t>Payment Method</t>
        </is>
      </c>
      <c r="I3" s="14" t="inlineStr">
        <is>
          <t>Family Member</t>
        </is>
      </c>
      <c r="J3" s="14" t="inlineStr">
        <is>
          <t>Recurring?</t>
        </is>
      </c>
      <c r="K3" s="14" t="inlineStr">
        <is>
          <t>Ess/Discretionary</t>
        </is>
      </c>
      <c r="L3" s="14" t="inlineStr">
        <is>
          <t>Notes</t>
        </is>
      </c>
      <c r="M3" s="14" t="inlineStr">
        <is>
          <t>Tax Deductible?</t>
        </is>
      </c>
      <c r="N3" s="14" t="inlineStr">
        <is>
          <t>Reimbursable?</t>
        </is>
      </c>
      <c r="O3" s="14" t="inlineStr">
        <is>
          <t>Month</t>
        </is>
      </c>
      <c r="P3" s="14" t="inlineStr">
        <is>
          <t>Year</t>
        </is>
      </c>
      <c r="Q3" s="14" t="inlineStr">
        <is>
          <t>Day</t>
        </is>
      </c>
    </row>
    <row r="4">
      <c r="A4" s="18" t="n">
        <v>46086</v>
      </c>
      <c r="B4" s="15" t="inlineStr">
        <is>
          <t>Expense</t>
        </is>
      </c>
      <c r="C4" s="15" t="inlineStr">
        <is>
          <t>Housing</t>
        </is>
      </c>
      <c r="D4" s="15" t="inlineStr">
        <is>
          <t>Utilities</t>
        </is>
      </c>
      <c r="E4" s="15" t="inlineStr">
        <is>
          <t>Water &amp; Sewer</t>
        </is>
      </c>
      <c r="F4" s="19" t="n">
        <v>52.67</v>
      </c>
      <c r="G4" s="15" t="inlineStr">
        <is>
          <t>Checking</t>
        </is>
      </c>
      <c r="H4" s="15" t="inlineStr">
        <is>
          <t>Checking</t>
        </is>
      </c>
      <c r="I4" s="15" t="inlineStr">
        <is>
          <t>Parent 2</t>
        </is>
      </c>
      <c r="J4" s="15" t="inlineStr">
        <is>
          <t>No</t>
        </is>
      </c>
      <c r="K4" s="15" t="inlineStr">
        <is>
          <t>Essential</t>
        </is>
      </c>
      <c r="L4" s="21" t="inlineStr"/>
      <c r="M4" s="15" t="inlineStr">
        <is>
          <t>No</t>
        </is>
      </c>
      <c r="N4" s="15" t="inlineStr">
        <is>
          <t>No</t>
        </is>
      </c>
      <c r="O4" s="20">
        <f>IF(A4="","",MONTH(A4))</f>
        <v/>
      </c>
      <c r="P4" s="20">
        <f>IF(A4="","",YEAR(A4))</f>
        <v/>
      </c>
      <c r="Q4" s="20">
        <f>IF(A4="","",DAY(A4))</f>
        <v/>
      </c>
    </row>
    <row r="5">
      <c r="A5" s="18" t="n">
        <v>46087</v>
      </c>
      <c r="B5" s="15" t="inlineStr">
        <is>
          <t>Expense</t>
        </is>
      </c>
      <c r="C5" s="15" t="inlineStr">
        <is>
          <t>Family</t>
        </is>
      </c>
      <c r="D5" s="15" t="inlineStr">
        <is>
          <t>Baby Expenses</t>
        </is>
      </c>
      <c r="E5" s="15" t="inlineStr">
        <is>
          <t>Buy Buy Baby</t>
        </is>
      </c>
      <c r="F5" s="19" t="n">
        <v>44.26</v>
      </c>
      <c r="G5" s="15" t="inlineStr">
        <is>
          <t>HYSA</t>
        </is>
      </c>
      <c r="H5" s="15" t="inlineStr">
        <is>
          <t>Cash</t>
        </is>
      </c>
      <c r="I5" s="15" t="inlineStr">
        <is>
          <t>Household</t>
        </is>
      </c>
      <c r="J5" s="15" t="inlineStr">
        <is>
          <t>No</t>
        </is>
      </c>
      <c r="K5" s="15" t="inlineStr">
        <is>
          <t>Discretionary</t>
        </is>
      </c>
      <c r="L5" s="21" t="inlineStr"/>
      <c r="M5" s="15" t="inlineStr">
        <is>
          <t>No</t>
        </is>
      </c>
      <c r="N5" s="15" t="inlineStr">
        <is>
          <t>No</t>
        </is>
      </c>
      <c r="O5" s="20">
        <f>IF(A5="","",MONTH(A5))</f>
        <v/>
      </c>
      <c r="P5" s="20">
        <f>IF(A5="","",YEAR(A5))</f>
        <v/>
      </c>
      <c r="Q5" s="20">
        <f>IF(A5="","",DAY(A5))</f>
        <v/>
      </c>
    </row>
    <row r="6">
      <c r="A6" s="18" t="n">
        <v>46087</v>
      </c>
      <c r="B6" s="15" t="inlineStr">
        <is>
          <t>Expense</t>
        </is>
      </c>
      <c r="C6" s="15" t="inlineStr">
        <is>
          <t>Financial</t>
        </is>
      </c>
      <c r="D6" s="15" t="inlineStr">
        <is>
          <t>Retirement</t>
        </is>
      </c>
      <c r="E6" s="15" t="inlineStr">
        <is>
          <t>401(k) Contribution</t>
        </is>
      </c>
      <c r="F6" s="19" t="n">
        <v>518.71</v>
      </c>
      <c r="G6" s="15" t="inlineStr">
        <is>
          <t>Credit Card</t>
        </is>
      </c>
      <c r="H6" s="15" t="inlineStr">
        <is>
          <t>Credit Card</t>
        </is>
      </c>
      <c r="I6" s="15" t="inlineStr">
        <is>
          <t>Household</t>
        </is>
      </c>
      <c r="J6" s="15" t="inlineStr">
        <is>
          <t>Yes</t>
        </is>
      </c>
      <c r="K6" s="15" t="inlineStr">
        <is>
          <t>Essential</t>
        </is>
      </c>
      <c r="L6" s="21" t="inlineStr"/>
      <c r="M6" s="15" t="inlineStr">
        <is>
          <t>No</t>
        </is>
      </c>
      <c r="N6" s="15" t="inlineStr">
        <is>
          <t>No</t>
        </is>
      </c>
      <c r="O6" s="20">
        <f>IF(A6="","",MONTH(A6))</f>
        <v/>
      </c>
      <c r="P6" s="20">
        <f>IF(A6="","",YEAR(A6))</f>
        <v/>
      </c>
      <c r="Q6" s="20">
        <f>IF(A6="","",DAY(A6))</f>
        <v/>
      </c>
    </row>
    <row r="7">
      <c r="A7" s="18" t="n">
        <v>46088</v>
      </c>
      <c r="B7" s="15" t="inlineStr">
        <is>
          <t>Expense</t>
        </is>
      </c>
      <c r="C7" s="15" t="inlineStr">
        <is>
          <t>Housing</t>
        </is>
      </c>
      <c r="D7" s="15" t="inlineStr">
        <is>
          <t>Repairs/Maintenance</t>
        </is>
      </c>
      <c r="E7" s="15" t="inlineStr">
        <is>
          <t>Handyman</t>
        </is>
      </c>
      <c r="F7" s="19" t="n">
        <v>129.99</v>
      </c>
      <c r="G7" s="15" t="inlineStr">
        <is>
          <t>Checking</t>
        </is>
      </c>
      <c r="H7" s="15" t="inlineStr">
        <is>
          <t>Checking</t>
        </is>
      </c>
      <c r="I7" s="15" t="inlineStr">
        <is>
          <t>Parent 1</t>
        </is>
      </c>
      <c r="J7" s="15" t="inlineStr">
        <is>
          <t>No</t>
        </is>
      </c>
      <c r="K7" s="15" t="inlineStr">
        <is>
          <t>Discretionary</t>
        </is>
      </c>
      <c r="L7" s="21" t="inlineStr"/>
      <c r="M7" s="15" t="inlineStr">
        <is>
          <t>No</t>
        </is>
      </c>
      <c r="N7" s="15" t="inlineStr">
        <is>
          <t>No</t>
        </is>
      </c>
      <c r="O7" s="20">
        <f>IF(A7="","",MONTH(A7))</f>
        <v/>
      </c>
      <c r="P7" s="20">
        <f>IF(A7="","",YEAR(A7))</f>
        <v/>
      </c>
      <c r="Q7" s="20">
        <f>IF(A7="","",DAY(A7))</f>
        <v/>
      </c>
    </row>
    <row r="8">
      <c r="A8" s="18" t="n">
        <v>46088</v>
      </c>
      <c r="B8" s="15" t="inlineStr">
        <is>
          <t>Expense</t>
        </is>
      </c>
      <c r="C8" s="15" t="inlineStr">
        <is>
          <t>Healthcare</t>
        </is>
      </c>
      <c r="D8" s="15" t="inlineStr">
        <is>
          <t>Health Insurance</t>
        </is>
      </c>
      <c r="E8" s="15" t="inlineStr">
        <is>
          <t>BCBS</t>
        </is>
      </c>
      <c r="F8" s="19" t="n">
        <v>46.82</v>
      </c>
      <c r="G8" s="15" t="inlineStr">
        <is>
          <t>HYSA</t>
        </is>
      </c>
      <c r="H8" s="15" t="inlineStr">
        <is>
          <t>Cash</t>
        </is>
      </c>
      <c r="I8" s="15" t="inlineStr">
        <is>
          <t>Parent 1</t>
        </is>
      </c>
      <c r="J8" s="15" t="inlineStr">
        <is>
          <t>No</t>
        </is>
      </c>
      <c r="K8" s="15" t="inlineStr">
        <is>
          <t>Discretionary</t>
        </is>
      </c>
      <c r="L8" s="21" t="inlineStr"/>
      <c r="M8" s="15" t="inlineStr">
        <is>
          <t>No</t>
        </is>
      </c>
      <c r="N8" s="15" t="inlineStr">
        <is>
          <t>No</t>
        </is>
      </c>
      <c r="O8" s="20">
        <f>IF(A8="","",MONTH(A8))</f>
        <v/>
      </c>
      <c r="P8" s="20">
        <f>IF(A8="","",YEAR(A8))</f>
        <v/>
      </c>
      <c r="Q8" s="20">
        <f>IF(A8="","",DAY(A8))</f>
        <v/>
      </c>
    </row>
    <row r="9">
      <c r="A9" s="18" t="n">
        <v>46089</v>
      </c>
      <c r="B9" s="15" t="inlineStr">
        <is>
          <t>Expense</t>
        </is>
      </c>
      <c r="C9" s="15" t="inlineStr">
        <is>
          <t>Housing</t>
        </is>
      </c>
      <c r="D9" s="15" t="inlineStr">
        <is>
          <t>Mortgage/Rent</t>
        </is>
      </c>
      <c r="E9" s="15" t="inlineStr">
        <is>
          <t>Home Mortgage</t>
        </is>
      </c>
      <c r="F9" s="19" t="n">
        <v>23.15</v>
      </c>
      <c r="G9" s="15" t="inlineStr">
        <is>
          <t>HYSA</t>
        </is>
      </c>
      <c r="H9" s="15" t="inlineStr">
        <is>
          <t>Cash</t>
        </is>
      </c>
      <c r="I9" s="15" t="inlineStr">
        <is>
          <t>Parent 2</t>
        </is>
      </c>
      <c r="J9" s="15" t="inlineStr">
        <is>
          <t>No</t>
        </is>
      </c>
      <c r="K9" s="15" t="inlineStr">
        <is>
          <t>Discretionary</t>
        </is>
      </c>
      <c r="L9" s="21" t="inlineStr"/>
      <c r="M9" s="15" t="inlineStr">
        <is>
          <t>No</t>
        </is>
      </c>
      <c r="N9" s="15" t="inlineStr">
        <is>
          <t>No</t>
        </is>
      </c>
      <c r="O9" s="20">
        <f>IF(A9="","",MONTH(A9))</f>
        <v/>
      </c>
      <c r="P9" s="20">
        <f>IF(A9="","",YEAR(A9))</f>
        <v/>
      </c>
      <c r="Q9" s="20">
        <f>IF(A9="","",DAY(A9))</f>
        <v/>
      </c>
    </row>
    <row r="10">
      <c r="A10" s="18" t="n">
        <v>46089</v>
      </c>
      <c r="B10" s="15" t="inlineStr">
        <is>
          <t>Expense</t>
        </is>
      </c>
      <c r="C10" s="15" t="inlineStr">
        <is>
          <t>Lifestyle</t>
        </is>
      </c>
      <c r="D10" s="15" t="inlineStr">
        <is>
          <t>Personal Care</t>
        </is>
      </c>
      <c r="E10" s="15" t="inlineStr">
        <is>
          <t>Ulta</t>
        </is>
      </c>
      <c r="F10" s="19" t="n">
        <v>41.79</v>
      </c>
      <c r="G10" s="15" t="inlineStr">
        <is>
          <t>Checking</t>
        </is>
      </c>
      <c r="H10" s="15" t="inlineStr">
        <is>
          <t>Checking</t>
        </is>
      </c>
      <c r="I10" s="15" t="inlineStr">
        <is>
          <t>Household</t>
        </is>
      </c>
      <c r="J10" s="15" t="inlineStr">
        <is>
          <t>No</t>
        </is>
      </c>
      <c r="K10" s="15" t="inlineStr">
        <is>
          <t>Discretionary</t>
        </is>
      </c>
      <c r="L10" s="21" t="inlineStr"/>
      <c r="M10" s="15" t="inlineStr">
        <is>
          <t>No</t>
        </is>
      </c>
      <c r="N10" s="15" t="inlineStr">
        <is>
          <t>No</t>
        </is>
      </c>
      <c r="O10" s="20">
        <f>IF(A10="","",MONTH(A10))</f>
        <v/>
      </c>
      <c r="P10" s="20">
        <f>IF(A10="","",YEAR(A10))</f>
        <v/>
      </c>
      <c r="Q10" s="20">
        <f>IF(A10="","",DAY(A10))</f>
        <v/>
      </c>
    </row>
    <row r="11">
      <c r="A11" s="18" t="n">
        <v>46090</v>
      </c>
      <c r="B11" s="15" t="inlineStr">
        <is>
          <t>Expense</t>
        </is>
      </c>
      <c r="C11" s="15" t="inlineStr">
        <is>
          <t>Food</t>
        </is>
      </c>
      <c r="D11" s="15" t="inlineStr">
        <is>
          <t>Groceries</t>
        </is>
      </c>
      <c r="E11" s="15" t="inlineStr">
        <is>
          <t>Kroger</t>
        </is>
      </c>
      <c r="F11" s="19" t="n">
        <v>38.88</v>
      </c>
      <c r="G11" s="15" t="inlineStr">
        <is>
          <t>Credit Card</t>
        </is>
      </c>
      <c r="H11" s="15" t="inlineStr">
        <is>
          <t>Credit Card</t>
        </is>
      </c>
      <c r="I11" s="15" t="inlineStr">
        <is>
          <t>Household</t>
        </is>
      </c>
      <c r="J11" s="15" t="inlineStr">
        <is>
          <t>No</t>
        </is>
      </c>
      <c r="K11" s="15" t="inlineStr">
        <is>
          <t>Discretionary</t>
        </is>
      </c>
      <c r="L11" s="21" t="inlineStr"/>
      <c r="M11" s="15" t="inlineStr">
        <is>
          <t>No</t>
        </is>
      </c>
      <c r="N11" s="15" t="inlineStr">
        <is>
          <t>No</t>
        </is>
      </c>
      <c r="O11" s="20">
        <f>IF(A11="","",MONTH(A11))</f>
        <v/>
      </c>
      <c r="P11" s="20">
        <f>IF(A11="","",YEAR(A11))</f>
        <v/>
      </c>
      <c r="Q11" s="20">
        <f>IF(A11="","",DAY(A11))</f>
        <v/>
      </c>
    </row>
    <row r="12">
      <c r="A12" s="18" t="n">
        <v>46090</v>
      </c>
      <c r="B12" s="15" t="inlineStr">
        <is>
          <t>Expense</t>
        </is>
      </c>
      <c r="C12" s="15" t="inlineStr">
        <is>
          <t>Lifestyle</t>
        </is>
      </c>
      <c r="D12" s="15" t="inlineStr">
        <is>
          <t>Shopping</t>
        </is>
      </c>
      <c r="E12" s="15" t="inlineStr">
        <is>
          <t>Amazon</t>
        </is>
      </c>
      <c r="F12" s="19" t="n">
        <v>56.69</v>
      </c>
      <c r="G12" s="15" t="inlineStr">
        <is>
          <t>HYSA</t>
        </is>
      </c>
      <c r="H12" s="15" t="inlineStr">
        <is>
          <t>Cash</t>
        </is>
      </c>
      <c r="I12" s="15" t="inlineStr">
        <is>
          <t>Household</t>
        </is>
      </c>
      <c r="J12" s="15" t="inlineStr">
        <is>
          <t>No</t>
        </is>
      </c>
      <c r="K12" s="15" t="inlineStr">
        <is>
          <t>Discretionary</t>
        </is>
      </c>
      <c r="L12" s="21" t="inlineStr"/>
      <c r="M12" s="15" t="inlineStr">
        <is>
          <t>No</t>
        </is>
      </c>
      <c r="N12" s="15" t="inlineStr">
        <is>
          <t>No</t>
        </is>
      </c>
      <c r="O12" s="20">
        <f>IF(A12="","",MONTH(A12))</f>
        <v/>
      </c>
      <c r="P12" s="20">
        <f>IF(A12="","",YEAR(A12))</f>
        <v/>
      </c>
      <c r="Q12" s="20">
        <f>IF(A12="","",DAY(A12))</f>
        <v/>
      </c>
    </row>
    <row r="13">
      <c r="A13" s="18" t="n">
        <v>46090</v>
      </c>
      <c r="B13" s="15" t="inlineStr">
        <is>
          <t>Expense</t>
        </is>
      </c>
      <c r="C13" s="15" t="inlineStr">
        <is>
          <t>Pets</t>
        </is>
      </c>
      <c r="D13" s="15" t="inlineStr">
        <is>
          <t>Food</t>
        </is>
      </c>
      <c r="E13" s="15" t="inlineStr">
        <is>
          <t>PetSmart</t>
        </is>
      </c>
      <c r="F13" s="19" t="n">
        <v>58.61</v>
      </c>
      <c r="G13" s="15" t="inlineStr">
        <is>
          <t>Savings</t>
        </is>
      </c>
      <c r="H13" s="15" t="inlineStr">
        <is>
          <t>Savings</t>
        </is>
      </c>
      <c r="I13" s="15" t="inlineStr">
        <is>
          <t>Parent 2</t>
        </is>
      </c>
      <c r="J13" s="15" t="inlineStr">
        <is>
          <t>No</t>
        </is>
      </c>
      <c r="K13" s="15" t="inlineStr">
        <is>
          <t>Discretionary</t>
        </is>
      </c>
      <c r="L13" s="21" t="inlineStr"/>
      <c r="M13" s="15" t="inlineStr">
        <is>
          <t>No</t>
        </is>
      </c>
      <c r="N13" s="15" t="inlineStr">
        <is>
          <t>No</t>
        </is>
      </c>
      <c r="O13" s="20">
        <f>IF(A13="","",MONTH(A13))</f>
        <v/>
      </c>
      <c r="P13" s="20">
        <f>IF(A13="","",YEAR(A13))</f>
        <v/>
      </c>
      <c r="Q13" s="20">
        <f>IF(A13="","",DAY(A13))</f>
        <v/>
      </c>
    </row>
    <row r="14">
      <c r="A14" s="18" t="n">
        <v>46091</v>
      </c>
      <c r="B14" s="15" t="inlineStr">
        <is>
          <t>Expense</t>
        </is>
      </c>
      <c r="C14" s="15" t="inlineStr">
        <is>
          <t>Transportation</t>
        </is>
      </c>
      <c r="D14" s="15" t="inlineStr">
        <is>
          <t>Maintenance/Repairs</t>
        </is>
      </c>
      <c r="E14" s="15" t="inlineStr">
        <is>
          <t>Auto Shop</t>
        </is>
      </c>
      <c r="F14" s="19" t="n">
        <v>26.74</v>
      </c>
      <c r="G14" s="15" t="inlineStr">
        <is>
          <t>Credit Card</t>
        </is>
      </c>
      <c r="H14" s="15" t="inlineStr">
        <is>
          <t>Credit Card</t>
        </is>
      </c>
      <c r="I14" s="15" t="inlineStr">
        <is>
          <t>Parent 1</t>
        </is>
      </c>
      <c r="J14" s="15" t="inlineStr">
        <is>
          <t>No</t>
        </is>
      </c>
      <c r="K14" s="15" t="inlineStr">
        <is>
          <t>Discretionary</t>
        </is>
      </c>
      <c r="L14" s="21" t="inlineStr"/>
      <c r="M14" s="15" t="inlineStr">
        <is>
          <t>No</t>
        </is>
      </c>
      <c r="N14" s="15" t="inlineStr">
        <is>
          <t>No</t>
        </is>
      </c>
      <c r="O14" s="20">
        <f>IF(A14="","",MONTH(A14))</f>
        <v/>
      </c>
      <c r="P14" s="20">
        <f>IF(A14="","",YEAR(A14))</f>
        <v/>
      </c>
      <c r="Q14" s="20">
        <f>IF(A14="","",DAY(A14))</f>
        <v/>
      </c>
    </row>
    <row r="15">
      <c r="A15" s="18" t="n">
        <v>46091</v>
      </c>
      <c r="B15" s="15" t="inlineStr">
        <is>
          <t>Expense</t>
        </is>
      </c>
      <c r="C15" s="15" t="inlineStr">
        <is>
          <t>Healthcare</t>
        </is>
      </c>
      <c r="D15" s="15" t="inlineStr">
        <is>
          <t>Medical Expenses</t>
        </is>
      </c>
      <c r="E15" s="15" t="inlineStr">
        <is>
          <t>Dr. Office</t>
        </is>
      </c>
      <c r="F15" s="19" t="n">
        <v>38.51</v>
      </c>
      <c r="G15" s="15" t="inlineStr">
        <is>
          <t>Checking</t>
        </is>
      </c>
      <c r="H15" s="15" t="inlineStr">
        <is>
          <t>Checking</t>
        </is>
      </c>
      <c r="I15" s="15" t="inlineStr">
        <is>
          <t>Household</t>
        </is>
      </c>
      <c r="J15" s="15" t="inlineStr">
        <is>
          <t>No</t>
        </is>
      </c>
      <c r="K15" s="15" t="inlineStr">
        <is>
          <t>Essential</t>
        </is>
      </c>
      <c r="L15" s="21" t="inlineStr"/>
      <c r="M15" s="15" t="inlineStr">
        <is>
          <t>No</t>
        </is>
      </c>
      <c r="N15" s="15" t="inlineStr">
        <is>
          <t>No</t>
        </is>
      </c>
      <c r="O15" s="20">
        <f>IF(A15="","",MONTH(A15))</f>
        <v/>
      </c>
      <c r="P15" s="20">
        <f>IF(A15="","",YEAR(A15))</f>
        <v/>
      </c>
      <c r="Q15" s="20">
        <f>IF(A15="","",DAY(A15))</f>
        <v/>
      </c>
    </row>
    <row r="16">
      <c r="A16" s="18" t="n">
        <v>46092</v>
      </c>
      <c r="B16" s="15" t="inlineStr">
        <is>
          <t>Expense</t>
        </is>
      </c>
      <c r="C16" s="15" t="inlineStr">
        <is>
          <t>Lifestyle</t>
        </is>
      </c>
      <c r="D16" s="15" t="inlineStr">
        <is>
          <t>Entertainment</t>
        </is>
      </c>
      <c r="E16" s="15" t="inlineStr">
        <is>
          <t>AMC</t>
        </is>
      </c>
      <c r="F16" s="19" t="n">
        <v>29.31</v>
      </c>
      <c r="G16" s="15" t="inlineStr">
        <is>
          <t>Checking</t>
        </is>
      </c>
      <c r="H16" s="15" t="inlineStr">
        <is>
          <t>Checking</t>
        </is>
      </c>
      <c r="I16" s="15" t="inlineStr">
        <is>
          <t>Parent 1</t>
        </is>
      </c>
      <c r="J16" s="15" t="inlineStr">
        <is>
          <t>No</t>
        </is>
      </c>
      <c r="K16" s="15" t="inlineStr">
        <is>
          <t>Discretionary</t>
        </is>
      </c>
      <c r="L16" s="21" t="inlineStr"/>
      <c r="M16" s="15" t="inlineStr">
        <is>
          <t>No</t>
        </is>
      </c>
      <c r="N16" s="15" t="inlineStr">
        <is>
          <t>No</t>
        </is>
      </c>
      <c r="O16" s="20">
        <f>IF(A16="","",MONTH(A16))</f>
        <v/>
      </c>
      <c r="P16" s="20">
        <f>IF(A16="","",YEAR(A16))</f>
        <v/>
      </c>
      <c r="Q16" s="20">
        <f>IF(A16="","",DAY(A16))</f>
        <v/>
      </c>
    </row>
    <row r="17">
      <c r="A17" s="18" t="n">
        <v>46093</v>
      </c>
      <c r="B17" s="15" t="inlineStr">
        <is>
          <t>Expense</t>
        </is>
      </c>
      <c r="C17" s="15" t="inlineStr">
        <is>
          <t>Transportation</t>
        </is>
      </c>
      <c r="D17" s="15" t="inlineStr">
        <is>
          <t>Auto Insurance</t>
        </is>
      </c>
      <c r="E17" s="15" t="inlineStr">
        <is>
          <t>GEICO</t>
        </is>
      </c>
      <c r="F17" s="19" t="n">
        <v>155.77</v>
      </c>
      <c r="G17" s="15" t="inlineStr">
        <is>
          <t>Savings</t>
        </is>
      </c>
      <c r="H17" s="15" t="inlineStr">
        <is>
          <t>Savings</t>
        </is>
      </c>
      <c r="I17" s="15" t="inlineStr">
        <is>
          <t>Household</t>
        </is>
      </c>
      <c r="J17" s="15" t="inlineStr">
        <is>
          <t>No</t>
        </is>
      </c>
      <c r="K17" s="15" t="inlineStr">
        <is>
          <t>Discretionary</t>
        </is>
      </c>
      <c r="L17" s="21" t="inlineStr"/>
      <c r="M17" s="15" t="inlineStr">
        <is>
          <t>No</t>
        </is>
      </c>
      <c r="N17" s="15" t="inlineStr">
        <is>
          <t>No</t>
        </is>
      </c>
      <c r="O17" s="20">
        <f>IF(A17="","",MONTH(A17))</f>
        <v/>
      </c>
      <c r="P17" s="20">
        <f>IF(A17="","",YEAR(A17))</f>
        <v/>
      </c>
      <c r="Q17" s="20">
        <f>IF(A17="","",DAY(A17))</f>
        <v/>
      </c>
    </row>
    <row r="18">
      <c r="A18" s="18" t="n">
        <v>46093</v>
      </c>
      <c r="B18" s="15" t="inlineStr">
        <is>
          <t>Expense</t>
        </is>
      </c>
      <c r="C18" s="15" t="inlineStr">
        <is>
          <t>Financial</t>
        </is>
      </c>
      <c r="D18" s="15" t="inlineStr">
        <is>
          <t>Student Loans</t>
        </is>
      </c>
      <c r="E18" s="15" t="inlineStr">
        <is>
          <t>Navient</t>
        </is>
      </c>
      <c r="F18" s="19" t="n">
        <v>241.67</v>
      </c>
      <c r="G18" s="15" t="inlineStr">
        <is>
          <t>HYSA</t>
        </is>
      </c>
      <c r="H18" s="15" t="inlineStr">
        <is>
          <t>Cash</t>
        </is>
      </c>
      <c r="I18" s="15" t="inlineStr">
        <is>
          <t>Household</t>
        </is>
      </c>
      <c r="J18" s="15" t="inlineStr">
        <is>
          <t>Yes</t>
        </is>
      </c>
      <c r="K18" s="15" t="inlineStr">
        <is>
          <t>Discretionary</t>
        </is>
      </c>
      <c r="L18" s="21" t="inlineStr"/>
      <c r="M18" s="15" t="inlineStr">
        <is>
          <t>No</t>
        </is>
      </c>
      <c r="N18" s="15" t="inlineStr">
        <is>
          <t>No</t>
        </is>
      </c>
      <c r="O18" s="20">
        <f>IF(A18="","",MONTH(A18))</f>
        <v/>
      </c>
      <c r="P18" s="20">
        <f>IF(A18="","",YEAR(A18))</f>
        <v/>
      </c>
      <c r="Q18" s="20">
        <f>IF(A18="","",DAY(A18))</f>
        <v/>
      </c>
    </row>
    <row r="19">
      <c r="A19" s="18" t="n">
        <v>46094</v>
      </c>
      <c r="B19" s="15" t="inlineStr">
        <is>
          <t>Expense</t>
        </is>
      </c>
      <c r="C19" s="15" t="inlineStr">
        <is>
          <t>Miscellaneous</t>
        </is>
      </c>
      <c r="D19" s="15" t="inlineStr">
        <is>
          <t>Fees</t>
        </is>
      </c>
      <c r="E19" s="15" t="inlineStr">
        <is>
          <t>Bank Fee</t>
        </is>
      </c>
      <c r="F19" s="19" t="n">
        <v>11.34</v>
      </c>
      <c r="G19" s="15" t="inlineStr">
        <is>
          <t>HYSA</t>
        </is>
      </c>
      <c r="H19" s="15" t="inlineStr">
        <is>
          <t>Cash</t>
        </is>
      </c>
      <c r="I19" s="15" t="inlineStr">
        <is>
          <t>Parent 2</t>
        </is>
      </c>
      <c r="J19" s="15" t="inlineStr">
        <is>
          <t>No</t>
        </is>
      </c>
      <c r="K19" s="15" t="inlineStr">
        <is>
          <t>Discretionary</t>
        </is>
      </c>
      <c r="L19" s="21" t="inlineStr"/>
      <c r="M19" s="15" t="inlineStr">
        <is>
          <t>No</t>
        </is>
      </c>
      <c r="N19" s="15" t="inlineStr">
        <is>
          <t>No</t>
        </is>
      </c>
      <c r="O19" s="20">
        <f>IF(A19="","",MONTH(A19))</f>
        <v/>
      </c>
      <c r="P19" s="20">
        <f>IF(A19="","",YEAR(A19))</f>
        <v/>
      </c>
      <c r="Q19" s="20">
        <f>IF(A19="","",DAY(A19))</f>
        <v/>
      </c>
    </row>
    <row r="20">
      <c r="A20" s="18" t="n">
        <v>46095</v>
      </c>
      <c r="B20" s="15" t="inlineStr">
        <is>
          <t>Expense</t>
        </is>
      </c>
      <c r="C20" s="15" t="inlineStr">
        <is>
          <t>Food</t>
        </is>
      </c>
      <c r="D20" s="15" t="inlineStr">
        <is>
          <t>Coffee</t>
        </is>
      </c>
      <c r="E20" s="15" t="inlineStr">
        <is>
          <t>Starbucks</t>
        </is>
      </c>
      <c r="F20" s="19" t="n">
        <v>89.36</v>
      </c>
      <c r="G20" s="15" t="inlineStr">
        <is>
          <t>Checking</t>
        </is>
      </c>
      <c r="H20" s="15" t="inlineStr">
        <is>
          <t>Checking</t>
        </is>
      </c>
      <c r="I20" s="15" t="inlineStr">
        <is>
          <t>Parent 2</t>
        </is>
      </c>
      <c r="J20" s="15" t="inlineStr">
        <is>
          <t>No</t>
        </is>
      </c>
      <c r="K20" s="15" t="inlineStr">
        <is>
          <t>Discretionary</t>
        </is>
      </c>
      <c r="L20" s="21" t="inlineStr"/>
      <c r="M20" s="15" t="inlineStr">
        <is>
          <t>No</t>
        </is>
      </c>
      <c r="N20" s="15" t="inlineStr">
        <is>
          <t>No</t>
        </is>
      </c>
      <c r="O20" s="20">
        <f>IF(A20="","",MONTH(A20))</f>
        <v/>
      </c>
      <c r="P20" s="20">
        <f>IF(A20="","",YEAR(A20))</f>
        <v/>
      </c>
      <c r="Q20" s="20">
        <f>IF(A20="","",DAY(A20))</f>
        <v/>
      </c>
    </row>
    <row r="21">
      <c r="A21" s="18" t="n">
        <v>46096</v>
      </c>
      <c r="B21" s="15" t="inlineStr">
        <is>
          <t>Expense</t>
        </is>
      </c>
      <c r="C21" s="15" t="inlineStr">
        <is>
          <t>Food</t>
        </is>
      </c>
      <c r="D21" s="15" t="inlineStr">
        <is>
          <t>Groceries</t>
        </is>
      </c>
      <c r="E21" s="15" t="inlineStr">
        <is>
          <t>Walmart</t>
        </is>
      </c>
      <c r="F21" s="19" t="n">
        <v>99.39</v>
      </c>
      <c r="G21" s="15" t="inlineStr">
        <is>
          <t>Checking</t>
        </is>
      </c>
      <c r="H21" s="15" t="inlineStr">
        <is>
          <t>Checking</t>
        </is>
      </c>
      <c r="I21" s="15" t="inlineStr">
        <is>
          <t>Household</t>
        </is>
      </c>
      <c r="J21" s="15" t="inlineStr">
        <is>
          <t>No</t>
        </is>
      </c>
      <c r="K21" s="15" t="inlineStr">
        <is>
          <t>Essential</t>
        </is>
      </c>
      <c r="L21" s="21" t="inlineStr"/>
      <c r="M21" s="15" t="inlineStr">
        <is>
          <t>No</t>
        </is>
      </c>
      <c r="N21" s="15" t="inlineStr">
        <is>
          <t>No</t>
        </is>
      </c>
      <c r="O21" s="20">
        <f>IF(A21="","",MONTH(A21))</f>
        <v/>
      </c>
      <c r="P21" s="20">
        <f>IF(A21="","",YEAR(A21))</f>
        <v/>
      </c>
      <c r="Q21" s="20">
        <f>IF(A21="","",DAY(A21))</f>
        <v/>
      </c>
    </row>
    <row r="22">
      <c r="A22" s="18" t="n">
        <v>46096</v>
      </c>
      <c r="B22" s="15" t="inlineStr">
        <is>
          <t>Expense</t>
        </is>
      </c>
      <c r="C22" s="15" t="inlineStr">
        <is>
          <t>Financial</t>
        </is>
      </c>
      <c r="D22" s="15" t="inlineStr">
        <is>
          <t>Savings</t>
        </is>
      </c>
      <c r="E22" s="15" t="inlineStr">
        <is>
          <t>Transfer to Savings</t>
        </is>
      </c>
      <c r="F22" s="19" t="n">
        <v>414.52</v>
      </c>
      <c r="G22" s="15" t="inlineStr">
        <is>
          <t>HYSA</t>
        </is>
      </c>
      <c r="H22" s="15" t="inlineStr">
        <is>
          <t>Cash</t>
        </is>
      </c>
      <c r="I22" s="15" t="inlineStr">
        <is>
          <t>Parent 1</t>
        </is>
      </c>
      <c r="J22" s="15" t="inlineStr">
        <is>
          <t>Yes</t>
        </is>
      </c>
      <c r="K22" s="15" t="inlineStr">
        <is>
          <t>Essential</t>
        </is>
      </c>
      <c r="L22" s="21" t="inlineStr"/>
      <c r="M22" s="15" t="inlineStr">
        <is>
          <t>No</t>
        </is>
      </c>
      <c r="N22" s="15" t="inlineStr">
        <is>
          <t>No</t>
        </is>
      </c>
      <c r="O22" s="20">
        <f>IF(A22="","",MONTH(A22))</f>
        <v/>
      </c>
      <c r="P22" s="20">
        <f>IF(A22="","",YEAR(A22))</f>
        <v/>
      </c>
      <c r="Q22" s="20">
        <f>IF(A22="","",DAY(A22))</f>
        <v/>
      </c>
    </row>
    <row r="23">
      <c r="A23" s="18" t="n">
        <v>46097</v>
      </c>
      <c r="B23" s="15" t="inlineStr">
        <is>
          <t>Expense</t>
        </is>
      </c>
      <c r="C23" s="15" t="inlineStr">
        <is>
          <t>Family</t>
        </is>
      </c>
      <c r="D23" s="15" t="inlineStr">
        <is>
          <t>Clothing</t>
        </is>
      </c>
      <c r="E23" s="15" t="inlineStr">
        <is>
          <t>Target</t>
        </is>
      </c>
      <c r="F23" s="19" t="n">
        <v>51.76</v>
      </c>
      <c r="G23" s="15" t="inlineStr">
        <is>
          <t>Checking</t>
        </is>
      </c>
      <c r="H23" s="15" t="inlineStr">
        <is>
          <t>Checking</t>
        </is>
      </c>
      <c r="I23" s="15" t="inlineStr">
        <is>
          <t>Parent 1</t>
        </is>
      </c>
      <c r="J23" s="15" t="inlineStr">
        <is>
          <t>No</t>
        </is>
      </c>
      <c r="K23" s="15" t="inlineStr">
        <is>
          <t>Discretionary</t>
        </is>
      </c>
      <c r="L23" s="21" t="inlineStr"/>
      <c r="M23" s="15" t="inlineStr">
        <is>
          <t>No</t>
        </is>
      </c>
      <c r="N23" s="15" t="inlineStr">
        <is>
          <t>No</t>
        </is>
      </c>
      <c r="O23" s="20">
        <f>IF(A23="","",MONTH(A23))</f>
        <v/>
      </c>
      <c r="P23" s="20">
        <f>IF(A23="","",YEAR(A23))</f>
        <v/>
      </c>
      <c r="Q23" s="20">
        <f>IF(A23="","",DAY(A23))</f>
        <v/>
      </c>
    </row>
    <row r="24">
      <c r="A24" s="18" t="n">
        <v>46098</v>
      </c>
      <c r="B24" s="15" t="inlineStr">
        <is>
          <t>Expense</t>
        </is>
      </c>
      <c r="C24" s="15" t="inlineStr">
        <is>
          <t>Food</t>
        </is>
      </c>
      <c r="D24" s="15" t="inlineStr">
        <is>
          <t>Restaurants</t>
        </is>
      </c>
      <c r="E24" s="15" t="inlineStr">
        <is>
          <t>Olive Garden</t>
        </is>
      </c>
      <c r="F24" s="19" t="n">
        <v>91.70999999999999</v>
      </c>
      <c r="G24" s="15" t="inlineStr">
        <is>
          <t>Checking</t>
        </is>
      </c>
      <c r="H24" s="15" t="inlineStr">
        <is>
          <t>Checking</t>
        </is>
      </c>
      <c r="I24" s="15" t="inlineStr">
        <is>
          <t>Parent 2</t>
        </is>
      </c>
      <c r="J24" s="15" t="inlineStr">
        <is>
          <t>No</t>
        </is>
      </c>
      <c r="K24" s="15" t="inlineStr">
        <is>
          <t>Discretionary</t>
        </is>
      </c>
      <c r="L24" s="21" t="inlineStr"/>
      <c r="M24" s="15" t="inlineStr">
        <is>
          <t>No</t>
        </is>
      </c>
      <c r="N24" s="15" t="inlineStr">
        <is>
          <t>No</t>
        </is>
      </c>
      <c r="O24" s="20">
        <f>IF(A24="","",MONTH(A24))</f>
        <v/>
      </c>
      <c r="P24" s="20">
        <f>IF(A24="","",YEAR(A24))</f>
        <v/>
      </c>
      <c r="Q24" s="20">
        <f>IF(A24="","",DAY(A24))</f>
        <v/>
      </c>
    </row>
    <row r="25">
      <c r="A25" s="18" t="n">
        <v>46098</v>
      </c>
      <c r="B25" s="15" t="inlineStr">
        <is>
          <t>Expense</t>
        </is>
      </c>
      <c r="C25" s="15" t="inlineStr">
        <is>
          <t>Financial</t>
        </is>
      </c>
      <c r="D25" s="15" t="inlineStr">
        <is>
          <t>Investments</t>
        </is>
      </c>
      <c r="E25" s="15" t="inlineStr">
        <is>
          <t>Vanguard</t>
        </is>
      </c>
      <c r="F25" s="19" t="n">
        <v>329.75</v>
      </c>
      <c r="G25" s="15" t="inlineStr">
        <is>
          <t>Credit Card</t>
        </is>
      </c>
      <c r="H25" s="15" t="inlineStr">
        <is>
          <t>Credit Card</t>
        </is>
      </c>
      <c r="I25" s="15" t="inlineStr">
        <is>
          <t>Parent 1</t>
        </is>
      </c>
      <c r="J25" s="15" t="inlineStr">
        <is>
          <t>Yes</t>
        </is>
      </c>
      <c r="K25" s="15" t="inlineStr">
        <is>
          <t>Discretionary</t>
        </is>
      </c>
      <c r="L25" s="21" t="inlineStr"/>
      <c r="M25" s="15" t="inlineStr">
        <is>
          <t>No</t>
        </is>
      </c>
      <c r="N25" s="15" t="inlineStr">
        <is>
          <t>No</t>
        </is>
      </c>
      <c r="O25" s="20">
        <f>IF(A25="","",MONTH(A25))</f>
        <v/>
      </c>
      <c r="P25" s="20">
        <f>IF(A25="","",YEAR(A25))</f>
        <v/>
      </c>
      <c r="Q25" s="20">
        <f>IF(A25="","",DAY(A25))</f>
        <v/>
      </c>
    </row>
    <row r="26">
      <c r="A26" s="18" t="n">
        <v>46099</v>
      </c>
      <c r="B26" s="15" t="inlineStr">
        <is>
          <t>Expense</t>
        </is>
      </c>
      <c r="C26" s="15" t="inlineStr">
        <is>
          <t>Transportation</t>
        </is>
      </c>
      <c r="D26" s="15" t="inlineStr">
        <is>
          <t>Parking/Tolls</t>
        </is>
      </c>
      <c r="E26" s="15" t="inlineStr">
        <is>
          <t>City Parking</t>
        </is>
      </c>
      <c r="F26" s="19" t="n">
        <v>43.11</v>
      </c>
      <c r="G26" s="15" t="inlineStr">
        <is>
          <t>Savings</t>
        </is>
      </c>
      <c r="H26" s="15" t="inlineStr">
        <is>
          <t>Savings</t>
        </is>
      </c>
      <c r="I26" s="15" t="inlineStr">
        <is>
          <t>Parent 2</t>
        </is>
      </c>
      <c r="J26" s="15" t="inlineStr">
        <is>
          <t>No</t>
        </is>
      </c>
      <c r="K26" s="15" t="inlineStr">
        <is>
          <t>Discretionary</t>
        </is>
      </c>
      <c r="L26" s="21" t="inlineStr"/>
      <c r="M26" s="15" t="inlineStr">
        <is>
          <t>No</t>
        </is>
      </c>
      <c r="N26" s="15" t="inlineStr">
        <is>
          <t>No</t>
        </is>
      </c>
      <c r="O26" s="20">
        <f>IF(A26="","",MONTH(A26))</f>
        <v/>
      </c>
      <c r="P26" s="20">
        <f>IF(A26="","",YEAR(A26))</f>
        <v/>
      </c>
      <c r="Q26" s="20">
        <f>IF(A26="","",DAY(A26))</f>
        <v/>
      </c>
    </row>
    <row r="27">
      <c r="A27" s="18" t="n">
        <v>46101</v>
      </c>
      <c r="B27" s="15" t="inlineStr">
        <is>
          <t>Expense</t>
        </is>
      </c>
      <c r="C27" s="15" t="inlineStr">
        <is>
          <t>Lifestyle</t>
        </is>
      </c>
      <c r="D27" s="15" t="inlineStr">
        <is>
          <t>Subscriptions</t>
        </is>
      </c>
      <c r="E27" s="15" t="inlineStr">
        <is>
          <t>Netflix</t>
        </is>
      </c>
      <c r="F27" s="19" t="n">
        <v>15.48</v>
      </c>
      <c r="G27" s="15" t="inlineStr">
        <is>
          <t>HYSA</t>
        </is>
      </c>
      <c r="H27" s="15" t="inlineStr">
        <is>
          <t>Cash</t>
        </is>
      </c>
      <c r="I27" s="15" t="inlineStr">
        <is>
          <t>Household</t>
        </is>
      </c>
      <c r="J27" s="15" t="inlineStr">
        <is>
          <t>Yes</t>
        </is>
      </c>
      <c r="K27" s="15" t="inlineStr">
        <is>
          <t>Discretionary</t>
        </is>
      </c>
      <c r="L27" s="21" t="inlineStr"/>
      <c r="M27" s="15" t="inlineStr">
        <is>
          <t>No</t>
        </is>
      </c>
      <c r="N27" s="15" t="inlineStr">
        <is>
          <t>No</t>
        </is>
      </c>
      <c r="O27" s="20">
        <f>IF(A27="","",MONTH(A27))</f>
        <v/>
      </c>
      <c r="P27" s="20">
        <f>IF(A27="","",YEAR(A27))</f>
        <v/>
      </c>
      <c r="Q27" s="20">
        <f>IF(A27="","",DAY(A27))</f>
        <v/>
      </c>
    </row>
    <row r="28">
      <c r="A28" s="18" t="n">
        <v>46102</v>
      </c>
      <c r="B28" s="15" t="inlineStr">
        <is>
          <t>Expense</t>
        </is>
      </c>
      <c r="C28" s="15" t="inlineStr">
        <is>
          <t>Family</t>
        </is>
      </c>
      <c r="D28" s="15" t="inlineStr">
        <is>
          <t>Childcare</t>
        </is>
      </c>
      <c r="E28" s="15" t="inlineStr">
        <is>
          <t>Bright Horizons</t>
        </is>
      </c>
      <c r="F28" s="19" t="n">
        <v>151.1</v>
      </c>
      <c r="G28" s="15" t="inlineStr">
        <is>
          <t>Checking</t>
        </is>
      </c>
      <c r="H28" s="15" t="inlineStr">
        <is>
          <t>Checking</t>
        </is>
      </c>
      <c r="I28" s="15" t="inlineStr">
        <is>
          <t>Household</t>
        </is>
      </c>
      <c r="J28" s="15" t="inlineStr">
        <is>
          <t>No</t>
        </is>
      </c>
      <c r="K28" s="15" t="inlineStr">
        <is>
          <t>Discretionary</t>
        </is>
      </c>
      <c r="L28" s="21" t="inlineStr"/>
      <c r="M28" s="15" t="inlineStr">
        <is>
          <t>No</t>
        </is>
      </c>
      <c r="N28" s="15" t="inlineStr">
        <is>
          <t>No</t>
        </is>
      </c>
      <c r="O28" s="20">
        <f>IF(A28="","",MONTH(A28))</f>
        <v/>
      </c>
      <c r="P28" s="20">
        <f>IF(A28="","",YEAR(A28))</f>
        <v/>
      </c>
      <c r="Q28" s="20">
        <f>IF(A28="","",DAY(A28))</f>
        <v/>
      </c>
    </row>
    <row r="29">
      <c r="A29" s="18" t="n">
        <v>46103</v>
      </c>
      <c r="B29" s="15" t="inlineStr">
        <is>
          <t>Expense</t>
        </is>
      </c>
      <c r="C29" s="15" t="inlineStr">
        <is>
          <t>Transportation</t>
        </is>
      </c>
      <c r="D29" s="15" t="inlineStr">
        <is>
          <t>Car Payments</t>
        </is>
      </c>
      <c r="E29" s="15" t="inlineStr">
        <is>
          <t>Auto Finance</t>
        </is>
      </c>
      <c r="F29" s="19" t="n">
        <v>58.76</v>
      </c>
      <c r="G29" s="15" t="inlineStr">
        <is>
          <t>Savings</t>
        </is>
      </c>
      <c r="H29" s="15" t="inlineStr">
        <is>
          <t>Savings</t>
        </is>
      </c>
      <c r="I29" s="15" t="inlineStr">
        <is>
          <t>Parent 2</t>
        </is>
      </c>
      <c r="J29" s="15" t="inlineStr">
        <is>
          <t>No</t>
        </is>
      </c>
      <c r="K29" s="15" t="inlineStr">
        <is>
          <t>Discretionary</t>
        </is>
      </c>
      <c r="L29" s="21" t="inlineStr"/>
      <c r="M29" s="15" t="inlineStr">
        <is>
          <t>No</t>
        </is>
      </c>
      <c r="N29" s="15" t="inlineStr">
        <is>
          <t>No</t>
        </is>
      </c>
      <c r="O29" s="20">
        <f>IF(A29="","",MONTH(A29))</f>
        <v/>
      </c>
      <c r="P29" s="20">
        <f>IF(A29="","",YEAR(A29))</f>
        <v/>
      </c>
      <c r="Q29" s="20">
        <f>IF(A29="","",DAY(A29))</f>
        <v/>
      </c>
    </row>
    <row r="30">
      <c r="A30" s="18" t="n">
        <v>46103</v>
      </c>
      <c r="B30" s="15" t="inlineStr">
        <is>
          <t>Expense</t>
        </is>
      </c>
      <c r="C30" s="15" t="inlineStr">
        <is>
          <t>Food</t>
        </is>
      </c>
      <c r="D30" s="15" t="inlineStr">
        <is>
          <t>Restaurants</t>
        </is>
      </c>
      <c r="E30" s="15" t="inlineStr">
        <is>
          <t>Local Diner</t>
        </is>
      </c>
      <c r="F30" s="19" t="n">
        <v>41.38</v>
      </c>
      <c r="G30" s="15" t="inlineStr">
        <is>
          <t>Credit Card</t>
        </is>
      </c>
      <c r="H30" s="15" t="inlineStr">
        <is>
          <t>Credit Card</t>
        </is>
      </c>
      <c r="I30" s="15" t="inlineStr">
        <is>
          <t>Parent 2</t>
        </is>
      </c>
      <c r="J30" s="15" t="inlineStr">
        <is>
          <t>No</t>
        </is>
      </c>
      <c r="K30" s="15" t="inlineStr">
        <is>
          <t>Discretionary</t>
        </is>
      </c>
      <c r="L30" s="21" t="inlineStr"/>
      <c r="M30" s="15" t="inlineStr">
        <is>
          <t>No</t>
        </is>
      </c>
      <c r="N30" s="15" t="inlineStr">
        <is>
          <t>No</t>
        </is>
      </c>
      <c r="O30" s="20">
        <f>IF(A30="","",MONTH(A30))</f>
        <v/>
      </c>
      <c r="P30" s="20">
        <f>IF(A30="","",YEAR(A30))</f>
        <v/>
      </c>
      <c r="Q30" s="20">
        <f>IF(A30="","",DAY(A30))</f>
        <v/>
      </c>
    </row>
    <row r="31">
      <c r="A31" s="18" t="n">
        <v>46103</v>
      </c>
      <c r="B31" s="15" t="inlineStr">
        <is>
          <t>Expense</t>
        </is>
      </c>
      <c r="C31" s="15" t="inlineStr">
        <is>
          <t>Family</t>
        </is>
      </c>
      <c r="D31" s="15" t="inlineStr">
        <is>
          <t>Allowances</t>
        </is>
      </c>
      <c r="E31" s="15" t="inlineStr">
        <is>
          <t>Kids Allowance</t>
        </is>
      </c>
      <c r="F31" s="19" t="n">
        <v>17.11</v>
      </c>
      <c r="G31" s="15" t="inlineStr">
        <is>
          <t>Checking</t>
        </is>
      </c>
      <c r="H31" s="15" t="inlineStr">
        <is>
          <t>Checking</t>
        </is>
      </c>
      <c r="I31" s="15" t="inlineStr">
        <is>
          <t>Household</t>
        </is>
      </c>
      <c r="J31" s="15" t="inlineStr">
        <is>
          <t>No</t>
        </is>
      </c>
      <c r="K31" s="15" t="inlineStr">
        <is>
          <t>Discretionary</t>
        </is>
      </c>
      <c r="L31" s="21" t="inlineStr"/>
      <c r="M31" s="15" t="inlineStr">
        <is>
          <t>No</t>
        </is>
      </c>
      <c r="N31" s="15" t="inlineStr">
        <is>
          <t>No</t>
        </is>
      </c>
      <c r="O31" s="20">
        <f>IF(A31="","",MONTH(A31))</f>
        <v/>
      </c>
      <c r="P31" s="20">
        <f>IF(A31="","",YEAR(A31))</f>
        <v/>
      </c>
      <c r="Q31" s="20">
        <f>IF(A31="","",DAY(A31))</f>
        <v/>
      </c>
    </row>
    <row r="32">
      <c r="A32" s="18" t="n">
        <v>46104</v>
      </c>
      <c r="B32" s="15" t="inlineStr">
        <is>
          <t>Expense</t>
        </is>
      </c>
      <c r="C32" s="15" t="inlineStr">
        <is>
          <t>Food</t>
        </is>
      </c>
      <c r="D32" s="15" t="inlineStr">
        <is>
          <t>Takeout/Delivery</t>
        </is>
      </c>
      <c r="E32" s="15" t="inlineStr">
        <is>
          <t>DoorDash</t>
        </is>
      </c>
      <c r="F32" s="19" t="n">
        <v>135.89</v>
      </c>
      <c r="G32" s="15" t="inlineStr">
        <is>
          <t>Credit Card</t>
        </is>
      </c>
      <c r="H32" s="15" t="inlineStr">
        <is>
          <t>Credit Card</t>
        </is>
      </c>
      <c r="I32" s="15" t="inlineStr">
        <is>
          <t>Parent 2</t>
        </is>
      </c>
      <c r="J32" s="15" t="inlineStr">
        <is>
          <t>No</t>
        </is>
      </c>
      <c r="K32" s="15" t="inlineStr">
        <is>
          <t>Discretionary</t>
        </is>
      </c>
      <c r="L32" s="21" t="inlineStr"/>
      <c r="M32" s="15" t="inlineStr">
        <is>
          <t>No</t>
        </is>
      </c>
      <c r="N32" s="15" t="inlineStr">
        <is>
          <t>No</t>
        </is>
      </c>
      <c r="O32" s="20">
        <f>IF(A32="","",MONTH(A32))</f>
        <v/>
      </c>
      <c r="P32" s="20">
        <f>IF(A32="","",YEAR(A32))</f>
        <v/>
      </c>
      <c r="Q32" s="20">
        <f>IF(A32="","",DAY(A32))</f>
        <v/>
      </c>
    </row>
    <row r="33">
      <c r="A33" s="18" t="n">
        <v>46105</v>
      </c>
      <c r="B33" s="15" t="inlineStr">
        <is>
          <t>Expense</t>
        </is>
      </c>
      <c r="C33" s="15" t="inlineStr">
        <is>
          <t>Housing</t>
        </is>
      </c>
      <c r="D33" s="15" t="inlineStr">
        <is>
          <t>Utilities</t>
        </is>
      </c>
      <c r="E33" s="15" t="inlineStr">
        <is>
          <t>Electric Co</t>
        </is>
      </c>
      <c r="F33" s="19" t="n">
        <v>146.32</v>
      </c>
      <c r="G33" s="15" t="inlineStr">
        <is>
          <t>Checking</t>
        </is>
      </c>
      <c r="H33" s="15" t="inlineStr">
        <is>
          <t>Checking</t>
        </is>
      </c>
      <c r="I33" s="15" t="inlineStr">
        <is>
          <t>Household</t>
        </is>
      </c>
      <c r="J33" s="15" t="inlineStr">
        <is>
          <t>No</t>
        </is>
      </c>
      <c r="K33" s="15" t="inlineStr">
        <is>
          <t>Essential</t>
        </is>
      </c>
      <c r="L33" s="21" t="inlineStr"/>
      <c r="M33" s="15" t="inlineStr">
        <is>
          <t>No</t>
        </is>
      </c>
      <c r="N33" s="15" t="inlineStr">
        <is>
          <t>No</t>
        </is>
      </c>
      <c r="O33" s="20">
        <f>IF(A33="","",MONTH(A33))</f>
        <v/>
      </c>
      <c r="P33" s="20">
        <f>IF(A33="","",YEAR(A33))</f>
        <v/>
      </c>
      <c r="Q33" s="20">
        <f>IF(A33="","",DAY(A33))</f>
        <v/>
      </c>
    </row>
    <row r="34">
      <c r="A34" s="18" t="n">
        <v>46105</v>
      </c>
      <c r="B34" s="15" t="inlineStr">
        <is>
          <t>Expense</t>
        </is>
      </c>
      <c r="C34" s="15" t="inlineStr">
        <is>
          <t>Giving</t>
        </is>
      </c>
      <c r="D34" s="15" t="inlineStr">
        <is>
          <t>Gifts</t>
        </is>
      </c>
      <c r="E34" s="15" t="inlineStr">
        <is>
          <t>Amazon Gift</t>
        </is>
      </c>
      <c r="F34" s="19" t="n">
        <v>47.12</v>
      </c>
      <c r="G34" s="15" t="inlineStr">
        <is>
          <t>Credit Card</t>
        </is>
      </c>
      <c r="H34" s="15" t="inlineStr">
        <is>
          <t>Credit Card</t>
        </is>
      </c>
      <c r="I34" s="15" t="inlineStr">
        <is>
          <t>Parent 2</t>
        </is>
      </c>
      <c r="J34" s="15" t="inlineStr">
        <is>
          <t>No</t>
        </is>
      </c>
      <c r="K34" s="15" t="inlineStr">
        <is>
          <t>Discretionary</t>
        </is>
      </c>
      <c r="L34" s="21" t="inlineStr"/>
      <c r="M34" s="15" t="inlineStr">
        <is>
          <t>No</t>
        </is>
      </c>
      <c r="N34" s="15" t="inlineStr">
        <is>
          <t>No</t>
        </is>
      </c>
      <c r="O34" s="20">
        <f>IF(A34="","",MONTH(A34))</f>
        <v/>
      </c>
      <c r="P34" s="20">
        <f>IF(A34="","",YEAR(A34))</f>
        <v/>
      </c>
      <c r="Q34" s="20">
        <f>IF(A34="","",DAY(A34))</f>
        <v/>
      </c>
    </row>
    <row r="35">
      <c r="A35" s="18" t="n">
        <v>46107</v>
      </c>
      <c r="B35" s="15" t="inlineStr">
        <is>
          <t>Expense</t>
        </is>
      </c>
      <c r="C35" s="15" t="inlineStr">
        <is>
          <t>Housing</t>
        </is>
      </c>
      <c r="D35" s="15" t="inlineStr">
        <is>
          <t>Home Insurance</t>
        </is>
      </c>
      <c r="E35" s="15" t="inlineStr">
        <is>
          <t>HomeSure Insurance</t>
        </is>
      </c>
      <c r="F35" s="19" t="n">
        <v>74.69</v>
      </c>
      <c r="G35" s="15" t="inlineStr">
        <is>
          <t>HYSA</t>
        </is>
      </c>
      <c r="H35" s="15" t="inlineStr">
        <is>
          <t>Cash</t>
        </is>
      </c>
      <c r="I35" s="15" t="inlineStr">
        <is>
          <t>Household</t>
        </is>
      </c>
      <c r="J35" s="15" t="inlineStr">
        <is>
          <t>No</t>
        </is>
      </c>
      <c r="K35" s="15" t="inlineStr">
        <is>
          <t>Discretionary</t>
        </is>
      </c>
      <c r="L35" s="21" t="inlineStr"/>
      <c r="M35" s="15" t="inlineStr">
        <is>
          <t>No</t>
        </is>
      </c>
      <c r="N35" s="15" t="inlineStr">
        <is>
          <t>No</t>
        </is>
      </c>
      <c r="O35" s="20">
        <f>IF(A35="","",MONTH(A35))</f>
        <v/>
      </c>
      <c r="P35" s="20">
        <f>IF(A35="","",YEAR(A35))</f>
        <v/>
      </c>
      <c r="Q35" s="20">
        <f>IF(A35="","",DAY(A35))</f>
        <v/>
      </c>
    </row>
    <row r="36">
      <c r="A36" s="18" t="n">
        <v>46107</v>
      </c>
      <c r="B36" s="15" t="inlineStr">
        <is>
          <t>Expense</t>
        </is>
      </c>
      <c r="C36" s="15" t="inlineStr">
        <is>
          <t>Lifestyle</t>
        </is>
      </c>
      <c r="D36" s="15" t="inlineStr">
        <is>
          <t>Subscriptions</t>
        </is>
      </c>
      <c r="E36" s="15" t="inlineStr">
        <is>
          <t>Spotify</t>
        </is>
      </c>
      <c r="F36" s="19" t="n">
        <v>9.800000000000001</v>
      </c>
      <c r="G36" s="15" t="inlineStr">
        <is>
          <t>Checking</t>
        </is>
      </c>
      <c r="H36" s="15" t="inlineStr">
        <is>
          <t>Checking</t>
        </is>
      </c>
      <c r="I36" s="15" t="inlineStr">
        <is>
          <t>Parent 1</t>
        </is>
      </c>
      <c r="J36" s="15" t="inlineStr">
        <is>
          <t>Yes</t>
        </is>
      </c>
      <c r="K36" s="15" t="inlineStr">
        <is>
          <t>Discretionary</t>
        </is>
      </c>
      <c r="L36" s="21" t="inlineStr"/>
      <c r="M36" s="15" t="inlineStr">
        <is>
          <t>No</t>
        </is>
      </c>
      <c r="N36" s="15" t="inlineStr">
        <is>
          <t>No</t>
        </is>
      </c>
      <c r="O36" s="20">
        <f>IF(A36="","",MONTH(A36))</f>
        <v/>
      </c>
      <c r="P36" s="20">
        <f>IF(A36="","",YEAR(A36))</f>
        <v/>
      </c>
      <c r="Q36" s="20">
        <f>IF(A36="","",DAY(A36))</f>
        <v/>
      </c>
    </row>
    <row r="37">
      <c r="A37" s="18" t="n">
        <v>46107</v>
      </c>
      <c r="B37" s="15" t="inlineStr">
        <is>
          <t>Expense</t>
        </is>
      </c>
      <c r="C37" s="15" t="inlineStr">
        <is>
          <t>Pets</t>
        </is>
      </c>
      <c r="D37" s="15" t="inlineStr">
        <is>
          <t>Vet</t>
        </is>
      </c>
      <c r="E37" s="15" t="inlineStr">
        <is>
          <t>Banfield</t>
        </is>
      </c>
      <c r="F37" s="19" t="n">
        <v>48.94</v>
      </c>
      <c r="G37" s="15" t="inlineStr">
        <is>
          <t>Credit Card</t>
        </is>
      </c>
      <c r="H37" s="15" t="inlineStr">
        <is>
          <t>Credit Card</t>
        </is>
      </c>
      <c r="I37" s="15" t="inlineStr">
        <is>
          <t>Parent 1</t>
        </is>
      </c>
      <c r="J37" s="15" t="inlineStr">
        <is>
          <t>No</t>
        </is>
      </c>
      <c r="K37" s="15" t="inlineStr">
        <is>
          <t>Discretionary</t>
        </is>
      </c>
      <c r="L37" s="21" t="inlineStr"/>
      <c r="M37" s="15" t="inlineStr">
        <is>
          <t>No</t>
        </is>
      </c>
      <c r="N37" s="15" t="inlineStr">
        <is>
          <t>No</t>
        </is>
      </c>
      <c r="O37" s="20">
        <f>IF(A37="","",MONTH(A37))</f>
        <v/>
      </c>
      <c r="P37" s="20">
        <f>IF(A37="","",YEAR(A37))</f>
        <v/>
      </c>
      <c r="Q37" s="20">
        <f>IF(A37="","",DAY(A37))</f>
        <v/>
      </c>
    </row>
    <row r="38">
      <c r="A38" s="18" t="n">
        <v>46108</v>
      </c>
      <c r="B38" s="15" t="inlineStr">
        <is>
          <t>Expense</t>
        </is>
      </c>
      <c r="C38" s="15" t="inlineStr">
        <is>
          <t>Housing</t>
        </is>
      </c>
      <c r="D38" s="15" t="inlineStr">
        <is>
          <t>Utilities</t>
        </is>
      </c>
      <c r="E38" s="15" t="inlineStr">
        <is>
          <t>Utility Co</t>
        </is>
      </c>
      <c r="F38" s="19" t="n">
        <v>105.91</v>
      </c>
      <c r="G38" s="15" t="inlineStr">
        <is>
          <t>Savings</t>
        </is>
      </c>
      <c r="H38" s="15" t="inlineStr">
        <is>
          <t>Savings</t>
        </is>
      </c>
      <c r="I38" s="15" t="inlineStr">
        <is>
          <t>Parent 2</t>
        </is>
      </c>
      <c r="J38" s="15" t="inlineStr">
        <is>
          <t>No</t>
        </is>
      </c>
      <c r="K38" s="15" t="inlineStr">
        <is>
          <t>Discretionary</t>
        </is>
      </c>
      <c r="L38" s="21" t="inlineStr"/>
      <c r="M38" s="15" t="inlineStr">
        <is>
          <t>No</t>
        </is>
      </c>
      <c r="N38" s="15" t="inlineStr">
        <is>
          <t>No</t>
        </is>
      </c>
      <c r="O38" s="20">
        <f>IF(A38="","",MONTH(A38))</f>
        <v/>
      </c>
      <c r="P38" s="20">
        <f>IF(A38="","",YEAR(A38))</f>
        <v/>
      </c>
      <c r="Q38" s="20">
        <f>IF(A38="","",DAY(A38))</f>
        <v/>
      </c>
    </row>
    <row r="39">
      <c r="A39" s="18" t="n">
        <v>46116</v>
      </c>
      <c r="B39" s="15" t="inlineStr">
        <is>
          <t>Expense</t>
        </is>
      </c>
      <c r="C39" s="15" t="inlineStr">
        <is>
          <t>Food</t>
        </is>
      </c>
      <c r="D39" s="15" t="inlineStr">
        <is>
          <t>Restaurants</t>
        </is>
      </c>
      <c r="E39" s="15" t="inlineStr">
        <is>
          <t>Local Diner</t>
        </is>
      </c>
      <c r="F39" s="19" t="n">
        <v>46.5</v>
      </c>
      <c r="G39" s="15" t="inlineStr">
        <is>
          <t>Savings</t>
        </is>
      </c>
      <c r="H39" s="15" t="inlineStr">
        <is>
          <t>Savings</t>
        </is>
      </c>
      <c r="I39" s="15" t="inlineStr">
        <is>
          <t>Parent 2</t>
        </is>
      </c>
      <c r="J39" s="15" t="inlineStr">
        <is>
          <t>No</t>
        </is>
      </c>
      <c r="K39" s="15" t="inlineStr">
        <is>
          <t>Discretionary</t>
        </is>
      </c>
      <c r="L39" s="21" t="inlineStr"/>
      <c r="M39" s="15" t="inlineStr">
        <is>
          <t>No</t>
        </is>
      </c>
      <c r="N39" s="15" t="inlineStr">
        <is>
          <t>No</t>
        </is>
      </c>
      <c r="O39" s="20">
        <f>IF(A39="","",MONTH(A39))</f>
        <v/>
      </c>
      <c r="P39" s="20">
        <f>IF(A39="","",YEAR(A39))</f>
        <v/>
      </c>
      <c r="Q39" s="20">
        <f>IF(A39="","",DAY(A39))</f>
        <v/>
      </c>
    </row>
    <row r="40">
      <c r="A40" s="18" t="n">
        <v>46116</v>
      </c>
      <c r="B40" s="15" t="inlineStr">
        <is>
          <t>Expense</t>
        </is>
      </c>
      <c r="C40" s="15" t="inlineStr">
        <is>
          <t>Family</t>
        </is>
      </c>
      <c r="D40" s="15" t="inlineStr">
        <is>
          <t>Childcare</t>
        </is>
      </c>
      <c r="E40" s="15" t="inlineStr">
        <is>
          <t>Bright Horizons</t>
        </is>
      </c>
      <c r="F40" s="19" t="n">
        <v>121.69</v>
      </c>
      <c r="G40" s="15" t="inlineStr">
        <is>
          <t>Checking</t>
        </is>
      </c>
      <c r="H40" s="15" t="inlineStr">
        <is>
          <t>Checking</t>
        </is>
      </c>
      <c r="I40" s="15" t="inlineStr">
        <is>
          <t>Parent 1</t>
        </is>
      </c>
      <c r="J40" s="15" t="inlineStr">
        <is>
          <t>No</t>
        </is>
      </c>
      <c r="K40" s="15" t="inlineStr">
        <is>
          <t>Discretionary</t>
        </is>
      </c>
      <c r="L40" s="21" t="inlineStr"/>
      <c r="M40" s="15" t="inlineStr">
        <is>
          <t>No</t>
        </is>
      </c>
      <c r="N40" s="15" t="inlineStr">
        <is>
          <t>No</t>
        </is>
      </c>
      <c r="O40" s="20">
        <f>IF(A40="","",MONTH(A40))</f>
        <v/>
      </c>
      <c r="P40" s="20">
        <f>IF(A40="","",YEAR(A40))</f>
        <v/>
      </c>
      <c r="Q40" s="20">
        <f>IF(A40="","",DAY(A40))</f>
        <v/>
      </c>
    </row>
    <row r="41">
      <c r="A41" s="18" t="n">
        <v>46116</v>
      </c>
      <c r="B41" s="15" t="inlineStr">
        <is>
          <t>Expense</t>
        </is>
      </c>
      <c r="C41" s="15" t="inlineStr">
        <is>
          <t>Family</t>
        </is>
      </c>
      <c r="D41" s="15" t="inlineStr">
        <is>
          <t>Baby Expenses</t>
        </is>
      </c>
      <c r="E41" s="15" t="inlineStr">
        <is>
          <t>Buy Buy Baby</t>
        </is>
      </c>
      <c r="F41" s="19" t="n">
        <v>45.58</v>
      </c>
      <c r="G41" s="15" t="inlineStr">
        <is>
          <t>Savings</t>
        </is>
      </c>
      <c r="H41" s="15" t="inlineStr">
        <is>
          <t>Savings</t>
        </is>
      </c>
      <c r="I41" s="15" t="inlineStr">
        <is>
          <t>Parent 1</t>
        </is>
      </c>
      <c r="J41" s="15" t="inlineStr">
        <is>
          <t>No</t>
        </is>
      </c>
      <c r="K41" s="15" t="inlineStr">
        <is>
          <t>Discretionary</t>
        </is>
      </c>
      <c r="L41" s="21" t="inlineStr"/>
      <c r="M41" s="15" t="inlineStr">
        <is>
          <t>No</t>
        </is>
      </c>
      <c r="N41" s="15" t="inlineStr">
        <is>
          <t>No</t>
        </is>
      </c>
      <c r="O41" s="20">
        <f>IF(A41="","",MONTH(A41))</f>
        <v/>
      </c>
      <c r="P41" s="20">
        <f>IF(A41="","",YEAR(A41))</f>
        <v/>
      </c>
      <c r="Q41" s="20">
        <f>IF(A41="","",DAY(A41))</f>
        <v/>
      </c>
    </row>
    <row r="42">
      <c r="A42" s="18" t="n">
        <v>46118</v>
      </c>
      <c r="B42" s="15" t="inlineStr">
        <is>
          <t>Expense</t>
        </is>
      </c>
      <c r="C42" s="15" t="inlineStr">
        <is>
          <t>Transportation</t>
        </is>
      </c>
      <c r="D42" s="15" t="inlineStr">
        <is>
          <t>Car Payments</t>
        </is>
      </c>
      <c r="E42" s="15" t="inlineStr">
        <is>
          <t>Auto Finance</t>
        </is>
      </c>
      <c r="F42" s="19" t="n">
        <v>135.99</v>
      </c>
      <c r="G42" s="15" t="inlineStr">
        <is>
          <t>Checking</t>
        </is>
      </c>
      <c r="H42" s="15" t="inlineStr">
        <is>
          <t>Checking</t>
        </is>
      </c>
      <c r="I42" s="15" t="inlineStr">
        <is>
          <t>Parent 1</t>
        </is>
      </c>
      <c r="J42" s="15" t="inlineStr">
        <is>
          <t>No</t>
        </is>
      </c>
      <c r="K42" s="15" t="inlineStr">
        <is>
          <t>Discretionary</t>
        </is>
      </c>
      <c r="L42" s="21" t="inlineStr"/>
      <c r="M42" s="15" t="inlineStr">
        <is>
          <t>No</t>
        </is>
      </c>
      <c r="N42" s="15" t="inlineStr">
        <is>
          <t>No</t>
        </is>
      </c>
      <c r="O42" s="20">
        <f>IF(A42="","",MONTH(A42))</f>
        <v/>
      </c>
      <c r="P42" s="20">
        <f>IF(A42="","",YEAR(A42))</f>
        <v/>
      </c>
      <c r="Q42" s="20">
        <f>IF(A42="","",DAY(A42))</f>
        <v/>
      </c>
    </row>
    <row r="43">
      <c r="A43" s="18" t="n">
        <v>46118</v>
      </c>
      <c r="B43" s="15" t="inlineStr">
        <is>
          <t>Expense</t>
        </is>
      </c>
      <c r="C43" s="15" t="inlineStr">
        <is>
          <t>Pets</t>
        </is>
      </c>
      <c r="D43" s="15" t="inlineStr">
        <is>
          <t>Vet</t>
        </is>
      </c>
      <c r="E43" s="15" t="inlineStr">
        <is>
          <t>Banfield</t>
        </is>
      </c>
      <c r="F43" s="19" t="n">
        <v>53.02</v>
      </c>
      <c r="G43" s="15" t="inlineStr">
        <is>
          <t>Credit Card</t>
        </is>
      </c>
      <c r="H43" s="15" t="inlineStr">
        <is>
          <t>Credit Card</t>
        </is>
      </c>
      <c r="I43" s="15" t="inlineStr">
        <is>
          <t>Household</t>
        </is>
      </c>
      <c r="J43" s="15" t="inlineStr">
        <is>
          <t>No</t>
        </is>
      </c>
      <c r="K43" s="15" t="inlineStr">
        <is>
          <t>Discretionary</t>
        </is>
      </c>
      <c r="L43" s="21" t="inlineStr"/>
      <c r="M43" s="15" t="inlineStr">
        <is>
          <t>No</t>
        </is>
      </c>
      <c r="N43" s="15" t="inlineStr">
        <is>
          <t>No</t>
        </is>
      </c>
      <c r="O43" s="20">
        <f>IF(A43="","",MONTH(A43))</f>
        <v/>
      </c>
      <c r="P43" s="20">
        <f>IF(A43="","",YEAR(A43))</f>
        <v/>
      </c>
      <c r="Q43" s="20">
        <f>IF(A43="","",DAY(A43))</f>
        <v/>
      </c>
    </row>
    <row r="44">
      <c r="A44" s="18" t="n">
        <v>46119</v>
      </c>
      <c r="B44" s="15" t="inlineStr">
        <is>
          <t>Expense</t>
        </is>
      </c>
      <c r="C44" s="15" t="inlineStr">
        <is>
          <t>Housing</t>
        </is>
      </c>
      <c r="D44" s="15" t="inlineStr">
        <is>
          <t>Repairs/Maintenance</t>
        </is>
      </c>
      <c r="E44" s="15" t="inlineStr">
        <is>
          <t>Handyman</t>
        </is>
      </c>
      <c r="F44" s="19" t="n">
        <v>134.36</v>
      </c>
      <c r="G44" s="15" t="inlineStr">
        <is>
          <t>Credit Card</t>
        </is>
      </c>
      <c r="H44" s="15" t="inlineStr">
        <is>
          <t>Credit Card</t>
        </is>
      </c>
      <c r="I44" s="15" t="inlineStr">
        <is>
          <t>Household</t>
        </is>
      </c>
      <c r="J44" s="15" t="inlineStr">
        <is>
          <t>No</t>
        </is>
      </c>
      <c r="K44" s="15" t="inlineStr">
        <is>
          <t>Discretionary</t>
        </is>
      </c>
      <c r="L44" s="21" t="inlineStr"/>
      <c r="M44" s="15" t="inlineStr">
        <is>
          <t>No</t>
        </is>
      </c>
      <c r="N44" s="15" t="inlineStr">
        <is>
          <t>No</t>
        </is>
      </c>
      <c r="O44" s="20">
        <f>IF(A44="","",MONTH(A44))</f>
        <v/>
      </c>
      <c r="P44" s="20">
        <f>IF(A44="","",YEAR(A44))</f>
        <v/>
      </c>
      <c r="Q44" s="20">
        <f>IF(A44="","",DAY(A44))</f>
        <v/>
      </c>
    </row>
    <row r="45">
      <c r="A45" s="18" t="n">
        <v>46119</v>
      </c>
      <c r="B45" s="15" t="inlineStr">
        <is>
          <t>Expense</t>
        </is>
      </c>
      <c r="C45" s="15" t="inlineStr">
        <is>
          <t>Healthcare</t>
        </is>
      </c>
      <c r="D45" s="15" t="inlineStr">
        <is>
          <t>Medical Expenses</t>
        </is>
      </c>
      <c r="E45" s="15" t="inlineStr">
        <is>
          <t>Dr. Office</t>
        </is>
      </c>
      <c r="F45" s="19" t="n">
        <v>34.91</v>
      </c>
      <c r="G45" s="15" t="inlineStr">
        <is>
          <t>Savings</t>
        </is>
      </c>
      <c r="H45" s="15" t="inlineStr">
        <is>
          <t>Savings</t>
        </is>
      </c>
      <c r="I45" s="15" t="inlineStr">
        <is>
          <t>Parent 2</t>
        </is>
      </c>
      <c r="J45" s="15" t="inlineStr">
        <is>
          <t>No</t>
        </is>
      </c>
      <c r="K45" s="15" t="inlineStr">
        <is>
          <t>Essential</t>
        </is>
      </c>
      <c r="L45" s="21" t="inlineStr"/>
      <c r="M45" s="15" t="inlineStr">
        <is>
          <t>No</t>
        </is>
      </c>
      <c r="N45" s="15" t="inlineStr">
        <is>
          <t>No</t>
        </is>
      </c>
      <c r="O45" s="20">
        <f>IF(A45="","",MONTH(A45))</f>
        <v/>
      </c>
      <c r="P45" s="20">
        <f>IF(A45="","",YEAR(A45))</f>
        <v/>
      </c>
      <c r="Q45" s="20">
        <f>IF(A45="","",DAY(A45))</f>
        <v/>
      </c>
    </row>
    <row r="46">
      <c r="A46" s="18" t="n">
        <v>46119</v>
      </c>
      <c r="B46" s="15" t="inlineStr">
        <is>
          <t>Expense</t>
        </is>
      </c>
      <c r="C46" s="15" t="inlineStr">
        <is>
          <t>Lifestyle</t>
        </is>
      </c>
      <c r="D46" s="15" t="inlineStr">
        <is>
          <t>Subscriptions</t>
        </is>
      </c>
      <c r="E46" s="15" t="inlineStr">
        <is>
          <t>Amazon Prime</t>
        </is>
      </c>
      <c r="F46" s="19" t="n">
        <v>14.32</v>
      </c>
      <c r="G46" s="15" t="inlineStr">
        <is>
          <t>HYSA</t>
        </is>
      </c>
      <c r="H46" s="15" t="inlineStr">
        <is>
          <t>Cash</t>
        </is>
      </c>
      <c r="I46" s="15" t="inlineStr">
        <is>
          <t>Parent 1</t>
        </is>
      </c>
      <c r="J46" s="15" t="inlineStr">
        <is>
          <t>Yes</t>
        </is>
      </c>
      <c r="K46" s="15" t="inlineStr">
        <is>
          <t>Discretionary</t>
        </is>
      </c>
      <c r="L46" s="21" t="inlineStr"/>
      <c r="M46" s="15" t="inlineStr">
        <is>
          <t>No</t>
        </is>
      </c>
      <c r="N46" s="15" t="inlineStr">
        <is>
          <t>No</t>
        </is>
      </c>
      <c r="O46" s="20">
        <f>IF(A46="","",MONTH(A46))</f>
        <v/>
      </c>
      <c r="P46" s="20">
        <f>IF(A46="","",YEAR(A46))</f>
        <v/>
      </c>
      <c r="Q46" s="20">
        <f>IF(A46="","",DAY(A46))</f>
        <v/>
      </c>
    </row>
    <row r="47">
      <c r="A47" s="18" t="n">
        <v>46120</v>
      </c>
      <c r="B47" s="15" t="inlineStr">
        <is>
          <t>Expense</t>
        </is>
      </c>
      <c r="C47" s="15" t="inlineStr">
        <is>
          <t>Food</t>
        </is>
      </c>
      <c r="D47" s="15" t="inlineStr">
        <is>
          <t>Restaurants</t>
        </is>
      </c>
      <c r="E47" s="15" t="inlineStr">
        <is>
          <t>Olive Garden</t>
        </is>
      </c>
      <c r="F47" s="19" t="n">
        <v>46.1</v>
      </c>
      <c r="G47" s="15" t="inlineStr">
        <is>
          <t>Savings</t>
        </is>
      </c>
      <c r="H47" s="15" t="inlineStr">
        <is>
          <t>Savings</t>
        </is>
      </c>
      <c r="I47" s="15" t="inlineStr">
        <is>
          <t>Parent 2</t>
        </is>
      </c>
      <c r="J47" s="15" t="inlineStr">
        <is>
          <t>No</t>
        </is>
      </c>
      <c r="K47" s="15" t="inlineStr">
        <is>
          <t>Discretionary</t>
        </is>
      </c>
      <c r="L47" s="21" t="inlineStr"/>
      <c r="M47" s="15" t="inlineStr">
        <is>
          <t>No</t>
        </is>
      </c>
      <c r="N47" s="15" t="inlineStr">
        <is>
          <t>No</t>
        </is>
      </c>
      <c r="O47" s="20">
        <f>IF(A47="","",MONTH(A47))</f>
        <v/>
      </c>
      <c r="P47" s="20">
        <f>IF(A47="","",YEAR(A47))</f>
        <v/>
      </c>
      <c r="Q47" s="20">
        <f>IF(A47="","",DAY(A47))</f>
        <v/>
      </c>
    </row>
    <row r="48">
      <c r="A48" s="18" t="n">
        <v>46121</v>
      </c>
      <c r="B48" s="15" t="inlineStr">
        <is>
          <t>Expense</t>
        </is>
      </c>
      <c r="C48" s="15" t="inlineStr">
        <is>
          <t>Giving</t>
        </is>
      </c>
      <c r="D48" s="15" t="inlineStr">
        <is>
          <t>Charity</t>
        </is>
      </c>
      <c r="E48" s="15" t="inlineStr">
        <is>
          <t>Red Cross</t>
        </is>
      </c>
      <c r="F48" s="19" t="n">
        <v>26.87</v>
      </c>
      <c r="G48" s="15" t="inlineStr">
        <is>
          <t>Savings</t>
        </is>
      </c>
      <c r="H48" s="15" t="inlineStr">
        <is>
          <t>Savings</t>
        </is>
      </c>
      <c r="I48" s="15" t="inlineStr">
        <is>
          <t>Parent 1</t>
        </is>
      </c>
      <c r="J48" s="15" t="inlineStr">
        <is>
          <t>No</t>
        </is>
      </c>
      <c r="K48" s="15" t="inlineStr">
        <is>
          <t>Discretionary</t>
        </is>
      </c>
      <c r="L48" s="21" t="inlineStr"/>
      <c r="M48" s="15" t="inlineStr">
        <is>
          <t>No</t>
        </is>
      </c>
      <c r="N48" s="15" t="inlineStr">
        <is>
          <t>No</t>
        </is>
      </c>
      <c r="O48" s="20">
        <f>IF(A48="","",MONTH(A48))</f>
        <v/>
      </c>
      <c r="P48" s="20">
        <f>IF(A48="","",YEAR(A48))</f>
        <v/>
      </c>
      <c r="Q48" s="20">
        <f>IF(A48="","",DAY(A48))</f>
        <v/>
      </c>
    </row>
    <row r="49">
      <c r="A49" s="18" t="n">
        <v>46121</v>
      </c>
      <c r="B49" s="15" t="inlineStr">
        <is>
          <t>Expense</t>
        </is>
      </c>
      <c r="C49" s="15" t="inlineStr">
        <is>
          <t>Pets</t>
        </is>
      </c>
      <c r="D49" s="15" t="inlineStr">
        <is>
          <t>Food</t>
        </is>
      </c>
      <c r="E49" s="15" t="inlineStr">
        <is>
          <t>PetSmart</t>
        </is>
      </c>
      <c r="F49" s="19" t="n">
        <v>59.44</v>
      </c>
      <c r="G49" s="15" t="inlineStr">
        <is>
          <t>Checking</t>
        </is>
      </c>
      <c r="H49" s="15" t="inlineStr">
        <is>
          <t>Checking</t>
        </is>
      </c>
      <c r="I49" s="15" t="inlineStr">
        <is>
          <t>Household</t>
        </is>
      </c>
      <c r="J49" s="15" t="inlineStr">
        <is>
          <t>No</t>
        </is>
      </c>
      <c r="K49" s="15" t="inlineStr">
        <is>
          <t>Discretionary</t>
        </is>
      </c>
      <c r="L49" s="21" t="inlineStr"/>
      <c r="M49" s="15" t="inlineStr">
        <is>
          <t>No</t>
        </is>
      </c>
      <c r="N49" s="15" t="inlineStr">
        <is>
          <t>No</t>
        </is>
      </c>
      <c r="O49" s="20">
        <f>IF(A49="","",MONTH(A49))</f>
        <v/>
      </c>
      <c r="P49" s="20">
        <f>IF(A49="","",YEAR(A49))</f>
        <v/>
      </c>
      <c r="Q49" s="20">
        <f>IF(A49="","",DAY(A49))</f>
        <v/>
      </c>
    </row>
    <row r="50">
      <c r="A50" s="18" t="n">
        <v>46122</v>
      </c>
      <c r="B50" s="15" t="inlineStr">
        <is>
          <t>Expense</t>
        </is>
      </c>
      <c r="C50" s="15" t="inlineStr">
        <is>
          <t>Food</t>
        </is>
      </c>
      <c r="D50" s="15" t="inlineStr">
        <is>
          <t>Coffee</t>
        </is>
      </c>
      <c r="E50" s="15" t="inlineStr">
        <is>
          <t>Starbucks</t>
        </is>
      </c>
      <c r="F50" s="19" t="n">
        <v>78.03</v>
      </c>
      <c r="G50" s="15" t="inlineStr">
        <is>
          <t>Checking</t>
        </is>
      </c>
      <c r="H50" s="15" t="inlineStr">
        <is>
          <t>Checking</t>
        </is>
      </c>
      <c r="I50" s="15" t="inlineStr">
        <is>
          <t>Household</t>
        </is>
      </c>
      <c r="J50" s="15" t="inlineStr">
        <is>
          <t>No</t>
        </is>
      </c>
      <c r="K50" s="15" t="inlineStr">
        <is>
          <t>Discretionary</t>
        </is>
      </c>
      <c r="L50" s="21" t="inlineStr"/>
      <c r="M50" s="15" t="inlineStr">
        <is>
          <t>No</t>
        </is>
      </c>
      <c r="N50" s="15" t="inlineStr">
        <is>
          <t>No</t>
        </is>
      </c>
      <c r="O50" s="20">
        <f>IF(A50="","",MONTH(A50))</f>
        <v/>
      </c>
      <c r="P50" s="20">
        <f>IF(A50="","",YEAR(A50))</f>
        <v/>
      </c>
      <c r="Q50" s="20">
        <f>IF(A50="","",DAY(A50))</f>
        <v/>
      </c>
    </row>
    <row r="51">
      <c r="A51" s="18" t="n">
        <v>46126</v>
      </c>
      <c r="B51" s="15" t="inlineStr">
        <is>
          <t>Expense</t>
        </is>
      </c>
      <c r="C51" s="15" t="inlineStr">
        <is>
          <t>Lifestyle</t>
        </is>
      </c>
      <c r="D51" s="15" t="inlineStr">
        <is>
          <t>Hobbies</t>
        </is>
      </c>
      <c r="E51" s="15" t="inlineStr">
        <is>
          <t>Hobby Shop</t>
        </is>
      </c>
      <c r="F51" s="19" t="n">
        <v>22.32</v>
      </c>
      <c r="G51" s="15" t="inlineStr">
        <is>
          <t>Credit Card</t>
        </is>
      </c>
      <c r="H51" s="15" t="inlineStr">
        <is>
          <t>Credit Card</t>
        </is>
      </c>
      <c r="I51" s="15" t="inlineStr">
        <is>
          <t>Parent 2</t>
        </is>
      </c>
      <c r="J51" s="15" t="inlineStr">
        <is>
          <t>No</t>
        </is>
      </c>
      <c r="K51" s="15" t="inlineStr">
        <is>
          <t>Discretionary</t>
        </is>
      </c>
      <c r="L51" s="21" t="inlineStr"/>
      <c r="M51" s="15" t="inlineStr">
        <is>
          <t>No</t>
        </is>
      </c>
      <c r="N51" s="15" t="inlineStr">
        <is>
          <t>No</t>
        </is>
      </c>
      <c r="O51" s="20">
        <f>IF(A51="","",MONTH(A51))</f>
        <v/>
      </c>
      <c r="P51" s="20">
        <f>IF(A51="","",YEAR(A51))</f>
        <v/>
      </c>
      <c r="Q51" s="20">
        <f>IF(A51="","",DAY(A51))</f>
        <v/>
      </c>
    </row>
    <row r="52">
      <c r="A52" s="18" t="n">
        <v>46127</v>
      </c>
      <c r="B52" s="15" t="inlineStr">
        <is>
          <t>Expense</t>
        </is>
      </c>
      <c r="C52" s="15" t="inlineStr">
        <is>
          <t>Lifestyle</t>
        </is>
      </c>
      <c r="D52" s="15" t="inlineStr">
        <is>
          <t>Subscriptions</t>
        </is>
      </c>
      <c r="E52" s="15" t="inlineStr">
        <is>
          <t>Netflix</t>
        </is>
      </c>
      <c r="F52" s="19" t="n">
        <v>13.96</v>
      </c>
      <c r="G52" s="15" t="inlineStr">
        <is>
          <t>Checking</t>
        </is>
      </c>
      <c r="H52" s="15" t="inlineStr">
        <is>
          <t>Checking</t>
        </is>
      </c>
      <c r="I52" s="15" t="inlineStr">
        <is>
          <t>Parent 2</t>
        </is>
      </c>
      <c r="J52" s="15" t="inlineStr">
        <is>
          <t>Yes</t>
        </is>
      </c>
      <c r="K52" s="15" t="inlineStr">
        <is>
          <t>Discretionary</t>
        </is>
      </c>
      <c r="L52" s="21" t="inlineStr"/>
      <c r="M52" s="15" t="inlineStr">
        <is>
          <t>No</t>
        </is>
      </c>
      <c r="N52" s="15" t="inlineStr">
        <is>
          <t>No</t>
        </is>
      </c>
      <c r="O52" s="20">
        <f>IF(A52="","",MONTH(A52))</f>
        <v/>
      </c>
      <c r="P52" s="20">
        <f>IF(A52="","",YEAR(A52))</f>
        <v/>
      </c>
      <c r="Q52" s="20">
        <f>IF(A52="","",DAY(A52))</f>
        <v/>
      </c>
    </row>
    <row r="53">
      <c r="A53" s="18" t="n">
        <v>46128</v>
      </c>
      <c r="B53" s="15" t="inlineStr">
        <is>
          <t>Expense</t>
        </is>
      </c>
      <c r="C53" s="15" t="inlineStr">
        <is>
          <t>Healthcare</t>
        </is>
      </c>
      <c r="D53" s="15" t="inlineStr">
        <is>
          <t>Health Insurance</t>
        </is>
      </c>
      <c r="E53" s="15" t="inlineStr">
        <is>
          <t>BCBS</t>
        </is>
      </c>
      <c r="F53" s="19" t="n">
        <v>96.95999999999999</v>
      </c>
      <c r="G53" s="15" t="inlineStr">
        <is>
          <t>Credit Card</t>
        </is>
      </c>
      <c r="H53" s="15" t="inlineStr">
        <is>
          <t>Credit Card</t>
        </is>
      </c>
      <c r="I53" s="15" t="inlineStr">
        <is>
          <t>Parent 1</t>
        </is>
      </c>
      <c r="J53" s="15" t="inlineStr">
        <is>
          <t>No</t>
        </is>
      </c>
      <c r="K53" s="15" t="inlineStr">
        <is>
          <t>Discretionary</t>
        </is>
      </c>
      <c r="L53" s="21" t="inlineStr"/>
      <c r="M53" s="15" t="inlineStr">
        <is>
          <t>No</t>
        </is>
      </c>
      <c r="N53" s="15" t="inlineStr">
        <is>
          <t>No</t>
        </is>
      </c>
      <c r="O53" s="20">
        <f>IF(A53="","",MONTH(A53))</f>
        <v/>
      </c>
      <c r="P53" s="20">
        <f>IF(A53="","",YEAR(A53))</f>
        <v/>
      </c>
      <c r="Q53" s="20">
        <f>IF(A53="","",DAY(A53))</f>
        <v/>
      </c>
    </row>
    <row r="54">
      <c r="A54" s="18" t="n">
        <v>46128</v>
      </c>
      <c r="B54" s="15" t="inlineStr">
        <is>
          <t>Expense</t>
        </is>
      </c>
      <c r="C54" s="15" t="inlineStr">
        <is>
          <t>Healthcare</t>
        </is>
      </c>
      <c r="D54" s="15" t="inlineStr">
        <is>
          <t>Dental</t>
        </is>
      </c>
      <c r="E54" s="15" t="inlineStr">
        <is>
          <t>Dental Care</t>
        </is>
      </c>
      <c r="F54" s="19" t="n">
        <v>30.51</v>
      </c>
      <c r="G54" s="15" t="inlineStr">
        <is>
          <t>HYSA</t>
        </is>
      </c>
      <c r="H54" s="15" t="inlineStr">
        <is>
          <t>Cash</t>
        </is>
      </c>
      <c r="I54" s="15" t="inlineStr">
        <is>
          <t>Parent 1</t>
        </is>
      </c>
      <c r="J54" s="15" t="inlineStr">
        <is>
          <t>No</t>
        </is>
      </c>
      <c r="K54" s="15" t="inlineStr">
        <is>
          <t>Essential</t>
        </is>
      </c>
      <c r="L54" s="21" t="inlineStr"/>
      <c r="M54" s="15" t="inlineStr">
        <is>
          <t>No</t>
        </is>
      </c>
      <c r="N54" s="15" t="inlineStr">
        <is>
          <t>No</t>
        </is>
      </c>
      <c r="O54" s="20">
        <f>IF(A54="","",MONTH(A54))</f>
        <v/>
      </c>
      <c r="P54" s="20">
        <f>IF(A54="","",YEAR(A54))</f>
        <v/>
      </c>
      <c r="Q54" s="20">
        <f>IF(A54="","",DAY(A54))</f>
        <v/>
      </c>
    </row>
    <row r="55">
      <c r="A55" s="18" t="n">
        <v>46128</v>
      </c>
      <c r="B55" s="15" t="inlineStr">
        <is>
          <t>Expense</t>
        </is>
      </c>
      <c r="C55" s="15" t="inlineStr">
        <is>
          <t>Lifestyle</t>
        </is>
      </c>
      <c r="D55" s="15" t="inlineStr">
        <is>
          <t>Subscriptions</t>
        </is>
      </c>
      <c r="E55" s="15" t="inlineStr">
        <is>
          <t>Spotify</t>
        </is>
      </c>
      <c r="F55" s="19" t="n">
        <v>9.6</v>
      </c>
      <c r="G55" s="15" t="inlineStr">
        <is>
          <t>Credit Card</t>
        </is>
      </c>
      <c r="H55" s="15" t="inlineStr">
        <is>
          <t>Credit Card</t>
        </is>
      </c>
      <c r="I55" s="15" t="inlineStr">
        <is>
          <t>Parent 2</t>
        </is>
      </c>
      <c r="J55" s="15" t="inlineStr">
        <is>
          <t>Yes</t>
        </is>
      </c>
      <c r="K55" s="15" t="inlineStr">
        <is>
          <t>Discretionary</t>
        </is>
      </c>
      <c r="L55" s="21" t="inlineStr"/>
      <c r="M55" s="15" t="inlineStr">
        <is>
          <t>No</t>
        </is>
      </c>
      <c r="N55" s="15" t="inlineStr">
        <is>
          <t>No</t>
        </is>
      </c>
      <c r="O55" s="20">
        <f>IF(A55="","",MONTH(A55))</f>
        <v/>
      </c>
      <c r="P55" s="20">
        <f>IF(A55="","",YEAR(A55))</f>
        <v/>
      </c>
      <c r="Q55" s="20">
        <f>IF(A55="","",DAY(A55))</f>
        <v/>
      </c>
    </row>
    <row r="56">
      <c r="A56" s="18" t="n">
        <v>46129</v>
      </c>
      <c r="B56" s="15" t="inlineStr">
        <is>
          <t>Expense</t>
        </is>
      </c>
      <c r="C56" s="15" t="inlineStr">
        <is>
          <t>Housing</t>
        </is>
      </c>
      <c r="D56" s="15" t="inlineStr">
        <is>
          <t>Mortgage/Rent</t>
        </is>
      </c>
      <c r="E56" s="15" t="inlineStr">
        <is>
          <t>Home Mortgage</t>
        </is>
      </c>
      <c r="F56" s="19" t="n">
        <v>30.39</v>
      </c>
      <c r="G56" s="15" t="inlineStr">
        <is>
          <t>Credit Card</t>
        </is>
      </c>
      <c r="H56" s="15" t="inlineStr">
        <is>
          <t>Credit Card</t>
        </is>
      </c>
      <c r="I56" s="15" t="inlineStr">
        <is>
          <t>Parent 1</t>
        </is>
      </c>
      <c r="J56" s="15" t="inlineStr">
        <is>
          <t>No</t>
        </is>
      </c>
      <c r="K56" s="15" t="inlineStr">
        <is>
          <t>Discretionary</t>
        </is>
      </c>
      <c r="L56" s="21" t="inlineStr"/>
      <c r="M56" s="15" t="inlineStr">
        <is>
          <t>No</t>
        </is>
      </c>
      <c r="N56" s="15" t="inlineStr">
        <is>
          <t>No</t>
        </is>
      </c>
      <c r="O56" s="20">
        <f>IF(A56="","",MONTH(A56))</f>
        <v/>
      </c>
      <c r="P56" s="20">
        <f>IF(A56="","",YEAR(A56))</f>
        <v/>
      </c>
      <c r="Q56" s="20">
        <f>IF(A56="","",DAY(A56))</f>
        <v/>
      </c>
    </row>
    <row r="57">
      <c r="A57" s="18" t="n">
        <v>46129</v>
      </c>
      <c r="B57" s="15" t="inlineStr">
        <is>
          <t>Expense</t>
        </is>
      </c>
      <c r="C57" s="15" t="inlineStr">
        <is>
          <t>Housing</t>
        </is>
      </c>
      <c r="D57" s="15" t="inlineStr">
        <is>
          <t>Home Insurance</t>
        </is>
      </c>
      <c r="E57" s="15" t="inlineStr">
        <is>
          <t>HomeSure Insurance</t>
        </is>
      </c>
      <c r="F57" s="19" t="n">
        <v>136.32</v>
      </c>
      <c r="G57" s="15" t="inlineStr">
        <is>
          <t>Credit Card</t>
        </is>
      </c>
      <c r="H57" s="15" t="inlineStr">
        <is>
          <t>Credit Card</t>
        </is>
      </c>
      <c r="I57" s="15" t="inlineStr">
        <is>
          <t>Parent 2</t>
        </is>
      </c>
      <c r="J57" s="15" t="inlineStr">
        <is>
          <t>No</t>
        </is>
      </c>
      <c r="K57" s="15" t="inlineStr">
        <is>
          <t>Discretionary</t>
        </is>
      </c>
      <c r="L57" s="21" t="inlineStr"/>
      <c r="M57" s="15" t="inlineStr">
        <is>
          <t>No</t>
        </is>
      </c>
      <c r="N57" s="15" t="inlineStr">
        <is>
          <t>No</t>
        </is>
      </c>
      <c r="O57" s="20">
        <f>IF(A57="","",MONTH(A57))</f>
        <v/>
      </c>
      <c r="P57" s="20">
        <f>IF(A57="","",YEAR(A57))</f>
        <v/>
      </c>
      <c r="Q57" s="20">
        <f>IF(A57="","",DAY(A57))</f>
        <v/>
      </c>
    </row>
    <row r="58">
      <c r="A58" s="18" t="n">
        <v>46130</v>
      </c>
      <c r="B58" s="15" t="inlineStr">
        <is>
          <t>Expense</t>
        </is>
      </c>
      <c r="C58" s="15" t="inlineStr">
        <is>
          <t>Healthcare</t>
        </is>
      </c>
      <c r="D58" s="15" t="inlineStr">
        <is>
          <t>Prescriptions</t>
        </is>
      </c>
      <c r="E58" s="15" t="inlineStr">
        <is>
          <t>CVS Pharmacy</t>
        </is>
      </c>
      <c r="F58" s="19" t="n">
        <v>19.05</v>
      </c>
      <c r="G58" s="15" t="inlineStr">
        <is>
          <t>Checking</t>
        </is>
      </c>
      <c r="H58" s="15" t="inlineStr">
        <is>
          <t>Checking</t>
        </is>
      </c>
      <c r="I58" s="15" t="inlineStr">
        <is>
          <t>Parent 2</t>
        </is>
      </c>
      <c r="J58" s="15" t="inlineStr">
        <is>
          <t>No</t>
        </is>
      </c>
      <c r="K58" s="15" t="inlineStr">
        <is>
          <t>Essential</t>
        </is>
      </c>
      <c r="L58" s="21" t="inlineStr"/>
      <c r="M58" s="15" t="inlineStr">
        <is>
          <t>No</t>
        </is>
      </c>
      <c r="N58" s="15" t="inlineStr">
        <is>
          <t>No</t>
        </is>
      </c>
      <c r="O58" s="20">
        <f>IF(A58="","",MONTH(A58))</f>
        <v/>
      </c>
      <c r="P58" s="20">
        <f>IF(A58="","",YEAR(A58))</f>
        <v/>
      </c>
      <c r="Q58" s="20">
        <f>IF(A58="","",DAY(A58))</f>
        <v/>
      </c>
    </row>
    <row r="59">
      <c r="A59" s="18" t="n">
        <v>46130</v>
      </c>
      <c r="B59" s="15" t="inlineStr">
        <is>
          <t>Expense</t>
        </is>
      </c>
      <c r="C59" s="15" t="inlineStr">
        <is>
          <t>Financial</t>
        </is>
      </c>
      <c r="D59" s="15" t="inlineStr">
        <is>
          <t>Investments</t>
        </is>
      </c>
      <c r="E59" s="15" t="inlineStr">
        <is>
          <t>Vanguard</t>
        </is>
      </c>
      <c r="F59" s="19" t="n">
        <v>300.57</v>
      </c>
      <c r="G59" s="15" t="inlineStr">
        <is>
          <t>HYSA</t>
        </is>
      </c>
      <c r="H59" s="15" t="inlineStr">
        <is>
          <t>Cash</t>
        </is>
      </c>
      <c r="I59" s="15" t="inlineStr">
        <is>
          <t>Parent 1</t>
        </is>
      </c>
      <c r="J59" s="15" t="inlineStr">
        <is>
          <t>Yes</t>
        </is>
      </c>
      <c r="K59" s="15" t="inlineStr">
        <is>
          <t>Discretionary</t>
        </is>
      </c>
      <c r="L59" s="21" t="inlineStr"/>
      <c r="M59" s="15" t="inlineStr">
        <is>
          <t>No</t>
        </is>
      </c>
      <c r="N59" s="15" t="inlineStr">
        <is>
          <t>No</t>
        </is>
      </c>
      <c r="O59" s="20">
        <f>IF(A59="","",MONTH(A59))</f>
        <v/>
      </c>
      <c r="P59" s="20">
        <f>IF(A59="","",YEAR(A59))</f>
        <v/>
      </c>
      <c r="Q59" s="20">
        <f>IF(A59="","",DAY(A59))</f>
        <v/>
      </c>
    </row>
    <row r="60">
      <c r="A60" s="18" t="n">
        <v>46131</v>
      </c>
      <c r="B60" s="15" t="inlineStr">
        <is>
          <t>Expense</t>
        </is>
      </c>
      <c r="C60" s="15" t="inlineStr">
        <is>
          <t>Giving</t>
        </is>
      </c>
      <c r="D60" s="15" t="inlineStr">
        <is>
          <t>Gifts</t>
        </is>
      </c>
      <c r="E60" s="15" t="inlineStr">
        <is>
          <t>Amazon Gift</t>
        </is>
      </c>
      <c r="F60" s="19" t="n">
        <v>42.29</v>
      </c>
      <c r="G60" s="15" t="inlineStr">
        <is>
          <t>Savings</t>
        </is>
      </c>
      <c r="H60" s="15" t="inlineStr">
        <is>
          <t>Savings</t>
        </is>
      </c>
      <c r="I60" s="15" t="inlineStr">
        <is>
          <t>Parent 1</t>
        </is>
      </c>
      <c r="J60" s="15" t="inlineStr">
        <is>
          <t>No</t>
        </is>
      </c>
      <c r="K60" s="15" t="inlineStr">
        <is>
          <t>Discretionary</t>
        </is>
      </c>
      <c r="L60" s="21" t="inlineStr"/>
      <c r="M60" s="15" t="inlineStr">
        <is>
          <t>No</t>
        </is>
      </c>
      <c r="N60" s="15" t="inlineStr">
        <is>
          <t>No</t>
        </is>
      </c>
      <c r="O60" s="20">
        <f>IF(A60="","",MONTH(A60))</f>
        <v/>
      </c>
      <c r="P60" s="20">
        <f>IF(A60="","",YEAR(A60))</f>
        <v/>
      </c>
      <c r="Q60" s="20">
        <f>IF(A60="","",DAY(A60))</f>
        <v/>
      </c>
    </row>
    <row r="61">
      <c r="A61" s="18" t="n">
        <v>46133</v>
      </c>
      <c r="B61" s="15" t="inlineStr">
        <is>
          <t>Expense</t>
        </is>
      </c>
      <c r="C61" s="15" t="inlineStr">
        <is>
          <t>Food</t>
        </is>
      </c>
      <c r="D61" s="15" t="inlineStr">
        <is>
          <t>Groceries</t>
        </is>
      </c>
      <c r="E61" s="15" t="inlineStr">
        <is>
          <t>Costco</t>
        </is>
      </c>
      <c r="F61" s="19" t="n">
        <v>164.43</v>
      </c>
      <c r="G61" s="15" t="inlineStr">
        <is>
          <t>Credit Card</t>
        </is>
      </c>
      <c r="H61" s="15" t="inlineStr">
        <is>
          <t>Credit Card</t>
        </is>
      </c>
      <c r="I61" s="15" t="inlineStr">
        <is>
          <t>Parent 1</t>
        </is>
      </c>
      <c r="J61" s="15" t="inlineStr">
        <is>
          <t>No</t>
        </is>
      </c>
      <c r="K61" s="15" t="inlineStr">
        <is>
          <t>Essential</t>
        </is>
      </c>
      <c r="L61" s="21" t="inlineStr"/>
      <c r="M61" s="15" t="inlineStr">
        <is>
          <t>No</t>
        </is>
      </c>
      <c r="N61" s="15" t="inlineStr">
        <is>
          <t>No</t>
        </is>
      </c>
      <c r="O61" s="20">
        <f>IF(A61="","",MONTH(A61))</f>
        <v/>
      </c>
      <c r="P61" s="20">
        <f>IF(A61="","",YEAR(A61))</f>
        <v/>
      </c>
      <c r="Q61" s="20">
        <f>IF(A61="","",DAY(A61))</f>
        <v/>
      </c>
    </row>
    <row r="62">
      <c r="A62" s="18" t="n">
        <v>46133</v>
      </c>
      <c r="B62" s="15" t="inlineStr">
        <is>
          <t>Expense</t>
        </is>
      </c>
      <c r="C62" s="15" t="inlineStr">
        <is>
          <t>Family</t>
        </is>
      </c>
      <c r="D62" s="15" t="inlineStr">
        <is>
          <t>School</t>
        </is>
      </c>
      <c r="E62" s="15" t="inlineStr">
        <is>
          <t>School District</t>
        </is>
      </c>
      <c r="F62" s="19" t="n">
        <v>52.13</v>
      </c>
      <c r="G62" s="15" t="inlineStr">
        <is>
          <t>Savings</t>
        </is>
      </c>
      <c r="H62" s="15" t="inlineStr">
        <is>
          <t>Savings</t>
        </is>
      </c>
      <c r="I62" s="15" t="inlineStr">
        <is>
          <t>Parent 2</t>
        </is>
      </c>
      <c r="J62" s="15" t="inlineStr">
        <is>
          <t>No</t>
        </is>
      </c>
      <c r="K62" s="15" t="inlineStr">
        <is>
          <t>Essential</t>
        </is>
      </c>
      <c r="L62" s="21" t="inlineStr"/>
      <c r="M62" s="15" t="inlineStr">
        <is>
          <t>No</t>
        </is>
      </c>
      <c r="N62" s="15" t="inlineStr">
        <is>
          <t>No</t>
        </is>
      </c>
      <c r="O62" s="20">
        <f>IF(A62="","",MONTH(A62))</f>
        <v/>
      </c>
      <c r="P62" s="20">
        <f>IF(A62="","",YEAR(A62))</f>
        <v/>
      </c>
      <c r="Q62" s="20">
        <f>IF(A62="","",DAY(A62))</f>
        <v/>
      </c>
    </row>
    <row r="63">
      <c r="A63" s="18" t="n">
        <v>46133</v>
      </c>
      <c r="B63" s="15" t="inlineStr">
        <is>
          <t>Expense</t>
        </is>
      </c>
      <c r="C63" s="15" t="inlineStr">
        <is>
          <t>Lifestyle</t>
        </is>
      </c>
      <c r="D63" s="15" t="inlineStr">
        <is>
          <t>Entertainment</t>
        </is>
      </c>
      <c r="E63" s="15" t="inlineStr">
        <is>
          <t>AMC</t>
        </is>
      </c>
      <c r="F63" s="19" t="n">
        <v>30.51</v>
      </c>
      <c r="G63" s="15" t="inlineStr">
        <is>
          <t>Checking</t>
        </is>
      </c>
      <c r="H63" s="15" t="inlineStr">
        <is>
          <t>Checking</t>
        </is>
      </c>
      <c r="I63" s="15" t="inlineStr">
        <is>
          <t>Parent 2</t>
        </is>
      </c>
      <c r="J63" s="15" t="inlineStr">
        <is>
          <t>No</t>
        </is>
      </c>
      <c r="K63" s="15" t="inlineStr">
        <is>
          <t>Discretionary</t>
        </is>
      </c>
      <c r="L63" s="21" t="inlineStr"/>
      <c r="M63" s="15" t="inlineStr">
        <is>
          <t>No</t>
        </is>
      </c>
      <c r="N63" s="15" t="inlineStr">
        <is>
          <t>No</t>
        </is>
      </c>
      <c r="O63" s="20">
        <f>IF(A63="","",MONTH(A63))</f>
        <v/>
      </c>
      <c r="P63" s="20">
        <f>IF(A63="","",YEAR(A63))</f>
        <v/>
      </c>
      <c r="Q63" s="20">
        <f>IF(A63="","",DAY(A63))</f>
        <v/>
      </c>
    </row>
    <row r="64">
      <c r="A64" s="18" t="n">
        <v>46133</v>
      </c>
      <c r="B64" s="15" t="inlineStr">
        <is>
          <t>Expense</t>
        </is>
      </c>
      <c r="C64" s="15" t="inlineStr">
        <is>
          <t>Miscellaneous</t>
        </is>
      </c>
      <c r="D64" s="15" t="inlineStr">
        <is>
          <t>Fees</t>
        </is>
      </c>
      <c r="E64" s="15" t="inlineStr">
        <is>
          <t>Bank Fee</t>
        </is>
      </c>
      <c r="F64" s="19" t="n">
        <v>11.37</v>
      </c>
      <c r="G64" s="15" t="inlineStr">
        <is>
          <t>Credit Card</t>
        </is>
      </c>
      <c r="H64" s="15" t="inlineStr">
        <is>
          <t>Credit Card</t>
        </is>
      </c>
      <c r="I64" s="15" t="inlineStr">
        <is>
          <t>Parent 2</t>
        </is>
      </c>
      <c r="J64" s="15" t="inlineStr">
        <is>
          <t>No</t>
        </is>
      </c>
      <c r="K64" s="15" t="inlineStr">
        <is>
          <t>Discretionary</t>
        </is>
      </c>
      <c r="L64" s="21" t="inlineStr"/>
      <c r="M64" s="15" t="inlineStr">
        <is>
          <t>No</t>
        </is>
      </c>
      <c r="N64" s="15" t="inlineStr">
        <is>
          <t>No</t>
        </is>
      </c>
      <c r="O64" s="20">
        <f>IF(A64="","",MONTH(A64))</f>
        <v/>
      </c>
      <c r="P64" s="20">
        <f>IF(A64="","",YEAR(A64))</f>
        <v/>
      </c>
      <c r="Q64" s="20">
        <f>IF(A64="","",DAY(A64))</f>
        <v/>
      </c>
    </row>
    <row r="65">
      <c r="A65" s="18" t="n">
        <v>46134</v>
      </c>
      <c r="B65" s="15" t="inlineStr">
        <is>
          <t>Expense</t>
        </is>
      </c>
      <c r="C65" s="15" t="inlineStr">
        <is>
          <t>Housing</t>
        </is>
      </c>
      <c r="D65" s="15" t="inlineStr">
        <is>
          <t>Utilities</t>
        </is>
      </c>
      <c r="E65" s="15" t="inlineStr">
        <is>
          <t>Utility Co</t>
        </is>
      </c>
      <c r="F65" s="19" t="n">
        <v>58.83</v>
      </c>
      <c r="G65" s="15" t="inlineStr">
        <is>
          <t>Checking</t>
        </is>
      </c>
      <c r="H65" s="15" t="inlineStr">
        <is>
          <t>Checking</t>
        </is>
      </c>
      <c r="I65" s="15" t="inlineStr">
        <is>
          <t>Parent 2</t>
        </is>
      </c>
      <c r="J65" s="15" t="inlineStr">
        <is>
          <t>No</t>
        </is>
      </c>
      <c r="K65" s="15" t="inlineStr">
        <is>
          <t>Discretionary</t>
        </is>
      </c>
      <c r="L65" s="21" t="inlineStr"/>
      <c r="M65" s="15" t="inlineStr">
        <is>
          <t>No</t>
        </is>
      </c>
      <c r="N65" s="15" t="inlineStr">
        <is>
          <t>No</t>
        </is>
      </c>
      <c r="O65" s="20">
        <f>IF(A65="","",MONTH(A65))</f>
        <v/>
      </c>
      <c r="P65" s="20">
        <f>IF(A65="","",YEAR(A65))</f>
        <v/>
      </c>
      <c r="Q65" s="20">
        <f>IF(A65="","",DAY(A65))</f>
        <v/>
      </c>
    </row>
    <row r="66">
      <c r="A66" s="18" t="n">
        <v>46134</v>
      </c>
      <c r="B66" s="15" t="inlineStr">
        <is>
          <t>Expense</t>
        </is>
      </c>
      <c r="C66" s="15" t="inlineStr">
        <is>
          <t>Transportation</t>
        </is>
      </c>
      <c r="D66" s="15" t="inlineStr">
        <is>
          <t>Gas</t>
        </is>
      </c>
      <c r="E66" s="15" t="inlineStr">
        <is>
          <t>Shell</t>
        </is>
      </c>
      <c r="F66" s="19" t="n">
        <v>54.01</v>
      </c>
      <c r="G66" s="15" t="inlineStr">
        <is>
          <t>HYSA</t>
        </is>
      </c>
      <c r="H66" s="15" t="inlineStr">
        <is>
          <t>Cash</t>
        </is>
      </c>
      <c r="I66" s="15" t="inlineStr">
        <is>
          <t>Parent 2</t>
        </is>
      </c>
      <c r="J66" s="15" t="inlineStr">
        <is>
          <t>No</t>
        </is>
      </c>
      <c r="K66" s="15" t="inlineStr">
        <is>
          <t>Discretionary</t>
        </is>
      </c>
      <c r="L66" s="21" t="inlineStr"/>
      <c r="M66" s="15" t="inlineStr">
        <is>
          <t>No</t>
        </is>
      </c>
      <c r="N66" s="15" t="inlineStr">
        <is>
          <t>No</t>
        </is>
      </c>
      <c r="O66" s="20">
        <f>IF(A66="","",MONTH(A66))</f>
        <v/>
      </c>
      <c r="P66" s="20">
        <f>IF(A66="","",YEAR(A66))</f>
        <v/>
      </c>
      <c r="Q66" s="20">
        <f>IF(A66="","",DAY(A66))</f>
        <v/>
      </c>
    </row>
    <row r="67">
      <c r="A67" s="18" t="n">
        <v>46134</v>
      </c>
      <c r="B67" s="15" t="inlineStr">
        <is>
          <t>Expense</t>
        </is>
      </c>
      <c r="C67" s="15" t="inlineStr">
        <is>
          <t>Transportation</t>
        </is>
      </c>
      <c r="D67" s="15" t="inlineStr">
        <is>
          <t>Auto Insurance</t>
        </is>
      </c>
      <c r="E67" s="15" t="inlineStr">
        <is>
          <t>GEICO</t>
        </is>
      </c>
      <c r="F67" s="19" t="n">
        <v>27.22</v>
      </c>
      <c r="G67" s="15" t="inlineStr">
        <is>
          <t>Savings</t>
        </is>
      </c>
      <c r="H67" s="15" t="inlineStr">
        <is>
          <t>Savings</t>
        </is>
      </c>
      <c r="I67" s="15" t="inlineStr">
        <is>
          <t>Parent 1</t>
        </is>
      </c>
      <c r="J67" s="15" t="inlineStr">
        <is>
          <t>No</t>
        </is>
      </c>
      <c r="K67" s="15" t="inlineStr">
        <is>
          <t>Discretionary</t>
        </is>
      </c>
      <c r="L67" s="21" t="inlineStr"/>
      <c r="M67" s="15" t="inlineStr">
        <is>
          <t>No</t>
        </is>
      </c>
      <c r="N67" s="15" t="inlineStr">
        <is>
          <t>No</t>
        </is>
      </c>
      <c r="O67" s="20">
        <f>IF(A67="","",MONTH(A67))</f>
        <v/>
      </c>
      <c r="P67" s="20">
        <f>IF(A67="","",YEAR(A67))</f>
        <v/>
      </c>
      <c r="Q67" s="20">
        <f>IF(A67="","",DAY(A67))</f>
        <v/>
      </c>
    </row>
    <row r="68">
      <c r="A68" s="18" t="n">
        <v>46134</v>
      </c>
      <c r="B68" s="15" t="inlineStr">
        <is>
          <t>Expense</t>
        </is>
      </c>
      <c r="C68" s="15" t="inlineStr">
        <is>
          <t>Family</t>
        </is>
      </c>
      <c r="D68" s="15" t="inlineStr">
        <is>
          <t>Clothing</t>
        </is>
      </c>
      <c r="E68" s="15" t="inlineStr">
        <is>
          <t>Target</t>
        </is>
      </c>
      <c r="F68" s="19" t="n">
        <v>47.26</v>
      </c>
      <c r="G68" s="15" t="inlineStr">
        <is>
          <t>Credit Card</t>
        </is>
      </c>
      <c r="H68" s="15" t="inlineStr">
        <is>
          <t>Credit Card</t>
        </is>
      </c>
      <c r="I68" s="15" t="inlineStr">
        <is>
          <t>Parent 1</t>
        </is>
      </c>
      <c r="J68" s="15" t="inlineStr">
        <is>
          <t>No</t>
        </is>
      </c>
      <c r="K68" s="15" t="inlineStr">
        <is>
          <t>Discretionary</t>
        </is>
      </c>
      <c r="L68" s="21" t="inlineStr"/>
      <c r="M68" s="15" t="inlineStr">
        <is>
          <t>No</t>
        </is>
      </c>
      <c r="N68" s="15" t="inlineStr">
        <is>
          <t>No</t>
        </is>
      </c>
      <c r="O68" s="20">
        <f>IF(A68="","",MONTH(A68))</f>
        <v/>
      </c>
      <c r="P68" s="20">
        <f>IF(A68="","",YEAR(A68))</f>
        <v/>
      </c>
      <c r="Q68" s="20">
        <f>IF(A68="","",DAY(A68))</f>
        <v/>
      </c>
    </row>
    <row r="69">
      <c r="A69" s="18" t="n">
        <v>46134</v>
      </c>
      <c r="B69" s="15" t="inlineStr">
        <is>
          <t>Expense</t>
        </is>
      </c>
      <c r="C69" s="15" t="inlineStr">
        <is>
          <t>Financial</t>
        </is>
      </c>
      <c r="D69" s="15" t="inlineStr">
        <is>
          <t>Retirement</t>
        </is>
      </c>
      <c r="E69" s="15" t="inlineStr">
        <is>
          <t>401(k) Contribution</t>
        </is>
      </c>
      <c r="F69" s="19" t="n">
        <v>536.39</v>
      </c>
      <c r="G69" s="15" t="inlineStr">
        <is>
          <t>Savings</t>
        </is>
      </c>
      <c r="H69" s="15" t="inlineStr">
        <is>
          <t>Savings</t>
        </is>
      </c>
      <c r="I69" s="15" t="inlineStr">
        <is>
          <t>Household</t>
        </is>
      </c>
      <c r="J69" s="15" t="inlineStr">
        <is>
          <t>Yes</t>
        </is>
      </c>
      <c r="K69" s="15" t="inlineStr">
        <is>
          <t>Essential</t>
        </is>
      </c>
      <c r="L69" s="21" t="inlineStr"/>
      <c r="M69" s="15" t="inlineStr">
        <is>
          <t>No</t>
        </is>
      </c>
      <c r="N69" s="15" t="inlineStr">
        <is>
          <t>No</t>
        </is>
      </c>
      <c r="O69" s="20">
        <f>IF(A69="","",MONTH(A69))</f>
        <v/>
      </c>
      <c r="P69" s="20">
        <f>IF(A69="","",YEAR(A69))</f>
        <v/>
      </c>
      <c r="Q69" s="20">
        <f>IF(A69="","",DAY(A69))</f>
        <v/>
      </c>
    </row>
    <row r="70">
      <c r="A70" s="18" t="n">
        <v>46135</v>
      </c>
      <c r="B70" s="15" t="inlineStr">
        <is>
          <t>Expense</t>
        </is>
      </c>
      <c r="C70" s="15" t="inlineStr">
        <is>
          <t>Housing</t>
        </is>
      </c>
      <c r="D70" s="15" t="inlineStr">
        <is>
          <t>Utilities</t>
        </is>
      </c>
      <c r="E70" s="15" t="inlineStr">
        <is>
          <t>Electric Co</t>
        </is>
      </c>
      <c r="F70" s="19" t="n">
        <v>125.62</v>
      </c>
      <c r="G70" s="15" t="inlineStr">
        <is>
          <t>Savings</t>
        </is>
      </c>
      <c r="H70" s="15" t="inlineStr">
        <is>
          <t>Savings</t>
        </is>
      </c>
      <c r="I70" s="15" t="inlineStr">
        <is>
          <t>Parent 1</t>
        </is>
      </c>
      <c r="J70" s="15" t="inlineStr">
        <is>
          <t>No</t>
        </is>
      </c>
      <c r="K70" s="15" t="inlineStr">
        <is>
          <t>Essential</t>
        </is>
      </c>
      <c r="L70" s="21" t="inlineStr"/>
      <c r="M70" s="15" t="inlineStr">
        <is>
          <t>No</t>
        </is>
      </c>
      <c r="N70" s="15" t="inlineStr">
        <is>
          <t>No</t>
        </is>
      </c>
      <c r="O70" s="20">
        <f>IF(A70="","",MONTH(A70))</f>
        <v/>
      </c>
      <c r="P70" s="20">
        <f>IF(A70="","",YEAR(A70))</f>
        <v/>
      </c>
      <c r="Q70" s="20">
        <f>IF(A70="","",DAY(A70))</f>
        <v/>
      </c>
    </row>
    <row r="71">
      <c r="A71" s="18" t="n">
        <v>46135</v>
      </c>
      <c r="B71" s="15" t="inlineStr">
        <is>
          <t>Expense</t>
        </is>
      </c>
      <c r="C71" s="15" t="inlineStr">
        <is>
          <t>Transportation</t>
        </is>
      </c>
      <c r="D71" s="15" t="inlineStr">
        <is>
          <t>Maintenance/Repairs</t>
        </is>
      </c>
      <c r="E71" s="15" t="inlineStr">
        <is>
          <t>Auto Shop</t>
        </is>
      </c>
      <c r="F71" s="19" t="n">
        <v>24.11</v>
      </c>
      <c r="G71" s="15" t="inlineStr">
        <is>
          <t>Credit Card</t>
        </is>
      </c>
      <c r="H71" s="15" t="inlineStr">
        <is>
          <t>Credit Card</t>
        </is>
      </c>
      <c r="I71" s="15" t="inlineStr">
        <is>
          <t>Parent 1</t>
        </is>
      </c>
      <c r="J71" s="15" t="inlineStr">
        <is>
          <t>No</t>
        </is>
      </c>
      <c r="K71" s="15" t="inlineStr">
        <is>
          <t>Discretionary</t>
        </is>
      </c>
      <c r="L71" s="21" t="inlineStr"/>
      <c r="M71" s="15" t="inlineStr">
        <is>
          <t>No</t>
        </is>
      </c>
      <c r="N71" s="15" t="inlineStr">
        <is>
          <t>No</t>
        </is>
      </c>
      <c r="O71" s="20">
        <f>IF(A71="","",MONTH(A71))</f>
        <v/>
      </c>
      <c r="P71" s="20">
        <f>IF(A71="","",YEAR(A71))</f>
        <v/>
      </c>
      <c r="Q71" s="20">
        <f>IF(A71="","",DAY(A71))</f>
        <v/>
      </c>
    </row>
    <row r="72">
      <c r="A72" s="18" t="n">
        <v>46136</v>
      </c>
      <c r="B72" s="15" t="inlineStr">
        <is>
          <t>Expense</t>
        </is>
      </c>
      <c r="C72" s="15" t="inlineStr">
        <is>
          <t>Food</t>
        </is>
      </c>
      <c r="D72" s="15" t="inlineStr">
        <is>
          <t>Groceries</t>
        </is>
      </c>
      <c r="E72" s="15" t="inlineStr">
        <is>
          <t>Walmart</t>
        </is>
      </c>
      <c r="F72" s="19" t="n">
        <v>93.54000000000001</v>
      </c>
      <c r="G72" s="15" t="inlineStr">
        <is>
          <t>Checking</t>
        </is>
      </c>
      <c r="H72" s="15" t="inlineStr">
        <is>
          <t>Checking</t>
        </is>
      </c>
      <c r="I72" s="15" t="inlineStr">
        <is>
          <t>Parent 2</t>
        </is>
      </c>
      <c r="J72" s="15" t="inlineStr">
        <is>
          <t>No</t>
        </is>
      </c>
      <c r="K72" s="15" t="inlineStr">
        <is>
          <t>Essential</t>
        </is>
      </c>
      <c r="L72" s="21" t="inlineStr"/>
      <c r="M72" s="15" t="inlineStr">
        <is>
          <t>No</t>
        </is>
      </c>
      <c r="N72" s="15" t="inlineStr">
        <is>
          <t>No</t>
        </is>
      </c>
      <c r="O72" s="20">
        <f>IF(A72="","",MONTH(A72))</f>
        <v/>
      </c>
      <c r="P72" s="20">
        <f>IF(A72="","",YEAR(A72))</f>
        <v/>
      </c>
      <c r="Q72" s="20">
        <f>IF(A72="","",DAY(A72))</f>
        <v/>
      </c>
    </row>
    <row r="73">
      <c r="A73" s="18" t="n">
        <v>46137</v>
      </c>
      <c r="B73" s="15" t="inlineStr">
        <is>
          <t>Expense</t>
        </is>
      </c>
      <c r="C73" s="15" t="inlineStr">
        <is>
          <t>Housing</t>
        </is>
      </c>
      <c r="D73" s="15" t="inlineStr">
        <is>
          <t>Utilities</t>
        </is>
      </c>
      <c r="E73" s="15" t="inlineStr">
        <is>
          <t>Water &amp; Sewer</t>
        </is>
      </c>
      <c r="F73" s="19" t="n">
        <v>50.54</v>
      </c>
      <c r="G73" s="15" t="inlineStr">
        <is>
          <t>Checking</t>
        </is>
      </c>
      <c r="H73" s="15" t="inlineStr">
        <is>
          <t>Checking</t>
        </is>
      </c>
      <c r="I73" s="15" t="inlineStr">
        <is>
          <t>Household</t>
        </is>
      </c>
      <c r="J73" s="15" t="inlineStr">
        <is>
          <t>No</t>
        </is>
      </c>
      <c r="K73" s="15" t="inlineStr">
        <is>
          <t>Essential</t>
        </is>
      </c>
      <c r="L73" s="21" t="inlineStr"/>
      <c r="M73" s="15" t="inlineStr">
        <is>
          <t>No</t>
        </is>
      </c>
      <c r="N73" s="15" t="inlineStr">
        <is>
          <t>No</t>
        </is>
      </c>
      <c r="O73" s="20">
        <f>IF(A73="","",MONTH(A73))</f>
        <v/>
      </c>
      <c r="P73" s="20">
        <f>IF(A73="","",YEAR(A73))</f>
        <v/>
      </c>
      <c r="Q73" s="20">
        <f>IF(A73="","",DAY(A73))</f>
        <v/>
      </c>
    </row>
    <row r="74">
      <c r="A74" s="18" t="n">
        <v>46137</v>
      </c>
      <c r="B74" s="15" t="inlineStr">
        <is>
          <t>Expense</t>
        </is>
      </c>
      <c r="C74" s="15" t="inlineStr">
        <is>
          <t>Food</t>
        </is>
      </c>
      <c r="D74" s="15" t="inlineStr">
        <is>
          <t>Groceries</t>
        </is>
      </c>
      <c r="E74" s="15" t="inlineStr">
        <is>
          <t>Kroger</t>
        </is>
      </c>
      <c r="F74" s="19" t="n">
        <v>130.76</v>
      </c>
      <c r="G74" s="15" t="inlineStr">
        <is>
          <t>Savings</t>
        </is>
      </c>
      <c r="H74" s="15" t="inlineStr">
        <is>
          <t>Savings</t>
        </is>
      </c>
      <c r="I74" s="15" t="inlineStr">
        <is>
          <t>Parent 2</t>
        </is>
      </c>
      <c r="J74" s="15" t="inlineStr">
        <is>
          <t>No</t>
        </is>
      </c>
      <c r="K74" s="15" t="inlineStr">
        <is>
          <t>Discretionary</t>
        </is>
      </c>
      <c r="L74" s="21" t="inlineStr"/>
      <c r="M74" s="15" t="inlineStr">
        <is>
          <t>No</t>
        </is>
      </c>
      <c r="N74" s="15" t="inlineStr">
        <is>
          <t>No</t>
        </is>
      </c>
      <c r="O74" s="20">
        <f>IF(A74="","",MONTH(A74))</f>
        <v/>
      </c>
      <c r="P74" s="20">
        <f>IF(A74="","",YEAR(A74))</f>
        <v/>
      </c>
      <c r="Q74" s="20">
        <f>IF(A74="","",DAY(A74))</f>
        <v/>
      </c>
    </row>
    <row r="75">
      <c r="A75" s="18" t="n">
        <v>46139</v>
      </c>
      <c r="B75" s="15" t="inlineStr">
        <is>
          <t>Expense</t>
        </is>
      </c>
      <c r="C75" s="15" t="inlineStr">
        <is>
          <t>Family</t>
        </is>
      </c>
      <c r="D75" s="15" t="inlineStr">
        <is>
          <t>Activities/Sports</t>
        </is>
      </c>
      <c r="E75" s="15" t="inlineStr">
        <is>
          <t>Soccer League</t>
        </is>
      </c>
      <c r="F75" s="19" t="n">
        <v>92.34999999999999</v>
      </c>
      <c r="G75" s="15" t="inlineStr">
        <is>
          <t>Checking</t>
        </is>
      </c>
      <c r="H75" s="15" t="inlineStr">
        <is>
          <t>Checking</t>
        </is>
      </c>
      <c r="I75" s="15" t="inlineStr">
        <is>
          <t>Household</t>
        </is>
      </c>
      <c r="J75" s="15" t="inlineStr">
        <is>
          <t>No</t>
        </is>
      </c>
      <c r="K75" s="15" t="inlineStr">
        <is>
          <t>Discretionary</t>
        </is>
      </c>
      <c r="L75" s="21" t="inlineStr"/>
      <c r="M75" s="15" t="inlineStr">
        <is>
          <t>No</t>
        </is>
      </c>
      <c r="N75" s="15" t="inlineStr">
        <is>
          <t>No</t>
        </is>
      </c>
      <c r="O75" s="20">
        <f>IF(A75="","",MONTH(A75))</f>
        <v/>
      </c>
      <c r="P75" s="20">
        <f>IF(A75="","",YEAR(A75))</f>
        <v/>
      </c>
      <c r="Q75" s="20">
        <f>IF(A75="","",DAY(A75))</f>
        <v/>
      </c>
    </row>
    <row r="76">
      <c r="A76" s="18" t="n">
        <v>46139</v>
      </c>
      <c r="B76" s="15" t="inlineStr">
        <is>
          <t>Expense</t>
        </is>
      </c>
      <c r="C76" s="15" t="inlineStr">
        <is>
          <t>Financial</t>
        </is>
      </c>
      <c r="D76" s="15" t="inlineStr">
        <is>
          <t>Student Loans</t>
        </is>
      </c>
      <c r="E76" s="15" t="inlineStr">
        <is>
          <t>Navient</t>
        </is>
      </c>
      <c r="F76" s="19" t="n">
        <v>240.18</v>
      </c>
      <c r="G76" s="15" t="inlineStr">
        <is>
          <t>Savings</t>
        </is>
      </c>
      <c r="H76" s="15" t="inlineStr">
        <is>
          <t>Savings</t>
        </is>
      </c>
      <c r="I76" s="15" t="inlineStr">
        <is>
          <t>Parent 2</t>
        </is>
      </c>
      <c r="J76" s="15" t="inlineStr">
        <is>
          <t>Yes</t>
        </is>
      </c>
      <c r="K76" s="15" t="inlineStr">
        <is>
          <t>Discretionary</t>
        </is>
      </c>
      <c r="L76" s="21" t="inlineStr"/>
      <c r="M76" s="15" t="inlineStr">
        <is>
          <t>No</t>
        </is>
      </c>
      <c r="N76" s="15" t="inlineStr">
        <is>
          <t>No</t>
        </is>
      </c>
      <c r="O76" s="20">
        <f>IF(A76="","",MONTH(A76))</f>
        <v/>
      </c>
      <c r="P76" s="20">
        <f>IF(A76="","",YEAR(A76))</f>
        <v/>
      </c>
      <c r="Q76" s="20">
        <f>IF(A76="","",DAY(A76))</f>
        <v/>
      </c>
    </row>
    <row r="77">
      <c r="A77" s="18" t="n">
        <v>46145</v>
      </c>
      <c r="B77" s="15" t="inlineStr">
        <is>
          <t>Expense</t>
        </is>
      </c>
      <c r="C77" s="15" t="inlineStr">
        <is>
          <t>Food</t>
        </is>
      </c>
      <c r="D77" s="15" t="inlineStr">
        <is>
          <t>Groceries</t>
        </is>
      </c>
      <c r="E77" s="15" t="inlineStr">
        <is>
          <t>Costco</t>
        </is>
      </c>
      <c r="F77" s="19" t="n">
        <v>172.13</v>
      </c>
      <c r="G77" s="15" t="inlineStr">
        <is>
          <t>HYSA</t>
        </is>
      </c>
      <c r="H77" s="15" t="inlineStr">
        <is>
          <t>Cash</t>
        </is>
      </c>
      <c r="I77" s="15" t="inlineStr">
        <is>
          <t>Household</t>
        </is>
      </c>
      <c r="J77" s="15" t="inlineStr">
        <is>
          <t>No</t>
        </is>
      </c>
      <c r="K77" s="15" t="inlineStr">
        <is>
          <t>Essential</t>
        </is>
      </c>
      <c r="L77" s="21" t="inlineStr"/>
      <c r="M77" s="15" t="inlineStr">
        <is>
          <t>No</t>
        </is>
      </c>
      <c r="N77" s="15" t="inlineStr">
        <is>
          <t>No</t>
        </is>
      </c>
      <c r="O77" s="20">
        <f>IF(A77="","",MONTH(A77))</f>
        <v/>
      </c>
      <c r="P77" s="20">
        <f>IF(A77="","",YEAR(A77))</f>
        <v/>
      </c>
      <c r="Q77" s="20">
        <f>IF(A77="","",DAY(A77))</f>
        <v/>
      </c>
    </row>
    <row r="78">
      <c r="A78" s="18" t="n">
        <v>46146</v>
      </c>
      <c r="B78" s="15" t="inlineStr">
        <is>
          <t>Expense</t>
        </is>
      </c>
      <c r="C78" s="15" t="inlineStr">
        <is>
          <t>Transportation</t>
        </is>
      </c>
      <c r="D78" s="15" t="inlineStr">
        <is>
          <t>Parking/Tolls</t>
        </is>
      </c>
      <c r="E78" s="15" t="inlineStr">
        <is>
          <t>City Parking</t>
        </is>
      </c>
      <c r="F78" s="19" t="n">
        <v>84.22</v>
      </c>
      <c r="G78" s="15" t="inlineStr">
        <is>
          <t>Credit Card</t>
        </is>
      </c>
      <c r="H78" s="15" t="inlineStr">
        <is>
          <t>Credit Card</t>
        </is>
      </c>
      <c r="I78" s="15" t="inlineStr">
        <is>
          <t>Parent 1</t>
        </is>
      </c>
      <c r="J78" s="15" t="inlineStr">
        <is>
          <t>No</t>
        </is>
      </c>
      <c r="K78" s="15" t="inlineStr">
        <is>
          <t>Discretionary</t>
        </is>
      </c>
      <c r="L78" s="21" t="inlineStr"/>
      <c r="M78" s="15" t="inlineStr">
        <is>
          <t>No</t>
        </is>
      </c>
      <c r="N78" s="15" t="inlineStr">
        <is>
          <t>No</t>
        </is>
      </c>
      <c r="O78" s="20">
        <f>IF(A78="","",MONTH(A78))</f>
        <v/>
      </c>
      <c r="P78" s="20">
        <f>IF(A78="","",YEAR(A78))</f>
        <v/>
      </c>
      <c r="Q78" s="20">
        <f>IF(A78="","",DAY(A78))</f>
        <v/>
      </c>
    </row>
    <row r="79">
      <c r="A79" s="18" t="n">
        <v>46147</v>
      </c>
      <c r="B79" s="15" t="inlineStr">
        <is>
          <t>Expense</t>
        </is>
      </c>
      <c r="C79" s="15" t="inlineStr">
        <is>
          <t>Food</t>
        </is>
      </c>
      <c r="D79" s="15" t="inlineStr">
        <is>
          <t>Restaurants</t>
        </is>
      </c>
      <c r="E79" s="15" t="inlineStr">
        <is>
          <t>Olive Garden</t>
        </is>
      </c>
      <c r="F79" s="19" t="n">
        <v>76.69</v>
      </c>
      <c r="G79" s="15" t="inlineStr">
        <is>
          <t>HYSA</t>
        </is>
      </c>
      <c r="H79" s="15" t="inlineStr">
        <is>
          <t>Cash</t>
        </is>
      </c>
      <c r="I79" s="15" t="inlineStr">
        <is>
          <t>Parent 2</t>
        </is>
      </c>
      <c r="J79" s="15" t="inlineStr">
        <is>
          <t>No</t>
        </is>
      </c>
      <c r="K79" s="15" t="inlineStr">
        <is>
          <t>Discretionary</t>
        </is>
      </c>
      <c r="L79" s="21" t="inlineStr"/>
      <c r="M79" s="15" t="inlineStr">
        <is>
          <t>No</t>
        </is>
      </c>
      <c r="N79" s="15" t="inlineStr">
        <is>
          <t>No</t>
        </is>
      </c>
      <c r="O79" s="20">
        <f>IF(A79="","",MONTH(A79))</f>
        <v/>
      </c>
      <c r="P79" s="20">
        <f>IF(A79="","",YEAR(A79))</f>
        <v/>
      </c>
      <c r="Q79" s="20">
        <f>IF(A79="","",DAY(A79))</f>
        <v/>
      </c>
    </row>
    <row r="80">
      <c r="A80" s="18" t="n">
        <v>46147</v>
      </c>
      <c r="B80" s="15" t="inlineStr">
        <is>
          <t>Expense</t>
        </is>
      </c>
      <c r="C80" s="15" t="inlineStr">
        <is>
          <t>Healthcare</t>
        </is>
      </c>
      <c r="D80" s="15" t="inlineStr">
        <is>
          <t>Dental</t>
        </is>
      </c>
      <c r="E80" s="15" t="inlineStr">
        <is>
          <t>Dental Care</t>
        </is>
      </c>
      <c r="F80" s="19" t="n">
        <v>32.77</v>
      </c>
      <c r="G80" s="15" t="inlineStr">
        <is>
          <t>Credit Card</t>
        </is>
      </c>
      <c r="H80" s="15" t="inlineStr">
        <is>
          <t>Credit Card</t>
        </is>
      </c>
      <c r="I80" s="15" t="inlineStr">
        <is>
          <t>Parent 1</t>
        </is>
      </c>
      <c r="J80" s="15" t="inlineStr">
        <is>
          <t>No</t>
        </is>
      </c>
      <c r="K80" s="15" t="inlineStr">
        <is>
          <t>Essential</t>
        </is>
      </c>
      <c r="L80" s="21" t="inlineStr"/>
      <c r="M80" s="15" t="inlineStr">
        <is>
          <t>No</t>
        </is>
      </c>
      <c r="N80" s="15" t="inlineStr">
        <is>
          <t>No</t>
        </is>
      </c>
      <c r="O80" s="20">
        <f>IF(A80="","",MONTH(A80))</f>
        <v/>
      </c>
      <c r="P80" s="20">
        <f>IF(A80="","",YEAR(A80))</f>
        <v/>
      </c>
      <c r="Q80" s="20">
        <f>IF(A80="","",DAY(A80))</f>
        <v/>
      </c>
    </row>
    <row r="81">
      <c r="A81" s="18" t="n">
        <v>46148</v>
      </c>
      <c r="B81" s="15" t="inlineStr">
        <is>
          <t>Expense</t>
        </is>
      </c>
      <c r="C81" s="15" t="inlineStr">
        <is>
          <t>Food</t>
        </is>
      </c>
      <c r="D81" s="15" t="inlineStr">
        <is>
          <t>Takeout/Delivery</t>
        </is>
      </c>
      <c r="E81" s="15" t="inlineStr">
        <is>
          <t>DoorDash</t>
        </is>
      </c>
      <c r="F81" s="19" t="n">
        <v>43.59</v>
      </c>
      <c r="G81" s="15" t="inlineStr">
        <is>
          <t>Checking</t>
        </is>
      </c>
      <c r="H81" s="15" t="inlineStr">
        <is>
          <t>Checking</t>
        </is>
      </c>
      <c r="I81" s="15" t="inlineStr">
        <is>
          <t>Household</t>
        </is>
      </c>
      <c r="J81" s="15" t="inlineStr">
        <is>
          <t>No</t>
        </is>
      </c>
      <c r="K81" s="15" t="inlineStr">
        <is>
          <t>Discretionary</t>
        </is>
      </c>
      <c r="L81" s="21" t="inlineStr"/>
      <c r="M81" s="15" t="inlineStr">
        <is>
          <t>No</t>
        </is>
      </c>
      <c r="N81" s="15" t="inlineStr">
        <is>
          <t>No</t>
        </is>
      </c>
      <c r="O81" s="20">
        <f>IF(A81="","",MONTH(A81))</f>
        <v/>
      </c>
      <c r="P81" s="20">
        <f>IF(A81="","",YEAR(A81))</f>
        <v/>
      </c>
      <c r="Q81" s="20">
        <f>IF(A81="","",DAY(A81))</f>
        <v/>
      </c>
    </row>
    <row r="82">
      <c r="A82" s="18" t="n">
        <v>46148</v>
      </c>
      <c r="B82" s="15" t="inlineStr">
        <is>
          <t>Expense</t>
        </is>
      </c>
      <c r="C82" s="15" t="inlineStr">
        <is>
          <t>Giving</t>
        </is>
      </c>
      <c r="D82" s="15" t="inlineStr">
        <is>
          <t>Gifts</t>
        </is>
      </c>
      <c r="E82" s="15" t="inlineStr">
        <is>
          <t>Amazon Gift</t>
        </is>
      </c>
      <c r="F82" s="19" t="n">
        <v>46.79</v>
      </c>
      <c r="G82" s="15" t="inlineStr">
        <is>
          <t>HYSA</t>
        </is>
      </c>
      <c r="H82" s="15" t="inlineStr">
        <is>
          <t>Cash</t>
        </is>
      </c>
      <c r="I82" s="15" t="inlineStr">
        <is>
          <t>Parent 2</t>
        </is>
      </c>
      <c r="J82" s="15" t="inlineStr">
        <is>
          <t>No</t>
        </is>
      </c>
      <c r="K82" s="15" t="inlineStr">
        <is>
          <t>Discretionary</t>
        </is>
      </c>
      <c r="L82" s="21" t="inlineStr"/>
      <c r="M82" s="15" t="inlineStr">
        <is>
          <t>No</t>
        </is>
      </c>
      <c r="N82" s="15" t="inlineStr">
        <is>
          <t>No</t>
        </is>
      </c>
      <c r="O82" s="20">
        <f>IF(A82="","",MONTH(A82))</f>
        <v/>
      </c>
      <c r="P82" s="20">
        <f>IF(A82="","",YEAR(A82))</f>
        <v/>
      </c>
      <c r="Q82" s="20">
        <f>IF(A82="","",DAY(A82))</f>
        <v/>
      </c>
    </row>
    <row r="83">
      <c r="A83" s="18" t="n">
        <v>46149</v>
      </c>
      <c r="B83" s="15" t="inlineStr">
        <is>
          <t>Expense</t>
        </is>
      </c>
      <c r="C83" s="15" t="inlineStr">
        <is>
          <t>Housing</t>
        </is>
      </c>
      <c r="D83" s="15" t="inlineStr">
        <is>
          <t>Utilities</t>
        </is>
      </c>
      <c r="E83" s="15" t="inlineStr">
        <is>
          <t>Water &amp; Sewer</t>
        </is>
      </c>
      <c r="F83" s="19" t="n">
        <v>52.45</v>
      </c>
      <c r="G83" s="15" t="inlineStr">
        <is>
          <t>Credit Card</t>
        </is>
      </c>
      <c r="H83" s="15" t="inlineStr">
        <is>
          <t>Credit Card</t>
        </is>
      </c>
      <c r="I83" s="15" t="inlineStr">
        <is>
          <t>Parent 2</t>
        </is>
      </c>
      <c r="J83" s="15" t="inlineStr">
        <is>
          <t>No</t>
        </is>
      </c>
      <c r="K83" s="15" t="inlineStr">
        <is>
          <t>Essential</t>
        </is>
      </c>
      <c r="L83" s="21" t="inlineStr"/>
      <c r="M83" s="15" t="inlineStr">
        <is>
          <t>No</t>
        </is>
      </c>
      <c r="N83" s="15" t="inlineStr">
        <is>
          <t>No</t>
        </is>
      </c>
      <c r="O83" s="20">
        <f>IF(A83="","",MONTH(A83))</f>
        <v/>
      </c>
      <c r="P83" s="20">
        <f>IF(A83="","",YEAR(A83))</f>
        <v/>
      </c>
      <c r="Q83" s="20">
        <f>IF(A83="","",DAY(A83))</f>
        <v/>
      </c>
    </row>
    <row r="84">
      <c r="A84" s="18" t="n">
        <v>46150</v>
      </c>
      <c r="B84" s="15" t="inlineStr">
        <is>
          <t>Expense</t>
        </is>
      </c>
      <c r="C84" s="15" t="inlineStr">
        <is>
          <t>Lifestyle</t>
        </is>
      </c>
      <c r="D84" s="15" t="inlineStr">
        <is>
          <t>Subscriptions</t>
        </is>
      </c>
      <c r="E84" s="15" t="inlineStr">
        <is>
          <t>Netflix</t>
        </is>
      </c>
      <c r="F84" s="19" t="n">
        <v>15.05</v>
      </c>
      <c r="G84" s="15" t="inlineStr">
        <is>
          <t>Checking</t>
        </is>
      </c>
      <c r="H84" s="15" t="inlineStr">
        <is>
          <t>Checking</t>
        </is>
      </c>
      <c r="I84" s="15" t="inlineStr">
        <is>
          <t>Household</t>
        </is>
      </c>
      <c r="J84" s="15" t="inlineStr">
        <is>
          <t>Yes</t>
        </is>
      </c>
      <c r="K84" s="15" t="inlineStr">
        <is>
          <t>Discretionary</t>
        </is>
      </c>
      <c r="L84" s="21" t="inlineStr"/>
      <c r="M84" s="15" t="inlineStr">
        <is>
          <t>No</t>
        </is>
      </c>
      <c r="N84" s="15" t="inlineStr">
        <is>
          <t>No</t>
        </is>
      </c>
      <c r="O84" s="20">
        <f>IF(A84="","",MONTH(A84))</f>
        <v/>
      </c>
      <c r="P84" s="20">
        <f>IF(A84="","",YEAR(A84))</f>
        <v/>
      </c>
      <c r="Q84" s="20">
        <f>IF(A84="","",DAY(A84))</f>
        <v/>
      </c>
    </row>
    <row r="85">
      <c r="A85" s="18" t="n">
        <v>46150</v>
      </c>
      <c r="B85" s="15" t="inlineStr">
        <is>
          <t>Expense</t>
        </is>
      </c>
      <c r="C85" s="15" t="inlineStr">
        <is>
          <t>Lifestyle</t>
        </is>
      </c>
      <c r="D85" s="15" t="inlineStr">
        <is>
          <t>Hobbies</t>
        </is>
      </c>
      <c r="E85" s="15" t="inlineStr">
        <is>
          <t>Hobby Shop</t>
        </is>
      </c>
      <c r="F85" s="19" t="n">
        <v>26.86</v>
      </c>
      <c r="G85" s="15" t="inlineStr">
        <is>
          <t>Credit Card</t>
        </is>
      </c>
      <c r="H85" s="15" t="inlineStr">
        <is>
          <t>Credit Card</t>
        </is>
      </c>
      <c r="I85" s="15" t="inlineStr">
        <is>
          <t>Household</t>
        </is>
      </c>
      <c r="J85" s="15" t="inlineStr">
        <is>
          <t>No</t>
        </is>
      </c>
      <c r="K85" s="15" t="inlineStr">
        <is>
          <t>Discretionary</t>
        </is>
      </c>
      <c r="L85" s="21" t="inlineStr"/>
      <c r="M85" s="15" t="inlineStr">
        <is>
          <t>No</t>
        </is>
      </c>
      <c r="N85" s="15" t="inlineStr">
        <is>
          <t>No</t>
        </is>
      </c>
      <c r="O85" s="20">
        <f>IF(A85="","",MONTH(A85))</f>
        <v/>
      </c>
      <c r="P85" s="20">
        <f>IF(A85="","",YEAR(A85))</f>
        <v/>
      </c>
      <c r="Q85" s="20">
        <f>IF(A85="","",DAY(A85))</f>
        <v/>
      </c>
    </row>
    <row r="86">
      <c r="A86" s="18" t="n">
        <v>46151</v>
      </c>
      <c r="B86" s="15" t="inlineStr">
        <is>
          <t>Expense</t>
        </is>
      </c>
      <c r="C86" s="15" t="inlineStr">
        <is>
          <t>Lifestyle</t>
        </is>
      </c>
      <c r="D86" s="15" t="inlineStr">
        <is>
          <t>Subscriptions</t>
        </is>
      </c>
      <c r="E86" s="15" t="inlineStr">
        <is>
          <t>Amazon Prime</t>
        </is>
      </c>
      <c r="F86" s="19" t="n">
        <v>14.49</v>
      </c>
      <c r="G86" s="15" t="inlineStr">
        <is>
          <t>HYSA</t>
        </is>
      </c>
      <c r="H86" s="15" t="inlineStr">
        <is>
          <t>Cash</t>
        </is>
      </c>
      <c r="I86" s="15" t="inlineStr">
        <is>
          <t>Parent 1</t>
        </is>
      </c>
      <c r="J86" s="15" t="inlineStr">
        <is>
          <t>Yes</t>
        </is>
      </c>
      <c r="K86" s="15" t="inlineStr">
        <is>
          <t>Discretionary</t>
        </is>
      </c>
      <c r="L86" s="21" t="inlineStr"/>
      <c r="M86" s="15" t="inlineStr">
        <is>
          <t>No</t>
        </is>
      </c>
      <c r="N86" s="15" t="inlineStr">
        <is>
          <t>No</t>
        </is>
      </c>
      <c r="O86" s="20">
        <f>IF(A86="","",MONTH(A86))</f>
        <v/>
      </c>
      <c r="P86" s="20">
        <f>IF(A86="","",YEAR(A86))</f>
        <v/>
      </c>
      <c r="Q86" s="20">
        <f>IF(A86="","",DAY(A86))</f>
        <v/>
      </c>
    </row>
    <row r="87">
      <c r="A87" s="18" t="n">
        <v>46152</v>
      </c>
      <c r="B87" s="15" t="inlineStr">
        <is>
          <t>Expense</t>
        </is>
      </c>
      <c r="C87" s="15" t="inlineStr">
        <is>
          <t>Food</t>
        </is>
      </c>
      <c r="D87" s="15" t="inlineStr">
        <is>
          <t>Groceries</t>
        </is>
      </c>
      <c r="E87" s="15" t="inlineStr">
        <is>
          <t>Walmart</t>
        </is>
      </c>
      <c r="F87" s="19" t="n">
        <v>96.09</v>
      </c>
      <c r="G87" s="15" t="inlineStr">
        <is>
          <t>HYSA</t>
        </is>
      </c>
      <c r="H87" s="15" t="inlineStr">
        <is>
          <t>Cash</t>
        </is>
      </c>
      <c r="I87" s="15" t="inlineStr">
        <is>
          <t>Parent 2</t>
        </is>
      </c>
      <c r="J87" s="15" t="inlineStr">
        <is>
          <t>No</t>
        </is>
      </c>
      <c r="K87" s="15" t="inlineStr">
        <is>
          <t>Essential</t>
        </is>
      </c>
      <c r="L87" s="21" t="inlineStr"/>
      <c r="M87" s="15" t="inlineStr">
        <is>
          <t>No</t>
        </is>
      </c>
      <c r="N87" s="15" t="inlineStr">
        <is>
          <t>No</t>
        </is>
      </c>
      <c r="O87" s="20">
        <f>IF(A87="","",MONTH(A87))</f>
        <v/>
      </c>
      <c r="P87" s="20">
        <f>IF(A87="","",YEAR(A87))</f>
        <v/>
      </c>
      <c r="Q87" s="20">
        <f>IF(A87="","",DAY(A87))</f>
        <v/>
      </c>
    </row>
    <row r="88">
      <c r="A88" s="18" t="n">
        <v>46152</v>
      </c>
      <c r="B88" s="15" t="inlineStr">
        <is>
          <t>Expense</t>
        </is>
      </c>
      <c r="C88" s="15" t="inlineStr">
        <is>
          <t>Food</t>
        </is>
      </c>
      <c r="D88" s="15" t="inlineStr">
        <is>
          <t>Restaurants</t>
        </is>
      </c>
      <c r="E88" s="15" t="inlineStr">
        <is>
          <t>Local Diner</t>
        </is>
      </c>
      <c r="F88" s="19" t="n">
        <v>41.25</v>
      </c>
      <c r="G88" s="15" t="inlineStr">
        <is>
          <t>Credit Card</t>
        </is>
      </c>
      <c r="H88" s="15" t="inlineStr">
        <is>
          <t>Credit Card</t>
        </is>
      </c>
      <c r="I88" s="15" t="inlineStr">
        <is>
          <t>Parent 1</t>
        </is>
      </c>
      <c r="J88" s="15" t="inlineStr">
        <is>
          <t>No</t>
        </is>
      </c>
      <c r="K88" s="15" t="inlineStr">
        <is>
          <t>Discretionary</t>
        </is>
      </c>
      <c r="L88" s="21" t="inlineStr"/>
      <c r="M88" s="15" t="inlineStr">
        <is>
          <t>No</t>
        </is>
      </c>
      <c r="N88" s="15" t="inlineStr">
        <is>
          <t>No</t>
        </is>
      </c>
      <c r="O88" s="20">
        <f>IF(A88="","",MONTH(A88))</f>
        <v/>
      </c>
      <c r="P88" s="20">
        <f>IF(A88="","",YEAR(A88))</f>
        <v/>
      </c>
      <c r="Q88" s="20">
        <f>IF(A88="","",DAY(A88))</f>
        <v/>
      </c>
    </row>
    <row r="89">
      <c r="A89" s="18" t="n">
        <v>46152</v>
      </c>
      <c r="B89" s="15" t="inlineStr">
        <is>
          <t>Expense</t>
        </is>
      </c>
      <c r="C89" s="15" t="inlineStr">
        <is>
          <t>Lifestyle</t>
        </is>
      </c>
      <c r="D89" s="15" t="inlineStr">
        <is>
          <t>Entertainment</t>
        </is>
      </c>
      <c r="E89" s="15" t="inlineStr">
        <is>
          <t>AMC</t>
        </is>
      </c>
      <c r="F89" s="19" t="n">
        <v>34.31</v>
      </c>
      <c r="G89" s="15" t="inlineStr">
        <is>
          <t>Checking</t>
        </is>
      </c>
      <c r="H89" s="15" t="inlineStr">
        <is>
          <t>Checking</t>
        </is>
      </c>
      <c r="I89" s="15" t="inlineStr">
        <is>
          <t>Household</t>
        </is>
      </c>
      <c r="J89" s="15" t="inlineStr">
        <is>
          <t>No</t>
        </is>
      </c>
      <c r="K89" s="15" t="inlineStr">
        <is>
          <t>Discretionary</t>
        </is>
      </c>
      <c r="L89" s="21" t="inlineStr"/>
      <c r="M89" s="15" t="inlineStr">
        <is>
          <t>No</t>
        </is>
      </c>
      <c r="N89" s="15" t="inlineStr">
        <is>
          <t>No</t>
        </is>
      </c>
      <c r="O89" s="20">
        <f>IF(A89="","",MONTH(A89))</f>
        <v/>
      </c>
      <c r="P89" s="20">
        <f>IF(A89="","",YEAR(A89))</f>
        <v/>
      </c>
      <c r="Q89" s="20">
        <f>IF(A89="","",DAY(A89))</f>
        <v/>
      </c>
    </row>
    <row r="90">
      <c r="A90" s="18" t="n">
        <v>46153</v>
      </c>
      <c r="B90" s="15" t="inlineStr">
        <is>
          <t>Expense</t>
        </is>
      </c>
      <c r="C90" s="15" t="inlineStr">
        <is>
          <t>Transportation</t>
        </is>
      </c>
      <c r="D90" s="15" t="inlineStr">
        <is>
          <t>Maintenance/Repairs</t>
        </is>
      </c>
      <c r="E90" s="15" t="inlineStr">
        <is>
          <t>Auto Shop</t>
        </is>
      </c>
      <c r="F90" s="19" t="n">
        <v>112.77</v>
      </c>
      <c r="G90" s="15" t="inlineStr">
        <is>
          <t>Checking</t>
        </is>
      </c>
      <c r="H90" s="15" t="inlineStr">
        <is>
          <t>Checking</t>
        </is>
      </c>
      <c r="I90" s="15" t="inlineStr">
        <is>
          <t>Household</t>
        </is>
      </c>
      <c r="J90" s="15" t="inlineStr">
        <is>
          <t>No</t>
        </is>
      </c>
      <c r="K90" s="15" t="inlineStr">
        <is>
          <t>Discretionary</t>
        </is>
      </c>
      <c r="L90" s="21" t="inlineStr"/>
      <c r="M90" s="15" t="inlineStr">
        <is>
          <t>No</t>
        </is>
      </c>
      <c r="N90" s="15" t="inlineStr">
        <is>
          <t>No</t>
        </is>
      </c>
      <c r="O90" s="20">
        <f>IF(A90="","",MONTH(A90))</f>
        <v/>
      </c>
      <c r="P90" s="20">
        <f>IF(A90="","",YEAR(A90))</f>
        <v/>
      </c>
      <c r="Q90" s="20">
        <f>IF(A90="","",DAY(A90))</f>
        <v/>
      </c>
    </row>
    <row r="91">
      <c r="A91" s="18" t="n">
        <v>46154</v>
      </c>
      <c r="B91" s="15" t="inlineStr">
        <is>
          <t>Expense</t>
        </is>
      </c>
      <c r="C91" s="15" t="inlineStr">
        <is>
          <t>Pets</t>
        </is>
      </c>
      <c r="D91" s="15" t="inlineStr">
        <is>
          <t>Food</t>
        </is>
      </c>
      <c r="E91" s="15" t="inlineStr">
        <is>
          <t>PetSmart</t>
        </is>
      </c>
      <c r="F91" s="19" t="n">
        <v>57.49</v>
      </c>
      <c r="G91" s="15" t="inlineStr">
        <is>
          <t>Checking</t>
        </is>
      </c>
      <c r="H91" s="15" t="inlineStr">
        <is>
          <t>Checking</t>
        </is>
      </c>
      <c r="I91" s="15" t="inlineStr">
        <is>
          <t>Household</t>
        </is>
      </c>
      <c r="J91" s="15" t="inlineStr">
        <is>
          <t>No</t>
        </is>
      </c>
      <c r="K91" s="15" t="inlineStr">
        <is>
          <t>Discretionary</t>
        </is>
      </c>
      <c r="L91" s="21" t="inlineStr"/>
      <c r="M91" s="15" t="inlineStr">
        <is>
          <t>No</t>
        </is>
      </c>
      <c r="N91" s="15" t="inlineStr">
        <is>
          <t>No</t>
        </is>
      </c>
      <c r="O91" s="20">
        <f>IF(A91="","",MONTH(A91))</f>
        <v/>
      </c>
      <c r="P91" s="20">
        <f>IF(A91="","",YEAR(A91))</f>
        <v/>
      </c>
      <c r="Q91" s="20">
        <f>IF(A91="","",DAY(A91))</f>
        <v/>
      </c>
    </row>
    <row r="92">
      <c r="A92" s="18" t="n">
        <v>46156</v>
      </c>
      <c r="B92" s="15" t="inlineStr">
        <is>
          <t>Expense</t>
        </is>
      </c>
      <c r="C92" s="15" t="inlineStr">
        <is>
          <t>Healthcare</t>
        </is>
      </c>
      <c r="D92" s="15" t="inlineStr">
        <is>
          <t>Prescriptions</t>
        </is>
      </c>
      <c r="E92" s="15" t="inlineStr">
        <is>
          <t>CVS Pharmacy</t>
        </is>
      </c>
      <c r="F92" s="19" t="n">
        <v>18.89</v>
      </c>
      <c r="G92" s="15" t="inlineStr">
        <is>
          <t>Credit Card</t>
        </is>
      </c>
      <c r="H92" s="15" t="inlineStr">
        <is>
          <t>Credit Card</t>
        </is>
      </c>
      <c r="I92" s="15" t="inlineStr">
        <is>
          <t>Household</t>
        </is>
      </c>
      <c r="J92" s="15" t="inlineStr">
        <is>
          <t>No</t>
        </is>
      </c>
      <c r="K92" s="15" t="inlineStr">
        <is>
          <t>Essential</t>
        </is>
      </c>
      <c r="L92" s="21" t="inlineStr"/>
      <c r="M92" s="15" t="inlineStr">
        <is>
          <t>No</t>
        </is>
      </c>
      <c r="N92" s="15" t="inlineStr">
        <is>
          <t>No</t>
        </is>
      </c>
      <c r="O92" s="20">
        <f>IF(A92="","",MONTH(A92))</f>
        <v/>
      </c>
      <c r="P92" s="20">
        <f>IF(A92="","",YEAR(A92))</f>
        <v/>
      </c>
      <c r="Q92" s="20">
        <f>IF(A92="","",DAY(A92))</f>
        <v/>
      </c>
    </row>
    <row r="93">
      <c r="A93" s="18" t="n">
        <v>46156</v>
      </c>
      <c r="B93" s="15" t="inlineStr">
        <is>
          <t>Expense</t>
        </is>
      </c>
      <c r="C93" s="15" t="inlineStr">
        <is>
          <t>Pets</t>
        </is>
      </c>
      <c r="D93" s="15" t="inlineStr">
        <is>
          <t>Vet</t>
        </is>
      </c>
      <c r="E93" s="15" t="inlineStr">
        <is>
          <t>Banfield</t>
        </is>
      </c>
      <c r="F93" s="19" t="n">
        <v>52.89</v>
      </c>
      <c r="G93" s="15" t="inlineStr">
        <is>
          <t>Credit Card</t>
        </is>
      </c>
      <c r="H93" s="15" t="inlineStr">
        <is>
          <t>Credit Card</t>
        </is>
      </c>
      <c r="I93" s="15" t="inlineStr">
        <is>
          <t>Parent 2</t>
        </is>
      </c>
      <c r="J93" s="15" t="inlineStr">
        <is>
          <t>No</t>
        </is>
      </c>
      <c r="K93" s="15" t="inlineStr">
        <is>
          <t>Discretionary</t>
        </is>
      </c>
      <c r="L93" s="21" t="inlineStr"/>
      <c r="M93" s="15" t="inlineStr">
        <is>
          <t>No</t>
        </is>
      </c>
      <c r="N93" s="15" t="inlineStr">
        <is>
          <t>No</t>
        </is>
      </c>
      <c r="O93" s="20">
        <f>IF(A93="","",MONTH(A93))</f>
        <v/>
      </c>
      <c r="P93" s="20">
        <f>IF(A93="","",YEAR(A93))</f>
        <v/>
      </c>
      <c r="Q93" s="20">
        <f>IF(A93="","",DAY(A93))</f>
        <v/>
      </c>
    </row>
    <row r="94">
      <c r="A94" s="18" t="n">
        <v>46157</v>
      </c>
      <c r="B94" s="15" t="inlineStr">
        <is>
          <t>Expense</t>
        </is>
      </c>
      <c r="C94" s="15" t="inlineStr">
        <is>
          <t>Transportation</t>
        </is>
      </c>
      <c r="D94" s="15" t="inlineStr">
        <is>
          <t>Car Payments</t>
        </is>
      </c>
      <c r="E94" s="15" t="inlineStr">
        <is>
          <t>Auto Finance</t>
        </is>
      </c>
      <c r="F94" s="19" t="n">
        <v>72.40000000000001</v>
      </c>
      <c r="G94" s="15" t="inlineStr">
        <is>
          <t>HYSA</t>
        </is>
      </c>
      <c r="H94" s="15" t="inlineStr">
        <is>
          <t>Cash</t>
        </is>
      </c>
      <c r="I94" s="15" t="inlineStr">
        <is>
          <t>Parent 2</t>
        </is>
      </c>
      <c r="J94" s="15" t="inlineStr">
        <is>
          <t>No</t>
        </is>
      </c>
      <c r="K94" s="15" t="inlineStr">
        <is>
          <t>Discretionary</t>
        </is>
      </c>
      <c r="L94" s="21" t="inlineStr"/>
      <c r="M94" s="15" t="inlineStr">
        <is>
          <t>No</t>
        </is>
      </c>
      <c r="N94" s="15" t="inlineStr">
        <is>
          <t>No</t>
        </is>
      </c>
      <c r="O94" s="20">
        <f>IF(A94="","",MONTH(A94))</f>
        <v/>
      </c>
      <c r="P94" s="20">
        <f>IF(A94="","",YEAR(A94))</f>
        <v/>
      </c>
      <c r="Q94" s="20">
        <f>IF(A94="","",DAY(A94))</f>
        <v/>
      </c>
    </row>
    <row r="95">
      <c r="A95" s="18" t="n">
        <v>46157</v>
      </c>
      <c r="B95" s="15" t="inlineStr">
        <is>
          <t>Expense</t>
        </is>
      </c>
      <c r="C95" s="15" t="inlineStr">
        <is>
          <t>Financial</t>
        </is>
      </c>
      <c r="D95" s="15" t="inlineStr">
        <is>
          <t>Savings</t>
        </is>
      </c>
      <c r="E95" s="15" t="inlineStr">
        <is>
          <t>Transfer to Savings</t>
        </is>
      </c>
      <c r="F95" s="19" t="n">
        <v>438.5</v>
      </c>
      <c r="G95" s="15" t="inlineStr">
        <is>
          <t>HYSA</t>
        </is>
      </c>
      <c r="H95" s="15" t="inlineStr">
        <is>
          <t>Cash</t>
        </is>
      </c>
      <c r="I95" s="15" t="inlineStr">
        <is>
          <t>Parent 1</t>
        </is>
      </c>
      <c r="J95" s="15" t="inlineStr">
        <is>
          <t>Yes</t>
        </is>
      </c>
      <c r="K95" s="15" t="inlineStr">
        <is>
          <t>Essential</t>
        </is>
      </c>
      <c r="L95" s="21" t="inlineStr"/>
      <c r="M95" s="15" t="inlineStr">
        <is>
          <t>No</t>
        </is>
      </c>
      <c r="N95" s="15" t="inlineStr">
        <is>
          <t>No</t>
        </is>
      </c>
      <c r="O95" s="20">
        <f>IF(A95="","",MONTH(A95))</f>
        <v/>
      </c>
      <c r="P95" s="20">
        <f>IF(A95="","",YEAR(A95))</f>
        <v/>
      </c>
      <c r="Q95" s="20">
        <f>IF(A95="","",DAY(A95))</f>
        <v/>
      </c>
    </row>
    <row r="96">
      <c r="A96" s="18" t="n">
        <v>46158</v>
      </c>
      <c r="B96" s="15" t="inlineStr">
        <is>
          <t>Expense</t>
        </is>
      </c>
      <c r="C96" s="15" t="inlineStr">
        <is>
          <t>Housing</t>
        </is>
      </c>
      <c r="D96" s="15" t="inlineStr">
        <is>
          <t>Mortgage/Rent</t>
        </is>
      </c>
      <c r="E96" s="15" t="inlineStr">
        <is>
          <t>Home Mortgage</t>
        </is>
      </c>
      <c r="F96" s="19" t="n">
        <v>81.61</v>
      </c>
      <c r="G96" s="15" t="inlineStr">
        <is>
          <t>Credit Card</t>
        </is>
      </c>
      <c r="H96" s="15" t="inlineStr">
        <is>
          <t>Credit Card</t>
        </is>
      </c>
      <c r="I96" s="15" t="inlineStr">
        <is>
          <t>Parent 2</t>
        </is>
      </c>
      <c r="J96" s="15" t="inlineStr">
        <is>
          <t>No</t>
        </is>
      </c>
      <c r="K96" s="15" t="inlineStr">
        <is>
          <t>Discretionary</t>
        </is>
      </c>
      <c r="L96" s="21" t="inlineStr"/>
      <c r="M96" s="15" t="inlineStr">
        <is>
          <t>No</t>
        </is>
      </c>
      <c r="N96" s="15" t="inlineStr">
        <is>
          <t>No</t>
        </is>
      </c>
      <c r="O96" s="20">
        <f>IF(A96="","",MONTH(A96))</f>
        <v/>
      </c>
      <c r="P96" s="20">
        <f>IF(A96="","",YEAR(A96))</f>
        <v/>
      </c>
      <c r="Q96" s="20">
        <f>IF(A96="","",DAY(A96))</f>
        <v/>
      </c>
    </row>
    <row r="97">
      <c r="A97" s="18" t="n">
        <v>46159</v>
      </c>
      <c r="B97" s="15" t="inlineStr">
        <is>
          <t>Expense</t>
        </is>
      </c>
      <c r="C97" s="15" t="inlineStr">
        <is>
          <t>Family</t>
        </is>
      </c>
      <c r="D97" s="15" t="inlineStr">
        <is>
          <t>Clothing</t>
        </is>
      </c>
      <c r="E97" s="15" t="inlineStr">
        <is>
          <t>Target</t>
        </is>
      </c>
      <c r="F97" s="19" t="n">
        <v>51.1</v>
      </c>
      <c r="G97" s="15" t="inlineStr">
        <is>
          <t>Savings</t>
        </is>
      </c>
      <c r="H97" s="15" t="inlineStr">
        <is>
          <t>Savings</t>
        </is>
      </c>
      <c r="I97" s="15" t="inlineStr">
        <is>
          <t>Parent 2</t>
        </is>
      </c>
      <c r="J97" s="15" t="inlineStr">
        <is>
          <t>No</t>
        </is>
      </c>
      <c r="K97" s="15" t="inlineStr">
        <is>
          <t>Discretionary</t>
        </is>
      </c>
      <c r="L97" s="21" t="inlineStr"/>
      <c r="M97" s="15" t="inlineStr">
        <is>
          <t>No</t>
        </is>
      </c>
      <c r="N97" s="15" t="inlineStr">
        <is>
          <t>No</t>
        </is>
      </c>
      <c r="O97" s="20">
        <f>IF(A97="","",MONTH(A97))</f>
        <v/>
      </c>
      <c r="P97" s="20">
        <f>IF(A97="","",YEAR(A97))</f>
        <v/>
      </c>
      <c r="Q97" s="20">
        <f>IF(A97="","",DAY(A97))</f>
        <v/>
      </c>
    </row>
    <row r="98">
      <c r="A98" s="18" t="n">
        <v>46160</v>
      </c>
      <c r="B98" s="15" t="inlineStr">
        <is>
          <t>Expense</t>
        </is>
      </c>
      <c r="C98" s="15" t="inlineStr">
        <is>
          <t>Housing</t>
        </is>
      </c>
      <c r="D98" s="15" t="inlineStr">
        <is>
          <t>Repairs/Maintenance</t>
        </is>
      </c>
      <c r="E98" s="15" t="inlineStr">
        <is>
          <t>Handyman</t>
        </is>
      </c>
      <c r="F98" s="19" t="n">
        <v>144.49</v>
      </c>
      <c r="G98" s="15" t="inlineStr">
        <is>
          <t>Credit Card</t>
        </is>
      </c>
      <c r="H98" s="15" t="inlineStr">
        <is>
          <t>Credit Card</t>
        </is>
      </c>
      <c r="I98" s="15" t="inlineStr">
        <is>
          <t>Parent 2</t>
        </is>
      </c>
      <c r="J98" s="15" t="inlineStr">
        <is>
          <t>No</t>
        </is>
      </c>
      <c r="K98" s="15" t="inlineStr">
        <is>
          <t>Discretionary</t>
        </is>
      </c>
      <c r="L98" s="21" t="inlineStr"/>
      <c r="M98" s="15" t="inlineStr">
        <is>
          <t>No</t>
        </is>
      </c>
      <c r="N98" s="15" t="inlineStr">
        <is>
          <t>No</t>
        </is>
      </c>
      <c r="O98" s="20">
        <f>IF(A98="","",MONTH(A98))</f>
        <v/>
      </c>
      <c r="P98" s="20">
        <f>IF(A98="","",YEAR(A98))</f>
        <v/>
      </c>
      <c r="Q98" s="20">
        <f>IF(A98="","",DAY(A98))</f>
        <v/>
      </c>
    </row>
    <row r="99">
      <c r="A99" s="18" t="n">
        <v>46160</v>
      </c>
      <c r="B99" s="15" t="inlineStr">
        <is>
          <t>Expense</t>
        </is>
      </c>
      <c r="C99" s="15" t="inlineStr">
        <is>
          <t>Miscellaneous</t>
        </is>
      </c>
      <c r="D99" s="15" t="inlineStr">
        <is>
          <t>Fees</t>
        </is>
      </c>
      <c r="E99" s="15" t="inlineStr">
        <is>
          <t>Bank Fee</t>
        </is>
      </c>
      <c r="F99" s="19" t="n">
        <v>11.43</v>
      </c>
      <c r="G99" s="15" t="inlineStr">
        <is>
          <t>HYSA</t>
        </is>
      </c>
      <c r="H99" s="15" t="inlineStr">
        <is>
          <t>Cash</t>
        </is>
      </c>
      <c r="I99" s="15" t="inlineStr">
        <is>
          <t>Parent 1</t>
        </is>
      </c>
      <c r="J99" s="15" t="inlineStr">
        <is>
          <t>No</t>
        </is>
      </c>
      <c r="K99" s="15" t="inlineStr">
        <is>
          <t>Discretionary</t>
        </is>
      </c>
      <c r="L99" s="21" t="inlineStr"/>
      <c r="M99" s="15" t="inlineStr">
        <is>
          <t>No</t>
        </is>
      </c>
      <c r="N99" s="15" t="inlineStr">
        <is>
          <t>No</t>
        </is>
      </c>
      <c r="O99" s="20">
        <f>IF(A99="","",MONTH(A99))</f>
        <v/>
      </c>
      <c r="P99" s="20">
        <f>IF(A99="","",YEAR(A99))</f>
        <v/>
      </c>
      <c r="Q99" s="20">
        <f>IF(A99="","",DAY(A99))</f>
        <v/>
      </c>
    </row>
    <row r="100">
      <c r="A100" s="18" t="n">
        <v>46161</v>
      </c>
      <c r="B100" s="15" t="inlineStr">
        <is>
          <t>Expense</t>
        </is>
      </c>
      <c r="C100" s="15" t="inlineStr">
        <is>
          <t>Food</t>
        </is>
      </c>
      <c r="D100" s="15" t="inlineStr">
        <is>
          <t>Groceries</t>
        </is>
      </c>
      <c r="E100" s="15" t="inlineStr">
        <is>
          <t>Kroger</t>
        </is>
      </c>
      <c r="F100" s="19" t="n">
        <v>108.54</v>
      </c>
      <c r="G100" s="15" t="inlineStr">
        <is>
          <t>Savings</t>
        </is>
      </c>
      <c r="H100" s="15" t="inlineStr">
        <is>
          <t>Savings</t>
        </is>
      </c>
      <c r="I100" s="15" t="inlineStr">
        <is>
          <t>Parent 1</t>
        </is>
      </c>
      <c r="J100" s="15" t="inlineStr">
        <is>
          <t>No</t>
        </is>
      </c>
      <c r="K100" s="15" t="inlineStr">
        <is>
          <t>Discretionary</t>
        </is>
      </c>
      <c r="L100" s="21" t="inlineStr"/>
      <c r="M100" s="15" t="inlineStr">
        <is>
          <t>No</t>
        </is>
      </c>
      <c r="N100" s="15" t="inlineStr">
        <is>
          <t>No</t>
        </is>
      </c>
      <c r="O100" s="20">
        <f>IF(A100="","",MONTH(A100))</f>
        <v/>
      </c>
      <c r="P100" s="20">
        <f>IF(A100="","",YEAR(A100))</f>
        <v/>
      </c>
      <c r="Q100" s="20">
        <f>IF(A100="","",DAY(A100))</f>
        <v/>
      </c>
    </row>
    <row r="101">
      <c r="A101" s="18" t="n">
        <v>46161</v>
      </c>
      <c r="B101" s="15" t="inlineStr">
        <is>
          <t>Expense</t>
        </is>
      </c>
      <c r="C101" s="15" t="inlineStr">
        <is>
          <t>Family</t>
        </is>
      </c>
      <c r="D101" s="15" t="inlineStr">
        <is>
          <t>Childcare</t>
        </is>
      </c>
      <c r="E101" s="15" t="inlineStr">
        <is>
          <t>Bright Horizons</t>
        </is>
      </c>
      <c r="F101" s="19" t="n">
        <v>105.25</v>
      </c>
      <c r="G101" s="15" t="inlineStr">
        <is>
          <t>Checking</t>
        </is>
      </c>
      <c r="H101" s="15" t="inlineStr">
        <is>
          <t>Checking</t>
        </is>
      </c>
      <c r="I101" s="15" t="inlineStr">
        <is>
          <t>Parent 1</t>
        </is>
      </c>
      <c r="J101" s="15" t="inlineStr">
        <is>
          <t>No</t>
        </is>
      </c>
      <c r="K101" s="15" t="inlineStr">
        <is>
          <t>Discretionary</t>
        </is>
      </c>
      <c r="L101" s="21" t="inlineStr"/>
      <c r="M101" s="15" t="inlineStr">
        <is>
          <t>No</t>
        </is>
      </c>
      <c r="N101" s="15" t="inlineStr">
        <is>
          <t>No</t>
        </is>
      </c>
      <c r="O101" s="20">
        <f>IF(A101="","",MONTH(A101))</f>
        <v/>
      </c>
      <c r="P101" s="20">
        <f>IF(A101="","",YEAR(A101))</f>
        <v/>
      </c>
      <c r="Q101" s="20">
        <f>IF(A101="","",DAY(A101))</f>
        <v/>
      </c>
    </row>
    <row r="102">
      <c r="A102" s="18" t="n">
        <v>46162</v>
      </c>
      <c r="B102" s="15" t="inlineStr">
        <is>
          <t>Expense</t>
        </is>
      </c>
      <c r="C102" s="15" t="inlineStr">
        <is>
          <t>Transportation</t>
        </is>
      </c>
      <c r="D102" s="15" t="inlineStr">
        <is>
          <t>Gas</t>
        </is>
      </c>
      <c r="E102" s="15" t="inlineStr">
        <is>
          <t>Shell</t>
        </is>
      </c>
      <c r="F102" s="19" t="n">
        <v>39.28</v>
      </c>
      <c r="G102" s="15" t="inlineStr">
        <is>
          <t>Credit Card</t>
        </is>
      </c>
      <c r="H102" s="15" t="inlineStr">
        <is>
          <t>Credit Card</t>
        </is>
      </c>
      <c r="I102" s="15" t="inlineStr">
        <is>
          <t>Household</t>
        </is>
      </c>
      <c r="J102" s="15" t="inlineStr">
        <is>
          <t>No</t>
        </is>
      </c>
      <c r="K102" s="15" t="inlineStr">
        <is>
          <t>Discretionary</t>
        </is>
      </c>
      <c r="L102" s="21" t="inlineStr"/>
      <c r="M102" s="15" t="inlineStr">
        <is>
          <t>No</t>
        </is>
      </c>
      <c r="N102" s="15" t="inlineStr">
        <is>
          <t>No</t>
        </is>
      </c>
      <c r="O102" s="20">
        <f>IF(A102="","",MONTH(A102))</f>
        <v/>
      </c>
      <c r="P102" s="20">
        <f>IF(A102="","",YEAR(A102))</f>
        <v/>
      </c>
      <c r="Q102" s="20">
        <f>IF(A102="","",DAY(A102))</f>
        <v/>
      </c>
    </row>
    <row r="103">
      <c r="A103" s="18" t="n">
        <v>46162</v>
      </c>
      <c r="B103" s="15" t="inlineStr">
        <is>
          <t>Expense</t>
        </is>
      </c>
      <c r="C103" s="15" t="inlineStr">
        <is>
          <t>Family</t>
        </is>
      </c>
      <c r="D103" s="15" t="inlineStr">
        <is>
          <t>Allowances</t>
        </is>
      </c>
      <c r="E103" s="15" t="inlineStr">
        <is>
          <t>Kids Allowance</t>
        </is>
      </c>
      <c r="F103" s="19" t="n">
        <v>21.8</v>
      </c>
      <c r="G103" s="15" t="inlineStr">
        <is>
          <t>Credit Card</t>
        </is>
      </c>
      <c r="H103" s="15" t="inlineStr">
        <is>
          <t>Credit Card</t>
        </is>
      </c>
      <c r="I103" s="15" t="inlineStr">
        <is>
          <t>Parent 1</t>
        </is>
      </c>
      <c r="J103" s="15" t="inlineStr">
        <is>
          <t>No</t>
        </is>
      </c>
      <c r="K103" s="15" t="inlineStr">
        <is>
          <t>Discretionary</t>
        </is>
      </c>
      <c r="L103" s="21" t="inlineStr"/>
      <c r="M103" s="15" t="inlineStr">
        <is>
          <t>No</t>
        </is>
      </c>
      <c r="N103" s="15" t="inlineStr">
        <is>
          <t>No</t>
        </is>
      </c>
      <c r="O103" s="20">
        <f>IF(A103="","",MONTH(A103))</f>
        <v/>
      </c>
      <c r="P103" s="20">
        <f>IF(A103="","",YEAR(A103))</f>
        <v/>
      </c>
      <c r="Q103" s="20">
        <f>IF(A103="","",DAY(A103))</f>
        <v/>
      </c>
    </row>
    <row r="104">
      <c r="A104" s="18" t="n">
        <v>46163</v>
      </c>
      <c r="B104" s="15" t="inlineStr">
        <is>
          <t>Expense</t>
        </is>
      </c>
      <c r="C104" s="15" t="inlineStr">
        <is>
          <t>Family</t>
        </is>
      </c>
      <c r="D104" s="15" t="inlineStr">
        <is>
          <t>Activities/Sports</t>
        </is>
      </c>
      <c r="E104" s="15" t="inlineStr">
        <is>
          <t>Soccer League</t>
        </is>
      </c>
      <c r="F104" s="19" t="n">
        <v>77.79000000000001</v>
      </c>
      <c r="G104" s="15" t="inlineStr">
        <is>
          <t>Checking</t>
        </is>
      </c>
      <c r="H104" s="15" t="inlineStr">
        <is>
          <t>Checking</t>
        </is>
      </c>
      <c r="I104" s="15" t="inlineStr">
        <is>
          <t>Parent 1</t>
        </is>
      </c>
      <c r="J104" s="15" t="inlineStr">
        <is>
          <t>No</t>
        </is>
      </c>
      <c r="K104" s="15" t="inlineStr">
        <is>
          <t>Discretionary</t>
        </is>
      </c>
      <c r="L104" s="21" t="inlineStr"/>
      <c r="M104" s="15" t="inlineStr">
        <is>
          <t>No</t>
        </is>
      </c>
      <c r="N104" s="15" t="inlineStr">
        <is>
          <t>No</t>
        </is>
      </c>
      <c r="O104" s="20">
        <f>IF(A104="","",MONTH(A104))</f>
        <v/>
      </c>
      <c r="P104" s="20">
        <f>IF(A104="","",YEAR(A104))</f>
        <v/>
      </c>
      <c r="Q104" s="20">
        <f>IF(A104="","",DAY(A104))</f>
        <v/>
      </c>
    </row>
    <row r="105">
      <c r="A105" s="18" t="n">
        <v>46165</v>
      </c>
      <c r="B105" s="15" t="inlineStr">
        <is>
          <t>Expense</t>
        </is>
      </c>
      <c r="C105" s="15" t="inlineStr">
        <is>
          <t>Financial</t>
        </is>
      </c>
      <c r="D105" s="15" t="inlineStr">
        <is>
          <t>Student Loans</t>
        </is>
      </c>
      <c r="E105" s="15" t="inlineStr">
        <is>
          <t>Navient</t>
        </is>
      </c>
      <c r="F105" s="19" t="n">
        <v>228.05</v>
      </c>
      <c r="G105" s="15" t="inlineStr">
        <is>
          <t>Checking</t>
        </is>
      </c>
      <c r="H105" s="15" t="inlineStr">
        <is>
          <t>Checking</t>
        </is>
      </c>
      <c r="I105" s="15" t="inlineStr">
        <is>
          <t>Parent 2</t>
        </is>
      </c>
      <c r="J105" s="15" t="inlineStr">
        <is>
          <t>Yes</t>
        </is>
      </c>
      <c r="K105" s="15" t="inlineStr">
        <is>
          <t>Discretionary</t>
        </is>
      </c>
      <c r="L105" s="21" t="inlineStr"/>
      <c r="M105" s="15" t="inlineStr">
        <is>
          <t>No</t>
        </is>
      </c>
      <c r="N105" s="15" t="inlineStr">
        <is>
          <t>No</t>
        </is>
      </c>
      <c r="O105" s="20">
        <f>IF(A105="","",MONTH(A105))</f>
        <v/>
      </c>
      <c r="P105" s="20">
        <f>IF(A105="","",YEAR(A105))</f>
        <v/>
      </c>
      <c r="Q105" s="20">
        <f>IF(A105="","",DAY(A105))</f>
        <v/>
      </c>
    </row>
    <row r="106">
      <c r="A106" s="18" t="n">
        <v>46166</v>
      </c>
      <c r="B106" s="15" t="inlineStr">
        <is>
          <t>Expense</t>
        </is>
      </c>
      <c r="C106" s="15" t="inlineStr">
        <is>
          <t>Housing</t>
        </is>
      </c>
      <c r="D106" s="15" t="inlineStr">
        <is>
          <t>Home Insurance</t>
        </is>
      </c>
      <c r="E106" s="15" t="inlineStr">
        <is>
          <t>HomeSure Insurance</t>
        </is>
      </c>
      <c r="F106" s="19" t="n">
        <v>63.56</v>
      </c>
      <c r="G106" s="15" t="inlineStr">
        <is>
          <t>Savings</t>
        </is>
      </c>
      <c r="H106" s="15" t="inlineStr">
        <is>
          <t>Savings</t>
        </is>
      </c>
      <c r="I106" s="15" t="inlineStr">
        <is>
          <t>Parent 1</t>
        </is>
      </c>
      <c r="J106" s="15" t="inlineStr">
        <is>
          <t>No</t>
        </is>
      </c>
      <c r="K106" s="15" t="inlineStr">
        <is>
          <t>Discretionary</t>
        </is>
      </c>
      <c r="L106" s="21" t="inlineStr"/>
      <c r="M106" s="15" t="inlineStr">
        <is>
          <t>No</t>
        </is>
      </c>
      <c r="N106" s="15" t="inlineStr">
        <is>
          <t>No</t>
        </is>
      </c>
      <c r="O106" s="20">
        <f>IF(A106="","",MONTH(A106))</f>
        <v/>
      </c>
      <c r="P106" s="20">
        <f>IF(A106="","",YEAR(A106))</f>
        <v/>
      </c>
      <c r="Q106" s="20">
        <f>IF(A106="","",DAY(A106))</f>
        <v/>
      </c>
    </row>
    <row r="107">
      <c r="A107" s="18" t="n">
        <v>46166</v>
      </c>
      <c r="B107" s="15" t="inlineStr">
        <is>
          <t>Expense</t>
        </is>
      </c>
      <c r="C107" s="15" t="inlineStr">
        <is>
          <t>Healthcare</t>
        </is>
      </c>
      <c r="D107" s="15" t="inlineStr">
        <is>
          <t>Health Insurance</t>
        </is>
      </c>
      <c r="E107" s="15" t="inlineStr">
        <is>
          <t>BCBS</t>
        </is>
      </c>
      <c r="F107" s="19" t="n">
        <v>90.62</v>
      </c>
      <c r="G107" s="15" t="inlineStr">
        <is>
          <t>Savings</t>
        </is>
      </c>
      <c r="H107" s="15" t="inlineStr">
        <is>
          <t>Savings</t>
        </is>
      </c>
      <c r="I107" s="15" t="inlineStr">
        <is>
          <t>Household</t>
        </is>
      </c>
      <c r="J107" s="15" t="inlineStr">
        <is>
          <t>No</t>
        </is>
      </c>
      <c r="K107" s="15" t="inlineStr">
        <is>
          <t>Discretionary</t>
        </is>
      </c>
      <c r="L107" s="21" t="inlineStr"/>
      <c r="M107" s="15" t="inlineStr">
        <is>
          <t>No</t>
        </is>
      </c>
      <c r="N107" s="15" t="inlineStr">
        <is>
          <t>No</t>
        </is>
      </c>
      <c r="O107" s="20">
        <f>IF(A107="","",MONTH(A107))</f>
        <v/>
      </c>
      <c r="P107" s="20">
        <f>IF(A107="","",YEAR(A107))</f>
        <v/>
      </c>
      <c r="Q107" s="20">
        <f>IF(A107="","",DAY(A107))</f>
        <v/>
      </c>
    </row>
    <row r="108">
      <c r="A108" s="18" t="n">
        <v>46166</v>
      </c>
      <c r="B108" s="15" t="inlineStr">
        <is>
          <t>Expense</t>
        </is>
      </c>
      <c r="C108" s="15" t="inlineStr">
        <is>
          <t>Healthcare</t>
        </is>
      </c>
      <c r="D108" s="15" t="inlineStr">
        <is>
          <t>Medical Expenses</t>
        </is>
      </c>
      <c r="E108" s="15" t="inlineStr">
        <is>
          <t>Dr. Office</t>
        </is>
      </c>
      <c r="F108" s="19" t="n">
        <v>34.07</v>
      </c>
      <c r="G108" s="15" t="inlineStr">
        <is>
          <t>Credit Card</t>
        </is>
      </c>
      <c r="H108" s="15" t="inlineStr">
        <is>
          <t>Credit Card</t>
        </is>
      </c>
      <c r="I108" s="15" t="inlineStr">
        <is>
          <t>Household</t>
        </is>
      </c>
      <c r="J108" s="15" t="inlineStr">
        <is>
          <t>No</t>
        </is>
      </c>
      <c r="K108" s="15" t="inlineStr">
        <is>
          <t>Essential</t>
        </is>
      </c>
      <c r="L108" s="21" t="inlineStr"/>
      <c r="M108" s="15" t="inlineStr">
        <is>
          <t>No</t>
        </is>
      </c>
      <c r="N108" s="15" t="inlineStr">
        <is>
          <t>No</t>
        </is>
      </c>
      <c r="O108" s="20">
        <f>IF(A108="","",MONTH(A108))</f>
        <v/>
      </c>
      <c r="P108" s="20">
        <f>IF(A108="","",YEAR(A108))</f>
        <v/>
      </c>
      <c r="Q108" s="20">
        <f>IF(A108="","",DAY(A108))</f>
        <v/>
      </c>
    </row>
    <row r="109">
      <c r="A109" s="18" t="n">
        <v>46168</v>
      </c>
      <c r="B109" s="15" t="inlineStr">
        <is>
          <t>Expense</t>
        </is>
      </c>
      <c r="C109" s="15" t="inlineStr">
        <is>
          <t>Housing</t>
        </is>
      </c>
      <c r="D109" s="15" t="inlineStr">
        <is>
          <t>Utilities</t>
        </is>
      </c>
      <c r="E109" s="15" t="inlineStr">
        <is>
          <t>Electric Co</t>
        </is>
      </c>
      <c r="F109" s="19" t="n">
        <v>132.68</v>
      </c>
      <c r="G109" s="15" t="inlineStr">
        <is>
          <t>Savings</t>
        </is>
      </c>
      <c r="H109" s="15" t="inlineStr">
        <is>
          <t>Savings</t>
        </is>
      </c>
      <c r="I109" s="15" t="inlineStr">
        <is>
          <t>Parent 2</t>
        </is>
      </c>
      <c r="J109" s="15" t="inlineStr">
        <is>
          <t>No</t>
        </is>
      </c>
      <c r="K109" s="15" t="inlineStr">
        <is>
          <t>Essential</t>
        </is>
      </c>
      <c r="L109" s="21" t="inlineStr"/>
      <c r="M109" s="15" t="inlineStr">
        <is>
          <t>No</t>
        </is>
      </c>
      <c r="N109" s="15" t="inlineStr">
        <is>
          <t>No</t>
        </is>
      </c>
      <c r="O109" s="20">
        <f>IF(A109="","",MONTH(A109))</f>
        <v/>
      </c>
      <c r="P109" s="20">
        <f>IF(A109="","",YEAR(A109))</f>
        <v/>
      </c>
      <c r="Q109" s="20">
        <f>IF(A109="","",DAY(A109))</f>
        <v/>
      </c>
    </row>
    <row r="110">
      <c r="A110" s="18" t="n">
        <v>46169</v>
      </c>
      <c r="B110" s="15" t="inlineStr">
        <is>
          <t>Expense</t>
        </is>
      </c>
      <c r="C110" s="15" t="inlineStr">
        <is>
          <t>Food</t>
        </is>
      </c>
      <c r="D110" s="15" t="inlineStr">
        <is>
          <t>Coffee</t>
        </is>
      </c>
      <c r="E110" s="15" t="inlineStr">
        <is>
          <t>Starbucks</t>
        </is>
      </c>
      <c r="F110" s="19" t="n">
        <v>118.79</v>
      </c>
      <c r="G110" s="15" t="inlineStr">
        <is>
          <t>Checking</t>
        </is>
      </c>
      <c r="H110" s="15" t="inlineStr">
        <is>
          <t>Checking</t>
        </is>
      </c>
      <c r="I110" s="15" t="inlineStr">
        <is>
          <t>Parent 1</t>
        </is>
      </c>
      <c r="J110" s="15" t="inlineStr">
        <is>
          <t>No</t>
        </is>
      </c>
      <c r="K110" s="15" t="inlineStr">
        <is>
          <t>Discretionary</t>
        </is>
      </c>
      <c r="L110" s="21" t="inlineStr"/>
      <c r="M110" s="15" t="inlineStr">
        <is>
          <t>No</t>
        </is>
      </c>
      <c r="N110" s="15" t="inlineStr">
        <is>
          <t>No</t>
        </is>
      </c>
      <c r="O110" s="20">
        <f>IF(A110="","",MONTH(A110))</f>
        <v/>
      </c>
      <c r="P110" s="20">
        <f>IF(A110="","",YEAR(A110))</f>
        <v/>
      </c>
      <c r="Q110" s="20">
        <f>IF(A110="","",DAY(A110))</f>
        <v/>
      </c>
    </row>
    <row r="111">
      <c r="A111" s="18" t="n">
        <v>46177</v>
      </c>
      <c r="B111" s="15" t="inlineStr">
        <is>
          <t>Expense</t>
        </is>
      </c>
      <c r="C111" s="15" t="inlineStr">
        <is>
          <t>Housing</t>
        </is>
      </c>
      <c r="D111" s="15" t="inlineStr">
        <is>
          <t>Utilities</t>
        </is>
      </c>
      <c r="E111" s="15" t="inlineStr">
        <is>
          <t>Water &amp; Sewer</t>
        </is>
      </c>
      <c r="F111" s="19" t="n">
        <v>46.95</v>
      </c>
      <c r="G111" s="15" t="inlineStr">
        <is>
          <t>Credit Card</t>
        </is>
      </c>
      <c r="H111" s="15" t="inlineStr">
        <is>
          <t>Credit Card</t>
        </is>
      </c>
      <c r="I111" s="15" t="inlineStr">
        <is>
          <t>Parent 2</t>
        </is>
      </c>
      <c r="J111" s="15" t="inlineStr">
        <is>
          <t>No</t>
        </is>
      </c>
      <c r="K111" s="15" t="inlineStr">
        <is>
          <t>Essential</t>
        </is>
      </c>
      <c r="L111" s="21" t="inlineStr"/>
      <c r="M111" s="15" t="inlineStr">
        <is>
          <t>No</t>
        </is>
      </c>
      <c r="N111" s="15" t="inlineStr">
        <is>
          <t>No</t>
        </is>
      </c>
      <c r="O111" s="20">
        <f>IF(A111="","",MONTH(A111))</f>
        <v/>
      </c>
      <c r="P111" s="20">
        <f>IF(A111="","",YEAR(A111))</f>
        <v/>
      </c>
      <c r="Q111" s="20">
        <f>IF(A111="","",DAY(A111))</f>
        <v/>
      </c>
    </row>
    <row r="112">
      <c r="A112" s="18" t="n">
        <v>46177</v>
      </c>
      <c r="B112" s="15" t="inlineStr">
        <is>
          <t>Expense</t>
        </is>
      </c>
      <c r="C112" s="15" t="inlineStr">
        <is>
          <t>Healthcare</t>
        </is>
      </c>
      <c r="D112" s="15" t="inlineStr">
        <is>
          <t>Prescriptions</t>
        </is>
      </c>
      <c r="E112" s="15" t="inlineStr">
        <is>
          <t>CVS Pharmacy</t>
        </is>
      </c>
      <c r="F112" s="19" t="n">
        <v>22.24</v>
      </c>
      <c r="G112" s="15" t="inlineStr">
        <is>
          <t>Checking</t>
        </is>
      </c>
      <c r="H112" s="15" t="inlineStr">
        <is>
          <t>Checking</t>
        </is>
      </c>
      <c r="I112" s="15" t="inlineStr">
        <is>
          <t>Household</t>
        </is>
      </c>
      <c r="J112" s="15" t="inlineStr">
        <is>
          <t>No</t>
        </is>
      </c>
      <c r="K112" s="15" t="inlineStr">
        <is>
          <t>Essential</t>
        </is>
      </c>
      <c r="L112" s="21" t="inlineStr"/>
      <c r="M112" s="15" t="inlineStr">
        <is>
          <t>No</t>
        </is>
      </c>
      <c r="N112" s="15" t="inlineStr">
        <is>
          <t>No</t>
        </is>
      </c>
      <c r="O112" s="20">
        <f>IF(A112="","",MONTH(A112))</f>
        <v/>
      </c>
      <c r="P112" s="20">
        <f>IF(A112="","",YEAR(A112))</f>
        <v/>
      </c>
      <c r="Q112" s="20">
        <f>IF(A112="","",DAY(A112))</f>
        <v/>
      </c>
    </row>
    <row r="113">
      <c r="A113" s="18" t="n">
        <v>46177</v>
      </c>
      <c r="B113" s="15" t="inlineStr">
        <is>
          <t>Expense</t>
        </is>
      </c>
      <c r="C113" s="15" t="inlineStr">
        <is>
          <t>Giving</t>
        </is>
      </c>
      <c r="D113" s="15" t="inlineStr">
        <is>
          <t>Gifts</t>
        </is>
      </c>
      <c r="E113" s="15" t="inlineStr">
        <is>
          <t>Amazon Gift</t>
        </is>
      </c>
      <c r="F113" s="19" t="n">
        <v>41.46</v>
      </c>
      <c r="G113" s="15" t="inlineStr">
        <is>
          <t>Savings</t>
        </is>
      </c>
      <c r="H113" s="15" t="inlineStr">
        <is>
          <t>Savings</t>
        </is>
      </c>
      <c r="I113" s="15" t="inlineStr">
        <is>
          <t>Parent 1</t>
        </is>
      </c>
      <c r="J113" s="15" t="inlineStr">
        <is>
          <t>No</t>
        </is>
      </c>
      <c r="K113" s="15" t="inlineStr">
        <is>
          <t>Discretionary</t>
        </is>
      </c>
      <c r="L113" s="21" t="inlineStr"/>
      <c r="M113" s="15" t="inlineStr">
        <is>
          <t>No</t>
        </is>
      </c>
      <c r="N113" s="15" t="inlineStr">
        <is>
          <t>No</t>
        </is>
      </c>
      <c r="O113" s="20">
        <f>IF(A113="","",MONTH(A113))</f>
        <v/>
      </c>
      <c r="P113" s="20">
        <f>IF(A113="","",YEAR(A113))</f>
        <v/>
      </c>
      <c r="Q113" s="20">
        <f>IF(A113="","",DAY(A113))</f>
        <v/>
      </c>
    </row>
    <row r="114">
      <c r="A114" s="18" t="n">
        <v>46178</v>
      </c>
      <c r="B114" s="15" t="inlineStr">
        <is>
          <t>Expense</t>
        </is>
      </c>
      <c r="C114" s="15" t="inlineStr">
        <is>
          <t>Food</t>
        </is>
      </c>
      <c r="D114" s="15" t="inlineStr">
        <is>
          <t>Groceries</t>
        </is>
      </c>
      <c r="E114" s="15" t="inlineStr">
        <is>
          <t>Kroger</t>
        </is>
      </c>
      <c r="F114" s="19" t="n">
        <v>38.57</v>
      </c>
      <c r="G114" s="15" t="inlineStr">
        <is>
          <t>HYSA</t>
        </is>
      </c>
      <c r="H114" s="15" t="inlineStr">
        <is>
          <t>Cash</t>
        </is>
      </c>
      <c r="I114" s="15" t="inlineStr">
        <is>
          <t>Parent 1</t>
        </is>
      </c>
      <c r="J114" s="15" t="inlineStr">
        <is>
          <t>No</t>
        </is>
      </c>
      <c r="K114" s="15" t="inlineStr">
        <is>
          <t>Discretionary</t>
        </is>
      </c>
      <c r="L114" s="21" t="inlineStr"/>
      <c r="M114" s="15" t="inlineStr">
        <is>
          <t>No</t>
        </is>
      </c>
      <c r="N114" s="15" t="inlineStr">
        <is>
          <t>No</t>
        </is>
      </c>
      <c r="O114" s="20">
        <f>IF(A114="","",MONTH(A114))</f>
        <v/>
      </c>
      <c r="P114" s="20">
        <f>IF(A114="","",YEAR(A114))</f>
        <v/>
      </c>
      <c r="Q114" s="20">
        <f>IF(A114="","",DAY(A114))</f>
        <v/>
      </c>
    </row>
    <row r="115">
      <c r="A115" s="18" t="n">
        <v>46178</v>
      </c>
      <c r="B115" s="15" t="inlineStr">
        <is>
          <t>Expense</t>
        </is>
      </c>
      <c r="C115" s="15" t="inlineStr">
        <is>
          <t>Lifestyle</t>
        </is>
      </c>
      <c r="D115" s="15" t="inlineStr">
        <is>
          <t>Subscriptions</t>
        </is>
      </c>
      <c r="E115" s="15" t="inlineStr">
        <is>
          <t>Amazon Prime</t>
        </is>
      </c>
      <c r="F115" s="19" t="n">
        <v>15.83</v>
      </c>
      <c r="G115" s="15" t="inlineStr">
        <is>
          <t>HYSA</t>
        </is>
      </c>
      <c r="H115" s="15" t="inlineStr">
        <is>
          <t>Cash</t>
        </is>
      </c>
      <c r="I115" s="15" t="inlineStr">
        <is>
          <t>Parent 2</t>
        </is>
      </c>
      <c r="J115" s="15" t="inlineStr">
        <is>
          <t>Yes</t>
        </is>
      </c>
      <c r="K115" s="15" t="inlineStr">
        <is>
          <t>Discretionary</t>
        </is>
      </c>
      <c r="L115" s="21" t="inlineStr"/>
      <c r="M115" s="15" t="inlineStr">
        <is>
          <t>No</t>
        </is>
      </c>
      <c r="N115" s="15" t="inlineStr">
        <is>
          <t>No</t>
        </is>
      </c>
      <c r="O115" s="20">
        <f>IF(A115="","",MONTH(A115))</f>
        <v/>
      </c>
      <c r="P115" s="20">
        <f>IF(A115="","",YEAR(A115))</f>
        <v/>
      </c>
      <c r="Q115" s="20">
        <f>IF(A115="","",DAY(A115))</f>
        <v/>
      </c>
    </row>
    <row r="116">
      <c r="A116" s="18" t="n">
        <v>46179</v>
      </c>
      <c r="B116" s="15" t="inlineStr">
        <is>
          <t>Expense</t>
        </is>
      </c>
      <c r="C116" s="15" t="inlineStr">
        <is>
          <t>Family</t>
        </is>
      </c>
      <c r="D116" s="15" t="inlineStr">
        <is>
          <t>School</t>
        </is>
      </c>
      <c r="E116" s="15" t="inlineStr">
        <is>
          <t>School District</t>
        </is>
      </c>
      <c r="F116" s="19" t="n">
        <v>57.77</v>
      </c>
      <c r="G116" s="15" t="inlineStr">
        <is>
          <t>Checking</t>
        </is>
      </c>
      <c r="H116" s="15" t="inlineStr">
        <is>
          <t>Checking</t>
        </is>
      </c>
      <c r="I116" s="15" t="inlineStr">
        <is>
          <t>Household</t>
        </is>
      </c>
      <c r="J116" s="15" t="inlineStr">
        <is>
          <t>No</t>
        </is>
      </c>
      <c r="K116" s="15" t="inlineStr">
        <is>
          <t>Essential</t>
        </is>
      </c>
      <c r="L116" s="21" t="inlineStr"/>
      <c r="M116" s="15" t="inlineStr">
        <is>
          <t>No</t>
        </is>
      </c>
      <c r="N116" s="15" t="inlineStr">
        <is>
          <t>No</t>
        </is>
      </c>
      <c r="O116" s="20">
        <f>IF(A116="","",MONTH(A116))</f>
        <v/>
      </c>
      <c r="P116" s="20">
        <f>IF(A116="","",YEAR(A116))</f>
        <v/>
      </c>
      <c r="Q116" s="20">
        <f>IF(A116="","",DAY(A116))</f>
        <v/>
      </c>
    </row>
    <row r="117">
      <c r="A117" s="18" t="n">
        <v>46182</v>
      </c>
      <c r="B117" s="15" t="inlineStr">
        <is>
          <t>Expense</t>
        </is>
      </c>
      <c r="C117" s="15" t="inlineStr">
        <is>
          <t>Housing</t>
        </is>
      </c>
      <c r="D117" s="15" t="inlineStr">
        <is>
          <t>Utilities</t>
        </is>
      </c>
      <c r="E117" s="15" t="inlineStr">
        <is>
          <t>Utility Co</t>
        </is>
      </c>
      <c r="F117" s="19" t="n">
        <v>138.22</v>
      </c>
      <c r="G117" s="15" t="inlineStr">
        <is>
          <t>Savings</t>
        </is>
      </c>
      <c r="H117" s="15" t="inlineStr">
        <is>
          <t>Savings</t>
        </is>
      </c>
      <c r="I117" s="15" t="inlineStr">
        <is>
          <t>Parent 2</t>
        </is>
      </c>
      <c r="J117" s="15" t="inlineStr">
        <is>
          <t>No</t>
        </is>
      </c>
      <c r="K117" s="15" t="inlineStr">
        <is>
          <t>Discretionary</t>
        </is>
      </c>
      <c r="L117" s="21" t="inlineStr"/>
      <c r="M117" s="15" t="inlineStr">
        <is>
          <t>No</t>
        </is>
      </c>
      <c r="N117" s="15" t="inlineStr">
        <is>
          <t>No</t>
        </is>
      </c>
      <c r="O117" s="20">
        <f>IF(A117="","",MONTH(A117))</f>
        <v/>
      </c>
      <c r="P117" s="20">
        <f>IF(A117="","",YEAR(A117))</f>
        <v/>
      </c>
      <c r="Q117" s="20">
        <f>IF(A117="","",DAY(A117))</f>
        <v/>
      </c>
    </row>
    <row r="118">
      <c r="A118" s="18" t="n">
        <v>46182</v>
      </c>
      <c r="B118" s="15" t="inlineStr">
        <is>
          <t>Expense</t>
        </is>
      </c>
      <c r="C118" s="15" t="inlineStr">
        <is>
          <t>Lifestyle</t>
        </is>
      </c>
      <c r="D118" s="15" t="inlineStr">
        <is>
          <t>Hobbies</t>
        </is>
      </c>
      <c r="E118" s="15" t="inlineStr">
        <is>
          <t>Hobby Shop</t>
        </is>
      </c>
      <c r="F118" s="19" t="n">
        <v>21.81</v>
      </c>
      <c r="G118" s="15" t="inlineStr">
        <is>
          <t>Credit Card</t>
        </is>
      </c>
      <c r="H118" s="15" t="inlineStr">
        <is>
          <t>Credit Card</t>
        </is>
      </c>
      <c r="I118" s="15" t="inlineStr">
        <is>
          <t>Parent 2</t>
        </is>
      </c>
      <c r="J118" s="15" t="inlineStr">
        <is>
          <t>No</t>
        </is>
      </c>
      <c r="K118" s="15" t="inlineStr">
        <is>
          <t>Discretionary</t>
        </is>
      </c>
      <c r="L118" s="21" t="inlineStr"/>
      <c r="M118" s="15" t="inlineStr">
        <is>
          <t>No</t>
        </is>
      </c>
      <c r="N118" s="15" t="inlineStr">
        <is>
          <t>No</t>
        </is>
      </c>
      <c r="O118" s="20">
        <f>IF(A118="","",MONTH(A118))</f>
        <v/>
      </c>
      <c r="P118" s="20">
        <f>IF(A118="","",YEAR(A118))</f>
        <v/>
      </c>
      <c r="Q118" s="20">
        <f>IF(A118="","",DAY(A118))</f>
        <v/>
      </c>
    </row>
    <row r="119">
      <c r="A119" s="18" t="n">
        <v>46183</v>
      </c>
      <c r="B119" s="15" t="inlineStr">
        <is>
          <t>Expense</t>
        </is>
      </c>
      <c r="C119" s="15" t="inlineStr">
        <is>
          <t>Family</t>
        </is>
      </c>
      <c r="D119" s="15" t="inlineStr">
        <is>
          <t>Clothing</t>
        </is>
      </c>
      <c r="E119" s="15" t="inlineStr">
        <is>
          <t>Target</t>
        </is>
      </c>
      <c r="F119" s="19" t="n">
        <v>46.8</v>
      </c>
      <c r="G119" s="15" t="inlineStr">
        <is>
          <t>Checking</t>
        </is>
      </c>
      <c r="H119" s="15" t="inlineStr">
        <is>
          <t>Checking</t>
        </is>
      </c>
      <c r="I119" s="15" t="inlineStr">
        <is>
          <t>Household</t>
        </is>
      </c>
      <c r="J119" s="15" t="inlineStr">
        <is>
          <t>No</t>
        </is>
      </c>
      <c r="K119" s="15" t="inlineStr">
        <is>
          <t>Discretionary</t>
        </is>
      </c>
      <c r="L119" s="21" t="inlineStr"/>
      <c r="M119" s="15" t="inlineStr">
        <is>
          <t>No</t>
        </is>
      </c>
      <c r="N119" s="15" t="inlineStr">
        <is>
          <t>No</t>
        </is>
      </c>
      <c r="O119" s="20">
        <f>IF(A119="","",MONTH(A119))</f>
        <v/>
      </c>
      <c r="P119" s="20">
        <f>IF(A119="","",YEAR(A119))</f>
        <v/>
      </c>
      <c r="Q119" s="20">
        <f>IF(A119="","",DAY(A119))</f>
        <v/>
      </c>
    </row>
    <row r="120">
      <c r="A120" s="18" t="n">
        <v>46184</v>
      </c>
      <c r="B120" s="15" t="inlineStr">
        <is>
          <t>Expense</t>
        </is>
      </c>
      <c r="C120" s="15" t="inlineStr">
        <is>
          <t>Family</t>
        </is>
      </c>
      <c r="D120" s="15" t="inlineStr">
        <is>
          <t>Baby Expenses</t>
        </is>
      </c>
      <c r="E120" s="15" t="inlineStr">
        <is>
          <t>Buy Buy Baby</t>
        </is>
      </c>
      <c r="F120" s="19" t="n">
        <v>46.76</v>
      </c>
      <c r="G120" s="15" t="inlineStr">
        <is>
          <t>Savings</t>
        </is>
      </c>
      <c r="H120" s="15" t="inlineStr">
        <is>
          <t>Savings</t>
        </is>
      </c>
      <c r="I120" s="15" t="inlineStr">
        <is>
          <t>Household</t>
        </is>
      </c>
      <c r="J120" s="15" t="inlineStr">
        <is>
          <t>No</t>
        </is>
      </c>
      <c r="K120" s="15" t="inlineStr">
        <is>
          <t>Discretionary</t>
        </is>
      </c>
      <c r="L120" s="21" t="inlineStr"/>
      <c r="M120" s="15" t="inlineStr">
        <is>
          <t>No</t>
        </is>
      </c>
      <c r="N120" s="15" t="inlineStr">
        <is>
          <t>No</t>
        </is>
      </c>
      <c r="O120" s="20">
        <f>IF(A120="","",MONTH(A120))</f>
        <v/>
      </c>
      <c r="P120" s="20">
        <f>IF(A120="","",YEAR(A120))</f>
        <v/>
      </c>
      <c r="Q120" s="20">
        <f>IF(A120="","",DAY(A120))</f>
        <v/>
      </c>
    </row>
    <row r="121">
      <c r="A121" s="18" t="n">
        <v>46185</v>
      </c>
      <c r="B121" s="15" t="inlineStr">
        <is>
          <t>Expense</t>
        </is>
      </c>
      <c r="C121" s="15" t="inlineStr">
        <is>
          <t>Transportation</t>
        </is>
      </c>
      <c r="D121" s="15" t="inlineStr">
        <is>
          <t>Maintenance/Repairs</t>
        </is>
      </c>
      <c r="E121" s="15" t="inlineStr">
        <is>
          <t>Auto Shop</t>
        </is>
      </c>
      <c r="F121" s="19" t="n">
        <v>43.28</v>
      </c>
      <c r="G121" s="15" t="inlineStr">
        <is>
          <t>Credit Card</t>
        </is>
      </c>
      <c r="H121" s="15" t="inlineStr">
        <is>
          <t>Credit Card</t>
        </is>
      </c>
      <c r="I121" s="15" t="inlineStr">
        <is>
          <t>Parent 2</t>
        </is>
      </c>
      <c r="J121" s="15" t="inlineStr">
        <is>
          <t>No</t>
        </is>
      </c>
      <c r="K121" s="15" t="inlineStr">
        <is>
          <t>Discretionary</t>
        </is>
      </c>
      <c r="L121" s="21" t="inlineStr"/>
      <c r="M121" s="15" t="inlineStr">
        <is>
          <t>No</t>
        </is>
      </c>
      <c r="N121" s="15" t="inlineStr">
        <is>
          <t>No</t>
        </is>
      </c>
      <c r="O121" s="20">
        <f>IF(A121="","",MONTH(A121))</f>
        <v/>
      </c>
      <c r="P121" s="20">
        <f>IF(A121="","",YEAR(A121))</f>
        <v/>
      </c>
      <c r="Q121" s="20">
        <f>IF(A121="","",DAY(A121))</f>
        <v/>
      </c>
    </row>
    <row r="122">
      <c r="A122" s="18" t="n">
        <v>46185</v>
      </c>
      <c r="B122" s="15" t="inlineStr">
        <is>
          <t>Expense</t>
        </is>
      </c>
      <c r="C122" s="15" t="inlineStr">
        <is>
          <t>Financial</t>
        </is>
      </c>
      <c r="D122" s="15" t="inlineStr">
        <is>
          <t>Student Loans</t>
        </is>
      </c>
      <c r="E122" s="15" t="inlineStr">
        <is>
          <t>Navient</t>
        </is>
      </c>
      <c r="F122" s="19" t="n">
        <v>209.89</v>
      </c>
      <c r="G122" s="15" t="inlineStr">
        <is>
          <t>HYSA</t>
        </is>
      </c>
      <c r="H122" s="15" t="inlineStr">
        <is>
          <t>Cash</t>
        </is>
      </c>
      <c r="I122" s="15" t="inlineStr">
        <is>
          <t>Parent 2</t>
        </is>
      </c>
      <c r="J122" s="15" t="inlineStr">
        <is>
          <t>Yes</t>
        </is>
      </c>
      <c r="K122" s="15" t="inlineStr">
        <is>
          <t>Discretionary</t>
        </is>
      </c>
      <c r="L122" s="21" t="inlineStr"/>
      <c r="M122" s="15" t="inlineStr">
        <is>
          <t>No</t>
        </is>
      </c>
      <c r="N122" s="15" t="inlineStr">
        <is>
          <t>No</t>
        </is>
      </c>
      <c r="O122" s="20">
        <f>IF(A122="","",MONTH(A122))</f>
        <v/>
      </c>
      <c r="P122" s="20">
        <f>IF(A122="","",YEAR(A122))</f>
        <v/>
      </c>
      <c r="Q122" s="20">
        <f>IF(A122="","",DAY(A122))</f>
        <v/>
      </c>
    </row>
    <row r="123">
      <c r="A123" s="18" t="n">
        <v>46186</v>
      </c>
      <c r="B123" s="15" t="inlineStr">
        <is>
          <t>Expense</t>
        </is>
      </c>
      <c r="C123" s="15" t="inlineStr">
        <is>
          <t>Transportation</t>
        </is>
      </c>
      <c r="D123" s="15" t="inlineStr">
        <is>
          <t>Auto Insurance</t>
        </is>
      </c>
      <c r="E123" s="15" t="inlineStr">
        <is>
          <t>GEICO</t>
        </is>
      </c>
      <c r="F123" s="19" t="n">
        <v>144.5</v>
      </c>
      <c r="G123" s="15" t="inlineStr">
        <is>
          <t>Savings</t>
        </is>
      </c>
      <c r="H123" s="15" t="inlineStr">
        <is>
          <t>Savings</t>
        </is>
      </c>
      <c r="I123" s="15" t="inlineStr">
        <is>
          <t>Parent 1</t>
        </is>
      </c>
      <c r="J123" s="15" t="inlineStr">
        <is>
          <t>No</t>
        </is>
      </c>
      <c r="K123" s="15" t="inlineStr">
        <is>
          <t>Discretionary</t>
        </is>
      </c>
      <c r="L123" s="21" t="inlineStr"/>
      <c r="M123" s="15" t="inlineStr">
        <is>
          <t>No</t>
        </is>
      </c>
      <c r="N123" s="15" t="inlineStr">
        <is>
          <t>No</t>
        </is>
      </c>
      <c r="O123" s="20">
        <f>IF(A123="","",MONTH(A123))</f>
        <v/>
      </c>
      <c r="P123" s="20">
        <f>IF(A123="","",YEAR(A123))</f>
        <v/>
      </c>
      <c r="Q123" s="20">
        <f>IF(A123="","",DAY(A123))</f>
        <v/>
      </c>
    </row>
    <row r="124">
      <c r="A124" s="18" t="n">
        <v>46186</v>
      </c>
      <c r="B124" s="15" t="inlineStr">
        <is>
          <t>Expense</t>
        </is>
      </c>
      <c r="C124" s="15" t="inlineStr">
        <is>
          <t>Financial</t>
        </is>
      </c>
      <c r="D124" s="15" t="inlineStr">
        <is>
          <t>Investments</t>
        </is>
      </c>
      <c r="E124" s="15" t="inlineStr">
        <is>
          <t>Vanguard</t>
        </is>
      </c>
      <c r="F124" s="19" t="n">
        <v>317.93</v>
      </c>
      <c r="G124" s="15" t="inlineStr">
        <is>
          <t>Checking</t>
        </is>
      </c>
      <c r="H124" s="15" t="inlineStr">
        <is>
          <t>Checking</t>
        </is>
      </c>
      <c r="I124" s="15" t="inlineStr">
        <is>
          <t>Parent 1</t>
        </is>
      </c>
      <c r="J124" s="15" t="inlineStr">
        <is>
          <t>Yes</t>
        </is>
      </c>
      <c r="K124" s="15" t="inlineStr">
        <is>
          <t>Discretionary</t>
        </is>
      </c>
      <c r="L124" s="21" t="inlineStr"/>
      <c r="M124" s="15" t="inlineStr">
        <is>
          <t>No</t>
        </is>
      </c>
      <c r="N124" s="15" t="inlineStr">
        <is>
          <t>No</t>
        </is>
      </c>
      <c r="O124" s="20">
        <f>IF(A124="","",MONTH(A124))</f>
        <v/>
      </c>
      <c r="P124" s="20">
        <f>IF(A124="","",YEAR(A124))</f>
        <v/>
      </c>
      <c r="Q124" s="20">
        <f>IF(A124="","",DAY(A124))</f>
        <v/>
      </c>
    </row>
    <row r="125">
      <c r="A125" s="18" t="n">
        <v>46189</v>
      </c>
      <c r="B125" s="15" t="inlineStr">
        <is>
          <t>Expense</t>
        </is>
      </c>
      <c r="C125" s="15" t="inlineStr">
        <is>
          <t>Pets</t>
        </is>
      </c>
      <c r="D125" s="15" t="inlineStr">
        <is>
          <t>Food</t>
        </is>
      </c>
      <c r="E125" s="15" t="inlineStr">
        <is>
          <t>PetSmart</t>
        </is>
      </c>
      <c r="F125" s="19" t="n">
        <v>53.85</v>
      </c>
      <c r="G125" s="15" t="inlineStr">
        <is>
          <t>Credit Card</t>
        </is>
      </c>
      <c r="H125" s="15" t="inlineStr">
        <is>
          <t>Credit Card</t>
        </is>
      </c>
      <c r="I125" s="15" t="inlineStr">
        <is>
          <t>Parent 2</t>
        </is>
      </c>
      <c r="J125" s="15" t="inlineStr">
        <is>
          <t>No</t>
        </is>
      </c>
      <c r="K125" s="15" t="inlineStr">
        <is>
          <t>Discretionary</t>
        </is>
      </c>
      <c r="L125" s="21" t="inlineStr"/>
      <c r="M125" s="15" t="inlineStr">
        <is>
          <t>No</t>
        </is>
      </c>
      <c r="N125" s="15" t="inlineStr">
        <is>
          <t>No</t>
        </is>
      </c>
      <c r="O125" s="20">
        <f>IF(A125="","",MONTH(A125))</f>
        <v/>
      </c>
      <c r="P125" s="20">
        <f>IF(A125="","",YEAR(A125))</f>
        <v/>
      </c>
      <c r="Q125" s="20">
        <f>IF(A125="","",DAY(A125))</f>
        <v/>
      </c>
    </row>
    <row r="126">
      <c r="A126" s="18" t="n">
        <v>46190</v>
      </c>
      <c r="B126" s="15" t="inlineStr">
        <is>
          <t>Expense</t>
        </is>
      </c>
      <c r="C126" s="15" t="inlineStr">
        <is>
          <t>Transportation</t>
        </is>
      </c>
      <c r="D126" s="15" t="inlineStr">
        <is>
          <t>Gas</t>
        </is>
      </c>
      <c r="E126" s="15" t="inlineStr">
        <is>
          <t>Shell</t>
        </is>
      </c>
      <c r="F126" s="19" t="n">
        <v>40.45</v>
      </c>
      <c r="G126" s="15" t="inlineStr">
        <is>
          <t>Checking</t>
        </is>
      </c>
      <c r="H126" s="15" t="inlineStr">
        <is>
          <t>Checking</t>
        </is>
      </c>
      <c r="I126" s="15" t="inlineStr">
        <is>
          <t>Parent 2</t>
        </is>
      </c>
      <c r="J126" s="15" t="inlineStr">
        <is>
          <t>No</t>
        </is>
      </c>
      <c r="K126" s="15" t="inlineStr">
        <is>
          <t>Discretionary</t>
        </is>
      </c>
      <c r="L126" s="21" t="inlineStr"/>
      <c r="M126" s="15" t="inlineStr">
        <is>
          <t>No</t>
        </is>
      </c>
      <c r="N126" s="15" t="inlineStr">
        <is>
          <t>No</t>
        </is>
      </c>
      <c r="O126" s="20">
        <f>IF(A126="","",MONTH(A126))</f>
        <v/>
      </c>
      <c r="P126" s="20">
        <f>IF(A126="","",YEAR(A126))</f>
        <v/>
      </c>
      <c r="Q126" s="20">
        <f>IF(A126="","",DAY(A126))</f>
        <v/>
      </c>
    </row>
    <row r="127">
      <c r="A127" s="18" t="n">
        <v>46190</v>
      </c>
      <c r="B127" s="15" t="inlineStr">
        <is>
          <t>Expense</t>
        </is>
      </c>
      <c r="C127" s="15" t="inlineStr">
        <is>
          <t>Healthcare</t>
        </is>
      </c>
      <c r="D127" s="15" t="inlineStr">
        <is>
          <t>Health Insurance</t>
        </is>
      </c>
      <c r="E127" s="15" t="inlineStr">
        <is>
          <t>BCBS</t>
        </is>
      </c>
      <c r="F127" s="19" t="n">
        <v>79.63</v>
      </c>
      <c r="G127" s="15" t="inlineStr">
        <is>
          <t>HYSA</t>
        </is>
      </c>
      <c r="H127" s="15" t="inlineStr">
        <is>
          <t>Cash</t>
        </is>
      </c>
      <c r="I127" s="15" t="inlineStr">
        <is>
          <t>Household</t>
        </is>
      </c>
      <c r="J127" s="15" t="inlineStr">
        <is>
          <t>No</t>
        </is>
      </c>
      <c r="K127" s="15" t="inlineStr">
        <is>
          <t>Discretionary</t>
        </is>
      </c>
      <c r="L127" s="21" t="inlineStr"/>
      <c r="M127" s="15" t="inlineStr">
        <is>
          <t>No</t>
        </is>
      </c>
      <c r="N127" s="15" t="inlineStr">
        <is>
          <t>No</t>
        </is>
      </c>
      <c r="O127" s="20">
        <f>IF(A127="","",MONTH(A127))</f>
        <v/>
      </c>
      <c r="P127" s="20">
        <f>IF(A127="","",YEAR(A127))</f>
        <v/>
      </c>
      <c r="Q127" s="20">
        <f>IF(A127="","",DAY(A127))</f>
        <v/>
      </c>
    </row>
    <row r="128">
      <c r="A128" s="18" t="n">
        <v>46191</v>
      </c>
      <c r="B128" s="15" t="inlineStr">
        <is>
          <t>Expense</t>
        </is>
      </c>
      <c r="C128" s="15" t="inlineStr">
        <is>
          <t>Lifestyle</t>
        </is>
      </c>
      <c r="D128" s="15" t="inlineStr">
        <is>
          <t>Entertainment</t>
        </is>
      </c>
      <c r="E128" s="15" t="inlineStr">
        <is>
          <t>AMC</t>
        </is>
      </c>
      <c r="F128" s="19" t="n">
        <v>32.58</v>
      </c>
      <c r="G128" s="15" t="inlineStr">
        <is>
          <t>Savings</t>
        </is>
      </c>
      <c r="H128" s="15" t="inlineStr">
        <is>
          <t>Savings</t>
        </is>
      </c>
      <c r="I128" s="15" t="inlineStr">
        <is>
          <t>Household</t>
        </is>
      </c>
      <c r="J128" s="15" t="inlineStr">
        <is>
          <t>No</t>
        </is>
      </c>
      <c r="K128" s="15" t="inlineStr">
        <is>
          <t>Discretionary</t>
        </is>
      </c>
      <c r="L128" s="21" t="inlineStr"/>
      <c r="M128" s="15" t="inlineStr">
        <is>
          <t>No</t>
        </is>
      </c>
      <c r="N128" s="15" t="inlineStr">
        <is>
          <t>No</t>
        </is>
      </c>
      <c r="O128" s="20">
        <f>IF(A128="","",MONTH(A128))</f>
        <v/>
      </c>
      <c r="P128" s="20">
        <f>IF(A128="","",YEAR(A128))</f>
        <v/>
      </c>
      <c r="Q128" s="20">
        <f>IF(A128="","",DAY(A128))</f>
        <v/>
      </c>
    </row>
    <row r="129">
      <c r="A129" s="18" t="n">
        <v>46191</v>
      </c>
      <c r="B129" s="15" t="inlineStr">
        <is>
          <t>Expense</t>
        </is>
      </c>
      <c r="C129" s="15" t="inlineStr">
        <is>
          <t>Financial</t>
        </is>
      </c>
      <c r="D129" s="15" t="inlineStr">
        <is>
          <t>Credit Cards</t>
        </is>
      </c>
      <c r="E129" s="15" t="inlineStr">
        <is>
          <t>Capital One</t>
        </is>
      </c>
      <c r="F129" s="19" t="n">
        <v>186.85</v>
      </c>
      <c r="G129" s="15" t="inlineStr">
        <is>
          <t>HYSA</t>
        </is>
      </c>
      <c r="H129" s="15" t="inlineStr">
        <is>
          <t>Cash</t>
        </is>
      </c>
      <c r="I129" s="15" t="inlineStr">
        <is>
          <t>Household</t>
        </is>
      </c>
      <c r="J129" s="15" t="inlineStr">
        <is>
          <t>No</t>
        </is>
      </c>
      <c r="K129" s="15" t="inlineStr">
        <is>
          <t>Discretionary</t>
        </is>
      </c>
      <c r="L129" s="21" t="inlineStr"/>
      <c r="M129" s="15" t="inlineStr">
        <is>
          <t>No</t>
        </is>
      </c>
      <c r="N129" s="15" t="inlineStr">
        <is>
          <t>No</t>
        </is>
      </c>
      <c r="O129" s="20">
        <f>IF(A129="","",MONTH(A129))</f>
        <v/>
      </c>
      <c r="P129" s="20">
        <f>IF(A129="","",YEAR(A129))</f>
        <v/>
      </c>
      <c r="Q129" s="20">
        <f>IF(A129="","",DAY(A129))</f>
        <v/>
      </c>
    </row>
    <row r="130">
      <c r="A130" s="18" t="n">
        <v>46192</v>
      </c>
      <c r="B130" s="15" t="inlineStr">
        <is>
          <t>Expense</t>
        </is>
      </c>
      <c r="C130" s="15" t="inlineStr">
        <is>
          <t>Housing</t>
        </is>
      </c>
      <c r="D130" s="15" t="inlineStr">
        <is>
          <t>Repairs/Maintenance</t>
        </is>
      </c>
      <c r="E130" s="15" t="inlineStr">
        <is>
          <t>Handyman</t>
        </is>
      </c>
      <c r="F130" s="19" t="n">
        <v>138.07</v>
      </c>
      <c r="G130" s="15" t="inlineStr">
        <is>
          <t>Savings</t>
        </is>
      </c>
      <c r="H130" s="15" t="inlineStr">
        <is>
          <t>Savings</t>
        </is>
      </c>
      <c r="I130" s="15" t="inlineStr">
        <is>
          <t>Household</t>
        </is>
      </c>
      <c r="J130" s="15" t="inlineStr">
        <is>
          <t>No</t>
        </is>
      </c>
      <c r="K130" s="15" t="inlineStr">
        <is>
          <t>Discretionary</t>
        </is>
      </c>
      <c r="L130" s="21" t="inlineStr"/>
      <c r="M130" s="15" t="inlineStr">
        <is>
          <t>No</t>
        </is>
      </c>
      <c r="N130" s="15" t="inlineStr">
        <is>
          <t>No</t>
        </is>
      </c>
      <c r="O130" s="20">
        <f>IF(A130="","",MONTH(A130))</f>
        <v/>
      </c>
      <c r="P130" s="20">
        <f>IF(A130="","",YEAR(A130))</f>
        <v/>
      </c>
      <c r="Q130" s="20">
        <f>IF(A130="","",DAY(A130))</f>
        <v/>
      </c>
    </row>
    <row r="131">
      <c r="A131" s="18" t="n">
        <v>46192</v>
      </c>
      <c r="B131" s="15" t="inlineStr">
        <is>
          <t>Expense</t>
        </is>
      </c>
      <c r="C131" s="15" t="inlineStr">
        <is>
          <t>Food</t>
        </is>
      </c>
      <c r="D131" s="15" t="inlineStr">
        <is>
          <t>Takeout/Delivery</t>
        </is>
      </c>
      <c r="E131" s="15" t="inlineStr">
        <is>
          <t>DoorDash</t>
        </is>
      </c>
      <c r="F131" s="19" t="n">
        <v>37.38</v>
      </c>
      <c r="G131" s="15" t="inlineStr">
        <is>
          <t>Checking</t>
        </is>
      </c>
      <c r="H131" s="15" t="inlineStr">
        <is>
          <t>Checking</t>
        </is>
      </c>
      <c r="I131" s="15" t="inlineStr">
        <is>
          <t>Household</t>
        </is>
      </c>
      <c r="J131" s="15" t="inlineStr">
        <is>
          <t>No</t>
        </is>
      </c>
      <c r="K131" s="15" t="inlineStr">
        <is>
          <t>Discretionary</t>
        </is>
      </c>
      <c r="L131" s="21" t="inlineStr"/>
      <c r="M131" s="15" t="inlineStr">
        <is>
          <t>No</t>
        </is>
      </c>
      <c r="N131" s="15" t="inlineStr">
        <is>
          <t>No</t>
        </is>
      </c>
      <c r="O131" s="20">
        <f>IF(A131="","",MONTH(A131))</f>
        <v/>
      </c>
      <c r="P131" s="20">
        <f>IF(A131="","",YEAR(A131))</f>
        <v/>
      </c>
      <c r="Q131" s="20">
        <f>IF(A131="","",DAY(A131))</f>
        <v/>
      </c>
    </row>
    <row r="132">
      <c r="A132" s="18" t="n">
        <v>46192</v>
      </c>
      <c r="B132" s="15" t="inlineStr">
        <is>
          <t>Expense</t>
        </is>
      </c>
      <c r="C132" s="15" t="inlineStr">
        <is>
          <t>Lifestyle</t>
        </is>
      </c>
      <c r="D132" s="15" t="inlineStr">
        <is>
          <t>Shopping</t>
        </is>
      </c>
      <c r="E132" s="15" t="inlineStr">
        <is>
          <t>Amazon</t>
        </is>
      </c>
      <c r="F132" s="19" t="n">
        <v>55.32</v>
      </c>
      <c r="G132" s="15" t="inlineStr">
        <is>
          <t>Credit Card</t>
        </is>
      </c>
      <c r="H132" s="15" t="inlineStr">
        <is>
          <t>Credit Card</t>
        </is>
      </c>
      <c r="I132" s="15" t="inlineStr">
        <is>
          <t>Parent 1</t>
        </is>
      </c>
      <c r="J132" s="15" t="inlineStr">
        <is>
          <t>No</t>
        </is>
      </c>
      <c r="K132" s="15" t="inlineStr">
        <is>
          <t>Discretionary</t>
        </is>
      </c>
      <c r="L132" s="21" t="inlineStr"/>
      <c r="M132" s="15" t="inlineStr">
        <is>
          <t>No</t>
        </is>
      </c>
      <c r="N132" s="15" t="inlineStr">
        <is>
          <t>No</t>
        </is>
      </c>
      <c r="O132" s="20">
        <f>IF(A132="","",MONTH(A132))</f>
        <v/>
      </c>
      <c r="P132" s="20">
        <f>IF(A132="","",YEAR(A132))</f>
        <v/>
      </c>
      <c r="Q132" s="20">
        <f>IF(A132="","",DAY(A132))</f>
        <v/>
      </c>
    </row>
    <row r="133">
      <c r="A133" s="18" t="n">
        <v>46193</v>
      </c>
      <c r="B133" s="15" t="inlineStr">
        <is>
          <t>Expense</t>
        </is>
      </c>
      <c r="C133" s="15" t="inlineStr">
        <is>
          <t>Family</t>
        </is>
      </c>
      <c r="D133" s="15" t="inlineStr">
        <is>
          <t>Allowances</t>
        </is>
      </c>
      <c r="E133" s="15" t="inlineStr">
        <is>
          <t>Kids Allowance</t>
        </is>
      </c>
      <c r="F133" s="19" t="n">
        <v>19.63</v>
      </c>
      <c r="G133" s="15" t="inlineStr">
        <is>
          <t>HYSA</t>
        </is>
      </c>
      <c r="H133" s="15" t="inlineStr">
        <is>
          <t>Cash</t>
        </is>
      </c>
      <c r="I133" s="15" t="inlineStr">
        <is>
          <t>Parent 2</t>
        </is>
      </c>
      <c r="J133" s="15" t="inlineStr">
        <is>
          <t>No</t>
        </is>
      </c>
      <c r="K133" s="15" t="inlineStr">
        <is>
          <t>Discretionary</t>
        </is>
      </c>
      <c r="L133" s="21" t="inlineStr"/>
      <c r="M133" s="15" t="inlineStr">
        <is>
          <t>No</t>
        </is>
      </c>
      <c r="N133" s="15" t="inlineStr">
        <is>
          <t>No</t>
        </is>
      </c>
      <c r="O133" s="20">
        <f>IF(A133="","",MONTH(A133))</f>
        <v/>
      </c>
      <c r="P133" s="20">
        <f>IF(A133="","",YEAR(A133))</f>
        <v/>
      </c>
      <c r="Q133" s="20">
        <f>IF(A133="","",DAY(A133))</f>
        <v/>
      </c>
    </row>
    <row r="134">
      <c r="A134" s="18" t="n">
        <v>46193</v>
      </c>
      <c r="B134" s="15" t="inlineStr">
        <is>
          <t>Expense</t>
        </is>
      </c>
      <c r="C134" s="15" t="inlineStr">
        <is>
          <t>Lifestyle</t>
        </is>
      </c>
      <c r="D134" s="15" t="inlineStr">
        <is>
          <t>Subscriptions</t>
        </is>
      </c>
      <c r="E134" s="15" t="inlineStr">
        <is>
          <t>Spotify</t>
        </is>
      </c>
      <c r="F134" s="19" t="n">
        <v>12.04</v>
      </c>
      <c r="G134" s="15" t="inlineStr">
        <is>
          <t>HYSA</t>
        </is>
      </c>
      <c r="H134" s="15" t="inlineStr">
        <is>
          <t>Cash</t>
        </is>
      </c>
      <c r="I134" s="15" t="inlineStr">
        <is>
          <t>Parent 1</t>
        </is>
      </c>
      <c r="J134" s="15" t="inlineStr">
        <is>
          <t>Yes</t>
        </is>
      </c>
      <c r="K134" s="15" t="inlineStr">
        <is>
          <t>Discretionary</t>
        </is>
      </c>
      <c r="L134" s="21" t="inlineStr"/>
      <c r="M134" s="15" t="inlineStr">
        <is>
          <t>No</t>
        </is>
      </c>
      <c r="N134" s="15" t="inlineStr">
        <is>
          <t>No</t>
        </is>
      </c>
      <c r="O134" s="20">
        <f>IF(A134="","",MONTH(A134))</f>
        <v/>
      </c>
      <c r="P134" s="20">
        <f>IF(A134="","",YEAR(A134))</f>
        <v/>
      </c>
      <c r="Q134" s="20">
        <f>IF(A134="","",DAY(A134))</f>
        <v/>
      </c>
    </row>
    <row r="135">
      <c r="A135" s="18" t="n">
        <v>46194</v>
      </c>
      <c r="B135" s="15" t="inlineStr">
        <is>
          <t>Expense</t>
        </is>
      </c>
      <c r="C135" s="15" t="inlineStr">
        <is>
          <t>Giving</t>
        </is>
      </c>
      <c r="D135" s="15" t="inlineStr">
        <is>
          <t>Charity</t>
        </is>
      </c>
      <c r="E135" s="15" t="inlineStr">
        <is>
          <t>Red Cross</t>
        </is>
      </c>
      <c r="F135" s="19" t="n">
        <v>32.44</v>
      </c>
      <c r="G135" s="15" t="inlineStr">
        <is>
          <t>Credit Card</t>
        </is>
      </c>
      <c r="H135" s="15" t="inlineStr">
        <is>
          <t>Credit Card</t>
        </is>
      </c>
      <c r="I135" s="15" t="inlineStr">
        <is>
          <t>Parent 1</t>
        </is>
      </c>
      <c r="J135" s="15" t="inlineStr">
        <is>
          <t>No</t>
        </is>
      </c>
      <c r="K135" s="15" t="inlineStr">
        <is>
          <t>Discretionary</t>
        </is>
      </c>
      <c r="L135" s="21" t="inlineStr"/>
      <c r="M135" s="15" t="inlineStr">
        <is>
          <t>No</t>
        </is>
      </c>
      <c r="N135" s="15" t="inlineStr">
        <is>
          <t>No</t>
        </is>
      </c>
      <c r="O135" s="20">
        <f>IF(A135="","",MONTH(A135))</f>
        <v/>
      </c>
      <c r="P135" s="20">
        <f>IF(A135="","",YEAR(A135))</f>
        <v/>
      </c>
      <c r="Q135" s="20">
        <f>IF(A135="","",DAY(A135))</f>
        <v/>
      </c>
    </row>
    <row r="136">
      <c r="A136" s="18" t="n">
        <v>46195</v>
      </c>
      <c r="B136" s="15" t="inlineStr">
        <is>
          <t>Expense</t>
        </is>
      </c>
      <c r="C136" s="15" t="inlineStr">
        <is>
          <t>Food</t>
        </is>
      </c>
      <c r="D136" s="15" t="inlineStr">
        <is>
          <t>Groceries</t>
        </is>
      </c>
      <c r="E136" s="15" t="inlineStr">
        <is>
          <t>Costco</t>
        </is>
      </c>
      <c r="F136" s="19" t="n">
        <v>167.68</v>
      </c>
      <c r="G136" s="15" t="inlineStr">
        <is>
          <t>HYSA</t>
        </is>
      </c>
      <c r="H136" s="15" t="inlineStr">
        <is>
          <t>Cash</t>
        </is>
      </c>
      <c r="I136" s="15" t="inlineStr">
        <is>
          <t>Parent 1</t>
        </is>
      </c>
      <c r="J136" s="15" t="inlineStr">
        <is>
          <t>No</t>
        </is>
      </c>
      <c r="K136" s="15" t="inlineStr">
        <is>
          <t>Essential</t>
        </is>
      </c>
      <c r="L136" s="21" t="inlineStr"/>
      <c r="M136" s="15" t="inlineStr">
        <is>
          <t>No</t>
        </is>
      </c>
      <c r="N136" s="15" t="inlineStr">
        <is>
          <t>No</t>
        </is>
      </c>
      <c r="O136" s="20">
        <f>IF(A136="","",MONTH(A136))</f>
        <v/>
      </c>
      <c r="P136" s="20">
        <f>IF(A136="","",YEAR(A136))</f>
        <v/>
      </c>
      <c r="Q136" s="20">
        <f>IF(A136="","",DAY(A136))</f>
        <v/>
      </c>
    </row>
    <row r="137">
      <c r="A137" s="18" t="n">
        <v>46195</v>
      </c>
      <c r="B137" s="15" t="inlineStr">
        <is>
          <t>Expense</t>
        </is>
      </c>
      <c r="C137" s="15" t="inlineStr">
        <is>
          <t>Food</t>
        </is>
      </c>
      <c r="D137" s="15" t="inlineStr">
        <is>
          <t>Restaurants</t>
        </is>
      </c>
      <c r="E137" s="15" t="inlineStr">
        <is>
          <t>Olive Garden</t>
        </is>
      </c>
      <c r="F137" s="19" t="n">
        <v>89.20999999999999</v>
      </c>
      <c r="G137" s="15" t="inlineStr">
        <is>
          <t>HYSA</t>
        </is>
      </c>
      <c r="H137" s="15" t="inlineStr">
        <is>
          <t>Cash</t>
        </is>
      </c>
      <c r="I137" s="15" t="inlineStr">
        <is>
          <t>Household</t>
        </is>
      </c>
      <c r="J137" s="15" t="inlineStr">
        <is>
          <t>No</t>
        </is>
      </c>
      <c r="K137" s="15" t="inlineStr">
        <is>
          <t>Discretionary</t>
        </is>
      </c>
      <c r="L137" s="21" t="inlineStr"/>
      <c r="M137" s="15" t="inlineStr">
        <is>
          <t>No</t>
        </is>
      </c>
      <c r="N137" s="15" t="inlineStr">
        <is>
          <t>No</t>
        </is>
      </c>
      <c r="O137" s="20">
        <f>IF(A137="","",MONTH(A137))</f>
        <v/>
      </c>
      <c r="P137" s="20">
        <f>IF(A137="","",YEAR(A137))</f>
        <v/>
      </c>
      <c r="Q137" s="20">
        <f>IF(A137="","",DAY(A137))</f>
        <v/>
      </c>
    </row>
    <row r="138">
      <c r="A138" s="18" t="n">
        <v>46196</v>
      </c>
      <c r="B138" s="15" t="inlineStr">
        <is>
          <t>Expense</t>
        </is>
      </c>
      <c r="C138" s="15" t="inlineStr">
        <is>
          <t>Housing</t>
        </is>
      </c>
      <c r="D138" s="15" t="inlineStr">
        <is>
          <t>Mortgage/Rent</t>
        </is>
      </c>
      <c r="E138" s="15" t="inlineStr">
        <is>
          <t>Home Mortgage</t>
        </is>
      </c>
      <c r="F138" s="19" t="n">
        <v>74.18000000000001</v>
      </c>
      <c r="G138" s="15" t="inlineStr">
        <is>
          <t>HYSA</t>
        </is>
      </c>
      <c r="H138" s="15" t="inlineStr">
        <is>
          <t>Cash</t>
        </is>
      </c>
      <c r="I138" s="15" t="inlineStr">
        <is>
          <t>Household</t>
        </is>
      </c>
      <c r="J138" s="15" t="inlineStr">
        <is>
          <t>No</t>
        </is>
      </c>
      <c r="K138" s="15" t="inlineStr">
        <is>
          <t>Discretionary</t>
        </is>
      </c>
      <c r="L138" s="21" t="inlineStr"/>
      <c r="M138" s="15" t="inlineStr">
        <is>
          <t>No</t>
        </is>
      </c>
      <c r="N138" s="15" t="inlineStr">
        <is>
          <t>No</t>
        </is>
      </c>
      <c r="O138" s="20">
        <f>IF(A138="","",MONTH(A138))</f>
        <v/>
      </c>
      <c r="P138" s="20">
        <f>IF(A138="","",YEAR(A138))</f>
        <v/>
      </c>
      <c r="Q138" s="20">
        <f>IF(A138="","",DAY(A138))</f>
        <v/>
      </c>
    </row>
    <row r="139">
      <c r="A139" s="18" t="n">
        <v>46196</v>
      </c>
      <c r="B139" s="15" t="inlineStr">
        <is>
          <t>Expense</t>
        </is>
      </c>
      <c r="C139" s="15" t="inlineStr">
        <is>
          <t>Transportation</t>
        </is>
      </c>
      <c r="D139" s="15" t="inlineStr">
        <is>
          <t>Parking/Tolls</t>
        </is>
      </c>
      <c r="E139" s="15" t="inlineStr">
        <is>
          <t>City Parking</t>
        </is>
      </c>
      <c r="F139" s="19" t="n">
        <v>45.03</v>
      </c>
      <c r="G139" s="15" t="inlineStr">
        <is>
          <t>Checking</t>
        </is>
      </c>
      <c r="H139" s="15" t="inlineStr">
        <is>
          <t>Checking</t>
        </is>
      </c>
      <c r="I139" s="15" t="inlineStr">
        <is>
          <t>Parent 1</t>
        </is>
      </c>
      <c r="J139" s="15" t="inlineStr">
        <is>
          <t>No</t>
        </is>
      </c>
      <c r="K139" s="15" t="inlineStr">
        <is>
          <t>Discretionary</t>
        </is>
      </c>
      <c r="L139" s="21" t="inlineStr"/>
      <c r="M139" s="15" t="inlineStr">
        <is>
          <t>No</t>
        </is>
      </c>
      <c r="N139" s="15" t="inlineStr">
        <is>
          <t>No</t>
        </is>
      </c>
      <c r="O139" s="20">
        <f>IF(A139="","",MONTH(A139))</f>
        <v/>
      </c>
      <c r="P139" s="20">
        <f>IF(A139="","",YEAR(A139))</f>
        <v/>
      </c>
      <c r="Q139" s="20">
        <f>IF(A139="","",DAY(A139))</f>
        <v/>
      </c>
    </row>
    <row r="140">
      <c r="A140" s="18" t="n">
        <v>46196</v>
      </c>
      <c r="B140" s="15" t="inlineStr">
        <is>
          <t>Expense</t>
        </is>
      </c>
      <c r="C140" s="15" t="inlineStr">
        <is>
          <t>Food</t>
        </is>
      </c>
      <c r="D140" s="15" t="inlineStr">
        <is>
          <t>Groceries</t>
        </is>
      </c>
      <c r="E140" s="15" t="inlineStr">
        <is>
          <t>Walmart</t>
        </is>
      </c>
      <c r="F140" s="19" t="n">
        <v>94.66</v>
      </c>
      <c r="G140" s="15" t="inlineStr">
        <is>
          <t>Savings</t>
        </is>
      </c>
      <c r="H140" s="15" t="inlineStr">
        <is>
          <t>Savings</t>
        </is>
      </c>
      <c r="I140" s="15" t="inlineStr">
        <is>
          <t>Household</t>
        </is>
      </c>
      <c r="J140" s="15" t="inlineStr">
        <is>
          <t>No</t>
        </is>
      </c>
      <c r="K140" s="15" t="inlineStr">
        <is>
          <t>Essential</t>
        </is>
      </c>
      <c r="L140" s="21" t="inlineStr"/>
      <c r="M140" s="15" t="inlineStr">
        <is>
          <t>No</t>
        </is>
      </c>
      <c r="N140" s="15" t="inlineStr">
        <is>
          <t>No</t>
        </is>
      </c>
      <c r="O140" s="20">
        <f>IF(A140="","",MONTH(A140))</f>
        <v/>
      </c>
      <c r="P140" s="20">
        <f>IF(A140="","",YEAR(A140))</f>
        <v/>
      </c>
      <c r="Q140" s="20">
        <f>IF(A140="","",DAY(A140))</f>
        <v/>
      </c>
    </row>
    <row r="141">
      <c r="A141" s="18" t="n">
        <v>46198</v>
      </c>
      <c r="B141" s="15" t="inlineStr">
        <is>
          <t>Expense</t>
        </is>
      </c>
      <c r="C141" s="15" t="inlineStr">
        <is>
          <t>Food</t>
        </is>
      </c>
      <c r="D141" s="15" t="inlineStr">
        <is>
          <t>Coffee</t>
        </is>
      </c>
      <c r="E141" s="15" t="inlineStr">
        <is>
          <t>Starbucks</t>
        </is>
      </c>
      <c r="F141" s="19" t="n">
        <v>111.32</v>
      </c>
      <c r="G141" s="15" t="inlineStr">
        <is>
          <t>Savings</t>
        </is>
      </c>
      <c r="H141" s="15" t="inlineStr">
        <is>
          <t>Savings</t>
        </is>
      </c>
      <c r="I141" s="15" t="inlineStr">
        <is>
          <t>Parent 1</t>
        </is>
      </c>
      <c r="J141" s="15" t="inlineStr">
        <is>
          <t>No</t>
        </is>
      </c>
      <c r="K141" s="15" t="inlineStr">
        <is>
          <t>Discretionary</t>
        </is>
      </c>
      <c r="L141" s="21" t="inlineStr"/>
      <c r="M141" s="15" t="inlineStr">
        <is>
          <t>No</t>
        </is>
      </c>
      <c r="N141" s="15" t="inlineStr">
        <is>
          <t>No</t>
        </is>
      </c>
      <c r="O141" s="20">
        <f>IF(A141="","",MONTH(A141))</f>
        <v/>
      </c>
      <c r="P141" s="20">
        <f>IF(A141="","",YEAR(A141))</f>
        <v/>
      </c>
      <c r="Q141" s="20">
        <f>IF(A141="","",DAY(A141))</f>
        <v/>
      </c>
    </row>
    <row r="142">
      <c r="A142" s="18" t="n">
        <v>46198</v>
      </c>
      <c r="B142" s="15" t="inlineStr">
        <is>
          <t>Expense</t>
        </is>
      </c>
      <c r="C142" s="15" t="inlineStr">
        <is>
          <t>Lifestyle</t>
        </is>
      </c>
      <c r="D142" s="15" t="inlineStr">
        <is>
          <t>Subscriptions</t>
        </is>
      </c>
      <c r="E142" s="15" t="inlineStr">
        <is>
          <t>Netflix</t>
        </is>
      </c>
      <c r="F142" s="19" t="n">
        <v>14.98</v>
      </c>
      <c r="G142" s="15" t="inlineStr">
        <is>
          <t>HYSA</t>
        </is>
      </c>
      <c r="H142" s="15" t="inlineStr">
        <is>
          <t>Cash</t>
        </is>
      </c>
      <c r="I142" s="15" t="inlineStr">
        <is>
          <t>Parent 1</t>
        </is>
      </c>
      <c r="J142" s="15" t="inlineStr">
        <is>
          <t>Yes</t>
        </is>
      </c>
      <c r="K142" s="15" t="inlineStr">
        <is>
          <t>Discretionary</t>
        </is>
      </c>
      <c r="L142" s="21" t="inlineStr"/>
      <c r="M142" s="15" t="inlineStr">
        <is>
          <t>No</t>
        </is>
      </c>
      <c r="N142" s="15" t="inlineStr">
        <is>
          <t>No</t>
        </is>
      </c>
      <c r="O142" s="20">
        <f>IF(A142="","",MONTH(A142))</f>
        <v/>
      </c>
      <c r="P142" s="20">
        <f>IF(A142="","",YEAR(A142))</f>
        <v/>
      </c>
      <c r="Q142" s="20">
        <f>IF(A142="","",DAY(A142))</f>
        <v/>
      </c>
    </row>
    <row r="143">
      <c r="A143" s="18" t="n">
        <v>46199</v>
      </c>
      <c r="B143" s="15" t="inlineStr">
        <is>
          <t>Expense</t>
        </is>
      </c>
      <c r="C143" s="15" t="inlineStr">
        <is>
          <t>Healthcare</t>
        </is>
      </c>
      <c r="D143" s="15" t="inlineStr">
        <is>
          <t>Dental</t>
        </is>
      </c>
      <c r="E143" s="15" t="inlineStr">
        <is>
          <t>Dental Care</t>
        </is>
      </c>
      <c r="F143" s="19" t="n">
        <v>30.16</v>
      </c>
      <c r="G143" s="15" t="inlineStr">
        <is>
          <t>Savings</t>
        </is>
      </c>
      <c r="H143" s="15" t="inlineStr">
        <is>
          <t>Savings</t>
        </is>
      </c>
      <c r="I143" s="15" t="inlineStr">
        <is>
          <t>Parent 1</t>
        </is>
      </c>
      <c r="J143" s="15" t="inlineStr">
        <is>
          <t>No</t>
        </is>
      </c>
      <c r="K143" s="15" t="inlineStr">
        <is>
          <t>Essential</t>
        </is>
      </c>
      <c r="L143" s="21" t="inlineStr"/>
      <c r="M143" s="15" t="inlineStr">
        <is>
          <t>No</t>
        </is>
      </c>
      <c r="N143" s="15" t="inlineStr">
        <is>
          <t>No</t>
        </is>
      </c>
      <c r="O143" s="20">
        <f>IF(A143="","",MONTH(A143))</f>
        <v/>
      </c>
      <c r="P143" s="20">
        <f>IF(A143="","",YEAR(A143))</f>
        <v/>
      </c>
      <c r="Q143" s="20">
        <f>IF(A143="","",DAY(A143))</f>
        <v/>
      </c>
    </row>
    <row r="144">
      <c r="A144" s="18" t="n">
        <v>46199</v>
      </c>
      <c r="B144" s="15" t="inlineStr">
        <is>
          <t>Expense</t>
        </is>
      </c>
      <c r="C144" s="15" t="inlineStr">
        <is>
          <t>Financial</t>
        </is>
      </c>
      <c r="D144" s="15" t="inlineStr">
        <is>
          <t>Retirement</t>
        </is>
      </c>
      <c r="E144" s="15" t="inlineStr">
        <is>
          <t>401(k) Contribution</t>
        </is>
      </c>
      <c r="F144" s="19" t="n">
        <v>471.53</v>
      </c>
      <c r="G144" s="15" t="inlineStr">
        <is>
          <t>HYSA</t>
        </is>
      </c>
      <c r="H144" s="15" t="inlineStr">
        <is>
          <t>Cash</t>
        </is>
      </c>
      <c r="I144" s="15" t="inlineStr">
        <is>
          <t>Parent 2</t>
        </is>
      </c>
      <c r="J144" s="15" t="inlineStr">
        <is>
          <t>Yes</t>
        </is>
      </c>
      <c r="K144" s="15" t="inlineStr">
        <is>
          <t>Essential</t>
        </is>
      </c>
      <c r="L144" s="21" t="inlineStr"/>
      <c r="M144" s="15" t="inlineStr">
        <is>
          <t>No</t>
        </is>
      </c>
      <c r="N144" s="15" t="inlineStr">
        <is>
          <t>No</t>
        </is>
      </c>
      <c r="O144" s="20">
        <f>IF(A144="","",MONTH(A144))</f>
        <v/>
      </c>
      <c r="P144" s="20">
        <f>IF(A144="","",YEAR(A144))</f>
        <v/>
      </c>
      <c r="Q144" s="20">
        <f>IF(A144="","",DAY(A144))</f>
        <v/>
      </c>
    </row>
    <row r="145">
      <c r="A145" s="18" t="n">
        <v>46200</v>
      </c>
      <c r="B145" s="15" t="inlineStr">
        <is>
          <t>Expense</t>
        </is>
      </c>
      <c r="C145" s="15" t="inlineStr">
        <is>
          <t>Pets</t>
        </is>
      </c>
      <c r="D145" s="15" t="inlineStr">
        <is>
          <t>Vet</t>
        </is>
      </c>
      <c r="E145" s="15" t="inlineStr">
        <is>
          <t>Banfield</t>
        </is>
      </c>
      <c r="F145" s="19" t="n">
        <v>59.31</v>
      </c>
      <c r="G145" s="15" t="inlineStr">
        <is>
          <t>Savings</t>
        </is>
      </c>
      <c r="H145" s="15" t="inlineStr">
        <is>
          <t>Savings</t>
        </is>
      </c>
      <c r="I145" s="15" t="inlineStr">
        <is>
          <t>Household</t>
        </is>
      </c>
      <c r="J145" s="15" t="inlineStr">
        <is>
          <t>No</t>
        </is>
      </c>
      <c r="K145" s="15" t="inlineStr">
        <is>
          <t>Discretionary</t>
        </is>
      </c>
      <c r="L145" s="21" t="inlineStr"/>
      <c r="M145" s="15" t="inlineStr">
        <is>
          <t>No</t>
        </is>
      </c>
      <c r="N145" s="15" t="inlineStr">
        <is>
          <t>No</t>
        </is>
      </c>
      <c r="O145" s="20">
        <f>IF(A145="","",MONTH(A145))</f>
        <v/>
      </c>
      <c r="P145" s="20">
        <f>IF(A145="","",YEAR(A145))</f>
        <v/>
      </c>
      <c r="Q145" s="20">
        <f>IF(A145="","",DAY(A145))</f>
        <v/>
      </c>
    </row>
    <row r="146">
      <c r="A146" s="18" t="n">
        <v>46206</v>
      </c>
      <c r="B146" s="15" t="inlineStr">
        <is>
          <t>Expense</t>
        </is>
      </c>
      <c r="C146" s="15" t="inlineStr">
        <is>
          <t>Family</t>
        </is>
      </c>
      <c r="D146" s="15" t="inlineStr">
        <is>
          <t>Childcare</t>
        </is>
      </c>
      <c r="E146" s="15" t="inlineStr">
        <is>
          <t>Bright Horizons</t>
        </is>
      </c>
      <c r="F146" s="19" t="n">
        <v>128.08</v>
      </c>
      <c r="G146" s="15" t="inlineStr">
        <is>
          <t>HYSA</t>
        </is>
      </c>
      <c r="H146" s="15" t="inlineStr">
        <is>
          <t>Cash</t>
        </is>
      </c>
      <c r="I146" s="15" t="inlineStr">
        <is>
          <t>Parent 2</t>
        </is>
      </c>
      <c r="J146" s="15" t="inlineStr">
        <is>
          <t>No</t>
        </is>
      </c>
      <c r="K146" s="15" t="inlineStr">
        <is>
          <t>Discretionary</t>
        </is>
      </c>
      <c r="L146" s="21" t="inlineStr"/>
      <c r="M146" s="15" t="inlineStr">
        <is>
          <t>No</t>
        </is>
      </c>
      <c r="N146" s="15" t="inlineStr">
        <is>
          <t>No</t>
        </is>
      </c>
      <c r="O146" s="20">
        <f>IF(A146="","",MONTH(A146))</f>
        <v/>
      </c>
      <c r="P146" s="20">
        <f>IF(A146="","",YEAR(A146))</f>
        <v/>
      </c>
      <c r="Q146" s="20">
        <f>IF(A146="","",DAY(A146))</f>
        <v/>
      </c>
    </row>
    <row r="147">
      <c r="A147" s="18" t="n">
        <v>46207</v>
      </c>
      <c r="B147" s="15" t="inlineStr">
        <is>
          <t>Expense</t>
        </is>
      </c>
      <c r="C147" s="15" t="inlineStr">
        <is>
          <t>Food</t>
        </is>
      </c>
      <c r="D147" s="15" t="inlineStr">
        <is>
          <t>Restaurants</t>
        </is>
      </c>
      <c r="E147" s="15" t="inlineStr">
        <is>
          <t>Local Diner</t>
        </is>
      </c>
      <c r="F147" s="19" t="n">
        <v>44.12</v>
      </c>
      <c r="G147" s="15" t="inlineStr">
        <is>
          <t>Checking</t>
        </is>
      </c>
      <c r="H147" s="15" t="inlineStr">
        <is>
          <t>Checking</t>
        </is>
      </c>
      <c r="I147" s="15" t="inlineStr">
        <is>
          <t>Household</t>
        </is>
      </c>
      <c r="J147" s="15" t="inlineStr">
        <is>
          <t>No</t>
        </is>
      </c>
      <c r="K147" s="15" t="inlineStr">
        <is>
          <t>Discretionary</t>
        </is>
      </c>
      <c r="L147" s="21" t="inlineStr"/>
      <c r="M147" s="15" t="inlineStr">
        <is>
          <t>No</t>
        </is>
      </c>
      <c r="N147" s="15" t="inlineStr">
        <is>
          <t>No</t>
        </is>
      </c>
      <c r="O147" s="20">
        <f>IF(A147="","",MONTH(A147))</f>
        <v/>
      </c>
      <c r="P147" s="20">
        <f>IF(A147="","",YEAR(A147))</f>
        <v/>
      </c>
      <c r="Q147" s="20">
        <f>IF(A147="","",DAY(A147))</f>
        <v/>
      </c>
    </row>
    <row r="148">
      <c r="A148" s="18" t="n">
        <v>46208</v>
      </c>
      <c r="B148" s="15" t="inlineStr">
        <is>
          <t>Expense</t>
        </is>
      </c>
      <c r="C148" s="15" t="inlineStr">
        <is>
          <t>Housing</t>
        </is>
      </c>
      <c r="D148" s="15" t="inlineStr">
        <is>
          <t>Home Insurance</t>
        </is>
      </c>
      <c r="E148" s="15" t="inlineStr">
        <is>
          <t>HomeSure Insurance</t>
        </is>
      </c>
      <c r="F148" s="19" t="n">
        <v>101.94</v>
      </c>
      <c r="G148" s="15" t="inlineStr">
        <is>
          <t>Savings</t>
        </is>
      </c>
      <c r="H148" s="15" t="inlineStr">
        <is>
          <t>Savings</t>
        </is>
      </c>
      <c r="I148" s="15" t="inlineStr">
        <is>
          <t>Parent 1</t>
        </is>
      </c>
      <c r="J148" s="15" t="inlineStr">
        <is>
          <t>No</t>
        </is>
      </c>
      <c r="K148" s="15" t="inlineStr">
        <is>
          <t>Discretionary</t>
        </is>
      </c>
      <c r="L148" s="21" t="inlineStr"/>
      <c r="M148" s="15" t="inlineStr">
        <is>
          <t>No</t>
        </is>
      </c>
      <c r="N148" s="15" t="inlineStr">
        <is>
          <t>No</t>
        </is>
      </c>
      <c r="O148" s="20">
        <f>IF(A148="","",MONTH(A148))</f>
        <v/>
      </c>
      <c r="P148" s="20">
        <f>IF(A148="","",YEAR(A148))</f>
        <v/>
      </c>
      <c r="Q148" s="20">
        <f>IF(A148="","",DAY(A148))</f>
        <v/>
      </c>
    </row>
    <row r="149">
      <c r="A149" s="18" t="n">
        <v>46208</v>
      </c>
      <c r="B149" s="15" t="inlineStr">
        <is>
          <t>Expense</t>
        </is>
      </c>
      <c r="C149" s="15" t="inlineStr">
        <is>
          <t>Family</t>
        </is>
      </c>
      <c r="D149" s="15" t="inlineStr">
        <is>
          <t>Allowances</t>
        </is>
      </c>
      <c r="E149" s="15" t="inlineStr">
        <is>
          <t>Kids Allowance</t>
        </is>
      </c>
      <c r="F149" s="19" t="n">
        <v>19.14</v>
      </c>
      <c r="G149" s="15" t="inlineStr">
        <is>
          <t>Savings</t>
        </is>
      </c>
      <c r="H149" s="15" t="inlineStr">
        <is>
          <t>Savings</t>
        </is>
      </c>
      <c r="I149" s="15" t="inlineStr">
        <is>
          <t>Household</t>
        </is>
      </c>
      <c r="J149" s="15" t="inlineStr">
        <is>
          <t>No</t>
        </is>
      </c>
      <c r="K149" s="15" t="inlineStr">
        <is>
          <t>Discretionary</t>
        </is>
      </c>
      <c r="L149" s="21" t="inlineStr"/>
      <c r="M149" s="15" t="inlineStr">
        <is>
          <t>No</t>
        </is>
      </c>
      <c r="N149" s="15" t="inlineStr">
        <is>
          <t>No</t>
        </is>
      </c>
      <c r="O149" s="20">
        <f>IF(A149="","",MONTH(A149))</f>
        <v/>
      </c>
      <c r="P149" s="20">
        <f>IF(A149="","",YEAR(A149))</f>
        <v/>
      </c>
      <c r="Q149" s="20">
        <f>IF(A149="","",DAY(A149))</f>
        <v/>
      </c>
    </row>
    <row r="150">
      <c r="A150" s="18" t="n">
        <v>46209</v>
      </c>
      <c r="B150" s="15" t="inlineStr">
        <is>
          <t>Expense</t>
        </is>
      </c>
      <c r="C150" s="15" t="inlineStr">
        <is>
          <t>Food</t>
        </is>
      </c>
      <c r="D150" s="15" t="inlineStr">
        <is>
          <t>Coffee</t>
        </is>
      </c>
      <c r="E150" s="15" t="inlineStr">
        <is>
          <t>Starbucks</t>
        </is>
      </c>
      <c r="F150" s="19" t="n">
        <v>86.01000000000001</v>
      </c>
      <c r="G150" s="15" t="inlineStr">
        <is>
          <t>HYSA</t>
        </is>
      </c>
      <c r="H150" s="15" t="inlineStr">
        <is>
          <t>Cash</t>
        </is>
      </c>
      <c r="I150" s="15" t="inlineStr">
        <is>
          <t>Parent 1</t>
        </is>
      </c>
      <c r="J150" s="15" t="inlineStr">
        <is>
          <t>No</t>
        </is>
      </c>
      <c r="K150" s="15" t="inlineStr">
        <is>
          <t>Discretionary</t>
        </is>
      </c>
      <c r="L150" s="21" t="inlineStr"/>
      <c r="M150" s="15" t="inlineStr">
        <is>
          <t>No</t>
        </is>
      </c>
      <c r="N150" s="15" t="inlineStr">
        <is>
          <t>No</t>
        </is>
      </c>
      <c r="O150" s="20">
        <f>IF(A150="","",MONTH(A150))</f>
        <v/>
      </c>
      <c r="P150" s="20">
        <f>IF(A150="","",YEAR(A150))</f>
        <v/>
      </c>
      <c r="Q150" s="20">
        <f>IF(A150="","",DAY(A150))</f>
        <v/>
      </c>
    </row>
    <row r="151">
      <c r="A151" s="18" t="n">
        <v>46209</v>
      </c>
      <c r="B151" s="15" t="inlineStr">
        <is>
          <t>Expense</t>
        </is>
      </c>
      <c r="C151" s="15" t="inlineStr">
        <is>
          <t>Family</t>
        </is>
      </c>
      <c r="D151" s="15" t="inlineStr">
        <is>
          <t>Baby Expenses</t>
        </is>
      </c>
      <c r="E151" s="15" t="inlineStr">
        <is>
          <t>Buy Buy Baby</t>
        </is>
      </c>
      <c r="F151" s="19" t="n">
        <v>39.99</v>
      </c>
      <c r="G151" s="15" t="inlineStr">
        <is>
          <t>Credit Card</t>
        </is>
      </c>
      <c r="H151" s="15" t="inlineStr">
        <is>
          <t>Credit Card</t>
        </is>
      </c>
      <c r="I151" s="15" t="inlineStr">
        <is>
          <t>Parent 1</t>
        </is>
      </c>
      <c r="J151" s="15" t="inlineStr">
        <is>
          <t>No</t>
        </is>
      </c>
      <c r="K151" s="15" t="inlineStr">
        <is>
          <t>Discretionary</t>
        </is>
      </c>
      <c r="L151" s="21" t="inlineStr"/>
      <c r="M151" s="15" t="inlineStr">
        <is>
          <t>No</t>
        </is>
      </c>
      <c r="N151" s="15" t="inlineStr">
        <is>
          <t>No</t>
        </is>
      </c>
      <c r="O151" s="20">
        <f>IF(A151="","",MONTH(A151))</f>
        <v/>
      </c>
      <c r="P151" s="20">
        <f>IF(A151="","",YEAR(A151))</f>
        <v/>
      </c>
      <c r="Q151" s="20">
        <f>IF(A151="","",DAY(A151))</f>
        <v/>
      </c>
    </row>
    <row r="152">
      <c r="A152" s="18" t="n">
        <v>46209</v>
      </c>
      <c r="B152" s="15" t="inlineStr">
        <is>
          <t>Expense</t>
        </is>
      </c>
      <c r="C152" s="15" t="inlineStr">
        <is>
          <t>Lifestyle</t>
        </is>
      </c>
      <c r="D152" s="15" t="inlineStr">
        <is>
          <t>Subscriptions</t>
        </is>
      </c>
      <c r="E152" s="15" t="inlineStr">
        <is>
          <t>Spotify</t>
        </is>
      </c>
      <c r="F152" s="19" t="n">
        <v>10.1</v>
      </c>
      <c r="G152" s="15" t="inlineStr">
        <is>
          <t>Savings</t>
        </is>
      </c>
      <c r="H152" s="15" t="inlineStr">
        <is>
          <t>Savings</t>
        </is>
      </c>
      <c r="I152" s="15" t="inlineStr">
        <is>
          <t>Parent 2</t>
        </is>
      </c>
      <c r="J152" s="15" t="inlineStr">
        <is>
          <t>Yes</t>
        </is>
      </c>
      <c r="K152" s="15" t="inlineStr">
        <is>
          <t>Discretionary</t>
        </is>
      </c>
      <c r="L152" s="21" t="inlineStr"/>
      <c r="M152" s="15" t="inlineStr">
        <is>
          <t>No</t>
        </is>
      </c>
      <c r="N152" s="15" t="inlineStr">
        <is>
          <t>No</t>
        </is>
      </c>
      <c r="O152" s="20">
        <f>IF(A152="","",MONTH(A152))</f>
        <v/>
      </c>
      <c r="P152" s="20">
        <f>IF(A152="","",YEAR(A152))</f>
        <v/>
      </c>
      <c r="Q152" s="20">
        <f>IF(A152="","",DAY(A152))</f>
        <v/>
      </c>
    </row>
    <row r="153">
      <c r="A153" s="18" t="n">
        <v>46210</v>
      </c>
      <c r="B153" s="15" t="inlineStr">
        <is>
          <t>Expense</t>
        </is>
      </c>
      <c r="C153" s="15" t="inlineStr">
        <is>
          <t>Transportation</t>
        </is>
      </c>
      <c r="D153" s="15" t="inlineStr">
        <is>
          <t>Auto Insurance</t>
        </is>
      </c>
      <c r="E153" s="15" t="inlineStr">
        <is>
          <t>GEICO</t>
        </is>
      </c>
      <c r="F153" s="19" t="n">
        <v>80.62</v>
      </c>
      <c r="G153" s="15" t="inlineStr">
        <is>
          <t>Checking</t>
        </is>
      </c>
      <c r="H153" s="15" t="inlineStr">
        <is>
          <t>Checking</t>
        </is>
      </c>
      <c r="I153" s="15" t="inlineStr">
        <is>
          <t>Household</t>
        </is>
      </c>
      <c r="J153" s="15" t="inlineStr">
        <is>
          <t>No</t>
        </is>
      </c>
      <c r="K153" s="15" t="inlineStr">
        <is>
          <t>Discretionary</t>
        </is>
      </c>
      <c r="L153" s="21" t="inlineStr"/>
      <c r="M153" s="15" t="inlineStr">
        <is>
          <t>No</t>
        </is>
      </c>
      <c r="N153" s="15" t="inlineStr">
        <is>
          <t>No</t>
        </is>
      </c>
      <c r="O153" s="20">
        <f>IF(A153="","",MONTH(A153))</f>
        <v/>
      </c>
      <c r="P153" s="20">
        <f>IF(A153="","",YEAR(A153))</f>
        <v/>
      </c>
      <c r="Q153" s="20">
        <f>IF(A153="","",DAY(A153))</f>
        <v/>
      </c>
    </row>
    <row r="154">
      <c r="A154" s="18" t="n">
        <v>46210</v>
      </c>
      <c r="B154" s="15" t="inlineStr">
        <is>
          <t>Expense</t>
        </is>
      </c>
      <c r="C154" s="15" t="inlineStr">
        <is>
          <t>Food</t>
        </is>
      </c>
      <c r="D154" s="15" t="inlineStr">
        <is>
          <t>Groceries</t>
        </is>
      </c>
      <c r="E154" s="15" t="inlineStr">
        <is>
          <t>Kroger</t>
        </is>
      </c>
      <c r="F154" s="19" t="n">
        <v>28.9</v>
      </c>
      <c r="G154" s="15" t="inlineStr">
        <is>
          <t>HYSA</t>
        </is>
      </c>
      <c r="H154" s="15" t="inlineStr">
        <is>
          <t>Cash</t>
        </is>
      </c>
      <c r="I154" s="15" t="inlineStr">
        <is>
          <t>Household</t>
        </is>
      </c>
      <c r="J154" s="15" t="inlineStr">
        <is>
          <t>No</t>
        </is>
      </c>
      <c r="K154" s="15" t="inlineStr">
        <is>
          <t>Discretionary</t>
        </is>
      </c>
      <c r="L154" s="21" t="inlineStr"/>
      <c r="M154" s="15" t="inlineStr">
        <is>
          <t>No</t>
        </is>
      </c>
      <c r="N154" s="15" t="inlineStr">
        <is>
          <t>No</t>
        </is>
      </c>
      <c r="O154" s="20">
        <f>IF(A154="","",MONTH(A154))</f>
        <v/>
      </c>
      <c r="P154" s="20">
        <f>IF(A154="","",YEAR(A154))</f>
        <v/>
      </c>
      <c r="Q154" s="20">
        <f>IF(A154="","",DAY(A154))</f>
        <v/>
      </c>
    </row>
    <row r="155">
      <c r="A155" s="18" t="n">
        <v>46210</v>
      </c>
      <c r="B155" s="15" t="inlineStr">
        <is>
          <t>Expense</t>
        </is>
      </c>
      <c r="C155" s="15" t="inlineStr">
        <is>
          <t>Healthcare</t>
        </is>
      </c>
      <c r="D155" s="15" t="inlineStr">
        <is>
          <t>Health Insurance</t>
        </is>
      </c>
      <c r="E155" s="15" t="inlineStr">
        <is>
          <t>BCBS</t>
        </is>
      </c>
      <c r="F155" s="19" t="n">
        <v>131.92</v>
      </c>
      <c r="G155" s="15" t="inlineStr">
        <is>
          <t>Checking</t>
        </is>
      </c>
      <c r="H155" s="15" t="inlineStr">
        <is>
          <t>Checking</t>
        </is>
      </c>
      <c r="I155" s="15" t="inlineStr">
        <is>
          <t>Parent 2</t>
        </is>
      </c>
      <c r="J155" s="15" t="inlineStr">
        <is>
          <t>No</t>
        </is>
      </c>
      <c r="K155" s="15" t="inlineStr">
        <is>
          <t>Discretionary</t>
        </is>
      </c>
      <c r="L155" s="21" t="inlineStr"/>
      <c r="M155" s="15" t="inlineStr">
        <is>
          <t>No</t>
        </is>
      </c>
      <c r="N155" s="15" t="inlineStr">
        <is>
          <t>No</t>
        </is>
      </c>
      <c r="O155" s="20">
        <f>IF(A155="","",MONTH(A155))</f>
        <v/>
      </c>
      <c r="P155" s="20">
        <f>IF(A155="","",YEAR(A155))</f>
        <v/>
      </c>
      <c r="Q155" s="20">
        <f>IF(A155="","",DAY(A155))</f>
        <v/>
      </c>
    </row>
    <row r="156">
      <c r="A156" s="18" t="n">
        <v>46211</v>
      </c>
      <c r="B156" s="15" t="inlineStr">
        <is>
          <t>Expense</t>
        </is>
      </c>
      <c r="C156" s="15" t="inlineStr">
        <is>
          <t>Healthcare</t>
        </is>
      </c>
      <c r="D156" s="15" t="inlineStr">
        <is>
          <t>Prescriptions</t>
        </is>
      </c>
      <c r="E156" s="15" t="inlineStr">
        <is>
          <t>CVS Pharmacy</t>
        </is>
      </c>
      <c r="F156" s="19" t="n">
        <v>23.28</v>
      </c>
      <c r="G156" s="15" t="inlineStr">
        <is>
          <t>Savings</t>
        </is>
      </c>
      <c r="H156" s="15" t="inlineStr">
        <is>
          <t>Savings</t>
        </is>
      </c>
      <c r="I156" s="15" t="inlineStr">
        <is>
          <t>Household</t>
        </is>
      </c>
      <c r="J156" s="15" t="inlineStr">
        <is>
          <t>No</t>
        </is>
      </c>
      <c r="K156" s="15" t="inlineStr">
        <is>
          <t>Essential</t>
        </is>
      </c>
      <c r="L156" s="21" t="inlineStr"/>
      <c r="M156" s="15" t="inlineStr">
        <is>
          <t>No</t>
        </is>
      </c>
      <c r="N156" s="15" t="inlineStr">
        <is>
          <t>No</t>
        </is>
      </c>
      <c r="O156" s="20">
        <f>IF(A156="","",MONTH(A156))</f>
        <v/>
      </c>
      <c r="P156" s="20">
        <f>IF(A156="","",YEAR(A156))</f>
        <v/>
      </c>
      <c r="Q156" s="20">
        <f>IF(A156="","",DAY(A156))</f>
        <v/>
      </c>
    </row>
    <row r="157">
      <c r="A157" s="18" t="n">
        <v>46211</v>
      </c>
      <c r="B157" s="15" t="inlineStr">
        <is>
          <t>Expense</t>
        </is>
      </c>
      <c r="C157" s="15" t="inlineStr">
        <is>
          <t>Lifestyle</t>
        </is>
      </c>
      <c r="D157" s="15" t="inlineStr">
        <is>
          <t>Shopping</t>
        </is>
      </c>
      <c r="E157" s="15" t="inlineStr">
        <is>
          <t>Amazon</t>
        </is>
      </c>
      <c r="F157" s="19" t="n">
        <v>54.69</v>
      </c>
      <c r="G157" s="15" t="inlineStr">
        <is>
          <t>Checking</t>
        </is>
      </c>
      <c r="H157" s="15" t="inlineStr">
        <is>
          <t>Checking</t>
        </is>
      </c>
      <c r="I157" s="15" t="inlineStr">
        <is>
          <t>Household</t>
        </is>
      </c>
      <c r="J157" s="15" t="inlineStr">
        <is>
          <t>No</t>
        </is>
      </c>
      <c r="K157" s="15" t="inlineStr">
        <is>
          <t>Discretionary</t>
        </is>
      </c>
      <c r="L157" s="21" t="inlineStr"/>
      <c r="M157" s="15" t="inlineStr">
        <is>
          <t>No</t>
        </is>
      </c>
      <c r="N157" s="15" t="inlineStr">
        <is>
          <t>No</t>
        </is>
      </c>
      <c r="O157" s="20">
        <f>IF(A157="","",MONTH(A157))</f>
        <v/>
      </c>
      <c r="P157" s="20">
        <f>IF(A157="","",YEAR(A157))</f>
        <v/>
      </c>
      <c r="Q157" s="20">
        <f>IF(A157="","",DAY(A157))</f>
        <v/>
      </c>
    </row>
    <row r="158">
      <c r="A158" s="18" t="n">
        <v>46212</v>
      </c>
      <c r="B158" s="15" t="inlineStr">
        <is>
          <t>Expense</t>
        </is>
      </c>
      <c r="C158" s="15" t="inlineStr">
        <is>
          <t>Family</t>
        </is>
      </c>
      <c r="D158" s="15" t="inlineStr">
        <is>
          <t>Clothing</t>
        </is>
      </c>
      <c r="E158" s="15" t="inlineStr">
        <is>
          <t>Target</t>
        </is>
      </c>
      <c r="F158" s="19" t="n">
        <v>48.64</v>
      </c>
      <c r="G158" s="15" t="inlineStr">
        <is>
          <t>Checking</t>
        </is>
      </c>
      <c r="H158" s="15" t="inlineStr">
        <is>
          <t>Checking</t>
        </is>
      </c>
      <c r="I158" s="15" t="inlineStr">
        <is>
          <t>Parent 2</t>
        </is>
      </c>
      <c r="J158" s="15" t="inlineStr">
        <is>
          <t>No</t>
        </is>
      </c>
      <c r="K158" s="15" t="inlineStr">
        <is>
          <t>Discretionary</t>
        </is>
      </c>
      <c r="L158" s="21" t="inlineStr"/>
      <c r="M158" s="15" t="inlineStr">
        <is>
          <t>No</t>
        </is>
      </c>
      <c r="N158" s="15" t="inlineStr">
        <is>
          <t>No</t>
        </is>
      </c>
      <c r="O158" s="20">
        <f>IF(A158="","",MONTH(A158))</f>
        <v/>
      </c>
      <c r="P158" s="20">
        <f>IF(A158="","",YEAR(A158))</f>
        <v/>
      </c>
      <c r="Q158" s="20">
        <f>IF(A158="","",DAY(A158))</f>
        <v/>
      </c>
    </row>
    <row r="159">
      <c r="A159" s="18" t="n">
        <v>46212</v>
      </c>
      <c r="B159" s="15" t="inlineStr">
        <is>
          <t>Expense</t>
        </is>
      </c>
      <c r="C159" s="15" t="inlineStr">
        <is>
          <t>Miscellaneous</t>
        </is>
      </c>
      <c r="D159" s="15" t="inlineStr">
        <is>
          <t>Fees</t>
        </is>
      </c>
      <c r="E159" s="15" t="inlineStr">
        <is>
          <t>Bank Fee</t>
        </is>
      </c>
      <c r="F159" s="19" t="n">
        <v>10.94</v>
      </c>
      <c r="G159" s="15" t="inlineStr">
        <is>
          <t>HYSA</t>
        </is>
      </c>
      <c r="H159" s="15" t="inlineStr">
        <is>
          <t>Cash</t>
        </is>
      </c>
      <c r="I159" s="15" t="inlineStr">
        <is>
          <t>Parent 1</t>
        </is>
      </c>
      <c r="J159" s="15" t="inlineStr">
        <is>
          <t>No</t>
        </is>
      </c>
      <c r="K159" s="15" t="inlineStr">
        <is>
          <t>Discretionary</t>
        </is>
      </c>
      <c r="L159" s="21" t="inlineStr"/>
      <c r="M159" s="15" t="inlineStr">
        <is>
          <t>No</t>
        </is>
      </c>
      <c r="N159" s="15" t="inlineStr">
        <is>
          <t>No</t>
        </is>
      </c>
      <c r="O159" s="20">
        <f>IF(A159="","",MONTH(A159))</f>
        <v/>
      </c>
      <c r="P159" s="20">
        <f>IF(A159="","",YEAR(A159))</f>
        <v/>
      </c>
      <c r="Q159" s="20">
        <f>IF(A159="","",DAY(A159))</f>
        <v/>
      </c>
    </row>
    <row r="160">
      <c r="A160" s="18" t="n">
        <v>46213</v>
      </c>
      <c r="B160" s="15" t="inlineStr">
        <is>
          <t>Expense</t>
        </is>
      </c>
      <c r="C160" s="15" t="inlineStr">
        <is>
          <t>Financial</t>
        </is>
      </c>
      <c r="D160" s="15" t="inlineStr">
        <is>
          <t>Retirement</t>
        </is>
      </c>
      <c r="E160" s="15" t="inlineStr">
        <is>
          <t>401(k) Contribution</t>
        </is>
      </c>
      <c r="F160" s="19" t="n">
        <v>546.15</v>
      </c>
      <c r="G160" s="15" t="inlineStr">
        <is>
          <t>Credit Card</t>
        </is>
      </c>
      <c r="H160" s="15" t="inlineStr">
        <is>
          <t>Credit Card</t>
        </is>
      </c>
      <c r="I160" s="15" t="inlineStr">
        <is>
          <t>Parent 1</t>
        </is>
      </c>
      <c r="J160" s="15" t="inlineStr">
        <is>
          <t>Yes</t>
        </is>
      </c>
      <c r="K160" s="15" t="inlineStr">
        <is>
          <t>Essential</t>
        </is>
      </c>
      <c r="L160" s="21" t="inlineStr"/>
      <c r="M160" s="15" t="inlineStr">
        <is>
          <t>No</t>
        </is>
      </c>
      <c r="N160" s="15" t="inlineStr">
        <is>
          <t>No</t>
        </is>
      </c>
      <c r="O160" s="20">
        <f>IF(A160="","",MONTH(A160))</f>
        <v/>
      </c>
      <c r="P160" s="20">
        <f>IF(A160="","",YEAR(A160))</f>
        <v/>
      </c>
      <c r="Q160" s="20">
        <f>IF(A160="","",DAY(A160))</f>
        <v/>
      </c>
    </row>
    <row r="161">
      <c r="A161" s="18" t="n">
        <v>46215</v>
      </c>
      <c r="B161" s="15" t="inlineStr">
        <is>
          <t>Expense</t>
        </is>
      </c>
      <c r="C161" s="15" t="inlineStr">
        <is>
          <t>Giving</t>
        </is>
      </c>
      <c r="D161" s="15" t="inlineStr">
        <is>
          <t>Charity</t>
        </is>
      </c>
      <c r="E161" s="15" t="inlineStr">
        <is>
          <t>Red Cross</t>
        </is>
      </c>
      <c r="F161" s="19" t="n">
        <v>29.48</v>
      </c>
      <c r="G161" s="15" t="inlineStr">
        <is>
          <t>Savings</t>
        </is>
      </c>
      <c r="H161" s="15" t="inlineStr">
        <is>
          <t>Savings</t>
        </is>
      </c>
      <c r="I161" s="15" t="inlineStr">
        <is>
          <t>Parent 2</t>
        </is>
      </c>
      <c r="J161" s="15" t="inlineStr">
        <is>
          <t>No</t>
        </is>
      </c>
      <c r="K161" s="15" t="inlineStr">
        <is>
          <t>Discretionary</t>
        </is>
      </c>
      <c r="L161" s="21" t="inlineStr"/>
      <c r="M161" s="15" t="inlineStr">
        <is>
          <t>No</t>
        </is>
      </c>
      <c r="N161" s="15" t="inlineStr">
        <is>
          <t>No</t>
        </is>
      </c>
      <c r="O161" s="20">
        <f>IF(A161="","",MONTH(A161))</f>
        <v/>
      </c>
      <c r="P161" s="20">
        <f>IF(A161="","",YEAR(A161))</f>
        <v/>
      </c>
      <c r="Q161" s="20">
        <f>IF(A161="","",DAY(A161))</f>
        <v/>
      </c>
    </row>
    <row r="162">
      <c r="A162" s="18" t="n">
        <v>46216</v>
      </c>
      <c r="B162" s="15" t="inlineStr">
        <is>
          <t>Expense</t>
        </is>
      </c>
      <c r="C162" s="15" t="inlineStr">
        <is>
          <t>Lifestyle</t>
        </is>
      </c>
      <c r="D162" s="15" t="inlineStr">
        <is>
          <t>Entertainment</t>
        </is>
      </c>
      <c r="E162" s="15" t="inlineStr">
        <is>
          <t>AMC</t>
        </is>
      </c>
      <c r="F162" s="19" t="n">
        <v>30.72</v>
      </c>
      <c r="G162" s="15" t="inlineStr">
        <is>
          <t>Checking</t>
        </is>
      </c>
      <c r="H162" s="15" t="inlineStr">
        <is>
          <t>Checking</t>
        </is>
      </c>
      <c r="I162" s="15" t="inlineStr">
        <is>
          <t>Parent 2</t>
        </is>
      </c>
      <c r="J162" s="15" t="inlineStr">
        <is>
          <t>No</t>
        </is>
      </c>
      <c r="K162" s="15" t="inlineStr">
        <is>
          <t>Discretionary</t>
        </is>
      </c>
      <c r="L162" s="21" t="inlineStr"/>
      <c r="M162" s="15" t="inlineStr">
        <is>
          <t>No</t>
        </is>
      </c>
      <c r="N162" s="15" t="inlineStr">
        <is>
          <t>No</t>
        </is>
      </c>
      <c r="O162" s="20">
        <f>IF(A162="","",MONTH(A162))</f>
        <v/>
      </c>
      <c r="P162" s="20">
        <f>IF(A162="","",YEAR(A162))</f>
        <v/>
      </c>
      <c r="Q162" s="20">
        <f>IF(A162="","",DAY(A162))</f>
        <v/>
      </c>
    </row>
    <row r="163">
      <c r="A163" s="18" t="n">
        <v>46218</v>
      </c>
      <c r="B163" s="15" t="inlineStr">
        <is>
          <t>Expense</t>
        </is>
      </c>
      <c r="C163" s="15" t="inlineStr">
        <is>
          <t>Housing</t>
        </is>
      </c>
      <c r="D163" s="15" t="inlineStr">
        <is>
          <t>Utilities</t>
        </is>
      </c>
      <c r="E163" s="15" t="inlineStr">
        <is>
          <t>Water &amp; Sewer</t>
        </is>
      </c>
      <c r="F163" s="19" t="n">
        <v>57.06</v>
      </c>
      <c r="G163" s="15" t="inlineStr">
        <is>
          <t>HYSA</t>
        </is>
      </c>
      <c r="H163" s="15" t="inlineStr">
        <is>
          <t>Cash</t>
        </is>
      </c>
      <c r="I163" s="15" t="inlineStr">
        <is>
          <t>Parent 1</t>
        </is>
      </c>
      <c r="J163" s="15" t="inlineStr">
        <is>
          <t>No</t>
        </is>
      </c>
      <c r="K163" s="15" t="inlineStr">
        <is>
          <t>Essential</t>
        </is>
      </c>
      <c r="L163" s="21" t="inlineStr"/>
      <c r="M163" s="15" t="inlineStr">
        <is>
          <t>No</t>
        </is>
      </c>
      <c r="N163" s="15" t="inlineStr">
        <is>
          <t>No</t>
        </is>
      </c>
      <c r="O163" s="20">
        <f>IF(A163="","",MONTH(A163))</f>
        <v/>
      </c>
      <c r="P163" s="20">
        <f>IF(A163="","",YEAR(A163))</f>
        <v/>
      </c>
      <c r="Q163" s="20">
        <f>IF(A163="","",DAY(A163))</f>
        <v/>
      </c>
    </row>
    <row r="164">
      <c r="A164" s="18" t="n">
        <v>46219</v>
      </c>
      <c r="B164" s="15" t="inlineStr">
        <is>
          <t>Expense</t>
        </is>
      </c>
      <c r="C164" s="15" t="inlineStr">
        <is>
          <t>Lifestyle</t>
        </is>
      </c>
      <c r="D164" s="15" t="inlineStr">
        <is>
          <t>Subscriptions</t>
        </is>
      </c>
      <c r="E164" s="15" t="inlineStr">
        <is>
          <t>Amazon Prime</t>
        </is>
      </c>
      <c r="F164" s="19" t="n">
        <v>14.78</v>
      </c>
      <c r="G164" s="15" t="inlineStr">
        <is>
          <t>Credit Card</t>
        </is>
      </c>
      <c r="H164" s="15" t="inlineStr">
        <is>
          <t>Credit Card</t>
        </is>
      </c>
      <c r="I164" s="15" t="inlineStr">
        <is>
          <t>Parent 2</t>
        </is>
      </c>
      <c r="J164" s="15" t="inlineStr">
        <is>
          <t>Yes</t>
        </is>
      </c>
      <c r="K164" s="15" t="inlineStr">
        <is>
          <t>Discretionary</t>
        </is>
      </c>
      <c r="L164" s="21" t="inlineStr"/>
      <c r="M164" s="15" t="inlineStr">
        <is>
          <t>No</t>
        </is>
      </c>
      <c r="N164" s="15" t="inlineStr">
        <is>
          <t>No</t>
        </is>
      </c>
      <c r="O164" s="20">
        <f>IF(A164="","",MONTH(A164))</f>
        <v/>
      </c>
      <c r="P164" s="20">
        <f>IF(A164="","",YEAR(A164))</f>
        <v/>
      </c>
      <c r="Q164" s="20">
        <f>IF(A164="","",DAY(A164))</f>
        <v/>
      </c>
    </row>
    <row r="165">
      <c r="A165" s="18" t="n">
        <v>46219</v>
      </c>
      <c r="B165" s="15" t="inlineStr">
        <is>
          <t>Expense</t>
        </is>
      </c>
      <c r="C165" s="15" t="inlineStr">
        <is>
          <t>Financial</t>
        </is>
      </c>
      <c r="D165" s="15" t="inlineStr">
        <is>
          <t>Investments</t>
        </is>
      </c>
      <c r="E165" s="15" t="inlineStr">
        <is>
          <t>Vanguard</t>
        </is>
      </c>
      <c r="F165" s="19" t="n">
        <v>275.09</v>
      </c>
      <c r="G165" s="15" t="inlineStr">
        <is>
          <t>Savings</t>
        </is>
      </c>
      <c r="H165" s="15" t="inlineStr">
        <is>
          <t>Savings</t>
        </is>
      </c>
      <c r="I165" s="15" t="inlineStr">
        <is>
          <t>Parent 1</t>
        </is>
      </c>
      <c r="J165" s="15" t="inlineStr">
        <is>
          <t>Yes</t>
        </is>
      </c>
      <c r="K165" s="15" t="inlineStr">
        <is>
          <t>Discretionary</t>
        </is>
      </c>
      <c r="L165" s="21" t="inlineStr"/>
      <c r="M165" s="15" t="inlineStr">
        <is>
          <t>No</t>
        </is>
      </c>
      <c r="N165" s="15" t="inlineStr">
        <is>
          <t>No</t>
        </is>
      </c>
      <c r="O165" s="20">
        <f>IF(A165="","",MONTH(A165))</f>
        <v/>
      </c>
      <c r="P165" s="20">
        <f>IF(A165="","",YEAR(A165))</f>
        <v/>
      </c>
      <c r="Q165" s="20">
        <f>IF(A165="","",DAY(A165))</f>
        <v/>
      </c>
    </row>
    <row r="166">
      <c r="A166" s="18" t="n">
        <v>46220</v>
      </c>
      <c r="B166" s="15" t="inlineStr">
        <is>
          <t>Expense</t>
        </is>
      </c>
      <c r="C166" s="15" t="inlineStr">
        <is>
          <t>Food</t>
        </is>
      </c>
      <c r="D166" s="15" t="inlineStr">
        <is>
          <t>Restaurants</t>
        </is>
      </c>
      <c r="E166" s="15" t="inlineStr">
        <is>
          <t>Olive Garden</t>
        </is>
      </c>
      <c r="F166" s="19" t="n">
        <v>121.21</v>
      </c>
      <c r="G166" s="15" t="inlineStr">
        <is>
          <t>Savings</t>
        </is>
      </c>
      <c r="H166" s="15" t="inlineStr">
        <is>
          <t>Savings</t>
        </is>
      </c>
      <c r="I166" s="15" t="inlineStr">
        <is>
          <t>Parent 1</t>
        </is>
      </c>
      <c r="J166" s="15" t="inlineStr">
        <is>
          <t>No</t>
        </is>
      </c>
      <c r="K166" s="15" t="inlineStr">
        <is>
          <t>Discretionary</t>
        </is>
      </c>
      <c r="L166" s="21" t="inlineStr"/>
      <c r="M166" s="15" t="inlineStr">
        <is>
          <t>No</t>
        </is>
      </c>
      <c r="N166" s="15" t="inlineStr">
        <is>
          <t>No</t>
        </is>
      </c>
      <c r="O166" s="20">
        <f>IF(A166="","",MONTH(A166))</f>
        <v/>
      </c>
      <c r="P166" s="20">
        <f>IF(A166="","",YEAR(A166))</f>
        <v/>
      </c>
      <c r="Q166" s="20">
        <f>IF(A166="","",DAY(A166))</f>
        <v/>
      </c>
    </row>
    <row r="167">
      <c r="A167" s="18" t="n">
        <v>46221</v>
      </c>
      <c r="B167" s="15" t="inlineStr">
        <is>
          <t>Expense</t>
        </is>
      </c>
      <c r="C167" s="15" t="inlineStr">
        <is>
          <t>Family</t>
        </is>
      </c>
      <c r="D167" s="15" t="inlineStr">
        <is>
          <t>Activities/Sports</t>
        </is>
      </c>
      <c r="E167" s="15" t="inlineStr">
        <is>
          <t>Soccer League</t>
        </is>
      </c>
      <c r="F167" s="19" t="n">
        <v>77.51000000000001</v>
      </c>
      <c r="G167" s="15" t="inlineStr">
        <is>
          <t>Credit Card</t>
        </is>
      </c>
      <c r="H167" s="15" t="inlineStr">
        <is>
          <t>Credit Card</t>
        </is>
      </c>
      <c r="I167" s="15" t="inlineStr">
        <is>
          <t>Household</t>
        </is>
      </c>
      <c r="J167" s="15" t="inlineStr">
        <is>
          <t>No</t>
        </is>
      </c>
      <c r="K167" s="15" t="inlineStr">
        <is>
          <t>Discretionary</t>
        </is>
      </c>
      <c r="L167" s="21" t="inlineStr"/>
      <c r="M167" s="15" t="inlineStr">
        <is>
          <t>No</t>
        </is>
      </c>
      <c r="N167" s="15" t="inlineStr">
        <is>
          <t>No</t>
        </is>
      </c>
      <c r="O167" s="20">
        <f>IF(A167="","",MONTH(A167))</f>
        <v/>
      </c>
      <c r="P167" s="20">
        <f>IF(A167="","",YEAR(A167))</f>
        <v/>
      </c>
      <c r="Q167" s="20">
        <f>IF(A167="","",DAY(A167))</f>
        <v/>
      </c>
    </row>
    <row r="168">
      <c r="A168" s="18" t="n">
        <v>46222</v>
      </c>
      <c r="B168" s="15" t="inlineStr">
        <is>
          <t>Expense</t>
        </is>
      </c>
      <c r="C168" s="15" t="inlineStr">
        <is>
          <t>Transportation</t>
        </is>
      </c>
      <c r="D168" s="15" t="inlineStr">
        <is>
          <t>Maintenance/Repairs</t>
        </is>
      </c>
      <c r="E168" s="15" t="inlineStr">
        <is>
          <t>Auto Shop</t>
        </is>
      </c>
      <c r="F168" s="19" t="n">
        <v>103.9</v>
      </c>
      <c r="G168" s="15" t="inlineStr">
        <is>
          <t>Savings</t>
        </is>
      </c>
      <c r="H168" s="15" t="inlineStr">
        <is>
          <t>Savings</t>
        </is>
      </c>
      <c r="I168" s="15" t="inlineStr">
        <is>
          <t>Parent 1</t>
        </is>
      </c>
      <c r="J168" s="15" t="inlineStr">
        <is>
          <t>No</t>
        </is>
      </c>
      <c r="K168" s="15" t="inlineStr">
        <is>
          <t>Discretionary</t>
        </is>
      </c>
      <c r="L168" s="21" t="inlineStr"/>
      <c r="M168" s="15" t="inlineStr">
        <is>
          <t>No</t>
        </is>
      </c>
      <c r="N168" s="15" t="inlineStr">
        <is>
          <t>No</t>
        </is>
      </c>
      <c r="O168" s="20">
        <f>IF(A168="","",MONTH(A168))</f>
        <v/>
      </c>
      <c r="P168" s="20">
        <f>IF(A168="","",YEAR(A168))</f>
        <v/>
      </c>
      <c r="Q168" s="20">
        <f>IF(A168="","",DAY(A168))</f>
        <v/>
      </c>
    </row>
    <row r="169">
      <c r="A169" s="18" t="n">
        <v>46222</v>
      </c>
      <c r="B169" s="15" t="inlineStr">
        <is>
          <t>Expense</t>
        </is>
      </c>
      <c r="C169" s="15" t="inlineStr">
        <is>
          <t>Transportation</t>
        </is>
      </c>
      <c r="D169" s="15" t="inlineStr">
        <is>
          <t>Parking/Tolls</t>
        </is>
      </c>
      <c r="E169" s="15" t="inlineStr">
        <is>
          <t>City Parking</t>
        </is>
      </c>
      <c r="F169" s="19" t="n">
        <v>51.1</v>
      </c>
      <c r="G169" s="15" t="inlineStr">
        <is>
          <t>Credit Card</t>
        </is>
      </c>
      <c r="H169" s="15" t="inlineStr">
        <is>
          <t>Credit Card</t>
        </is>
      </c>
      <c r="I169" s="15" t="inlineStr">
        <is>
          <t>Household</t>
        </is>
      </c>
      <c r="J169" s="15" t="inlineStr">
        <is>
          <t>No</t>
        </is>
      </c>
      <c r="K169" s="15" t="inlineStr">
        <is>
          <t>Discretionary</t>
        </is>
      </c>
      <c r="L169" s="21" t="inlineStr"/>
      <c r="M169" s="15" t="inlineStr">
        <is>
          <t>No</t>
        </is>
      </c>
      <c r="N169" s="15" t="inlineStr">
        <is>
          <t>No</t>
        </is>
      </c>
      <c r="O169" s="20">
        <f>IF(A169="","",MONTH(A169))</f>
        <v/>
      </c>
      <c r="P169" s="20">
        <f>IF(A169="","",YEAR(A169))</f>
        <v/>
      </c>
      <c r="Q169" s="20">
        <f>IF(A169="","",DAY(A169))</f>
        <v/>
      </c>
    </row>
    <row r="170">
      <c r="A170" s="18" t="n">
        <v>46222</v>
      </c>
      <c r="B170" s="15" t="inlineStr">
        <is>
          <t>Expense</t>
        </is>
      </c>
      <c r="C170" s="15" t="inlineStr">
        <is>
          <t>Food</t>
        </is>
      </c>
      <c r="D170" s="15" t="inlineStr">
        <is>
          <t>Groceries</t>
        </is>
      </c>
      <c r="E170" s="15" t="inlineStr">
        <is>
          <t>Walmart</t>
        </is>
      </c>
      <c r="F170" s="19" t="n">
        <v>102.55</v>
      </c>
      <c r="G170" s="15" t="inlineStr">
        <is>
          <t>Savings</t>
        </is>
      </c>
      <c r="H170" s="15" t="inlineStr">
        <is>
          <t>Savings</t>
        </is>
      </c>
      <c r="I170" s="15" t="inlineStr">
        <is>
          <t>Household</t>
        </is>
      </c>
      <c r="J170" s="15" t="inlineStr">
        <is>
          <t>No</t>
        </is>
      </c>
      <c r="K170" s="15" t="inlineStr">
        <is>
          <t>Essential</t>
        </is>
      </c>
      <c r="L170" s="21" t="inlineStr"/>
      <c r="M170" s="15" t="inlineStr">
        <is>
          <t>No</t>
        </is>
      </c>
      <c r="N170" s="15" t="inlineStr">
        <is>
          <t>No</t>
        </is>
      </c>
      <c r="O170" s="20">
        <f>IF(A170="","",MONTH(A170))</f>
        <v/>
      </c>
      <c r="P170" s="20">
        <f>IF(A170="","",YEAR(A170))</f>
        <v/>
      </c>
      <c r="Q170" s="20">
        <f>IF(A170="","",DAY(A170))</f>
        <v/>
      </c>
    </row>
    <row r="171">
      <c r="A171" s="18" t="n">
        <v>46222</v>
      </c>
      <c r="B171" s="15" t="inlineStr">
        <is>
          <t>Expense</t>
        </is>
      </c>
      <c r="C171" s="15" t="inlineStr">
        <is>
          <t>Family</t>
        </is>
      </c>
      <c r="D171" s="15" t="inlineStr">
        <is>
          <t>School</t>
        </is>
      </c>
      <c r="E171" s="15" t="inlineStr">
        <is>
          <t>School District</t>
        </is>
      </c>
      <c r="F171" s="19" t="n">
        <v>53.99</v>
      </c>
      <c r="G171" s="15" t="inlineStr">
        <is>
          <t>Credit Card</t>
        </is>
      </c>
      <c r="H171" s="15" t="inlineStr">
        <is>
          <t>Credit Card</t>
        </is>
      </c>
      <c r="I171" s="15" t="inlineStr">
        <is>
          <t>Parent 2</t>
        </is>
      </c>
      <c r="J171" s="15" t="inlineStr">
        <is>
          <t>No</t>
        </is>
      </c>
      <c r="K171" s="15" t="inlineStr">
        <is>
          <t>Essential</t>
        </is>
      </c>
      <c r="L171" s="21" t="inlineStr"/>
      <c r="M171" s="15" t="inlineStr">
        <is>
          <t>No</t>
        </is>
      </c>
      <c r="N171" s="15" t="inlineStr">
        <is>
          <t>No</t>
        </is>
      </c>
      <c r="O171" s="20">
        <f>IF(A171="","",MONTH(A171))</f>
        <v/>
      </c>
      <c r="P171" s="20">
        <f>IF(A171="","",YEAR(A171))</f>
        <v/>
      </c>
      <c r="Q171" s="20">
        <f>IF(A171="","",DAY(A171))</f>
        <v/>
      </c>
    </row>
    <row r="172">
      <c r="A172" s="18" t="n">
        <v>46222</v>
      </c>
      <c r="B172" s="15" t="inlineStr">
        <is>
          <t>Expense</t>
        </is>
      </c>
      <c r="C172" s="15" t="inlineStr">
        <is>
          <t>Healthcare</t>
        </is>
      </c>
      <c r="D172" s="15" t="inlineStr">
        <is>
          <t>Medical Expenses</t>
        </is>
      </c>
      <c r="E172" s="15" t="inlineStr">
        <is>
          <t>Dr. Office</t>
        </is>
      </c>
      <c r="F172" s="19" t="n">
        <v>38.21</v>
      </c>
      <c r="G172" s="15" t="inlineStr">
        <is>
          <t>Credit Card</t>
        </is>
      </c>
      <c r="H172" s="15" t="inlineStr">
        <is>
          <t>Credit Card</t>
        </is>
      </c>
      <c r="I172" s="15" t="inlineStr">
        <is>
          <t>Parent 2</t>
        </is>
      </c>
      <c r="J172" s="15" t="inlineStr">
        <is>
          <t>No</t>
        </is>
      </c>
      <c r="K172" s="15" t="inlineStr">
        <is>
          <t>Essential</t>
        </is>
      </c>
      <c r="L172" s="21" t="inlineStr"/>
      <c r="M172" s="15" t="inlineStr">
        <is>
          <t>No</t>
        </is>
      </c>
      <c r="N172" s="15" t="inlineStr">
        <is>
          <t>No</t>
        </is>
      </c>
      <c r="O172" s="20">
        <f>IF(A172="","",MONTH(A172))</f>
        <v/>
      </c>
      <c r="P172" s="20">
        <f>IF(A172="","",YEAR(A172))</f>
        <v/>
      </c>
      <c r="Q172" s="20">
        <f>IF(A172="","",DAY(A172))</f>
        <v/>
      </c>
    </row>
    <row r="173">
      <c r="A173" s="18" t="n">
        <v>46224</v>
      </c>
      <c r="B173" s="15" t="inlineStr">
        <is>
          <t>Expense</t>
        </is>
      </c>
      <c r="C173" s="15" t="inlineStr">
        <is>
          <t>Lifestyle</t>
        </is>
      </c>
      <c r="D173" s="15" t="inlineStr">
        <is>
          <t>Personal Care</t>
        </is>
      </c>
      <c r="E173" s="15" t="inlineStr">
        <is>
          <t>Ulta</t>
        </is>
      </c>
      <c r="F173" s="19" t="n">
        <v>37.27</v>
      </c>
      <c r="G173" s="15" t="inlineStr">
        <is>
          <t>Credit Card</t>
        </is>
      </c>
      <c r="H173" s="15" t="inlineStr">
        <is>
          <t>Credit Card</t>
        </is>
      </c>
      <c r="I173" s="15" t="inlineStr">
        <is>
          <t>Parent 1</t>
        </is>
      </c>
      <c r="J173" s="15" t="inlineStr">
        <is>
          <t>No</t>
        </is>
      </c>
      <c r="K173" s="15" t="inlineStr">
        <is>
          <t>Discretionary</t>
        </is>
      </c>
      <c r="L173" s="21" t="inlineStr"/>
      <c r="M173" s="15" t="inlineStr">
        <is>
          <t>No</t>
        </is>
      </c>
      <c r="N173" s="15" t="inlineStr">
        <is>
          <t>No</t>
        </is>
      </c>
      <c r="O173" s="20">
        <f>IF(A173="","",MONTH(A173))</f>
        <v/>
      </c>
      <c r="P173" s="20">
        <f>IF(A173="","",YEAR(A173))</f>
        <v/>
      </c>
      <c r="Q173" s="20">
        <f>IF(A173="","",DAY(A173))</f>
        <v/>
      </c>
    </row>
    <row r="174">
      <c r="A174" s="18" t="n">
        <v>46225</v>
      </c>
      <c r="B174" s="15" t="inlineStr">
        <is>
          <t>Expense</t>
        </is>
      </c>
      <c r="C174" s="15" t="inlineStr">
        <is>
          <t>Housing</t>
        </is>
      </c>
      <c r="D174" s="15" t="inlineStr">
        <is>
          <t>Mortgage/Rent</t>
        </is>
      </c>
      <c r="E174" s="15" t="inlineStr">
        <is>
          <t>Home Mortgage</t>
        </is>
      </c>
      <c r="F174" s="19" t="n">
        <v>125.37</v>
      </c>
      <c r="G174" s="15" t="inlineStr">
        <is>
          <t>Credit Card</t>
        </is>
      </c>
      <c r="H174" s="15" t="inlineStr">
        <is>
          <t>Credit Card</t>
        </is>
      </c>
      <c r="I174" s="15" t="inlineStr">
        <is>
          <t>Household</t>
        </is>
      </c>
      <c r="J174" s="15" t="inlineStr">
        <is>
          <t>No</t>
        </is>
      </c>
      <c r="K174" s="15" t="inlineStr">
        <is>
          <t>Discretionary</t>
        </is>
      </c>
      <c r="L174" s="21" t="inlineStr"/>
      <c r="M174" s="15" t="inlineStr">
        <is>
          <t>No</t>
        </is>
      </c>
      <c r="N174" s="15" t="inlineStr">
        <is>
          <t>No</t>
        </is>
      </c>
      <c r="O174" s="20">
        <f>IF(A174="","",MONTH(A174))</f>
        <v/>
      </c>
      <c r="P174" s="20">
        <f>IF(A174="","",YEAR(A174))</f>
        <v/>
      </c>
      <c r="Q174" s="20">
        <f>IF(A174="","",DAY(A174))</f>
        <v/>
      </c>
    </row>
    <row r="175">
      <c r="A175" s="18" t="n">
        <v>46225</v>
      </c>
      <c r="B175" s="15" t="inlineStr">
        <is>
          <t>Expense</t>
        </is>
      </c>
      <c r="C175" s="15" t="inlineStr">
        <is>
          <t>Lifestyle</t>
        </is>
      </c>
      <c r="D175" s="15" t="inlineStr">
        <is>
          <t>Subscriptions</t>
        </is>
      </c>
      <c r="E175" s="15" t="inlineStr">
        <is>
          <t>Netflix</t>
        </is>
      </c>
      <c r="F175" s="19" t="n">
        <v>16.9</v>
      </c>
      <c r="G175" s="15" t="inlineStr">
        <is>
          <t>Checking</t>
        </is>
      </c>
      <c r="H175" s="15" t="inlineStr">
        <is>
          <t>Checking</t>
        </is>
      </c>
      <c r="I175" s="15" t="inlineStr">
        <is>
          <t>Parent 1</t>
        </is>
      </c>
      <c r="J175" s="15" t="inlineStr">
        <is>
          <t>Yes</t>
        </is>
      </c>
      <c r="K175" s="15" t="inlineStr">
        <is>
          <t>Discretionary</t>
        </is>
      </c>
      <c r="L175" s="21" t="inlineStr"/>
      <c r="M175" s="15" t="inlineStr">
        <is>
          <t>No</t>
        </is>
      </c>
      <c r="N175" s="15" t="inlineStr">
        <is>
          <t>No</t>
        </is>
      </c>
      <c r="O175" s="20">
        <f>IF(A175="","",MONTH(A175))</f>
        <v/>
      </c>
      <c r="P175" s="20">
        <f>IF(A175="","",YEAR(A175))</f>
        <v/>
      </c>
      <c r="Q175" s="20">
        <f>IF(A175="","",DAY(A175))</f>
        <v/>
      </c>
    </row>
    <row r="176">
      <c r="A176" s="18" t="n">
        <v>46225</v>
      </c>
      <c r="B176" s="15" t="inlineStr">
        <is>
          <t>Expense</t>
        </is>
      </c>
      <c r="C176" s="15" t="inlineStr">
        <is>
          <t>Financial</t>
        </is>
      </c>
      <c r="D176" s="15" t="inlineStr">
        <is>
          <t>Student Loans</t>
        </is>
      </c>
      <c r="E176" s="15" t="inlineStr">
        <is>
          <t>Navient</t>
        </is>
      </c>
      <c r="F176" s="19" t="n">
        <v>190.66</v>
      </c>
      <c r="G176" s="15" t="inlineStr">
        <is>
          <t>Checking</t>
        </is>
      </c>
      <c r="H176" s="15" t="inlineStr">
        <is>
          <t>Checking</t>
        </is>
      </c>
      <c r="I176" s="15" t="inlineStr">
        <is>
          <t>Parent 2</t>
        </is>
      </c>
      <c r="J176" s="15" t="inlineStr">
        <is>
          <t>Yes</t>
        </is>
      </c>
      <c r="K176" s="15" t="inlineStr">
        <is>
          <t>Discretionary</t>
        </is>
      </c>
      <c r="L176" s="21" t="inlineStr"/>
      <c r="M176" s="15" t="inlineStr">
        <is>
          <t>No</t>
        </is>
      </c>
      <c r="N176" s="15" t="inlineStr">
        <is>
          <t>No</t>
        </is>
      </c>
      <c r="O176" s="20">
        <f>IF(A176="","",MONTH(A176))</f>
        <v/>
      </c>
      <c r="P176" s="20">
        <f>IF(A176="","",YEAR(A176))</f>
        <v/>
      </c>
      <c r="Q176" s="20">
        <f>IF(A176="","",DAY(A176))</f>
        <v/>
      </c>
    </row>
    <row r="177">
      <c r="A177" s="18" t="n">
        <v>46226</v>
      </c>
      <c r="B177" s="15" t="inlineStr">
        <is>
          <t>Expense</t>
        </is>
      </c>
      <c r="C177" s="15" t="inlineStr">
        <is>
          <t>Housing</t>
        </is>
      </c>
      <c r="D177" s="15" t="inlineStr">
        <is>
          <t>Utilities</t>
        </is>
      </c>
      <c r="E177" s="15" t="inlineStr">
        <is>
          <t>Electric Co</t>
        </is>
      </c>
      <c r="F177" s="19" t="n">
        <v>152.28</v>
      </c>
      <c r="G177" s="15" t="inlineStr">
        <is>
          <t>HYSA</t>
        </is>
      </c>
      <c r="H177" s="15" t="inlineStr">
        <is>
          <t>Cash</t>
        </is>
      </c>
      <c r="I177" s="15" t="inlineStr">
        <is>
          <t>Parent 2</t>
        </is>
      </c>
      <c r="J177" s="15" t="inlineStr">
        <is>
          <t>No</t>
        </is>
      </c>
      <c r="K177" s="15" t="inlineStr">
        <is>
          <t>Essential</t>
        </is>
      </c>
      <c r="L177" s="21" t="inlineStr"/>
      <c r="M177" s="15" t="inlineStr">
        <is>
          <t>No</t>
        </is>
      </c>
      <c r="N177" s="15" t="inlineStr">
        <is>
          <t>No</t>
        </is>
      </c>
      <c r="O177" s="20">
        <f>IF(A177="","",MONTH(A177))</f>
        <v/>
      </c>
      <c r="P177" s="20">
        <f>IF(A177="","",YEAR(A177))</f>
        <v/>
      </c>
      <c r="Q177" s="20">
        <f>IF(A177="","",DAY(A177))</f>
        <v/>
      </c>
    </row>
    <row r="178">
      <c r="A178" s="18" t="n">
        <v>46226</v>
      </c>
      <c r="B178" s="15" t="inlineStr">
        <is>
          <t>Expense</t>
        </is>
      </c>
      <c r="C178" s="15" t="inlineStr">
        <is>
          <t>Transportation</t>
        </is>
      </c>
      <c r="D178" s="15" t="inlineStr">
        <is>
          <t>Gas</t>
        </is>
      </c>
      <c r="E178" s="15" t="inlineStr">
        <is>
          <t>Shell</t>
        </is>
      </c>
      <c r="F178" s="19" t="n">
        <v>41.21</v>
      </c>
      <c r="G178" s="15" t="inlineStr">
        <is>
          <t>HYSA</t>
        </is>
      </c>
      <c r="H178" s="15" t="inlineStr">
        <is>
          <t>Cash</t>
        </is>
      </c>
      <c r="I178" s="15" t="inlineStr">
        <is>
          <t>Household</t>
        </is>
      </c>
      <c r="J178" s="15" t="inlineStr">
        <is>
          <t>No</t>
        </is>
      </c>
      <c r="K178" s="15" t="inlineStr">
        <is>
          <t>Discretionary</t>
        </is>
      </c>
      <c r="L178" s="21" t="inlineStr"/>
      <c r="M178" s="15" t="inlineStr">
        <is>
          <t>No</t>
        </is>
      </c>
      <c r="N178" s="15" t="inlineStr">
        <is>
          <t>No</t>
        </is>
      </c>
      <c r="O178" s="20">
        <f>IF(A178="","",MONTH(A178))</f>
        <v/>
      </c>
      <c r="P178" s="20">
        <f>IF(A178="","",YEAR(A178))</f>
        <v/>
      </c>
      <c r="Q178" s="20">
        <f>IF(A178="","",DAY(A178))</f>
        <v/>
      </c>
    </row>
    <row r="179">
      <c r="A179" s="18" t="n">
        <v>46227</v>
      </c>
      <c r="B179" s="15" t="inlineStr">
        <is>
          <t>Expense</t>
        </is>
      </c>
      <c r="C179" s="15" t="inlineStr">
        <is>
          <t>Giving</t>
        </is>
      </c>
      <c r="D179" s="15" t="inlineStr">
        <is>
          <t>Gifts</t>
        </is>
      </c>
      <c r="E179" s="15" t="inlineStr">
        <is>
          <t>Amazon Gift</t>
        </is>
      </c>
      <c r="F179" s="19" t="n">
        <v>42.15</v>
      </c>
      <c r="G179" s="15" t="inlineStr">
        <is>
          <t>Checking</t>
        </is>
      </c>
      <c r="H179" s="15" t="inlineStr">
        <is>
          <t>Checking</t>
        </is>
      </c>
      <c r="I179" s="15" t="inlineStr">
        <is>
          <t>Parent 2</t>
        </is>
      </c>
      <c r="J179" s="15" t="inlineStr">
        <is>
          <t>No</t>
        </is>
      </c>
      <c r="K179" s="15" t="inlineStr">
        <is>
          <t>Discretionary</t>
        </is>
      </c>
      <c r="L179" s="21" t="inlineStr"/>
      <c r="M179" s="15" t="inlineStr">
        <is>
          <t>No</t>
        </is>
      </c>
      <c r="N179" s="15" t="inlineStr">
        <is>
          <t>No</t>
        </is>
      </c>
      <c r="O179" s="20">
        <f>IF(A179="","",MONTH(A179))</f>
        <v/>
      </c>
      <c r="P179" s="20">
        <f>IF(A179="","",YEAR(A179))</f>
        <v/>
      </c>
      <c r="Q179" s="20">
        <f>IF(A179="","",DAY(A179))</f>
        <v/>
      </c>
    </row>
    <row r="180">
      <c r="A180" s="18" t="n">
        <v>46237</v>
      </c>
      <c r="B180" s="15" t="inlineStr">
        <is>
          <t>Expense</t>
        </is>
      </c>
      <c r="C180" s="15" t="inlineStr">
        <is>
          <t>Lifestyle</t>
        </is>
      </c>
      <c r="D180" s="15" t="inlineStr">
        <is>
          <t>Hobbies</t>
        </is>
      </c>
      <c r="E180" s="15" t="inlineStr">
        <is>
          <t>Hobby Shop</t>
        </is>
      </c>
      <c r="F180" s="19" t="n">
        <v>22.55</v>
      </c>
      <c r="G180" s="15" t="inlineStr">
        <is>
          <t>HYSA</t>
        </is>
      </c>
      <c r="H180" s="15" t="inlineStr">
        <is>
          <t>Cash</t>
        </is>
      </c>
      <c r="I180" s="15" t="inlineStr">
        <is>
          <t>Parent 1</t>
        </is>
      </c>
      <c r="J180" s="15" t="inlineStr">
        <is>
          <t>No</t>
        </is>
      </c>
      <c r="K180" s="15" t="inlineStr">
        <is>
          <t>Discretionary</t>
        </is>
      </c>
      <c r="L180" s="21" t="inlineStr"/>
      <c r="M180" s="15" t="inlineStr">
        <is>
          <t>No</t>
        </is>
      </c>
      <c r="N180" s="15" t="inlineStr">
        <is>
          <t>No</t>
        </is>
      </c>
      <c r="O180" s="20">
        <f>IF(A180="","",MONTH(A180))</f>
        <v/>
      </c>
      <c r="P180" s="20">
        <f>IF(A180="","",YEAR(A180))</f>
        <v/>
      </c>
      <c r="Q180" s="20">
        <f>IF(A180="","",DAY(A180))</f>
        <v/>
      </c>
    </row>
    <row r="181">
      <c r="A181" s="18" t="n">
        <v>46238</v>
      </c>
      <c r="B181" s="15" t="inlineStr">
        <is>
          <t>Expense</t>
        </is>
      </c>
      <c r="C181" s="15" t="inlineStr">
        <is>
          <t>Housing</t>
        </is>
      </c>
      <c r="D181" s="15" t="inlineStr">
        <is>
          <t>Home Insurance</t>
        </is>
      </c>
      <c r="E181" s="15" t="inlineStr">
        <is>
          <t>HomeSure Insurance</t>
        </is>
      </c>
      <c r="F181" s="19" t="n">
        <v>81.59</v>
      </c>
      <c r="G181" s="15" t="inlineStr">
        <is>
          <t>HYSA</t>
        </is>
      </c>
      <c r="H181" s="15" t="inlineStr">
        <is>
          <t>Cash</t>
        </is>
      </c>
      <c r="I181" s="15" t="inlineStr">
        <is>
          <t>Parent 1</t>
        </is>
      </c>
      <c r="J181" s="15" t="inlineStr">
        <is>
          <t>No</t>
        </is>
      </c>
      <c r="K181" s="15" t="inlineStr">
        <is>
          <t>Discretionary</t>
        </is>
      </c>
      <c r="L181" s="21" t="inlineStr"/>
      <c r="M181" s="15" t="inlineStr">
        <is>
          <t>No</t>
        </is>
      </c>
      <c r="N181" s="15" t="inlineStr">
        <is>
          <t>No</t>
        </is>
      </c>
      <c r="O181" s="20">
        <f>IF(A181="","",MONTH(A181))</f>
        <v/>
      </c>
      <c r="P181" s="20">
        <f>IF(A181="","",YEAR(A181))</f>
        <v/>
      </c>
      <c r="Q181" s="20">
        <f>IF(A181="","",DAY(A181))</f>
        <v/>
      </c>
    </row>
    <row r="182">
      <c r="A182" s="18" t="n">
        <v>46239</v>
      </c>
      <c r="B182" s="15" t="inlineStr">
        <is>
          <t>Expense</t>
        </is>
      </c>
      <c r="C182" s="15" t="inlineStr">
        <is>
          <t>Food</t>
        </is>
      </c>
      <c r="D182" s="15" t="inlineStr">
        <is>
          <t>Groceries</t>
        </is>
      </c>
      <c r="E182" s="15" t="inlineStr">
        <is>
          <t>Kroger</t>
        </is>
      </c>
      <c r="F182" s="19" t="n">
        <v>33.74</v>
      </c>
      <c r="G182" s="15" t="inlineStr">
        <is>
          <t>Credit Card</t>
        </is>
      </c>
      <c r="H182" s="15" t="inlineStr">
        <is>
          <t>Credit Card</t>
        </is>
      </c>
      <c r="I182" s="15" t="inlineStr">
        <is>
          <t>Parent 1</t>
        </is>
      </c>
      <c r="J182" s="15" t="inlineStr">
        <is>
          <t>No</t>
        </is>
      </c>
      <c r="K182" s="15" t="inlineStr">
        <is>
          <t>Discretionary</t>
        </is>
      </c>
      <c r="L182" s="21" t="inlineStr"/>
      <c r="M182" s="15" t="inlineStr">
        <is>
          <t>No</t>
        </is>
      </c>
      <c r="N182" s="15" t="inlineStr">
        <is>
          <t>No</t>
        </is>
      </c>
      <c r="O182" s="20">
        <f>IF(A182="","",MONTH(A182))</f>
        <v/>
      </c>
      <c r="P182" s="20">
        <f>IF(A182="","",YEAR(A182))</f>
        <v/>
      </c>
      <c r="Q182" s="20">
        <f>IF(A182="","",DAY(A182))</f>
        <v/>
      </c>
    </row>
    <row r="183">
      <c r="A183" s="18" t="n">
        <v>46240</v>
      </c>
      <c r="B183" s="15" t="inlineStr">
        <is>
          <t>Expense</t>
        </is>
      </c>
      <c r="C183" s="15" t="inlineStr">
        <is>
          <t>Healthcare</t>
        </is>
      </c>
      <c r="D183" s="15" t="inlineStr">
        <is>
          <t>Dental</t>
        </is>
      </c>
      <c r="E183" s="15" t="inlineStr">
        <is>
          <t>Dental Care</t>
        </is>
      </c>
      <c r="F183" s="19" t="n">
        <v>28.5</v>
      </c>
      <c r="G183" s="15" t="inlineStr">
        <is>
          <t>Savings</t>
        </is>
      </c>
      <c r="H183" s="15" t="inlineStr">
        <is>
          <t>Savings</t>
        </is>
      </c>
      <c r="I183" s="15" t="inlineStr">
        <is>
          <t>Parent 1</t>
        </is>
      </c>
      <c r="J183" s="15" t="inlineStr">
        <is>
          <t>No</t>
        </is>
      </c>
      <c r="K183" s="15" t="inlineStr">
        <is>
          <t>Essential</t>
        </is>
      </c>
      <c r="L183" s="21" t="inlineStr"/>
      <c r="M183" s="15" t="inlineStr">
        <is>
          <t>No</t>
        </is>
      </c>
      <c r="N183" s="15" t="inlineStr">
        <is>
          <t>No</t>
        </is>
      </c>
      <c r="O183" s="20">
        <f>IF(A183="","",MONTH(A183))</f>
        <v/>
      </c>
      <c r="P183" s="20">
        <f>IF(A183="","",YEAR(A183))</f>
        <v/>
      </c>
      <c r="Q183" s="20">
        <f>IF(A183="","",DAY(A183))</f>
        <v/>
      </c>
    </row>
    <row r="184">
      <c r="A184" s="18" t="n">
        <v>46241</v>
      </c>
      <c r="B184" s="15" t="inlineStr">
        <is>
          <t>Expense</t>
        </is>
      </c>
      <c r="C184" s="15" t="inlineStr">
        <is>
          <t>Housing</t>
        </is>
      </c>
      <c r="D184" s="15" t="inlineStr">
        <is>
          <t>Mortgage/Rent</t>
        </is>
      </c>
      <c r="E184" s="15" t="inlineStr">
        <is>
          <t>Home Mortgage</t>
        </is>
      </c>
      <c r="F184" s="19" t="n">
        <v>61.49</v>
      </c>
      <c r="G184" s="15" t="inlineStr">
        <is>
          <t>Checking</t>
        </is>
      </c>
      <c r="H184" s="15" t="inlineStr">
        <is>
          <t>Checking</t>
        </is>
      </c>
      <c r="I184" s="15" t="inlineStr">
        <is>
          <t>Parent 2</t>
        </is>
      </c>
      <c r="J184" s="15" t="inlineStr">
        <is>
          <t>No</t>
        </is>
      </c>
      <c r="K184" s="15" t="inlineStr">
        <is>
          <t>Discretionary</t>
        </is>
      </c>
      <c r="L184" s="21" t="inlineStr"/>
      <c r="M184" s="15" t="inlineStr">
        <is>
          <t>No</t>
        </is>
      </c>
      <c r="N184" s="15" t="inlineStr">
        <is>
          <t>No</t>
        </is>
      </c>
      <c r="O184" s="20">
        <f>IF(A184="","",MONTH(A184))</f>
        <v/>
      </c>
      <c r="P184" s="20">
        <f>IF(A184="","",YEAR(A184))</f>
        <v/>
      </c>
      <c r="Q184" s="20">
        <f>IF(A184="","",DAY(A184))</f>
        <v/>
      </c>
    </row>
    <row r="185">
      <c r="A185" s="18" t="n">
        <v>46241</v>
      </c>
      <c r="B185" s="15" t="inlineStr">
        <is>
          <t>Expense</t>
        </is>
      </c>
      <c r="C185" s="15" t="inlineStr">
        <is>
          <t>Healthcare</t>
        </is>
      </c>
      <c r="D185" s="15" t="inlineStr">
        <is>
          <t>Health Insurance</t>
        </is>
      </c>
      <c r="E185" s="15" t="inlineStr">
        <is>
          <t>BCBS</t>
        </is>
      </c>
      <c r="F185" s="19" t="n">
        <v>70.16</v>
      </c>
      <c r="G185" s="15" t="inlineStr">
        <is>
          <t>Credit Card</t>
        </is>
      </c>
      <c r="H185" s="15" t="inlineStr">
        <is>
          <t>Credit Card</t>
        </is>
      </c>
      <c r="I185" s="15" t="inlineStr">
        <is>
          <t>Parent 1</t>
        </is>
      </c>
      <c r="J185" s="15" t="inlineStr">
        <is>
          <t>No</t>
        </is>
      </c>
      <c r="K185" s="15" t="inlineStr">
        <is>
          <t>Discretionary</t>
        </is>
      </c>
      <c r="L185" s="21" t="inlineStr"/>
      <c r="M185" s="15" t="inlineStr">
        <is>
          <t>No</t>
        </is>
      </c>
      <c r="N185" s="15" t="inlineStr">
        <is>
          <t>No</t>
        </is>
      </c>
      <c r="O185" s="20">
        <f>IF(A185="","",MONTH(A185))</f>
        <v/>
      </c>
      <c r="P185" s="20">
        <f>IF(A185="","",YEAR(A185))</f>
        <v/>
      </c>
      <c r="Q185" s="20">
        <f>IF(A185="","",DAY(A185))</f>
        <v/>
      </c>
    </row>
    <row r="186">
      <c r="A186" s="18" t="n">
        <v>46242</v>
      </c>
      <c r="B186" s="15" t="inlineStr">
        <is>
          <t>Expense</t>
        </is>
      </c>
      <c r="C186" s="15" t="inlineStr">
        <is>
          <t>Financial</t>
        </is>
      </c>
      <c r="D186" s="15" t="inlineStr">
        <is>
          <t>Retirement</t>
        </is>
      </c>
      <c r="E186" s="15" t="inlineStr">
        <is>
          <t>401(k) Contribution</t>
        </is>
      </c>
      <c r="F186" s="19" t="n">
        <v>452.85</v>
      </c>
      <c r="G186" s="15" t="inlineStr">
        <is>
          <t>Credit Card</t>
        </is>
      </c>
      <c r="H186" s="15" t="inlineStr">
        <is>
          <t>Credit Card</t>
        </is>
      </c>
      <c r="I186" s="15" t="inlineStr">
        <is>
          <t>Household</t>
        </is>
      </c>
      <c r="J186" s="15" t="inlineStr">
        <is>
          <t>Yes</t>
        </is>
      </c>
      <c r="K186" s="15" t="inlineStr">
        <is>
          <t>Essential</t>
        </is>
      </c>
      <c r="L186" s="21" t="inlineStr"/>
      <c r="M186" s="15" t="inlineStr">
        <is>
          <t>No</t>
        </is>
      </c>
      <c r="N186" s="15" t="inlineStr">
        <is>
          <t>No</t>
        </is>
      </c>
      <c r="O186" s="20">
        <f>IF(A186="","",MONTH(A186))</f>
        <v/>
      </c>
      <c r="P186" s="20">
        <f>IF(A186="","",YEAR(A186))</f>
        <v/>
      </c>
      <c r="Q186" s="20">
        <f>IF(A186="","",DAY(A186))</f>
        <v/>
      </c>
    </row>
    <row r="187">
      <c r="A187" s="18" t="n">
        <v>46243</v>
      </c>
      <c r="B187" s="15" t="inlineStr">
        <is>
          <t>Expense</t>
        </is>
      </c>
      <c r="C187" s="15" t="inlineStr">
        <is>
          <t>Giving</t>
        </is>
      </c>
      <c r="D187" s="15" t="inlineStr">
        <is>
          <t>Gifts</t>
        </is>
      </c>
      <c r="E187" s="15" t="inlineStr">
        <is>
          <t>Amazon Gift</t>
        </is>
      </c>
      <c r="F187" s="19" t="n">
        <v>42.25</v>
      </c>
      <c r="G187" s="15" t="inlineStr">
        <is>
          <t>Checking</t>
        </is>
      </c>
      <c r="H187" s="15" t="inlineStr">
        <is>
          <t>Checking</t>
        </is>
      </c>
      <c r="I187" s="15" t="inlineStr">
        <is>
          <t>Parent 1</t>
        </is>
      </c>
      <c r="J187" s="15" t="inlineStr">
        <is>
          <t>No</t>
        </is>
      </c>
      <c r="K187" s="15" t="inlineStr">
        <is>
          <t>Discretionary</t>
        </is>
      </c>
      <c r="L187" s="21" t="inlineStr"/>
      <c r="M187" s="15" t="inlineStr">
        <is>
          <t>No</t>
        </is>
      </c>
      <c r="N187" s="15" t="inlineStr">
        <is>
          <t>No</t>
        </is>
      </c>
      <c r="O187" s="20">
        <f>IF(A187="","",MONTH(A187))</f>
        <v/>
      </c>
      <c r="P187" s="20">
        <f>IF(A187="","",YEAR(A187))</f>
        <v/>
      </c>
      <c r="Q187" s="20">
        <f>IF(A187="","",DAY(A187))</f>
        <v/>
      </c>
    </row>
    <row r="188">
      <c r="A188" s="18" t="n">
        <v>46244</v>
      </c>
      <c r="B188" s="15" t="inlineStr">
        <is>
          <t>Expense</t>
        </is>
      </c>
      <c r="C188" s="15" t="inlineStr">
        <is>
          <t>Family</t>
        </is>
      </c>
      <c r="D188" s="15" t="inlineStr">
        <is>
          <t>Baby Expenses</t>
        </is>
      </c>
      <c r="E188" s="15" t="inlineStr">
        <is>
          <t>Buy Buy Baby</t>
        </is>
      </c>
      <c r="F188" s="19" t="n">
        <v>47.6</v>
      </c>
      <c r="G188" s="15" t="inlineStr">
        <is>
          <t>Savings</t>
        </is>
      </c>
      <c r="H188" s="15" t="inlineStr">
        <is>
          <t>Savings</t>
        </is>
      </c>
      <c r="I188" s="15" t="inlineStr">
        <is>
          <t>Parent 2</t>
        </is>
      </c>
      <c r="J188" s="15" t="inlineStr">
        <is>
          <t>No</t>
        </is>
      </c>
      <c r="K188" s="15" t="inlineStr">
        <is>
          <t>Discretionary</t>
        </is>
      </c>
      <c r="L188" s="21" t="inlineStr"/>
      <c r="M188" s="15" t="inlineStr">
        <is>
          <t>No</t>
        </is>
      </c>
      <c r="N188" s="15" t="inlineStr">
        <is>
          <t>No</t>
        </is>
      </c>
      <c r="O188" s="20">
        <f>IF(A188="","",MONTH(A188))</f>
        <v/>
      </c>
      <c r="P188" s="20">
        <f>IF(A188="","",YEAR(A188))</f>
        <v/>
      </c>
      <c r="Q188" s="20">
        <f>IF(A188="","",DAY(A188))</f>
        <v/>
      </c>
    </row>
    <row r="189">
      <c r="A189" s="18" t="n">
        <v>46244</v>
      </c>
      <c r="B189" s="15" t="inlineStr">
        <is>
          <t>Expense</t>
        </is>
      </c>
      <c r="C189" s="15" t="inlineStr">
        <is>
          <t>Miscellaneous</t>
        </is>
      </c>
      <c r="D189" s="15" t="inlineStr">
        <is>
          <t>Fees</t>
        </is>
      </c>
      <c r="E189" s="15" t="inlineStr">
        <is>
          <t>Bank Fee</t>
        </is>
      </c>
      <c r="F189" s="19" t="n">
        <v>11.21</v>
      </c>
      <c r="G189" s="15" t="inlineStr">
        <is>
          <t>HYSA</t>
        </is>
      </c>
      <c r="H189" s="15" t="inlineStr">
        <is>
          <t>Cash</t>
        </is>
      </c>
      <c r="I189" s="15" t="inlineStr">
        <is>
          <t>Household</t>
        </is>
      </c>
      <c r="J189" s="15" t="inlineStr">
        <is>
          <t>No</t>
        </is>
      </c>
      <c r="K189" s="15" t="inlineStr">
        <is>
          <t>Discretionary</t>
        </is>
      </c>
      <c r="L189" s="21" t="inlineStr"/>
      <c r="M189" s="15" t="inlineStr">
        <is>
          <t>No</t>
        </is>
      </c>
      <c r="N189" s="15" t="inlineStr">
        <is>
          <t>No</t>
        </is>
      </c>
      <c r="O189" s="20">
        <f>IF(A189="","",MONTH(A189))</f>
        <v/>
      </c>
      <c r="P189" s="20">
        <f>IF(A189="","",YEAR(A189))</f>
        <v/>
      </c>
      <c r="Q189" s="20">
        <f>IF(A189="","",DAY(A189))</f>
        <v/>
      </c>
    </row>
    <row r="190">
      <c r="A190" s="18" t="n">
        <v>46246</v>
      </c>
      <c r="B190" s="15" t="inlineStr">
        <is>
          <t>Expense</t>
        </is>
      </c>
      <c r="C190" s="15" t="inlineStr">
        <is>
          <t>Food</t>
        </is>
      </c>
      <c r="D190" s="15" t="inlineStr">
        <is>
          <t>Restaurants</t>
        </is>
      </c>
      <c r="E190" s="15" t="inlineStr">
        <is>
          <t>Local Diner</t>
        </is>
      </c>
      <c r="F190" s="19" t="n">
        <v>43.77</v>
      </c>
      <c r="G190" s="15" t="inlineStr">
        <is>
          <t>HYSA</t>
        </is>
      </c>
      <c r="H190" s="15" t="inlineStr">
        <is>
          <t>Cash</t>
        </is>
      </c>
      <c r="I190" s="15" t="inlineStr">
        <is>
          <t>Parent 2</t>
        </is>
      </c>
      <c r="J190" s="15" t="inlineStr">
        <is>
          <t>No</t>
        </is>
      </c>
      <c r="K190" s="15" t="inlineStr">
        <is>
          <t>Discretionary</t>
        </is>
      </c>
      <c r="L190" s="21" t="inlineStr"/>
      <c r="M190" s="15" t="inlineStr">
        <is>
          <t>No</t>
        </is>
      </c>
      <c r="N190" s="15" t="inlineStr">
        <is>
          <t>No</t>
        </is>
      </c>
      <c r="O190" s="20">
        <f>IF(A190="","",MONTH(A190))</f>
        <v/>
      </c>
      <c r="P190" s="20">
        <f>IF(A190="","",YEAR(A190))</f>
        <v/>
      </c>
      <c r="Q190" s="20">
        <f>IF(A190="","",DAY(A190))</f>
        <v/>
      </c>
    </row>
    <row r="191">
      <c r="A191" s="18" t="n">
        <v>46248</v>
      </c>
      <c r="B191" s="15" t="inlineStr">
        <is>
          <t>Expense</t>
        </is>
      </c>
      <c r="C191" s="15" t="inlineStr">
        <is>
          <t>Transportation</t>
        </is>
      </c>
      <c r="D191" s="15" t="inlineStr">
        <is>
          <t>Car Payments</t>
        </is>
      </c>
      <c r="E191" s="15" t="inlineStr">
        <is>
          <t>Auto Finance</t>
        </is>
      </c>
      <c r="F191" s="19" t="n">
        <v>61.84</v>
      </c>
      <c r="G191" s="15" t="inlineStr">
        <is>
          <t>Savings</t>
        </is>
      </c>
      <c r="H191" s="15" t="inlineStr">
        <is>
          <t>Savings</t>
        </is>
      </c>
      <c r="I191" s="15" t="inlineStr">
        <is>
          <t>Parent 1</t>
        </is>
      </c>
      <c r="J191" s="15" t="inlineStr">
        <is>
          <t>No</t>
        </is>
      </c>
      <c r="K191" s="15" t="inlineStr">
        <is>
          <t>Discretionary</t>
        </is>
      </c>
      <c r="L191" s="21" t="inlineStr"/>
      <c r="M191" s="15" t="inlineStr">
        <is>
          <t>No</t>
        </is>
      </c>
      <c r="N191" s="15" t="inlineStr">
        <is>
          <t>No</t>
        </is>
      </c>
      <c r="O191" s="20">
        <f>IF(A191="","",MONTH(A191))</f>
        <v/>
      </c>
      <c r="P191" s="20">
        <f>IF(A191="","",YEAR(A191))</f>
        <v/>
      </c>
      <c r="Q191" s="20">
        <f>IF(A191="","",DAY(A191))</f>
        <v/>
      </c>
    </row>
    <row r="192">
      <c r="A192" s="18" t="n">
        <v>46248</v>
      </c>
      <c r="B192" s="15" t="inlineStr">
        <is>
          <t>Expense</t>
        </is>
      </c>
      <c r="C192" s="15" t="inlineStr">
        <is>
          <t>Lifestyle</t>
        </is>
      </c>
      <c r="D192" s="15" t="inlineStr">
        <is>
          <t>Personal Care</t>
        </is>
      </c>
      <c r="E192" s="15" t="inlineStr">
        <is>
          <t>Ulta</t>
        </is>
      </c>
      <c r="F192" s="19" t="n">
        <v>38.74</v>
      </c>
      <c r="G192" s="15" t="inlineStr">
        <is>
          <t>Checking</t>
        </is>
      </c>
      <c r="H192" s="15" t="inlineStr">
        <is>
          <t>Checking</t>
        </is>
      </c>
      <c r="I192" s="15" t="inlineStr">
        <is>
          <t>Parent 2</t>
        </is>
      </c>
      <c r="J192" s="15" t="inlineStr">
        <is>
          <t>No</t>
        </is>
      </c>
      <c r="K192" s="15" t="inlineStr">
        <is>
          <t>Discretionary</t>
        </is>
      </c>
      <c r="L192" s="21" t="inlineStr"/>
      <c r="M192" s="15" t="inlineStr">
        <is>
          <t>No</t>
        </is>
      </c>
      <c r="N192" s="15" t="inlineStr">
        <is>
          <t>No</t>
        </is>
      </c>
      <c r="O192" s="20">
        <f>IF(A192="","",MONTH(A192))</f>
        <v/>
      </c>
      <c r="P192" s="20">
        <f>IF(A192="","",YEAR(A192))</f>
        <v/>
      </c>
      <c r="Q192" s="20">
        <f>IF(A192="","",DAY(A192))</f>
        <v/>
      </c>
    </row>
    <row r="193">
      <c r="A193" s="18" t="n">
        <v>46250</v>
      </c>
      <c r="B193" s="15" t="inlineStr">
        <is>
          <t>Expense</t>
        </is>
      </c>
      <c r="C193" s="15" t="inlineStr">
        <is>
          <t>Food</t>
        </is>
      </c>
      <c r="D193" s="15" t="inlineStr">
        <is>
          <t>Groceries</t>
        </is>
      </c>
      <c r="E193" s="15" t="inlineStr">
        <is>
          <t>Walmart</t>
        </is>
      </c>
      <c r="F193" s="19" t="n">
        <v>96.62</v>
      </c>
      <c r="G193" s="15" t="inlineStr">
        <is>
          <t>Credit Card</t>
        </is>
      </c>
      <c r="H193" s="15" t="inlineStr">
        <is>
          <t>Credit Card</t>
        </is>
      </c>
      <c r="I193" s="15" t="inlineStr">
        <is>
          <t>Parent 2</t>
        </is>
      </c>
      <c r="J193" s="15" t="inlineStr">
        <is>
          <t>No</t>
        </is>
      </c>
      <c r="K193" s="15" t="inlineStr">
        <is>
          <t>Essential</t>
        </is>
      </c>
      <c r="L193" s="21" t="inlineStr"/>
      <c r="M193" s="15" t="inlineStr">
        <is>
          <t>No</t>
        </is>
      </c>
      <c r="N193" s="15" t="inlineStr">
        <is>
          <t>No</t>
        </is>
      </c>
      <c r="O193" s="20">
        <f>IF(A193="","",MONTH(A193))</f>
        <v/>
      </c>
      <c r="P193" s="20">
        <f>IF(A193="","",YEAR(A193))</f>
        <v/>
      </c>
      <c r="Q193" s="20">
        <f>IF(A193="","",DAY(A193))</f>
        <v/>
      </c>
    </row>
    <row r="194">
      <c r="A194" s="18" t="n">
        <v>46250</v>
      </c>
      <c r="B194" s="15" t="inlineStr">
        <is>
          <t>Expense</t>
        </is>
      </c>
      <c r="C194" s="15" t="inlineStr">
        <is>
          <t>Family</t>
        </is>
      </c>
      <c r="D194" s="15" t="inlineStr">
        <is>
          <t>Activities/Sports</t>
        </is>
      </c>
      <c r="E194" s="15" t="inlineStr">
        <is>
          <t>Soccer League</t>
        </is>
      </c>
      <c r="F194" s="19" t="n">
        <v>86.76000000000001</v>
      </c>
      <c r="G194" s="15" t="inlineStr">
        <is>
          <t>HYSA</t>
        </is>
      </c>
      <c r="H194" s="15" t="inlineStr">
        <is>
          <t>Cash</t>
        </is>
      </c>
      <c r="I194" s="15" t="inlineStr">
        <is>
          <t>Parent 1</t>
        </is>
      </c>
      <c r="J194" s="15" t="inlineStr">
        <is>
          <t>No</t>
        </is>
      </c>
      <c r="K194" s="15" t="inlineStr">
        <is>
          <t>Discretionary</t>
        </is>
      </c>
      <c r="L194" s="21" t="inlineStr"/>
      <c r="M194" s="15" t="inlineStr">
        <is>
          <t>No</t>
        </is>
      </c>
      <c r="N194" s="15" t="inlineStr">
        <is>
          <t>No</t>
        </is>
      </c>
      <c r="O194" s="20">
        <f>IF(A194="","",MONTH(A194))</f>
        <v/>
      </c>
      <c r="P194" s="20">
        <f>IF(A194="","",YEAR(A194))</f>
        <v/>
      </c>
      <c r="Q194" s="20">
        <f>IF(A194="","",DAY(A194))</f>
        <v/>
      </c>
    </row>
    <row r="195">
      <c r="A195" s="18" t="n">
        <v>46251</v>
      </c>
      <c r="B195" s="15" t="inlineStr">
        <is>
          <t>Expense</t>
        </is>
      </c>
      <c r="C195" s="15" t="inlineStr">
        <is>
          <t>Food</t>
        </is>
      </c>
      <c r="D195" s="15" t="inlineStr">
        <is>
          <t>Coffee</t>
        </is>
      </c>
      <c r="E195" s="15" t="inlineStr">
        <is>
          <t>Starbucks</t>
        </is>
      </c>
      <c r="F195" s="19" t="n">
        <v>66.39</v>
      </c>
      <c r="G195" s="15" t="inlineStr">
        <is>
          <t>HYSA</t>
        </is>
      </c>
      <c r="H195" s="15" t="inlineStr">
        <is>
          <t>Cash</t>
        </is>
      </c>
      <c r="I195" s="15" t="inlineStr">
        <is>
          <t>Parent 1</t>
        </is>
      </c>
      <c r="J195" s="15" t="inlineStr">
        <is>
          <t>No</t>
        </is>
      </c>
      <c r="K195" s="15" t="inlineStr">
        <is>
          <t>Discretionary</t>
        </is>
      </c>
      <c r="L195" s="21" t="inlineStr"/>
      <c r="M195" s="15" t="inlineStr">
        <is>
          <t>No</t>
        </is>
      </c>
      <c r="N195" s="15" t="inlineStr">
        <is>
          <t>No</t>
        </is>
      </c>
      <c r="O195" s="20">
        <f>IF(A195="","",MONTH(A195))</f>
        <v/>
      </c>
      <c r="P195" s="20">
        <f>IF(A195="","",YEAR(A195))</f>
        <v/>
      </c>
      <c r="Q195" s="20">
        <f>IF(A195="","",DAY(A195))</f>
        <v/>
      </c>
    </row>
    <row r="196">
      <c r="A196" s="18" t="n">
        <v>46251</v>
      </c>
      <c r="B196" s="15" t="inlineStr">
        <is>
          <t>Expense</t>
        </is>
      </c>
      <c r="C196" s="15" t="inlineStr">
        <is>
          <t>Lifestyle</t>
        </is>
      </c>
      <c r="D196" s="15" t="inlineStr">
        <is>
          <t>Entertainment</t>
        </is>
      </c>
      <c r="E196" s="15" t="inlineStr">
        <is>
          <t>AMC</t>
        </is>
      </c>
      <c r="F196" s="19" t="n">
        <v>29.92</v>
      </c>
      <c r="G196" s="15" t="inlineStr">
        <is>
          <t>Checking</t>
        </is>
      </c>
      <c r="H196" s="15" t="inlineStr">
        <is>
          <t>Checking</t>
        </is>
      </c>
      <c r="I196" s="15" t="inlineStr">
        <is>
          <t>Parent 1</t>
        </is>
      </c>
      <c r="J196" s="15" t="inlineStr">
        <is>
          <t>No</t>
        </is>
      </c>
      <c r="K196" s="15" t="inlineStr">
        <is>
          <t>Discretionary</t>
        </is>
      </c>
      <c r="L196" s="21" t="inlineStr"/>
      <c r="M196" s="15" t="inlineStr">
        <is>
          <t>No</t>
        </is>
      </c>
      <c r="N196" s="15" t="inlineStr">
        <is>
          <t>No</t>
        </is>
      </c>
      <c r="O196" s="20">
        <f>IF(A196="","",MONTH(A196))</f>
        <v/>
      </c>
      <c r="P196" s="20">
        <f>IF(A196="","",YEAR(A196))</f>
        <v/>
      </c>
      <c r="Q196" s="20">
        <f>IF(A196="","",DAY(A196))</f>
        <v/>
      </c>
    </row>
    <row r="197">
      <c r="A197" s="18" t="n">
        <v>46251</v>
      </c>
      <c r="B197" s="15" t="inlineStr">
        <is>
          <t>Expense</t>
        </is>
      </c>
      <c r="C197" s="15" t="inlineStr">
        <is>
          <t>Lifestyle</t>
        </is>
      </c>
      <c r="D197" s="15" t="inlineStr">
        <is>
          <t>Shopping</t>
        </is>
      </c>
      <c r="E197" s="15" t="inlineStr">
        <is>
          <t>Amazon</t>
        </is>
      </c>
      <c r="F197" s="19" t="n">
        <v>58.46</v>
      </c>
      <c r="G197" s="15" t="inlineStr">
        <is>
          <t>Savings</t>
        </is>
      </c>
      <c r="H197" s="15" t="inlineStr">
        <is>
          <t>Savings</t>
        </is>
      </c>
      <c r="I197" s="15" t="inlineStr">
        <is>
          <t>Parent 1</t>
        </is>
      </c>
      <c r="J197" s="15" t="inlineStr">
        <is>
          <t>No</t>
        </is>
      </c>
      <c r="K197" s="15" t="inlineStr">
        <is>
          <t>Discretionary</t>
        </is>
      </c>
      <c r="L197" s="21" t="inlineStr"/>
      <c r="M197" s="15" t="inlineStr">
        <is>
          <t>No</t>
        </is>
      </c>
      <c r="N197" s="15" t="inlineStr">
        <is>
          <t>No</t>
        </is>
      </c>
      <c r="O197" s="20">
        <f>IF(A197="","",MONTH(A197))</f>
        <v/>
      </c>
      <c r="P197" s="20">
        <f>IF(A197="","",YEAR(A197))</f>
        <v/>
      </c>
      <c r="Q197" s="20">
        <f>IF(A197="","",DAY(A197))</f>
        <v/>
      </c>
    </row>
    <row r="198">
      <c r="A198" s="18" t="n">
        <v>46252</v>
      </c>
      <c r="B198" s="15" t="inlineStr">
        <is>
          <t>Expense</t>
        </is>
      </c>
      <c r="C198" s="15" t="inlineStr">
        <is>
          <t>Food</t>
        </is>
      </c>
      <c r="D198" s="15" t="inlineStr">
        <is>
          <t>Restaurants</t>
        </is>
      </c>
      <c r="E198" s="15" t="inlineStr">
        <is>
          <t>Olive Garden</t>
        </is>
      </c>
      <c r="F198" s="19" t="n">
        <v>95.81999999999999</v>
      </c>
      <c r="G198" s="15" t="inlineStr">
        <is>
          <t>Credit Card</t>
        </is>
      </c>
      <c r="H198" s="15" t="inlineStr">
        <is>
          <t>Credit Card</t>
        </is>
      </c>
      <c r="I198" s="15" t="inlineStr">
        <is>
          <t>Household</t>
        </is>
      </c>
      <c r="J198" s="15" t="inlineStr">
        <is>
          <t>No</t>
        </is>
      </c>
      <c r="K198" s="15" t="inlineStr">
        <is>
          <t>Discretionary</t>
        </is>
      </c>
      <c r="L198" s="21" t="inlineStr"/>
      <c r="M198" s="15" t="inlineStr">
        <is>
          <t>No</t>
        </is>
      </c>
      <c r="N198" s="15" t="inlineStr">
        <is>
          <t>No</t>
        </is>
      </c>
      <c r="O198" s="20">
        <f>IF(A198="","",MONTH(A198))</f>
        <v/>
      </c>
      <c r="P198" s="20">
        <f>IF(A198="","",YEAR(A198))</f>
        <v/>
      </c>
      <c r="Q198" s="20">
        <f>IF(A198="","",DAY(A198))</f>
        <v/>
      </c>
    </row>
    <row r="199">
      <c r="A199" s="18" t="n">
        <v>46252</v>
      </c>
      <c r="B199" s="15" t="inlineStr">
        <is>
          <t>Expense</t>
        </is>
      </c>
      <c r="C199" s="15" t="inlineStr">
        <is>
          <t>Pets</t>
        </is>
      </c>
      <c r="D199" s="15" t="inlineStr">
        <is>
          <t>Food</t>
        </is>
      </c>
      <c r="E199" s="15" t="inlineStr">
        <is>
          <t>PetSmart</t>
        </is>
      </c>
      <c r="F199" s="19" t="n">
        <v>61.39</v>
      </c>
      <c r="G199" s="15" t="inlineStr">
        <is>
          <t>Credit Card</t>
        </is>
      </c>
      <c r="H199" s="15" t="inlineStr">
        <is>
          <t>Credit Card</t>
        </is>
      </c>
      <c r="I199" s="15" t="inlineStr">
        <is>
          <t>Parent 2</t>
        </is>
      </c>
      <c r="J199" s="15" t="inlineStr">
        <is>
          <t>No</t>
        </is>
      </c>
      <c r="K199" s="15" t="inlineStr">
        <is>
          <t>Discretionary</t>
        </is>
      </c>
      <c r="L199" s="21" t="inlineStr"/>
      <c r="M199" s="15" t="inlineStr">
        <is>
          <t>No</t>
        </is>
      </c>
      <c r="N199" s="15" t="inlineStr">
        <is>
          <t>No</t>
        </is>
      </c>
      <c r="O199" s="20">
        <f>IF(A199="","",MONTH(A199))</f>
        <v/>
      </c>
      <c r="P199" s="20">
        <f>IF(A199="","",YEAR(A199))</f>
        <v/>
      </c>
      <c r="Q199" s="20">
        <f>IF(A199="","",DAY(A199))</f>
        <v/>
      </c>
    </row>
    <row r="200">
      <c r="A200" s="18" t="n">
        <v>46253</v>
      </c>
      <c r="B200" s="15" t="inlineStr">
        <is>
          <t>Expense</t>
        </is>
      </c>
      <c r="C200" s="15" t="inlineStr">
        <is>
          <t>Housing</t>
        </is>
      </c>
      <c r="D200" s="15" t="inlineStr">
        <is>
          <t>Utilities</t>
        </is>
      </c>
      <c r="E200" s="15" t="inlineStr">
        <is>
          <t>Utility Co</t>
        </is>
      </c>
      <c r="F200" s="19" t="n">
        <v>41.75</v>
      </c>
      <c r="G200" s="15" t="inlineStr">
        <is>
          <t>HYSA</t>
        </is>
      </c>
      <c r="H200" s="15" t="inlineStr">
        <is>
          <t>Cash</t>
        </is>
      </c>
      <c r="I200" s="15" t="inlineStr">
        <is>
          <t>Parent 1</t>
        </is>
      </c>
      <c r="J200" s="15" t="inlineStr">
        <is>
          <t>No</t>
        </is>
      </c>
      <c r="K200" s="15" t="inlineStr">
        <is>
          <t>Discretionary</t>
        </is>
      </c>
      <c r="L200" s="21" t="inlineStr"/>
      <c r="M200" s="15" t="inlineStr">
        <is>
          <t>No</t>
        </is>
      </c>
      <c r="N200" s="15" t="inlineStr">
        <is>
          <t>No</t>
        </is>
      </c>
      <c r="O200" s="20">
        <f>IF(A200="","",MONTH(A200))</f>
        <v/>
      </c>
      <c r="P200" s="20">
        <f>IF(A200="","",YEAR(A200))</f>
        <v/>
      </c>
      <c r="Q200" s="20">
        <f>IF(A200="","",DAY(A200))</f>
        <v/>
      </c>
    </row>
    <row r="201">
      <c r="A201" s="18" t="n">
        <v>46253</v>
      </c>
      <c r="B201" s="15" t="inlineStr">
        <is>
          <t>Expense</t>
        </is>
      </c>
      <c r="C201" s="15" t="inlineStr">
        <is>
          <t>Transportation</t>
        </is>
      </c>
      <c r="D201" s="15" t="inlineStr">
        <is>
          <t>Parking/Tolls</t>
        </is>
      </c>
      <c r="E201" s="15" t="inlineStr">
        <is>
          <t>City Parking</t>
        </is>
      </c>
      <c r="F201" s="19" t="n">
        <v>78.95999999999999</v>
      </c>
      <c r="G201" s="15" t="inlineStr">
        <is>
          <t>HYSA</t>
        </is>
      </c>
      <c r="H201" s="15" t="inlineStr">
        <is>
          <t>Cash</t>
        </is>
      </c>
      <c r="I201" s="15" t="inlineStr">
        <is>
          <t>Parent 2</t>
        </is>
      </c>
      <c r="J201" s="15" t="inlineStr">
        <is>
          <t>No</t>
        </is>
      </c>
      <c r="K201" s="15" t="inlineStr">
        <is>
          <t>Discretionary</t>
        </is>
      </c>
      <c r="L201" s="21" t="inlineStr"/>
      <c r="M201" s="15" t="inlineStr">
        <is>
          <t>No</t>
        </is>
      </c>
      <c r="N201" s="15" t="inlineStr">
        <is>
          <t>No</t>
        </is>
      </c>
      <c r="O201" s="20">
        <f>IF(A201="","",MONTH(A201))</f>
        <v/>
      </c>
      <c r="P201" s="20">
        <f>IF(A201="","",YEAR(A201))</f>
        <v/>
      </c>
      <c r="Q201" s="20">
        <f>IF(A201="","",DAY(A201))</f>
        <v/>
      </c>
    </row>
    <row r="202">
      <c r="A202" s="18" t="n">
        <v>46253</v>
      </c>
      <c r="B202" s="15" t="inlineStr">
        <is>
          <t>Expense</t>
        </is>
      </c>
      <c r="C202" s="15" t="inlineStr">
        <is>
          <t>Healthcare</t>
        </is>
      </c>
      <c r="D202" s="15" t="inlineStr">
        <is>
          <t>Prescriptions</t>
        </is>
      </c>
      <c r="E202" s="15" t="inlineStr">
        <is>
          <t>CVS Pharmacy</t>
        </is>
      </c>
      <c r="F202" s="19" t="n">
        <v>22.3</v>
      </c>
      <c r="G202" s="15" t="inlineStr">
        <is>
          <t>Checking</t>
        </is>
      </c>
      <c r="H202" s="15" t="inlineStr">
        <is>
          <t>Checking</t>
        </is>
      </c>
      <c r="I202" s="15" t="inlineStr">
        <is>
          <t>Parent 2</t>
        </is>
      </c>
      <c r="J202" s="15" t="inlineStr">
        <is>
          <t>No</t>
        </is>
      </c>
      <c r="K202" s="15" t="inlineStr">
        <is>
          <t>Essential</t>
        </is>
      </c>
      <c r="L202" s="21" t="inlineStr"/>
      <c r="M202" s="15" t="inlineStr">
        <is>
          <t>No</t>
        </is>
      </c>
      <c r="N202" s="15" t="inlineStr">
        <is>
          <t>No</t>
        </is>
      </c>
      <c r="O202" s="20">
        <f>IF(A202="","",MONTH(A202))</f>
        <v/>
      </c>
      <c r="P202" s="20">
        <f>IF(A202="","",YEAR(A202))</f>
        <v/>
      </c>
      <c r="Q202" s="20">
        <f>IF(A202="","",DAY(A202))</f>
        <v/>
      </c>
    </row>
    <row r="203">
      <c r="A203" s="18" t="n">
        <v>46253</v>
      </c>
      <c r="B203" s="15" t="inlineStr">
        <is>
          <t>Expense</t>
        </is>
      </c>
      <c r="C203" s="15" t="inlineStr">
        <is>
          <t>Financial</t>
        </is>
      </c>
      <c r="D203" s="15" t="inlineStr">
        <is>
          <t>Savings</t>
        </is>
      </c>
      <c r="E203" s="15" t="inlineStr">
        <is>
          <t>Transfer to Savings</t>
        </is>
      </c>
      <c r="F203" s="19" t="n">
        <v>409.01</v>
      </c>
      <c r="G203" s="15" t="inlineStr">
        <is>
          <t>Checking</t>
        </is>
      </c>
      <c r="H203" s="15" t="inlineStr">
        <is>
          <t>Checking</t>
        </is>
      </c>
      <c r="I203" s="15" t="inlineStr">
        <is>
          <t>Household</t>
        </is>
      </c>
      <c r="J203" s="15" t="inlineStr">
        <is>
          <t>Yes</t>
        </is>
      </c>
      <c r="K203" s="15" t="inlineStr">
        <is>
          <t>Essential</t>
        </is>
      </c>
      <c r="L203" s="21" t="inlineStr"/>
      <c r="M203" s="15" t="inlineStr">
        <is>
          <t>No</t>
        </is>
      </c>
      <c r="N203" s="15" t="inlineStr">
        <is>
          <t>No</t>
        </is>
      </c>
      <c r="O203" s="20">
        <f>IF(A203="","",MONTH(A203))</f>
        <v/>
      </c>
      <c r="P203" s="20">
        <f>IF(A203="","",YEAR(A203))</f>
        <v/>
      </c>
      <c r="Q203" s="20">
        <f>IF(A203="","",DAY(A203))</f>
        <v/>
      </c>
    </row>
    <row r="204">
      <c r="A204" s="18" t="n">
        <v>46254</v>
      </c>
      <c r="B204" s="15" t="inlineStr">
        <is>
          <t>Expense</t>
        </is>
      </c>
      <c r="C204" s="15" t="inlineStr">
        <is>
          <t>Housing</t>
        </is>
      </c>
      <c r="D204" s="15" t="inlineStr">
        <is>
          <t>Utilities</t>
        </is>
      </c>
      <c r="E204" s="15" t="inlineStr">
        <is>
          <t>Water &amp; Sewer</t>
        </is>
      </c>
      <c r="F204" s="19" t="n">
        <v>58.12</v>
      </c>
      <c r="G204" s="15" t="inlineStr">
        <is>
          <t>Checking</t>
        </is>
      </c>
      <c r="H204" s="15" t="inlineStr">
        <is>
          <t>Checking</t>
        </is>
      </c>
      <c r="I204" s="15" t="inlineStr">
        <is>
          <t>Parent 1</t>
        </is>
      </c>
      <c r="J204" s="15" t="inlineStr">
        <is>
          <t>No</t>
        </is>
      </c>
      <c r="K204" s="15" t="inlineStr">
        <is>
          <t>Essential</t>
        </is>
      </c>
      <c r="L204" s="21" t="inlineStr"/>
      <c r="M204" s="15" t="inlineStr">
        <is>
          <t>No</t>
        </is>
      </c>
      <c r="N204" s="15" t="inlineStr">
        <is>
          <t>No</t>
        </is>
      </c>
      <c r="O204" s="20">
        <f>IF(A204="","",MONTH(A204))</f>
        <v/>
      </c>
      <c r="P204" s="20">
        <f>IF(A204="","",YEAR(A204))</f>
        <v/>
      </c>
      <c r="Q204" s="20">
        <f>IF(A204="","",DAY(A204))</f>
        <v/>
      </c>
    </row>
    <row r="205">
      <c r="A205" s="18" t="n">
        <v>46254</v>
      </c>
      <c r="B205" s="15" t="inlineStr">
        <is>
          <t>Expense</t>
        </is>
      </c>
      <c r="C205" s="15" t="inlineStr">
        <is>
          <t>Family</t>
        </is>
      </c>
      <c r="D205" s="15" t="inlineStr">
        <is>
          <t>School</t>
        </is>
      </c>
      <c r="E205" s="15" t="inlineStr">
        <is>
          <t>School District</t>
        </is>
      </c>
      <c r="F205" s="19" t="n">
        <v>53.05</v>
      </c>
      <c r="G205" s="15" t="inlineStr">
        <is>
          <t>HYSA</t>
        </is>
      </c>
      <c r="H205" s="15" t="inlineStr">
        <is>
          <t>Cash</t>
        </is>
      </c>
      <c r="I205" s="15" t="inlineStr">
        <is>
          <t>Household</t>
        </is>
      </c>
      <c r="J205" s="15" t="inlineStr">
        <is>
          <t>No</t>
        </is>
      </c>
      <c r="K205" s="15" t="inlineStr">
        <is>
          <t>Essential</t>
        </is>
      </c>
      <c r="L205" s="21" t="inlineStr"/>
      <c r="M205" s="15" t="inlineStr">
        <is>
          <t>No</t>
        </is>
      </c>
      <c r="N205" s="15" t="inlineStr">
        <is>
          <t>No</t>
        </is>
      </c>
      <c r="O205" s="20">
        <f>IF(A205="","",MONTH(A205))</f>
        <v/>
      </c>
      <c r="P205" s="20">
        <f>IF(A205="","",YEAR(A205))</f>
        <v/>
      </c>
      <c r="Q205" s="20">
        <f>IF(A205="","",DAY(A205))</f>
        <v/>
      </c>
    </row>
    <row r="206">
      <c r="A206" s="18" t="n">
        <v>46255</v>
      </c>
      <c r="B206" s="15" t="inlineStr">
        <is>
          <t>Expense</t>
        </is>
      </c>
      <c r="C206" s="15" t="inlineStr">
        <is>
          <t>Housing</t>
        </is>
      </c>
      <c r="D206" s="15" t="inlineStr">
        <is>
          <t>Utilities</t>
        </is>
      </c>
      <c r="E206" s="15" t="inlineStr">
        <is>
          <t>Electric Co</t>
        </is>
      </c>
      <c r="F206" s="19" t="n">
        <v>144.17</v>
      </c>
      <c r="G206" s="15" t="inlineStr">
        <is>
          <t>HYSA</t>
        </is>
      </c>
      <c r="H206" s="15" t="inlineStr">
        <is>
          <t>Cash</t>
        </is>
      </c>
      <c r="I206" s="15" t="inlineStr">
        <is>
          <t>Parent 1</t>
        </is>
      </c>
      <c r="J206" s="15" t="inlineStr">
        <is>
          <t>No</t>
        </is>
      </c>
      <c r="K206" s="15" t="inlineStr">
        <is>
          <t>Essential</t>
        </is>
      </c>
      <c r="L206" s="21" t="inlineStr"/>
      <c r="M206" s="15" t="inlineStr">
        <is>
          <t>No</t>
        </is>
      </c>
      <c r="N206" s="15" t="inlineStr">
        <is>
          <t>No</t>
        </is>
      </c>
      <c r="O206" s="20">
        <f>IF(A206="","",MONTH(A206))</f>
        <v/>
      </c>
      <c r="P206" s="20">
        <f>IF(A206="","",YEAR(A206))</f>
        <v/>
      </c>
      <c r="Q206" s="20">
        <f>IF(A206="","",DAY(A206))</f>
        <v/>
      </c>
    </row>
    <row r="207">
      <c r="A207" s="18" t="n">
        <v>46255</v>
      </c>
      <c r="B207" s="15" t="inlineStr">
        <is>
          <t>Expense</t>
        </is>
      </c>
      <c r="C207" s="15" t="inlineStr">
        <is>
          <t>Housing</t>
        </is>
      </c>
      <c r="D207" s="15" t="inlineStr">
        <is>
          <t>Repairs/Maintenance</t>
        </is>
      </c>
      <c r="E207" s="15" t="inlineStr">
        <is>
          <t>Handyman</t>
        </is>
      </c>
      <c r="F207" s="19" t="n">
        <v>158.1</v>
      </c>
      <c r="G207" s="15" t="inlineStr">
        <is>
          <t>Savings</t>
        </is>
      </c>
      <c r="H207" s="15" t="inlineStr">
        <is>
          <t>Savings</t>
        </is>
      </c>
      <c r="I207" s="15" t="inlineStr">
        <is>
          <t>Parent 1</t>
        </is>
      </c>
      <c r="J207" s="15" t="inlineStr">
        <is>
          <t>No</t>
        </is>
      </c>
      <c r="K207" s="15" t="inlineStr">
        <is>
          <t>Discretionary</t>
        </is>
      </c>
      <c r="L207" s="21" t="inlineStr"/>
      <c r="M207" s="15" t="inlineStr">
        <is>
          <t>No</t>
        </is>
      </c>
      <c r="N207" s="15" t="inlineStr">
        <is>
          <t>No</t>
        </is>
      </c>
      <c r="O207" s="20">
        <f>IF(A207="","",MONTH(A207))</f>
        <v/>
      </c>
      <c r="P207" s="20">
        <f>IF(A207="","",YEAR(A207))</f>
        <v/>
      </c>
      <c r="Q207" s="20">
        <f>IF(A207="","",DAY(A207))</f>
        <v/>
      </c>
    </row>
    <row r="208">
      <c r="A208" s="18" t="n">
        <v>46256</v>
      </c>
      <c r="B208" s="15" t="inlineStr">
        <is>
          <t>Expense</t>
        </is>
      </c>
      <c r="C208" s="15" t="inlineStr">
        <is>
          <t>Food</t>
        </is>
      </c>
      <c r="D208" s="15" t="inlineStr">
        <is>
          <t>Groceries</t>
        </is>
      </c>
      <c r="E208" s="15" t="inlineStr">
        <is>
          <t>Costco</t>
        </is>
      </c>
      <c r="F208" s="19" t="n">
        <v>188.86</v>
      </c>
      <c r="G208" s="15" t="inlineStr">
        <is>
          <t>Checking</t>
        </is>
      </c>
      <c r="H208" s="15" t="inlineStr">
        <is>
          <t>Checking</t>
        </is>
      </c>
      <c r="I208" s="15" t="inlineStr">
        <is>
          <t>Parent 1</t>
        </is>
      </c>
      <c r="J208" s="15" t="inlineStr">
        <is>
          <t>No</t>
        </is>
      </c>
      <c r="K208" s="15" t="inlineStr">
        <is>
          <t>Essential</t>
        </is>
      </c>
      <c r="L208" s="21" t="inlineStr"/>
      <c r="M208" s="15" t="inlineStr">
        <is>
          <t>No</t>
        </is>
      </c>
      <c r="N208" s="15" t="inlineStr">
        <is>
          <t>No</t>
        </is>
      </c>
      <c r="O208" s="20">
        <f>IF(A208="","",MONTH(A208))</f>
        <v/>
      </c>
      <c r="P208" s="20">
        <f>IF(A208="","",YEAR(A208))</f>
        <v/>
      </c>
      <c r="Q208" s="20">
        <f>IF(A208="","",DAY(A208))</f>
        <v/>
      </c>
    </row>
    <row r="209">
      <c r="A209" s="18" t="n">
        <v>46257</v>
      </c>
      <c r="B209" s="15" t="inlineStr">
        <is>
          <t>Expense</t>
        </is>
      </c>
      <c r="C209" s="15" t="inlineStr">
        <is>
          <t>Transportation</t>
        </is>
      </c>
      <c r="D209" s="15" t="inlineStr">
        <is>
          <t>Gas</t>
        </is>
      </c>
      <c r="E209" s="15" t="inlineStr">
        <is>
          <t>Shell</t>
        </is>
      </c>
      <c r="F209" s="19" t="n">
        <v>38.84</v>
      </c>
      <c r="G209" s="15" t="inlineStr">
        <is>
          <t>Checking</t>
        </is>
      </c>
      <c r="H209" s="15" t="inlineStr">
        <is>
          <t>Checking</t>
        </is>
      </c>
      <c r="I209" s="15" t="inlineStr">
        <is>
          <t>Household</t>
        </is>
      </c>
      <c r="J209" s="15" t="inlineStr">
        <is>
          <t>No</t>
        </is>
      </c>
      <c r="K209" s="15" t="inlineStr">
        <is>
          <t>Discretionary</t>
        </is>
      </c>
      <c r="L209" s="21" t="inlineStr"/>
      <c r="M209" s="15" t="inlineStr">
        <is>
          <t>No</t>
        </is>
      </c>
      <c r="N209" s="15" t="inlineStr">
        <is>
          <t>No</t>
        </is>
      </c>
      <c r="O209" s="20">
        <f>IF(A209="","",MONTH(A209))</f>
        <v/>
      </c>
      <c r="P209" s="20">
        <f>IF(A209="","",YEAR(A209))</f>
        <v/>
      </c>
      <c r="Q209" s="20">
        <f>IF(A209="","",DAY(A209))</f>
        <v/>
      </c>
    </row>
    <row r="210">
      <c r="A210" s="18" t="n">
        <v>46257</v>
      </c>
      <c r="B210" s="15" t="inlineStr">
        <is>
          <t>Expense</t>
        </is>
      </c>
      <c r="C210" s="15" t="inlineStr">
        <is>
          <t>Financial</t>
        </is>
      </c>
      <c r="D210" s="15" t="inlineStr">
        <is>
          <t>Investments</t>
        </is>
      </c>
      <c r="E210" s="15" t="inlineStr">
        <is>
          <t>Vanguard</t>
        </is>
      </c>
      <c r="F210" s="19" t="n">
        <v>307.21</v>
      </c>
      <c r="G210" s="15" t="inlineStr">
        <is>
          <t>Credit Card</t>
        </is>
      </c>
      <c r="H210" s="15" t="inlineStr">
        <is>
          <t>Credit Card</t>
        </is>
      </c>
      <c r="I210" s="15" t="inlineStr">
        <is>
          <t>Household</t>
        </is>
      </c>
      <c r="J210" s="15" t="inlineStr">
        <is>
          <t>Yes</t>
        </is>
      </c>
      <c r="K210" s="15" t="inlineStr">
        <is>
          <t>Discretionary</t>
        </is>
      </c>
      <c r="L210" s="21" t="inlineStr"/>
      <c r="M210" s="15" t="inlineStr">
        <is>
          <t>No</t>
        </is>
      </c>
      <c r="N210" s="15" t="inlineStr">
        <is>
          <t>No</t>
        </is>
      </c>
      <c r="O210" s="20">
        <f>IF(A210="","",MONTH(A210))</f>
        <v/>
      </c>
      <c r="P210" s="20">
        <f>IF(A210="","",YEAR(A210))</f>
        <v/>
      </c>
      <c r="Q210" s="20">
        <f>IF(A210="","",DAY(A210))</f>
        <v/>
      </c>
    </row>
    <row r="211">
      <c r="A211" s="18" t="n">
        <v>46258</v>
      </c>
      <c r="B211" s="15" t="inlineStr">
        <is>
          <t>Expense</t>
        </is>
      </c>
      <c r="C211" s="15" t="inlineStr">
        <is>
          <t>Transportation</t>
        </is>
      </c>
      <c r="D211" s="15" t="inlineStr">
        <is>
          <t>Maintenance/Repairs</t>
        </is>
      </c>
      <c r="E211" s="15" t="inlineStr">
        <is>
          <t>Auto Shop</t>
        </is>
      </c>
      <c r="F211" s="19" t="n">
        <v>93.06999999999999</v>
      </c>
      <c r="G211" s="15" t="inlineStr">
        <is>
          <t>HYSA</t>
        </is>
      </c>
      <c r="H211" s="15" t="inlineStr">
        <is>
          <t>Cash</t>
        </is>
      </c>
      <c r="I211" s="15" t="inlineStr">
        <is>
          <t>Household</t>
        </is>
      </c>
      <c r="J211" s="15" t="inlineStr">
        <is>
          <t>No</t>
        </is>
      </c>
      <c r="K211" s="15" t="inlineStr">
        <is>
          <t>Discretionary</t>
        </is>
      </c>
      <c r="L211" s="21" t="inlineStr"/>
      <c r="M211" s="15" t="inlineStr">
        <is>
          <t>No</t>
        </is>
      </c>
      <c r="N211" s="15" t="inlineStr">
        <is>
          <t>No</t>
        </is>
      </c>
      <c r="O211" s="20">
        <f>IF(A211="","",MONTH(A211))</f>
        <v/>
      </c>
      <c r="P211" s="20">
        <f>IF(A211="","",YEAR(A211))</f>
        <v/>
      </c>
      <c r="Q211" s="20">
        <f>IF(A211="","",DAY(A211))</f>
        <v/>
      </c>
    </row>
    <row r="212">
      <c r="A212" s="18" t="n">
        <v>46258</v>
      </c>
      <c r="B212" s="15" t="inlineStr">
        <is>
          <t>Expense</t>
        </is>
      </c>
      <c r="C212" s="15" t="inlineStr">
        <is>
          <t>Food</t>
        </is>
      </c>
      <c r="D212" s="15" t="inlineStr">
        <is>
          <t>Takeout/Delivery</t>
        </is>
      </c>
      <c r="E212" s="15" t="inlineStr">
        <is>
          <t>DoorDash</t>
        </is>
      </c>
      <c r="F212" s="19" t="n">
        <v>116.85</v>
      </c>
      <c r="G212" s="15" t="inlineStr">
        <is>
          <t>HYSA</t>
        </is>
      </c>
      <c r="H212" s="15" t="inlineStr">
        <is>
          <t>Cash</t>
        </is>
      </c>
      <c r="I212" s="15" t="inlineStr">
        <is>
          <t>Household</t>
        </is>
      </c>
      <c r="J212" s="15" t="inlineStr">
        <is>
          <t>No</t>
        </is>
      </c>
      <c r="K212" s="15" t="inlineStr">
        <is>
          <t>Discretionary</t>
        </is>
      </c>
      <c r="L212" s="21" t="inlineStr"/>
      <c r="M212" s="15" t="inlineStr">
        <is>
          <t>No</t>
        </is>
      </c>
      <c r="N212" s="15" t="inlineStr">
        <is>
          <t>No</t>
        </is>
      </c>
      <c r="O212" s="20">
        <f>IF(A212="","",MONTH(A212))</f>
        <v/>
      </c>
      <c r="P212" s="20">
        <f>IF(A212="","",YEAR(A212))</f>
        <v/>
      </c>
      <c r="Q212" s="20">
        <f>IF(A212="","",DAY(A212))</f>
        <v/>
      </c>
    </row>
    <row r="213">
      <c r="A213" s="18" t="n">
        <v>46260</v>
      </c>
      <c r="B213" s="15" t="inlineStr">
        <is>
          <t>Expense</t>
        </is>
      </c>
      <c r="C213" s="15" t="inlineStr">
        <is>
          <t>Financial</t>
        </is>
      </c>
      <c r="D213" s="15" t="inlineStr">
        <is>
          <t>Credit Cards</t>
        </is>
      </c>
      <c r="E213" s="15" t="inlineStr">
        <is>
          <t>Capital One</t>
        </is>
      </c>
      <c r="F213" s="19" t="n">
        <v>222.01</v>
      </c>
      <c r="G213" s="15" t="inlineStr">
        <is>
          <t>Savings</t>
        </is>
      </c>
      <c r="H213" s="15" t="inlineStr">
        <is>
          <t>Savings</t>
        </is>
      </c>
      <c r="I213" s="15" t="inlineStr">
        <is>
          <t>Household</t>
        </is>
      </c>
      <c r="J213" s="15" t="inlineStr">
        <is>
          <t>No</t>
        </is>
      </c>
      <c r="K213" s="15" t="inlineStr">
        <is>
          <t>Discretionary</t>
        </is>
      </c>
      <c r="L213" s="21" t="inlineStr"/>
      <c r="M213" s="15" t="inlineStr">
        <is>
          <t>No</t>
        </is>
      </c>
      <c r="N213" s="15" t="inlineStr">
        <is>
          <t>No</t>
        </is>
      </c>
      <c r="O213" s="20">
        <f>IF(A213="","",MONTH(A213))</f>
        <v/>
      </c>
      <c r="P213" s="20">
        <f>IF(A213="","",YEAR(A213))</f>
        <v/>
      </c>
      <c r="Q213" s="20">
        <f>IF(A213="","",DAY(A213))</f>
        <v/>
      </c>
    </row>
    <row r="214">
      <c r="A214" s="18" t="n">
        <v>46260</v>
      </c>
      <c r="B214" s="15" t="inlineStr">
        <is>
          <t>Expense</t>
        </is>
      </c>
      <c r="C214" s="15" t="inlineStr">
        <is>
          <t>Pets</t>
        </is>
      </c>
      <c r="D214" s="15" t="inlineStr">
        <is>
          <t>Vet</t>
        </is>
      </c>
      <c r="E214" s="15" t="inlineStr">
        <is>
          <t>Banfield</t>
        </is>
      </c>
      <c r="F214" s="19" t="n">
        <v>59.88</v>
      </c>
      <c r="G214" s="15" t="inlineStr">
        <is>
          <t>Credit Card</t>
        </is>
      </c>
      <c r="H214" s="15" t="inlineStr">
        <is>
          <t>Credit Card</t>
        </is>
      </c>
      <c r="I214" s="15" t="inlineStr">
        <is>
          <t>Parent 1</t>
        </is>
      </c>
      <c r="J214" s="15" t="inlineStr">
        <is>
          <t>No</t>
        </is>
      </c>
      <c r="K214" s="15" t="inlineStr">
        <is>
          <t>Discretionary</t>
        </is>
      </c>
      <c r="L214" s="21" t="inlineStr"/>
      <c r="M214" s="15" t="inlineStr">
        <is>
          <t>No</t>
        </is>
      </c>
      <c r="N214" s="15" t="inlineStr">
        <is>
          <t>No</t>
        </is>
      </c>
      <c r="O214" s="20">
        <f>IF(A214="","",MONTH(A214))</f>
        <v/>
      </c>
      <c r="P214" s="20">
        <f>IF(A214="","",YEAR(A214))</f>
        <v/>
      </c>
      <c r="Q214" s="20">
        <f>IF(A214="","",DAY(A214))</f>
        <v/>
      </c>
    </row>
    <row r="215">
      <c r="A215" s="18" t="n">
        <v>46261</v>
      </c>
      <c r="B215" s="15" t="inlineStr">
        <is>
          <t>Expense</t>
        </is>
      </c>
      <c r="C215" s="15" t="inlineStr">
        <is>
          <t>Healthcare</t>
        </is>
      </c>
      <c r="D215" s="15" t="inlineStr">
        <is>
          <t>Medical Expenses</t>
        </is>
      </c>
      <c r="E215" s="15" t="inlineStr">
        <is>
          <t>Dr. Office</t>
        </is>
      </c>
      <c r="F215" s="19" t="n">
        <v>40.81</v>
      </c>
      <c r="G215" s="15" t="inlineStr">
        <is>
          <t>HYSA</t>
        </is>
      </c>
      <c r="H215" s="15" t="inlineStr">
        <is>
          <t>Cash</t>
        </is>
      </c>
      <c r="I215" s="15" t="inlineStr">
        <is>
          <t>Parent 2</t>
        </is>
      </c>
      <c r="J215" s="15" t="inlineStr">
        <is>
          <t>No</t>
        </is>
      </c>
      <c r="K215" s="15" t="inlineStr">
        <is>
          <t>Essential</t>
        </is>
      </c>
      <c r="L215" s="21" t="inlineStr"/>
      <c r="M215" s="15" t="inlineStr">
        <is>
          <t>No</t>
        </is>
      </c>
      <c r="N215" s="15" t="inlineStr">
        <is>
          <t>No</t>
        </is>
      </c>
      <c r="O215" s="20">
        <f>IF(A215="","",MONTH(A215))</f>
        <v/>
      </c>
      <c r="P215" s="20">
        <f>IF(A215="","",YEAR(A215))</f>
        <v/>
      </c>
      <c r="Q215" s="20">
        <f>IF(A215="","",DAY(A215))</f>
        <v/>
      </c>
    </row>
    <row r="216">
      <c r="A216" s="18" t="n">
        <v>46261</v>
      </c>
      <c r="B216" s="15" t="inlineStr">
        <is>
          <t>Expense</t>
        </is>
      </c>
      <c r="C216" s="15" t="inlineStr">
        <is>
          <t>Giving</t>
        </is>
      </c>
      <c r="D216" s="15" t="inlineStr">
        <is>
          <t>Charity</t>
        </is>
      </c>
      <c r="E216" s="15" t="inlineStr">
        <is>
          <t>Red Cross</t>
        </is>
      </c>
      <c r="F216" s="19" t="n">
        <v>31.55</v>
      </c>
      <c r="G216" s="15" t="inlineStr">
        <is>
          <t>HYSA</t>
        </is>
      </c>
      <c r="H216" s="15" t="inlineStr">
        <is>
          <t>Cash</t>
        </is>
      </c>
      <c r="I216" s="15" t="inlineStr">
        <is>
          <t>Household</t>
        </is>
      </c>
      <c r="J216" s="15" t="inlineStr">
        <is>
          <t>No</t>
        </is>
      </c>
      <c r="K216" s="15" t="inlineStr">
        <is>
          <t>Discretionary</t>
        </is>
      </c>
      <c r="L216" s="21" t="inlineStr"/>
      <c r="M216" s="15" t="inlineStr">
        <is>
          <t>No</t>
        </is>
      </c>
      <c r="N216" s="15" t="inlineStr">
        <is>
          <t>No</t>
        </is>
      </c>
      <c r="O216" s="20">
        <f>IF(A216="","",MONTH(A216))</f>
        <v/>
      </c>
      <c r="P216" s="20">
        <f>IF(A216="","",YEAR(A216))</f>
        <v/>
      </c>
      <c r="Q216" s="20">
        <f>IF(A216="","",DAY(A216))</f>
        <v/>
      </c>
    </row>
    <row r="217">
      <c r="A217" s="18" t="n"/>
      <c r="B217" s="15" t="n"/>
      <c r="C217" s="15" t="n"/>
      <c r="D217" s="15" t="n"/>
      <c r="E217" s="15" t="n"/>
      <c r="F217" s="19" t="n"/>
      <c r="G217" s="15" t="n"/>
      <c r="H217" s="15" t="n"/>
      <c r="I217" s="15" t="n"/>
      <c r="J217" s="15" t="n"/>
      <c r="K217" s="15" t="n"/>
      <c r="L217" s="21" t="n"/>
      <c r="M217" s="15" t="n"/>
      <c r="N217" s="15" t="n"/>
      <c r="O217" s="20">
        <f>IF(A217="","",MONTH(A217))</f>
        <v/>
      </c>
      <c r="P217" s="20">
        <f>IF(A217="","",YEAR(A217))</f>
        <v/>
      </c>
      <c r="Q217" s="20">
        <f>IF(A217="","",DAY(A217))</f>
        <v/>
      </c>
    </row>
    <row r="218">
      <c r="A218" s="18" t="n"/>
      <c r="B218" s="15" t="n"/>
      <c r="C218" s="15" t="n"/>
      <c r="D218" s="15" t="n"/>
      <c r="E218" s="15" t="n"/>
      <c r="F218" s="19" t="n"/>
      <c r="G218" s="15" t="n"/>
      <c r="H218" s="15" t="n"/>
      <c r="I218" s="15" t="n"/>
      <c r="J218" s="15" t="n"/>
      <c r="K218" s="15" t="n"/>
      <c r="L218" s="21" t="n"/>
      <c r="M218" s="15" t="n"/>
      <c r="N218" s="15" t="n"/>
      <c r="O218" s="20">
        <f>IF(A218="","",MONTH(A218))</f>
        <v/>
      </c>
      <c r="P218" s="20">
        <f>IF(A218="","",YEAR(A218))</f>
        <v/>
      </c>
      <c r="Q218" s="20">
        <f>IF(A218="","",DAY(A218))</f>
        <v/>
      </c>
    </row>
    <row r="219">
      <c r="A219" s="18" t="n"/>
      <c r="B219" s="15" t="n"/>
      <c r="C219" s="15" t="n"/>
      <c r="D219" s="15" t="n"/>
      <c r="E219" s="15" t="n"/>
      <c r="F219" s="19" t="n"/>
      <c r="G219" s="15" t="n"/>
      <c r="H219" s="15" t="n"/>
      <c r="I219" s="15" t="n"/>
      <c r="J219" s="15" t="n"/>
      <c r="K219" s="15" t="n"/>
      <c r="L219" s="21" t="n"/>
      <c r="M219" s="15" t="n"/>
      <c r="N219" s="15" t="n"/>
      <c r="O219" s="20">
        <f>IF(A219="","",MONTH(A219))</f>
        <v/>
      </c>
      <c r="P219" s="20">
        <f>IF(A219="","",YEAR(A219))</f>
        <v/>
      </c>
      <c r="Q219" s="20">
        <f>IF(A219="","",DAY(A219))</f>
        <v/>
      </c>
    </row>
    <row r="220">
      <c r="A220" s="18" t="n"/>
      <c r="B220" s="15" t="n"/>
      <c r="C220" s="15" t="n"/>
      <c r="D220" s="15" t="n"/>
      <c r="E220" s="15" t="n"/>
      <c r="F220" s="19" t="n"/>
      <c r="G220" s="15" t="n"/>
      <c r="H220" s="15" t="n"/>
      <c r="I220" s="15" t="n"/>
      <c r="J220" s="15" t="n"/>
      <c r="K220" s="15" t="n"/>
      <c r="L220" s="21" t="n"/>
      <c r="M220" s="15" t="n"/>
      <c r="N220" s="15" t="n"/>
      <c r="O220" s="20">
        <f>IF(A220="","",MONTH(A220))</f>
        <v/>
      </c>
      <c r="P220" s="20">
        <f>IF(A220="","",YEAR(A220))</f>
        <v/>
      </c>
      <c r="Q220" s="20">
        <f>IF(A220="","",DAY(A220))</f>
        <v/>
      </c>
    </row>
    <row r="221">
      <c r="A221" s="18" t="n"/>
      <c r="B221" s="15" t="n"/>
      <c r="C221" s="15" t="n"/>
      <c r="D221" s="15" t="n"/>
      <c r="E221" s="15" t="n"/>
      <c r="F221" s="19" t="n"/>
      <c r="G221" s="15" t="n"/>
      <c r="H221" s="15" t="n"/>
      <c r="I221" s="15" t="n"/>
      <c r="J221" s="15" t="n"/>
      <c r="K221" s="15" t="n"/>
      <c r="L221" s="21" t="n"/>
      <c r="M221" s="15" t="n"/>
      <c r="N221" s="15" t="n"/>
      <c r="O221" s="20">
        <f>IF(A221="","",MONTH(A221))</f>
        <v/>
      </c>
      <c r="P221" s="20">
        <f>IF(A221="","",YEAR(A221))</f>
        <v/>
      </c>
      <c r="Q221" s="20">
        <f>IF(A221="","",DAY(A221))</f>
        <v/>
      </c>
    </row>
    <row r="222">
      <c r="A222" s="18" t="n"/>
      <c r="B222" s="15" t="n"/>
      <c r="C222" s="15" t="n"/>
      <c r="D222" s="15" t="n"/>
      <c r="E222" s="15" t="n"/>
      <c r="F222" s="19" t="n"/>
      <c r="G222" s="15" t="n"/>
      <c r="H222" s="15" t="n"/>
      <c r="I222" s="15" t="n"/>
      <c r="J222" s="15" t="n"/>
      <c r="K222" s="15" t="n"/>
      <c r="L222" s="21" t="n"/>
      <c r="M222" s="15" t="n"/>
      <c r="N222" s="15" t="n"/>
      <c r="O222" s="20">
        <f>IF(A222="","",MONTH(A222))</f>
        <v/>
      </c>
      <c r="P222" s="20">
        <f>IF(A222="","",YEAR(A222))</f>
        <v/>
      </c>
      <c r="Q222" s="20">
        <f>IF(A222="","",DAY(A222))</f>
        <v/>
      </c>
    </row>
    <row r="223">
      <c r="A223" s="18" t="n"/>
      <c r="B223" s="15" t="n"/>
      <c r="C223" s="15" t="n"/>
      <c r="D223" s="15" t="n"/>
      <c r="E223" s="15" t="n"/>
      <c r="F223" s="19" t="n"/>
      <c r="G223" s="15" t="n"/>
      <c r="H223" s="15" t="n"/>
      <c r="I223" s="15" t="n"/>
      <c r="J223" s="15" t="n"/>
      <c r="K223" s="15" t="n"/>
      <c r="L223" s="21" t="n"/>
      <c r="M223" s="15" t="n"/>
      <c r="N223" s="15" t="n"/>
      <c r="O223" s="20">
        <f>IF(A223="","",MONTH(A223))</f>
        <v/>
      </c>
      <c r="P223" s="20">
        <f>IF(A223="","",YEAR(A223))</f>
        <v/>
      </c>
      <c r="Q223" s="20">
        <f>IF(A223="","",DAY(A223))</f>
        <v/>
      </c>
    </row>
    <row r="224">
      <c r="A224" s="18" t="n"/>
      <c r="B224" s="15" t="n"/>
      <c r="C224" s="15" t="n"/>
      <c r="D224" s="15" t="n"/>
      <c r="E224" s="15" t="n"/>
      <c r="F224" s="19" t="n"/>
      <c r="G224" s="15" t="n"/>
      <c r="H224" s="15" t="n"/>
      <c r="I224" s="15" t="n"/>
      <c r="J224" s="15" t="n"/>
      <c r="K224" s="15" t="n"/>
      <c r="L224" s="21" t="n"/>
      <c r="M224" s="15" t="n"/>
      <c r="N224" s="15" t="n"/>
      <c r="O224" s="20">
        <f>IF(A224="","",MONTH(A224))</f>
        <v/>
      </c>
      <c r="P224" s="20">
        <f>IF(A224="","",YEAR(A224))</f>
        <v/>
      </c>
      <c r="Q224" s="20">
        <f>IF(A224="","",DAY(A224))</f>
        <v/>
      </c>
    </row>
    <row r="225">
      <c r="A225" s="18" t="n"/>
      <c r="B225" s="15" t="n"/>
      <c r="C225" s="15" t="n"/>
      <c r="D225" s="15" t="n"/>
      <c r="E225" s="15" t="n"/>
      <c r="F225" s="19" t="n"/>
      <c r="G225" s="15" t="n"/>
      <c r="H225" s="15" t="n"/>
      <c r="I225" s="15" t="n"/>
      <c r="J225" s="15" t="n"/>
      <c r="K225" s="15" t="n"/>
      <c r="L225" s="21" t="n"/>
      <c r="M225" s="15" t="n"/>
      <c r="N225" s="15" t="n"/>
      <c r="O225" s="20">
        <f>IF(A225="","",MONTH(A225))</f>
        <v/>
      </c>
      <c r="P225" s="20">
        <f>IF(A225="","",YEAR(A225))</f>
        <v/>
      </c>
      <c r="Q225" s="20">
        <f>IF(A225="","",DAY(A225))</f>
        <v/>
      </c>
    </row>
    <row r="226">
      <c r="A226" s="18" t="n"/>
      <c r="B226" s="15" t="n"/>
      <c r="C226" s="15" t="n"/>
      <c r="D226" s="15" t="n"/>
      <c r="E226" s="15" t="n"/>
      <c r="F226" s="19" t="n"/>
      <c r="G226" s="15" t="n"/>
      <c r="H226" s="15" t="n"/>
      <c r="I226" s="15" t="n"/>
      <c r="J226" s="15" t="n"/>
      <c r="K226" s="15" t="n"/>
      <c r="L226" s="21" t="n"/>
      <c r="M226" s="15" t="n"/>
      <c r="N226" s="15" t="n"/>
      <c r="O226" s="20">
        <f>IF(A226="","",MONTH(A226))</f>
        <v/>
      </c>
      <c r="P226" s="20">
        <f>IF(A226="","",YEAR(A226))</f>
        <v/>
      </c>
      <c r="Q226" s="20">
        <f>IF(A226="","",DAY(A226))</f>
        <v/>
      </c>
    </row>
    <row r="227">
      <c r="A227" s="18" t="n"/>
      <c r="B227" s="15" t="n"/>
      <c r="C227" s="15" t="n"/>
      <c r="D227" s="15" t="n"/>
      <c r="E227" s="15" t="n"/>
      <c r="F227" s="19" t="n"/>
      <c r="G227" s="15" t="n"/>
      <c r="H227" s="15" t="n"/>
      <c r="I227" s="15" t="n"/>
      <c r="J227" s="15" t="n"/>
      <c r="K227" s="15" t="n"/>
      <c r="L227" s="21" t="n"/>
      <c r="M227" s="15" t="n"/>
      <c r="N227" s="15" t="n"/>
      <c r="O227" s="20">
        <f>IF(A227="","",MONTH(A227))</f>
        <v/>
      </c>
      <c r="P227" s="20">
        <f>IF(A227="","",YEAR(A227))</f>
        <v/>
      </c>
      <c r="Q227" s="20">
        <f>IF(A227="","",DAY(A227))</f>
        <v/>
      </c>
    </row>
    <row r="228">
      <c r="A228" s="18" t="n"/>
      <c r="B228" s="15" t="n"/>
      <c r="C228" s="15" t="n"/>
      <c r="D228" s="15" t="n"/>
      <c r="E228" s="15" t="n"/>
      <c r="F228" s="19" t="n"/>
      <c r="G228" s="15" t="n"/>
      <c r="H228" s="15" t="n"/>
      <c r="I228" s="15" t="n"/>
      <c r="J228" s="15" t="n"/>
      <c r="K228" s="15" t="n"/>
      <c r="L228" s="21" t="n"/>
      <c r="M228" s="15" t="n"/>
      <c r="N228" s="15" t="n"/>
      <c r="O228" s="20">
        <f>IF(A228="","",MONTH(A228))</f>
        <v/>
      </c>
      <c r="P228" s="20">
        <f>IF(A228="","",YEAR(A228))</f>
        <v/>
      </c>
      <c r="Q228" s="20">
        <f>IF(A228="","",DAY(A228))</f>
        <v/>
      </c>
    </row>
    <row r="229">
      <c r="A229" s="18" t="n"/>
      <c r="B229" s="15" t="n"/>
      <c r="C229" s="15" t="n"/>
      <c r="D229" s="15" t="n"/>
      <c r="E229" s="15" t="n"/>
      <c r="F229" s="19" t="n"/>
      <c r="G229" s="15" t="n"/>
      <c r="H229" s="15" t="n"/>
      <c r="I229" s="15" t="n"/>
      <c r="J229" s="15" t="n"/>
      <c r="K229" s="15" t="n"/>
      <c r="L229" s="21" t="n"/>
      <c r="M229" s="15" t="n"/>
      <c r="N229" s="15" t="n"/>
      <c r="O229" s="20">
        <f>IF(A229="","",MONTH(A229))</f>
        <v/>
      </c>
      <c r="P229" s="20">
        <f>IF(A229="","",YEAR(A229))</f>
        <v/>
      </c>
      <c r="Q229" s="20">
        <f>IF(A229="","",DAY(A229))</f>
        <v/>
      </c>
    </row>
    <row r="230">
      <c r="A230" s="18" t="n"/>
      <c r="B230" s="15" t="n"/>
      <c r="C230" s="15" t="n"/>
      <c r="D230" s="15" t="n"/>
      <c r="E230" s="15" t="n"/>
      <c r="F230" s="19" t="n"/>
      <c r="G230" s="15" t="n"/>
      <c r="H230" s="15" t="n"/>
      <c r="I230" s="15" t="n"/>
      <c r="J230" s="15" t="n"/>
      <c r="K230" s="15" t="n"/>
      <c r="L230" s="21" t="n"/>
      <c r="M230" s="15" t="n"/>
      <c r="N230" s="15" t="n"/>
      <c r="O230" s="20">
        <f>IF(A230="","",MONTH(A230))</f>
        <v/>
      </c>
      <c r="P230" s="20">
        <f>IF(A230="","",YEAR(A230))</f>
        <v/>
      </c>
      <c r="Q230" s="20">
        <f>IF(A230="","",DAY(A230))</f>
        <v/>
      </c>
    </row>
    <row r="231">
      <c r="A231" s="18" t="n"/>
      <c r="B231" s="15" t="n"/>
      <c r="C231" s="15" t="n"/>
      <c r="D231" s="15" t="n"/>
      <c r="E231" s="15" t="n"/>
      <c r="F231" s="19" t="n"/>
      <c r="G231" s="15" t="n"/>
      <c r="H231" s="15" t="n"/>
      <c r="I231" s="15" t="n"/>
      <c r="J231" s="15" t="n"/>
      <c r="K231" s="15" t="n"/>
      <c r="L231" s="21" t="n"/>
      <c r="M231" s="15" t="n"/>
      <c r="N231" s="15" t="n"/>
      <c r="O231" s="20">
        <f>IF(A231="","",MONTH(A231))</f>
        <v/>
      </c>
      <c r="P231" s="20">
        <f>IF(A231="","",YEAR(A231))</f>
        <v/>
      </c>
      <c r="Q231" s="20">
        <f>IF(A231="","",DAY(A231))</f>
        <v/>
      </c>
    </row>
    <row r="232">
      <c r="A232" s="18" t="n"/>
      <c r="B232" s="15" t="n"/>
      <c r="C232" s="15" t="n"/>
      <c r="D232" s="15" t="n"/>
      <c r="E232" s="15" t="n"/>
      <c r="F232" s="19" t="n"/>
      <c r="G232" s="15" t="n"/>
      <c r="H232" s="15" t="n"/>
      <c r="I232" s="15" t="n"/>
      <c r="J232" s="15" t="n"/>
      <c r="K232" s="15" t="n"/>
      <c r="L232" s="21" t="n"/>
      <c r="M232" s="15" t="n"/>
      <c r="N232" s="15" t="n"/>
      <c r="O232" s="20">
        <f>IF(A232="","",MONTH(A232))</f>
        <v/>
      </c>
      <c r="P232" s="20">
        <f>IF(A232="","",YEAR(A232))</f>
        <v/>
      </c>
      <c r="Q232" s="20">
        <f>IF(A232="","",DAY(A232))</f>
        <v/>
      </c>
    </row>
    <row r="233">
      <c r="A233" s="18" t="n"/>
      <c r="B233" s="15" t="n"/>
      <c r="C233" s="15" t="n"/>
      <c r="D233" s="15" t="n"/>
      <c r="E233" s="15" t="n"/>
      <c r="F233" s="19" t="n"/>
      <c r="G233" s="15" t="n"/>
      <c r="H233" s="15" t="n"/>
      <c r="I233" s="15" t="n"/>
      <c r="J233" s="15" t="n"/>
      <c r="K233" s="15" t="n"/>
      <c r="L233" s="21" t="n"/>
      <c r="M233" s="15" t="n"/>
      <c r="N233" s="15" t="n"/>
      <c r="O233" s="20">
        <f>IF(A233="","",MONTH(A233))</f>
        <v/>
      </c>
      <c r="P233" s="20">
        <f>IF(A233="","",YEAR(A233))</f>
        <v/>
      </c>
      <c r="Q233" s="20">
        <f>IF(A233="","",DAY(A233))</f>
        <v/>
      </c>
    </row>
    <row r="234">
      <c r="A234" s="18" t="n"/>
      <c r="B234" s="15" t="n"/>
      <c r="C234" s="15" t="n"/>
      <c r="D234" s="15" t="n"/>
      <c r="E234" s="15" t="n"/>
      <c r="F234" s="19" t="n"/>
      <c r="G234" s="15" t="n"/>
      <c r="H234" s="15" t="n"/>
      <c r="I234" s="15" t="n"/>
      <c r="J234" s="15" t="n"/>
      <c r="K234" s="15" t="n"/>
      <c r="L234" s="21" t="n"/>
      <c r="M234" s="15" t="n"/>
      <c r="N234" s="15" t="n"/>
      <c r="O234" s="20">
        <f>IF(A234="","",MONTH(A234))</f>
        <v/>
      </c>
      <c r="P234" s="20">
        <f>IF(A234="","",YEAR(A234))</f>
        <v/>
      </c>
      <c r="Q234" s="20">
        <f>IF(A234="","",DAY(A234))</f>
        <v/>
      </c>
    </row>
    <row r="235">
      <c r="A235" s="18" t="n"/>
      <c r="B235" s="15" t="n"/>
      <c r="C235" s="15" t="n"/>
      <c r="D235" s="15" t="n"/>
      <c r="E235" s="15" t="n"/>
      <c r="F235" s="19" t="n"/>
      <c r="G235" s="15" t="n"/>
      <c r="H235" s="15" t="n"/>
      <c r="I235" s="15" t="n"/>
      <c r="J235" s="15" t="n"/>
      <c r="K235" s="15" t="n"/>
      <c r="L235" s="21" t="n"/>
      <c r="M235" s="15" t="n"/>
      <c r="N235" s="15" t="n"/>
      <c r="O235" s="20">
        <f>IF(A235="","",MONTH(A235))</f>
        <v/>
      </c>
      <c r="P235" s="20">
        <f>IF(A235="","",YEAR(A235))</f>
        <v/>
      </c>
      <c r="Q235" s="20">
        <f>IF(A235="","",DAY(A235))</f>
        <v/>
      </c>
    </row>
    <row r="236">
      <c r="A236" s="18" t="n"/>
      <c r="B236" s="15" t="n"/>
      <c r="C236" s="15" t="n"/>
      <c r="D236" s="15" t="n"/>
      <c r="E236" s="15" t="n"/>
      <c r="F236" s="19" t="n"/>
      <c r="G236" s="15" t="n"/>
      <c r="H236" s="15" t="n"/>
      <c r="I236" s="15" t="n"/>
      <c r="J236" s="15" t="n"/>
      <c r="K236" s="15" t="n"/>
      <c r="L236" s="21" t="n"/>
      <c r="M236" s="15" t="n"/>
      <c r="N236" s="15" t="n"/>
      <c r="O236" s="20">
        <f>IF(A236="","",MONTH(A236))</f>
        <v/>
      </c>
      <c r="P236" s="20">
        <f>IF(A236="","",YEAR(A236))</f>
        <v/>
      </c>
      <c r="Q236" s="20">
        <f>IF(A236="","",DAY(A236))</f>
        <v/>
      </c>
    </row>
    <row r="237">
      <c r="A237" s="18" t="n"/>
      <c r="B237" s="15" t="n"/>
      <c r="C237" s="15" t="n"/>
      <c r="D237" s="15" t="n"/>
      <c r="E237" s="15" t="n"/>
      <c r="F237" s="19" t="n"/>
      <c r="G237" s="15" t="n"/>
      <c r="H237" s="15" t="n"/>
      <c r="I237" s="15" t="n"/>
      <c r="J237" s="15" t="n"/>
      <c r="K237" s="15" t="n"/>
      <c r="L237" s="21" t="n"/>
      <c r="M237" s="15" t="n"/>
      <c r="N237" s="15" t="n"/>
      <c r="O237" s="20">
        <f>IF(A237="","",MONTH(A237))</f>
        <v/>
      </c>
      <c r="P237" s="20">
        <f>IF(A237="","",YEAR(A237))</f>
        <v/>
      </c>
      <c r="Q237" s="20">
        <f>IF(A237="","",DAY(A237))</f>
        <v/>
      </c>
    </row>
    <row r="238">
      <c r="A238" s="18" t="n"/>
      <c r="B238" s="15" t="n"/>
      <c r="C238" s="15" t="n"/>
      <c r="D238" s="15" t="n"/>
      <c r="E238" s="15" t="n"/>
      <c r="F238" s="19" t="n"/>
      <c r="G238" s="15" t="n"/>
      <c r="H238" s="15" t="n"/>
      <c r="I238" s="15" t="n"/>
      <c r="J238" s="15" t="n"/>
      <c r="K238" s="15" t="n"/>
      <c r="L238" s="21" t="n"/>
      <c r="M238" s="15" t="n"/>
      <c r="N238" s="15" t="n"/>
      <c r="O238" s="20">
        <f>IF(A238="","",MONTH(A238))</f>
        <v/>
      </c>
      <c r="P238" s="20">
        <f>IF(A238="","",YEAR(A238))</f>
        <v/>
      </c>
      <c r="Q238" s="20">
        <f>IF(A238="","",DAY(A238))</f>
        <v/>
      </c>
    </row>
    <row r="239">
      <c r="A239" s="18" t="n"/>
      <c r="B239" s="15" t="n"/>
      <c r="C239" s="15" t="n"/>
      <c r="D239" s="15" t="n"/>
      <c r="E239" s="15" t="n"/>
      <c r="F239" s="19" t="n"/>
      <c r="G239" s="15" t="n"/>
      <c r="H239" s="15" t="n"/>
      <c r="I239" s="15" t="n"/>
      <c r="J239" s="15" t="n"/>
      <c r="K239" s="15" t="n"/>
      <c r="L239" s="21" t="n"/>
      <c r="M239" s="15" t="n"/>
      <c r="N239" s="15" t="n"/>
      <c r="O239" s="20">
        <f>IF(A239="","",MONTH(A239))</f>
        <v/>
      </c>
      <c r="P239" s="20">
        <f>IF(A239="","",YEAR(A239))</f>
        <v/>
      </c>
      <c r="Q239" s="20">
        <f>IF(A239="","",DAY(A239))</f>
        <v/>
      </c>
    </row>
    <row r="240">
      <c r="A240" s="18" t="n"/>
      <c r="B240" s="15" t="n"/>
      <c r="C240" s="15" t="n"/>
      <c r="D240" s="15" t="n"/>
      <c r="E240" s="15" t="n"/>
      <c r="F240" s="19" t="n"/>
      <c r="G240" s="15" t="n"/>
      <c r="H240" s="15" t="n"/>
      <c r="I240" s="15" t="n"/>
      <c r="J240" s="15" t="n"/>
      <c r="K240" s="15" t="n"/>
      <c r="L240" s="21" t="n"/>
      <c r="M240" s="15" t="n"/>
      <c r="N240" s="15" t="n"/>
      <c r="O240" s="20">
        <f>IF(A240="","",MONTH(A240))</f>
        <v/>
      </c>
      <c r="P240" s="20">
        <f>IF(A240="","",YEAR(A240))</f>
        <v/>
      </c>
      <c r="Q240" s="20">
        <f>IF(A240="","",DAY(A240))</f>
        <v/>
      </c>
    </row>
    <row r="241">
      <c r="A241" s="18" t="n"/>
      <c r="B241" s="15" t="n"/>
      <c r="C241" s="15" t="n"/>
      <c r="D241" s="15" t="n"/>
      <c r="E241" s="15" t="n"/>
      <c r="F241" s="19" t="n"/>
      <c r="G241" s="15" t="n"/>
      <c r="H241" s="15" t="n"/>
      <c r="I241" s="15" t="n"/>
      <c r="J241" s="15" t="n"/>
      <c r="K241" s="15" t="n"/>
      <c r="L241" s="21" t="n"/>
      <c r="M241" s="15" t="n"/>
      <c r="N241" s="15" t="n"/>
      <c r="O241" s="20">
        <f>IF(A241="","",MONTH(A241))</f>
        <v/>
      </c>
      <c r="P241" s="20">
        <f>IF(A241="","",YEAR(A241))</f>
        <v/>
      </c>
      <c r="Q241" s="20">
        <f>IF(A241="","",DAY(A241))</f>
        <v/>
      </c>
    </row>
    <row r="242">
      <c r="A242" s="18" t="n"/>
      <c r="B242" s="15" t="n"/>
      <c r="C242" s="15" t="n"/>
      <c r="D242" s="15" t="n"/>
      <c r="E242" s="15" t="n"/>
      <c r="F242" s="19" t="n"/>
      <c r="G242" s="15" t="n"/>
      <c r="H242" s="15" t="n"/>
      <c r="I242" s="15" t="n"/>
      <c r="J242" s="15" t="n"/>
      <c r="K242" s="15" t="n"/>
      <c r="L242" s="21" t="n"/>
      <c r="M242" s="15" t="n"/>
      <c r="N242" s="15" t="n"/>
      <c r="O242" s="20">
        <f>IF(A242="","",MONTH(A242))</f>
        <v/>
      </c>
      <c r="P242" s="20">
        <f>IF(A242="","",YEAR(A242))</f>
        <v/>
      </c>
      <c r="Q242" s="20">
        <f>IF(A242="","",DAY(A242))</f>
        <v/>
      </c>
    </row>
    <row r="243">
      <c r="A243" s="18" t="n"/>
      <c r="B243" s="15" t="n"/>
      <c r="C243" s="15" t="n"/>
      <c r="D243" s="15" t="n"/>
      <c r="E243" s="15" t="n"/>
      <c r="F243" s="19" t="n"/>
      <c r="G243" s="15" t="n"/>
      <c r="H243" s="15" t="n"/>
      <c r="I243" s="15" t="n"/>
      <c r="J243" s="15" t="n"/>
      <c r="K243" s="15" t="n"/>
      <c r="L243" s="21" t="n"/>
      <c r="M243" s="15" t="n"/>
      <c r="N243" s="15" t="n"/>
      <c r="O243" s="20">
        <f>IF(A243="","",MONTH(A243))</f>
        <v/>
      </c>
      <c r="P243" s="20">
        <f>IF(A243="","",YEAR(A243))</f>
        <v/>
      </c>
      <c r="Q243" s="20">
        <f>IF(A243="","",DAY(A243))</f>
        <v/>
      </c>
    </row>
    <row r="244">
      <c r="A244" s="18" t="n"/>
      <c r="B244" s="15" t="n"/>
      <c r="C244" s="15" t="n"/>
      <c r="D244" s="15" t="n"/>
      <c r="E244" s="15" t="n"/>
      <c r="F244" s="19" t="n"/>
      <c r="G244" s="15" t="n"/>
      <c r="H244" s="15" t="n"/>
      <c r="I244" s="15" t="n"/>
      <c r="J244" s="15" t="n"/>
      <c r="K244" s="15" t="n"/>
      <c r="L244" s="21" t="n"/>
      <c r="M244" s="15" t="n"/>
      <c r="N244" s="15" t="n"/>
      <c r="O244" s="20">
        <f>IF(A244="","",MONTH(A244))</f>
        <v/>
      </c>
      <c r="P244" s="20">
        <f>IF(A244="","",YEAR(A244))</f>
        <v/>
      </c>
      <c r="Q244" s="20">
        <f>IF(A244="","",DAY(A244))</f>
        <v/>
      </c>
    </row>
    <row r="245">
      <c r="A245" s="18" t="n"/>
      <c r="B245" s="15" t="n"/>
      <c r="C245" s="15" t="n"/>
      <c r="D245" s="15" t="n"/>
      <c r="E245" s="15" t="n"/>
      <c r="F245" s="19" t="n"/>
      <c r="G245" s="15" t="n"/>
      <c r="H245" s="15" t="n"/>
      <c r="I245" s="15" t="n"/>
      <c r="J245" s="15" t="n"/>
      <c r="K245" s="15" t="n"/>
      <c r="L245" s="21" t="n"/>
      <c r="M245" s="15" t="n"/>
      <c r="N245" s="15" t="n"/>
      <c r="O245" s="20">
        <f>IF(A245="","",MONTH(A245))</f>
        <v/>
      </c>
      <c r="P245" s="20">
        <f>IF(A245="","",YEAR(A245))</f>
        <v/>
      </c>
      <c r="Q245" s="20">
        <f>IF(A245="","",DAY(A245))</f>
        <v/>
      </c>
    </row>
    <row r="246">
      <c r="A246" s="18" t="n"/>
      <c r="B246" s="15" t="n"/>
      <c r="C246" s="15" t="n"/>
      <c r="D246" s="15" t="n"/>
      <c r="E246" s="15" t="n"/>
      <c r="F246" s="19" t="n"/>
      <c r="G246" s="15" t="n"/>
      <c r="H246" s="15" t="n"/>
      <c r="I246" s="15" t="n"/>
      <c r="J246" s="15" t="n"/>
      <c r="K246" s="15" t="n"/>
      <c r="L246" s="21" t="n"/>
      <c r="M246" s="15" t="n"/>
      <c r="N246" s="15" t="n"/>
      <c r="O246" s="20">
        <f>IF(A246="","",MONTH(A246))</f>
        <v/>
      </c>
      <c r="P246" s="20">
        <f>IF(A246="","",YEAR(A246))</f>
        <v/>
      </c>
      <c r="Q246" s="20">
        <f>IF(A246="","",DAY(A246))</f>
        <v/>
      </c>
    </row>
    <row r="247">
      <c r="A247" s="18" t="n"/>
      <c r="B247" s="15" t="n"/>
      <c r="C247" s="15" t="n"/>
      <c r="D247" s="15" t="n"/>
      <c r="E247" s="15" t="n"/>
      <c r="F247" s="19" t="n"/>
      <c r="G247" s="15" t="n"/>
      <c r="H247" s="15" t="n"/>
      <c r="I247" s="15" t="n"/>
      <c r="J247" s="15" t="n"/>
      <c r="K247" s="15" t="n"/>
      <c r="L247" s="21" t="n"/>
      <c r="M247" s="15" t="n"/>
      <c r="N247" s="15" t="n"/>
      <c r="O247" s="20">
        <f>IF(A247="","",MONTH(A247))</f>
        <v/>
      </c>
      <c r="P247" s="20">
        <f>IF(A247="","",YEAR(A247))</f>
        <v/>
      </c>
      <c r="Q247" s="20">
        <f>IF(A247="","",DAY(A247))</f>
        <v/>
      </c>
    </row>
    <row r="248">
      <c r="A248" s="18" t="n"/>
      <c r="B248" s="15" t="n"/>
      <c r="C248" s="15" t="n"/>
      <c r="D248" s="15" t="n"/>
      <c r="E248" s="15" t="n"/>
      <c r="F248" s="19" t="n"/>
      <c r="G248" s="15" t="n"/>
      <c r="H248" s="15" t="n"/>
      <c r="I248" s="15" t="n"/>
      <c r="J248" s="15" t="n"/>
      <c r="K248" s="15" t="n"/>
      <c r="L248" s="21" t="n"/>
      <c r="M248" s="15" t="n"/>
      <c r="N248" s="15" t="n"/>
      <c r="O248" s="20">
        <f>IF(A248="","",MONTH(A248))</f>
        <v/>
      </c>
      <c r="P248" s="20">
        <f>IF(A248="","",YEAR(A248))</f>
        <v/>
      </c>
      <c r="Q248" s="20">
        <f>IF(A248="","",DAY(A248))</f>
        <v/>
      </c>
    </row>
    <row r="249">
      <c r="A249" s="18" t="n"/>
      <c r="B249" s="15" t="n"/>
      <c r="C249" s="15" t="n"/>
      <c r="D249" s="15" t="n"/>
      <c r="E249" s="15" t="n"/>
      <c r="F249" s="19" t="n"/>
      <c r="G249" s="15" t="n"/>
      <c r="H249" s="15" t="n"/>
      <c r="I249" s="15" t="n"/>
      <c r="J249" s="15" t="n"/>
      <c r="K249" s="15" t="n"/>
      <c r="L249" s="21" t="n"/>
      <c r="M249" s="15" t="n"/>
      <c r="N249" s="15" t="n"/>
      <c r="O249" s="20">
        <f>IF(A249="","",MONTH(A249))</f>
        <v/>
      </c>
      <c r="P249" s="20">
        <f>IF(A249="","",YEAR(A249))</f>
        <v/>
      </c>
      <c r="Q249" s="20">
        <f>IF(A249="","",DAY(A249))</f>
        <v/>
      </c>
    </row>
    <row r="250">
      <c r="A250" s="18" t="n"/>
      <c r="B250" s="15" t="n"/>
      <c r="C250" s="15" t="n"/>
      <c r="D250" s="15" t="n"/>
      <c r="E250" s="15" t="n"/>
      <c r="F250" s="19" t="n"/>
      <c r="G250" s="15" t="n"/>
      <c r="H250" s="15" t="n"/>
      <c r="I250" s="15" t="n"/>
      <c r="J250" s="15" t="n"/>
      <c r="K250" s="15" t="n"/>
      <c r="L250" s="21" t="n"/>
      <c r="M250" s="15" t="n"/>
      <c r="N250" s="15" t="n"/>
      <c r="O250" s="20">
        <f>IF(A250="","",MONTH(A250))</f>
        <v/>
      </c>
      <c r="P250" s="20">
        <f>IF(A250="","",YEAR(A250))</f>
        <v/>
      </c>
      <c r="Q250" s="20">
        <f>IF(A250="","",DAY(A250))</f>
        <v/>
      </c>
    </row>
    <row r="251">
      <c r="A251" s="18" t="n"/>
      <c r="B251" s="15" t="n"/>
      <c r="C251" s="15" t="n"/>
      <c r="D251" s="15" t="n"/>
      <c r="E251" s="15" t="n"/>
      <c r="F251" s="19" t="n"/>
      <c r="G251" s="15" t="n"/>
      <c r="H251" s="15" t="n"/>
      <c r="I251" s="15" t="n"/>
      <c r="J251" s="15" t="n"/>
      <c r="K251" s="15" t="n"/>
      <c r="L251" s="21" t="n"/>
      <c r="M251" s="15" t="n"/>
      <c r="N251" s="15" t="n"/>
      <c r="O251" s="20">
        <f>IF(A251="","",MONTH(A251))</f>
        <v/>
      </c>
      <c r="P251" s="20">
        <f>IF(A251="","",YEAR(A251))</f>
        <v/>
      </c>
      <c r="Q251" s="20">
        <f>IF(A251="","",DAY(A251))</f>
        <v/>
      </c>
    </row>
    <row r="252">
      <c r="A252" s="18" t="n"/>
      <c r="B252" s="15" t="n"/>
      <c r="C252" s="15" t="n"/>
      <c r="D252" s="15" t="n"/>
      <c r="E252" s="15" t="n"/>
      <c r="F252" s="19" t="n"/>
      <c r="G252" s="15" t="n"/>
      <c r="H252" s="15" t="n"/>
      <c r="I252" s="15" t="n"/>
      <c r="J252" s="15" t="n"/>
      <c r="K252" s="15" t="n"/>
      <c r="L252" s="21" t="n"/>
      <c r="M252" s="15" t="n"/>
      <c r="N252" s="15" t="n"/>
      <c r="O252" s="20">
        <f>IF(A252="","",MONTH(A252))</f>
        <v/>
      </c>
      <c r="P252" s="20">
        <f>IF(A252="","",YEAR(A252))</f>
        <v/>
      </c>
      <c r="Q252" s="20">
        <f>IF(A252="","",DAY(A252))</f>
        <v/>
      </c>
    </row>
    <row r="253">
      <c r="A253" s="18" t="n"/>
      <c r="B253" s="15" t="n"/>
      <c r="C253" s="15" t="n"/>
      <c r="D253" s="15" t="n"/>
      <c r="E253" s="15" t="n"/>
      <c r="F253" s="19" t="n"/>
      <c r="G253" s="15" t="n"/>
      <c r="H253" s="15" t="n"/>
      <c r="I253" s="15" t="n"/>
      <c r="J253" s="15" t="n"/>
      <c r="K253" s="15" t="n"/>
      <c r="L253" s="21" t="n"/>
      <c r="M253" s="15" t="n"/>
      <c r="N253" s="15" t="n"/>
      <c r="O253" s="20">
        <f>IF(A253="","",MONTH(A253))</f>
        <v/>
      </c>
      <c r="P253" s="20">
        <f>IF(A253="","",YEAR(A253))</f>
        <v/>
      </c>
      <c r="Q253" s="20">
        <f>IF(A253="","",DAY(A253))</f>
        <v/>
      </c>
    </row>
    <row r="254">
      <c r="A254" s="18" t="n"/>
      <c r="B254" s="15" t="n"/>
      <c r="C254" s="15" t="n"/>
      <c r="D254" s="15" t="n"/>
      <c r="E254" s="15" t="n"/>
      <c r="F254" s="19" t="n"/>
      <c r="G254" s="15" t="n"/>
      <c r="H254" s="15" t="n"/>
      <c r="I254" s="15" t="n"/>
      <c r="J254" s="15" t="n"/>
      <c r="K254" s="15" t="n"/>
      <c r="L254" s="21" t="n"/>
      <c r="M254" s="15" t="n"/>
      <c r="N254" s="15" t="n"/>
      <c r="O254" s="20">
        <f>IF(A254="","",MONTH(A254))</f>
        <v/>
      </c>
      <c r="P254" s="20">
        <f>IF(A254="","",YEAR(A254))</f>
        <v/>
      </c>
      <c r="Q254" s="20">
        <f>IF(A254="","",DAY(A254))</f>
        <v/>
      </c>
    </row>
    <row r="255">
      <c r="A255" s="18" t="n"/>
      <c r="B255" s="15" t="n"/>
      <c r="C255" s="15" t="n"/>
      <c r="D255" s="15" t="n"/>
      <c r="E255" s="15" t="n"/>
      <c r="F255" s="19" t="n"/>
      <c r="G255" s="15" t="n"/>
      <c r="H255" s="15" t="n"/>
      <c r="I255" s="15" t="n"/>
      <c r="J255" s="15" t="n"/>
      <c r="K255" s="15" t="n"/>
      <c r="L255" s="21" t="n"/>
      <c r="M255" s="15" t="n"/>
      <c r="N255" s="15" t="n"/>
      <c r="O255" s="20">
        <f>IF(A255="","",MONTH(A255))</f>
        <v/>
      </c>
      <c r="P255" s="20">
        <f>IF(A255="","",YEAR(A255))</f>
        <v/>
      </c>
      <c r="Q255" s="20">
        <f>IF(A255="","",DAY(A255))</f>
        <v/>
      </c>
    </row>
    <row r="256">
      <c r="A256" s="18" t="n"/>
      <c r="B256" s="15" t="n"/>
      <c r="C256" s="15" t="n"/>
      <c r="D256" s="15" t="n"/>
      <c r="E256" s="15" t="n"/>
      <c r="F256" s="19" t="n"/>
      <c r="G256" s="15" t="n"/>
      <c r="H256" s="15" t="n"/>
      <c r="I256" s="15" t="n"/>
      <c r="J256" s="15" t="n"/>
      <c r="K256" s="15" t="n"/>
      <c r="L256" s="21" t="n"/>
      <c r="M256" s="15" t="n"/>
      <c r="N256" s="15" t="n"/>
      <c r="O256" s="20">
        <f>IF(A256="","",MONTH(A256))</f>
        <v/>
      </c>
      <c r="P256" s="20">
        <f>IF(A256="","",YEAR(A256))</f>
        <v/>
      </c>
      <c r="Q256" s="20">
        <f>IF(A256="","",DAY(A256))</f>
        <v/>
      </c>
    </row>
    <row r="257">
      <c r="A257" s="18" t="n"/>
      <c r="B257" s="15" t="n"/>
      <c r="C257" s="15" t="n"/>
      <c r="D257" s="15" t="n"/>
      <c r="E257" s="15" t="n"/>
      <c r="F257" s="19" t="n"/>
      <c r="G257" s="15" t="n"/>
      <c r="H257" s="15" t="n"/>
      <c r="I257" s="15" t="n"/>
      <c r="J257" s="15" t="n"/>
      <c r="K257" s="15" t="n"/>
      <c r="L257" s="21" t="n"/>
      <c r="M257" s="15" t="n"/>
      <c r="N257" s="15" t="n"/>
      <c r="O257" s="20">
        <f>IF(A257="","",MONTH(A257))</f>
        <v/>
      </c>
      <c r="P257" s="20">
        <f>IF(A257="","",YEAR(A257))</f>
        <v/>
      </c>
      <c r="Q257" s="20">
        <f>IF(A257="","",DAY(A257))</f>
        <v/>
      </c>
    </row>
    <row r="258">
      <c r="A258" s="18" t="n"/>
      <c r="B258" s="15" t="n"/>
      <c r="C258" s="15" t="n"/>
      <c r="D258" s="15" t="n"/>
      <c r="E258" s="15" t="n"/>
      <c r="F258" s="19" t="n"/>
      <c r="G258" s="15" t="n"/>
      <c r="H258" s="15" t="n"/>
      <c r="I258" s="15" t="n"/>
      <c r="J258" s="15" t="n"/>
      <c r="K258" s="15" t="n"/>
      <c r="L258" s="21" t="n"/>
      <c r="M258" s="15" t="n"/>
      <c r="N258" s="15" t="n"/>
      <c r="O258" s="20">
        <f>IF(A258="","",MONTH(A258))</f>
        <v/>
      </c>
      <c r="P258" s="20">
        <f>IF(A258="","",YEAR(A258))</f>
        <v/>
      </c>
      <c r="Q258" s="20">
        <f>IF(A258="","",DAY(A258))</f>
        <v/>
      </c>
    </row>
    <row r="259">
      <c r="A259" s="18" t="n"/>
      <c r="B259" s="15" t="n"/>
      <c r="C259" s="15" t="n"/>
      <c r="D259" s="15" t="n"/>
      <c r="E259" s="15" t="n"/>
      <c r="F259" s="19" t="n"/>
      <c r="G259" s="15" t="n"/>
      <c r="H259" s="15" t="n"/>
      <c r="I259" s="15" t="n"/>
      <c r="J259" s="15" t="n"/>
      <c r="K259" s="15" t="n"/>
      <c r="L259" s="21" t="n"/>
      <c r="M259" s="15" t="n"/>
      <c r="N259" s="15" t="n"/>
      <c r="O259" s="20">
        <f>IF(A259="","",MONTH(A259))</f>
        <v/>
      </c>
      <c r="P259" s="20">
        <f>IF(A259="","",YEAR(A259))</f>
        <v/>
      </c>
      <c r="Q259" s="20">
        <f>IF(A259="","",DAY(A259))</f>
        <v/>
      </c>
    </row>
    <row r="260">
      <c r="A260" s="18" t="n"/>
      <c r="B260" s="15" t="n"/>
      <c r="C260" s="15" t="n"/>
      <c r="D260" s="15" t="n"/>
      <c r="E260" s="15" t="n"/>
      <c r="F260" s="19" t="n"/>
      <c r="G260" s="15" t="n"/>
      <c r="H260" s="15" t="n"/>
      <c r="I260" s="15" t="n"/>
      <c r="J260" s="15" t="n"/>
      <c r="K260" s="15" t="n"/>
      <c r="L260" s="21" t="n"/>
      <c r="M260" s="15" t="n"/>
      <c r="N260" s="15" t="n"/>
      <c r="O260" s="20">
        <f>IF(A260="","",MONTH(A260))</f>
        <v/>
      </c>
      <c r="P260" s="20">
        <f>IF(A260="","",YEAR(A260))</f>
        <v/>
      </c>
      <c r="Q260" s="20">
        <f>IF(A260="","",DAY(A260))</f>
        <v/>
      </c>
    </row>
    <row r="261">
      <c r="A261" s="18" t="n"/>
      <c r="B261" s="15" t="n"/>
      <c r="C261" s="15" t="n"/>
      <c r="D261" s="15" t="n"/>
      <c r="E261" s="15" t="n"/>
      <c r="F261" s="19" t="n"/>
      <c r="G261" s="15" t="n"/>
      <c r="H261" s="15" t="n"/>
      <c r="I261" s="15" t="n"/>
      <c r="J261" s="15" t="n"/>
      <c r="K261" s="15" t="n"/>
      <c r="L261" s="21" t="n"/>
      <c r="M261" s="15" t="n"/>
      <c r="N261" s="15" t="n"/>
      <c r="O261" s="20">
        <f>IF(A261="","",MONTH(A261))</f>
        <v/>
      </c>
      <c r="P261" s="20">
        <f>IF(A261="","",YEAR(A261))</f>
        <v/>
      </c>
      <c r="Q261" s="20">
        <f>IF(A261="","",DAY(A261))</f>
        <v/>
      </c>
    </row>
    <row r="262">
      <c r="A262" s="18" t="n"/>
      <c r="B262" s="15" t="n"/>
      <c r="C262" s="15" t="n"/>
      <c r="D262" s="15" t="n"/>
      <c r="E262" s="15" t="n"/>
      <c r="F262" s="19" t="n"/>
      <c r="G262" s="15" t="n"/>
      <c r="H262" s="15" t="n"/>
      <c r="I262" s="15" t="n"/>
      <c r="J262" s="15" t="n"/>
      <c r="K262" s="15" t="n"/>
      <c r="L262" s="21" t="n"/>
      <c r="M262" s="15" t="n"/>
      <c r="N262" s="15" t="n"/>
      <c r="O262" s="20">
        <f>IF(A262="","",MONTH(A262))</f>
        <v/>
      </c>
      <c r="P262" s="20">
        <f>IF(A262="","",YEAR(A262))</f>
        <v/>
      </c>
      <c r="Q262" s="20">
        <f>IF(A262="","",DAY(A262))</f>
        <v/>
      </c>
    </row>
    <row r="263">
      <c r="A263" s="18" t="n"/>
      <c r="B263" s="15" t="n"/>
      <c r="C263" s="15" t="n"/>
      <c r="D263" s="15" t="n"/>
      <c r="E263" s="15" t="n"/>
      <c r="F263" s="19" t="n"/>
      <c r="G263" s="15" t="n"/>
      <c r="H263" s="15" t="n"/>
      <c r="I263" s="15" t="n"/>
      <c r="J263" s="15" t="n"/>
      <c r="K263" s="15" t="n"/>
      <c r="L263" s="21" t="n"/>
      <c r="M263" s="15" t="n"/>
      <c r="N263" s="15" t="n"/>
      <c r="O263" s="20">
        <f>IF(A263="","",MONTH(A263))</f>
        <v/>
      </c>
      <c r="P263" s="20">
        <f>IF(A263="","",YEAR(A263))</f>
        <v/>
      </c>
      <c r="Q263" s="20">
        <f>IF(A263="","",DAY(A263))</f>
        <v/>
      </c>
    </row>
    <row r="264">
      <c r="A264" s="18" t="n"/>
      <c r="B264" s="15" t="n"/>
      <c r="C264" s="15" t="n"/>
      <c r="D264" s="15" t="n"/>
      <c r="E264" s="15" t="n"/>
      <c r="F264" s="19" t="n"/>
      <c r="G264" s="15" t="n"/>
      <c r="H264" s="15" t="n"/>
      <c r="I264" s="15" t="n"/>
      <c r="J264" s="15" t="n"/>
      <c r="K264" s="15" t="n"/>
      <c r="L264" s="21" t="n"/>
      <c r="M264" s="15" t="n"/>
      <c r="N264" s="15" t="n"/>
      <c r="O264" s="20">
        <f>IF(A264="","",MONTH(A264))</f>
        <v/>
      </c>
      <c r="P264" s="20">
        <f>IF(A264="","",YEAR(A264))</f>
        <v/>
      </c>
      <c r="Q264" s="20">
        <f>IF(A264="","",DAY(A264))</f>
        <v/>
      </c>
    </row>
    <row r="265">
      <c r="A265" s="18" t="n"/>
      <c r="B265" s="15" t="n"/>
      <c r="C265" s="15" t="n"/>
      <c r="D265" s="15" t="n"/>
      <c r="E265" s="15" t="n"/>
      <c r="F265" s="19" t="n"/>
      <c r="G265" s="15" t="n"/>
      <c r="H265" s="15" t="n"/>
      <c r="I265" s="15" t="n"/>
      <c r="J265" s="15" t="n"/>
      <c r="K265" s="15" t="n"/>
      <c r="L265" s="21" t="n"/>
      <c r="M265" s="15" t="n"/>
      <c r="N265" s="15" t="n"/>
      <c r="O265" s="20">
        <f>IF(A265="","",MONTH(A265))</f>
        <v/>
      </c>
      <c r="P265" s="20">
        <f>IF(A265="","",YEAR(A265))</f>
        <v/>
      </c>
      <c r="Q265" s="20">
        <f>IF(A265="","",DAY(A265))</f>
        <v/>
      </c>
    </row>
    <row r="266">
      <c r="A266" s="18" t="n"/>
      <c r="B266" s="15" t="n"/>
      <c r="C266" s="15" t="n"/>
      <c r="D266" s="15" t="n"/>
      <c r="E266" s="15" t="n"/>
      <c r="F266" s="19" t="n"/>
      <c r="G266" s="15" t="n"/>
      <c r="H266" s="15" t="n"/>
      <c r="I266" s="15" t="n"/>
      <c r="J266" s="15" t="n"/>
      <c r="K266" s="15" t="n"/>
      <c r="L266" s="21" t="n"/>
      <c r="M266" s="15" t="n"/>
      <c r="N266" s="15" t="n"/>
      <c r="O266" s="20">
        <f>IF(A266="","",MONTH(A266))</f>
        <v/>
      </c>
      <c r="P266" s="20">
        <f>IF(A266="","",YEAR(A266))</f>
        <v/>
      </c>
      <c r="Q266" s="20">
        <f>IF(A266="","",DAY(A266))</f>
        <v/>
      </c>
    </row>
    <row r="267">
      <c r="A267" s="18" t="n"/>
      <c r="B267" s="15" t="n"/>
      <c r="C267" s="15" t="n"/>
      <c r="D267" s="15" t="n"/>
      <c r="E267" s="15" t="n"/>
      <c r="F267" s="19" t="n"/>
      <c r="G267" s="15" t="n"/>
      <c r="H267" s="15" t="n"/>
      <c r="I267" s="15" t="n"/>
      <c r="J267" s="15" t="n"/>
      <c r="K267" s="15" t="n"/>
      <c r="L267" s="21" t="n"/>
      <c r="M267" s="15" t="n"/>
      <c r="N267" s="15" t="n"/>
      <c r="O267" s="20">
        <f>IF(A267="","",MONTH(A267))</f>
        <v/>
      </c>
      <c r="P267" s="20">
        <f>IF(A267="","",YEAR(A267))</f>
        <v/>
      </c>
      <c r="Q267" s="20">
        <f>IF(A267="","",DAY(A267))</f>
        <v/>
      </c>
    </row>
    <row r="268">
      <c r="A268" s="18" t="n"/>
      <c r="B268" s="15" t="n"/>
      <c r="C268" s="15" t="n"/>
      <c r="D268" s="15" t="n"/>
      <c r="E268" s="15" t="n"/>
      <c r="F268" s="19" t="n"/>
      <c r="G268" s="15" t="n"/>
      <c r="H268" s="15" t="n"/>
      <c r="I268" s="15" t="n"/>
      <c r="J268" s="15" t="n"/>
      <c r="K268" s="15" t="n"/>
      <c r="L268" s="21" t="n"/>
      <c r="M268" s="15" t="n"/>
      <c r="N268" s="15" t="n"/>
      <c r="O268" s="20">
        <f>IF(A268="","",MONTH(A268))</f>
        <v/>
      </c>
      <c r="P268" s="20">
        <f>IF(A268="","",YEAR(A268))</f>
        <v/>
      </c>
      <c r="Q268" s="20">
        <f>IF(A268="","",DAY(A268))</f>
        <v/>
      </c>
    </row>
    <row r="269">
      <c r="A269" s="18" t="n"/>
      <c r="B269" s="15" t="n"/>
      <c r="C269" s="15" t="n"/>
      <c r="D269" s="15" t="n"/>
      <c r="E269" s="15" t="n"/>
      <c r="F269" s="19" t="n"/>
      <c r="G269" s="15" t="n"/>
      <c r="H269" s="15" t="n"/>
      <c r="I269" s="15" t="n"/>
      <c r="J269" s="15" t="n"/>
      <c r="K269" s="15" t="n"/>
      <c r="L269" s="21" t="n"/>
      <c r="M269" s="15" t="n"/>
      <c r="N269" s="15" t="n"/>
      <c r="O269" s="20">
        <f>IF(A269="","",MONTH(A269))</f>
        <v/>
      </c>
      <c r="P269" s="20">
        <f>IF(A269="","",YEAR(A269))</f>
        <v/>
      </c>
      <c r="Q269" s="20">
        <f>IF(A269="","",DAY(A269))</f>
        <v/>
      </c>
    </row>
    <row r="270">
      <c r="A270" s="18" t="n"/>
      <c r="B270" s="15" t="n"/>
      <c r="C270" s="15" t="n"/>
      <c r="D270" s="15" t="n"/>
      <c r="E270" s="15" t="n"/>
      <c r="F270" s="19" t="n"/>
      <c r="G270" s="15" t="n"/>
      <c r="H270" s="15" t="n"/>
      <c r="I270" s="15" t="n"/>
      <c r="J270" s="15" t="n"/>
      <c r="K270" s="15" t="n"/>
      <c r="L270" s="21" t="n"/>
      <c r="M270" s="15" t="n"/>
      <c r="N270" s="15" t="n"/>
      <c r="O270" s="20">
        <f>IF(A270="","",MONTH(A270))</f>
        <v/>
      </c>
      <c r="P270" s="20">
        <f>IF(A270="","",YEAR(A270))</f>
        <v/>
      </c>
      <c r="Q270" s="20">
        <f>IF(A270="","",DAY(A270))</f>
        <v/>
      </c>
    </row>
    <row r="271">
      <c r="A271" s="18" t="n"/>
      <c r="B271" s="15" t="n"/>
      <c r="C271" s="15" t="n"/>
      <c r="D271" s="15" t="n"/>
      <c r="E271" s="15" t="n"/>
      <c r="F271" s="19" t="n"/>
      <c r="G271" s="15" t="n"/>
      <c r="H271" s="15" t="n"/>
      <c r="I271" s="15" t="n"/>
      <c r="J271" s="15" t="n"/>
      <c r="K271" s="15" t="n"/>
      <c r="L271" s="21" t="n"/>
      <c r="M271" s="15" t="n"/>
      <c r="N271" s="15" t="n"/>
      <c r="O271" s="20">
        <f>IF(A271="","",MONTH(A271))</f>
        <v/>
      </c>
      <c r="P271" s="20">
        <f>IF(A271="","",YEAR(A271))</f>
        <v/>
      </c>
      <c r="Q271" s="20">
        <f>IF(A271="","",DAY(A271))</f>
        <v/>
      </c>
    </row>
    <row r="272">
      <c r="A272" s="18" t="n"/>
      <c r="B272" s="15" t="n"/>
      <c r="C272" s="15" t="n"/>
      <c r="D272" s="15" t="n"/>
      <c r="E272" s="15" t="n"/>
      <c r="F272" s="19" t="n"/>
      <c r="G272" s="15" t="n"/>
      <c r="H272" s="15" t="n"/>
      <c r="I272" s="15" t="n"/>
      <c r="J272" s="15" t="n"/>
      <c r="K272" s="15" t="n"/>
      <c r="L272" s="21" t="n"/>
      <c r="M272" s="15" t="n"/>
      <c r="N272" s="15" t="n"/>
      <c r="O272" s="20">
        <f>IF(A272="","",MONTH(A272))</f>
        <v/>
      </c>
      <c r="P272" s="20">
        <f>IF(A272="","",YEAR(A272))</f>
        <v/>
      </c>
      <c r="Q272" s="20">
        <f>IF(A272="","",DAY(A272))</f>
        <v/>
      </c>
    </row>
    <row r="273">
      <c r="A273" s="18" t="n"/>
      <c r="B273" s="15" t="n"/>
      <c r="C273" s="15" t="n"/>
      <c r="D273" s="15" t="n"/>
      <c r="E273" s="15" t="n"/>
      <c r="F273" s="19" t="n"/>
      <c r="G273" s="15" t="n"/>
      <c r="H273" s="15" t="n"/>
      <c r="I273" s="15" t="n"/>
      <c r="J273" s="15" t="n"/>
      <c r="K273" s="15" t="n"/>
      <c r="L273" s="21" t="n"/>
      <c r="M273" s="15" t="n"/>
      <c r="N273" s="15" t="n"/>
      <c r="O273" s="20">
        <f>IF(A273="","",MONTH(A273))</f>
        <v/>
      </c>
      <c r="P273" s="20">
        <f>IF(A273="","",YEAR(A273))</f>
        <v/>
      </c>
      <c r="Q273" s="20">
        <f>IF(A273="","",DAY(A273))</f>
        <v/>
      </c>
    </row>
    <row r="274">
      <c r="A274" s="18" t="n"/>
      <c r="B274" s="15" t="n"/>
      <c r="C274" s="15" t="n"/>
      <c r="D274" s="15" t="n"/>
      <c r="E274" s="15" t="n"/>
      <c r="F274" s="19" t="n"/>
      <c r="G274" s="15" t="n"/>
      <c r="H274" s="15" t="n"/>
      <c r="I274" s="15" t="n"/>
      <c r="J274" s="15" t="n"/>
      <c r="K274" s="15" t="n"/>
      <c r="L274" s="21" t="n"/>
      <c r="M274" s="15" t="n"/>
      <c r="N274" s="15" t="n"/>
      <c r="O274" s="20">
        <f>IF(A274="","",MONTH(A274))</f>
        <v/>
      </c>
      <c r="P274" s="20">
        <f>IF(A274="","",YEAR(A274))</f>
        <v/>
      </c>
      <c r="Q274" s="20">
        <f>IF(A274="","",DAY(A274))</f>
        <v/>
      </c>
    </row>
    <row r="275">
      <c r="A275" s="18" t="n"/>
      <c r="B275" s="15" t="n"/>
      <c r="C275" s="15" t="n"/>
      <c r="D275" s="15" t="n"/>
      <c r="E275" s="15" t="n"/>
      <c r="F275" s="19" t="n"/>
      <c r="G275" s="15" t="n"/>
      <c r="H275" s="15" t="n"/>
      <c r="I275" s="15" t="n"/>
      <c r="J275" s="15" t="n"/>
      <c r="K275" s="15" t="n"/>
      <c r="L275" s="21" t="n"/>
      <c r="M275" s="15" t="n"/>
      <c r="N275" s="15" t="n"/>
      <c r="O275" s="20">
        <f>IF(A275="","",MONTH(A275))</f>
        <v/>
      </c>
      <c r="P275" s="20">
        <f>IF(A275="","",YEAR(A275))</f>
        <v/>
      </c>
      <c r="Q275" s="20">
        <f>IF(A275="","",DAY(A275))</f>
        <v/>
      </c>
    </row>
    <row r="276">
      <c r="A276" s="18" t="n"/>
      <c r="B276" s="15" t="n"/>
      <c r="C276" s="15" t="n"/>
      <c r="D276" s="15" t="n"/>
      <c r="E276" s="15" t="n"/>
      <c r="F276" s="19" t="n"/>
      <c r="G276" s="15" t="n"/>
      <c r="H276" s="15" t="n"/>
      <c r="I276" s="15" t="n"/>
      <c r="J276" s="15" t="n"/>
      <c r="K276" s="15" t="n"/>
      <c r="L276" s="21" t="n"/>
      <c r="M276" s="15" t="n"/>
      <c r="N276" s="15" t="n"/>
      <c r="O276" s="20">
        <f>IF(A276="","",MONTH(A276))</f>
        <v/>
      </c>
      <c r="P276" s="20">
        <f>IF(A276="","",YEAR(A276))</f>
        <v/>
      </c>
      <c r="Q276" s="20">
        <f>IF(A276="","",DAY(A276))</f>
        <v/>
      </c>
    </row>
    <row r="277">
      <c r="A277" s="18" t="n"/>
      <c r="B277" s="15" t="n"/>
      <c r="C277" s="15" t="n"/>
      <c r="D277" s="15" t="n"/>
      <c r="E277" s="15" t="n"/>
      <c r="F277" s="19" t="n"/>
      <c r="G277" s="15" t="n"/>
      <c r="H277" s="15" t="n"/>
      <c r="I277" s="15" t="n"/>
      <c r="J277" s="15" t="n"/>
      <c r="K277" s="15" t="n"/>
      <c r="L277" s="21" t="n"/>
      <c r="M277" s="15" t="n"/>
      <c r="N277" s="15" t="n"/>
      <c r="O277" s="20">
        <f>IF(A277="","",MONTH(A277))</f>
        <v/>
      </c>
      <c r="P277" s="20">
        <f>IF(A277="","",YEAR(A277))</f>
        <v/>
      </c>
      <c r="Q277" s="20">
        <f>IF(A277="","",DAY(A277))</f>
        <v/>
      </c>
    </row>
    <row r="278">
      <c r="A278" s="18" t="n"/>
      <c r="B278" s="15" t="n"/>
      <c r="C278" s="15" t="n"/>
      <c r="D278" s="15" t="n"/>
      <c r="E278" s="15" t="n"/>
      <c r="F278" s="19" t="n"/>
      <c r="G278" s="15" t="n"/>
      <c r="H278" s="15" t="n"/>
      <c r="I278" s="15" t="n"/>
      <c r="J278" s="15" t="n"/>
      <c r="K278" s="15" t="n"/>
      <c r="L278" s="21" t="n"/>
      <c r="M278" s="15" t="n"/>
      <c r="N278" s="15" t="n"/>
      <c r="O278" s="20">
        <f>IF(A278="","",MONTH(A278))</f>
        <v/>
      </c>
      <c r="P278" s="20">
        <f>IF(A278="","",YEAR(A278))</f>
        <v/>
      </c>
      <c r="Q278" s="20">
        <f>IF(A278="","",DAY(A278))</f>
        <v/>
      </c>
    </row>
    <row r="279">
      <c r="A279" s="18" t="n"/>
      <c r="B279" s="15" t="n"/>
      <c r="C279" s="15" t="n"/>
      <c r="D279" s="15" t="n"/>
      <c r="E279" s="15" t="n"/>
      <c r="F279" s="19" t="n"/>
      <c r="G279" s="15" t="n"/>
      <c r="H279" s="15" t="n"/>
      <c r="I279" s="15" t="n"/>
      <c r="J279" s="15" t="n"/>
      <c r="K279" s="15" t="n"/>
      <c r="L279" s="21" t="n"/>
      <c r="M279" s="15" t="n"/>
      <c r="N279" s="15" t="n"/>
      <c r="O279" s="20">
        <f>IF(A279="","",MONTH(A279))</f>
        <v/>
      </c>
      <c r="P279" s="20">
        <f>IF(A279="","",YEAR(A279))</f>
        <v/>
      </c>
      <c r="Q279" s="20">
        <f>IF(A279="","",DAY(A279))</f>
        <v/>
      </c>
    </row>
    <row r="280">
      <c r="A280" s="18" t="n"/>
      <c r="B280" s="15" t="n"/>
      <c r="C280" s="15" t="n"/>
      <c r="D280" s="15" t="n"/>
      <c r="E280" s="15" t="n"/>
      <c r="F280" s="19" t="n"/>
      <c r="G280" s="15" t="n"/>
      <c r="H280" s="15" t="n"/>
      <c r="I280" s="15" t="n"/>
      <c r="J280" s="15" t="n"/>
      <c r="K280" s="15" t="n"/>
      <c r="L280" s="21" t="n"/>
      <c r="M280" s="15" t="n"/>
      <c r="N280" s="15" t="n"/>
      <c r="O280" s="20">
        <f>IF(A280="","",MONTH(A280))</f>
        <v/>
      </c>
      <c r="P280" s="20">
        <f>IF(A280="","",YEAR(A280))</f>
        <v/>
      </c>
      <c r="Q280" s="20">
        <f>IF(A280="","",DAY(A280))</f>
        <v/>
      </c>
    </row>
    <row r="281">
      <c r="A281" s="18" t="n"/>
      <c r="B281" s="15" t="n"/>
      <c r="C281" s="15" t="n"/>
      <c r="D281" s="15" t="n"/>
      <c r="E281" s="15" t="n"/>
      <c r="F281" s="19" t="n"/>
      <c r="G281" s="15" t="n"/>
      <c r="H281" s="15" t="n"/>
      <c r="I281" s="15" t="n"/>
      <c r="J281" s="15" t="n"/>
      <c r="K281" s="15" t="n"/>
      <c r="L281" s="21" t="n"/>
      <c r="M281" s="15" t="n"/>
      <c r="N281" s="15" t="n"/>
      <c r="O281" s="20">
        <f>IF(A281="","",MONTH(A281))</f>
        <v/>
      </c>
      <c r="P281" s="20">
        <f>IF(A281="","",YEAR(A281))</f>
        <v/>
      </c>
      <c r="Q281" s="20">
        <f>IF(A281="","",DAY(A281))</f>
        <v/>
      </c>
    </row>
    <row r="282">
      <c r="A282" s="18" t="n"/>
      <c r="B282" s="15" t="n"/>
      <c r="C282" s="15" t="n"/>
      <c r="D282" s="15" t="n"/>
      <c r="E282" s="15" t="n"/>
      <c r="F282" s="19" t="n"/>
      <c r="G282" s="15" t="n"/>
      <c r="H282" s="15" t="n"/>
      <c r="I282" s="15" t="n"/>
      <c r="J282" s="15" t="n"/>
      <c r="K282" s="15" t="n"/>
      <c r="L282" s="21" t="n"/>
      <c r="M282" s="15" t="n"/>
      <c r="N282" s="15" t="n"/>
      <c r="O282" s="20">
        <f>IF(A282="","",MONTH(A282))</f>
        <v/>
      </c>
      <c r="P282" s="20">
        <f>IF(A282="","",YEAR(A282))</f>
        <v/>
      </c>
      <c r="Q282" s="20">
        <f>IF(A282="","",DAY(A282))</f>
        <v/>
      </c>
    </row>
    <row r="283">
      <c r="A283" s="18" t="n"/>
      <c r="B283" s="15" t="n"/>
      <c r="C283" s="15" t="n"/>
      <c r="D283" s="15" t="n"/>
      <c r="E283" s="15" t="n"/>
      <c r="F283" s="19" t="n"/>
      <c r="G283" s="15" t="n"/>
      <c r="H283" s="15" t="n"/>
      <c r="I283" s="15" t="n"/>
      <c r="J283" s="15" t="n"/>
      <c r="K283" s="15" t="n"/>
      <c r="L283" s="21" t="n"/>
      <c r="M283" s="15" t="n"/>
      <c r="N283" s="15" t="n"/>
      <c r="O283" s="20">
        <f>IF(A283="","",MONTH(A283))</f>
        <v/>
      </c>
      <c r="P283" s="20">
        <f>IF(A283="","",YEAR(A283))</f>
        <v/>
      </c>
      <c r="Q283" s="20">
        <f>IF(A283="","",DAY(A283))</f>
        <v/>
      </c>
    </row>
    <row r="284">
      <c r="A284" s="18" t="n"/>
      <c r="B284" s="15" t="n"/>
      <c r="C284" s="15" t="n"/>
      <c r="D284" s="15" t="n"/>
      <c r="E284" s="15" t="n"/>
      <c r="F284" s="19" t="n"/>
      <c r="G284" s="15" t="n"/>
      <c r="H284" s="15" t="n"/>
      <c r="I284" s="15" t="n"/>
      <c r="J284" s="15" t="n"/>
      <c r="K284" s="15" t="n"/>
      <c r="L284" s="21" t="n"/>
      <c r="M284" s="15" t="n"/>
      <c r="N284" s="15" t="n"/>
      <c r="O284" s="20">
        <f>IF(A284="","",MONTH(A284))</f>
        <v/>
      </c>
      <c r="P284" s="20">
        <f>IF(A284="","",YEAR(A284))</f>
        <v/>
      </c>
      <c r="Q284" s="20">
        <f>IF(A284="","",DAY(A284))</f>
        <v/>
      </c>
    </row>
    <row r="285">
      <c r="A285" s="18" t="n"/>
      <c r="B285" s="15" t="n"/>
      <c r="C285" s="15" t="n"/>
      <c r="D285" s="15" t="n"/>
      <c r="E285" s="15" t="n"/>
      <c r="F285" s="19" t="n"/>
      <c r="G285" s="15" t="n"/>
      <c r="H285" s="15" t="n"/>
      <c r="I285" s="15" t="n"/>
      <c r="J285" s="15" t="n"/>
      <c r="K285" s="15" t="n"/>
      <c r="L285" s="21" t="n"/>
      <c r="M285" s="15" t="n"/>
      <c r="N285" s="15" t="n"/>
      <c r="O285" s="20">
        <f>IF(A285="","",MONTH(A285))</f>
        <v/>
      </c>
      <c r="P285" s="20">
        <f>IF(A285="","",YEAR(A285))</f>
        <v/>
      </c>
      <c r="Q285" s="20">
        <f>IF(A285="","",DAY(A285))</f>
        <v/>
      </c>
    </row>
    <row r="286">
      <c r="A286" s="18" t="n"/>
      <c r="B286" s="15" t="n"/>
      <c r="C286" s="15" t="n"/>
      <c r="D286" s="15" t="n"/>
      <c r="E286" s="15" t="n"/>
      <c r="F286" s="19" t="n"/>
      <c r="G286" s="15" t="n"/>
      <c r="H286" s="15" t="n"/>
      <c r="I286" s="15" t="n"/>
      <c r="J286" s="15" t="n"/>
      <c r="K286" s="15" t="n"/>
      <c r="L286" s="21" t="n"/>
      <c r="M286" s="15" t="n"/>
      <c r="N286" s="15" t="n"/>
      <c r="O286" s="20">
        <f>IF(A286="","",MONTH(A286))</f>
        <v/>
      </c>
      <c r="P286" s="20">
        <f>IF(A286="","",YEAR(A286))</f>
        <v/>
      </c>
      <c r="Q286" s="20">
        <f>IF(A286="","",DAY(A286))</f>
        <v/>
      </c>
    </row>
    <row r="287">
      <c r="A287" s="18" t="n"/>
      <c r="B287" s="15" t="n"/>
      <c r="C287" s="15" t="n"/>
      <c r="D287" s="15" t="n"/>
      <c r="E287" s="15" t="n"/>
      <c r="F287" s="19" t="n"/>
      <c r="G287" s="15" t="n"/>
      <c r="H287" s="15" t="n"/>
      <c r="I287" s="15" t="n"/>
      <c r="J287" s="15" t="n"/>
      <c r="K287" s="15" t="n"/>
      <c r="L287" s="21" t="n"/>
      <c r="M287" s="15" t="n"/>
      <c r="N287" s="15" t="n"/>
      <c r="O287" s="20">
        <f>IF(A287="","",MONTH(A287))</f>
        <v/>
      </c>
      <c r="P287" s="20">
        <f>IF(A287="","",YEAR(A287))</f>
        <v/>
      </c>
      <c r="Q287" s="20">
        <f>IF(A287="","",DAY(A287))</f>
        <v/>
      </c>
    </row>
    <row r="288">
      <c r="A288" s="18" t="n"/>
      <c r="B288" s="15" t="n"/>
      <c r="C288" s="15" t="n"/>
      <c r="D288" s="15" t="n"/>
      <c r="E288" s="15" t="n"/>
      <c r="F288" s="19" t="n"/>
      <c r="G288" s="15" t="n"/>
      <c r="H288" s="15" t="n"/>
      <c r="I288" s="15" t="n"/>
      <c r="J288" s="15" t="n"/>
      <c r="K288" s="15" t="n"/>
      <c r="L288" s="21" t="n"/>
      <c r="M288" s="15" t="n"/>
      <c r="N288" s="15" t="n"/>
      <c r="O288" s="20">
        <f>IF(A288="","",MONTH(A288))</f>
        <v/>
      </c>
      <c r="P288" s="20">
        <f>IF(A288="","",YEAR(A288))</f>
        <v/>
      </c>
      <c r="Q288" s="20">
        <f>IF(A288="","",DAY(A288))</f>
        <v/>
      </c>
    </row>
    <row r="289">
      <c r="A289" s="18" t="n"/>
      <c r="B289" s="15" t="n"/>
      <c r="C289" s="15" t="n"/>
      <c r="D289" s="15" t="n"/>
      <c r="E289" s="15" t="n"/>
      <c r="F289" s="19" t="n"/>
      <c r="G289" s="15" t="n"/>
      <c r="H289" s="15" t="n"/>
      <c r="I289" s="15" t="n"/>
      <c r="J289" s="15" t="n"/>
      <c r="K289" s="15" t="n"/>
      <c r="L289" s="21" t="n"/>
      <c r="M289" s="15" t="n"/>
      <c r="N289" s="15" t="n"/>
      <c r="O289" s="20">
        <f>IF(A289="","",MONTH(A289))</f>
        <v/>
      </c>
      <c r="P289" s="20">
        <f>IF(A289="","",YEAR(A289))</f>
        <v/>
      </c>
      <c r="Q289" s="20">
        <f>IF(A289="","",DAY(A289))</f>
        <v/>
      </c>
    </row>
    <row r="290">
      <c r="A290" s="18" t="n"/>
      <c r="B290" s="15" t="n"/>
      <c r="C290" s="15" t="n"/>
      <c r="D290" s="15" t="n"/>
      <c r="E290" s="15" t="n"/>
      <c r="F290" s="19" t="n"/>
      <c r="G290" s="15" t="n"/>
      <c r="H290" s="15" t="n"/>
      <c r="I290" s="15" t="n"/>
      <c r="J290" s="15" t="n"/>
      <c r="K290" s="15" t="n"/>
      <c r="L290" s="21" t="n"/>
      <c r="M290" s="15" t="n"/>
      <c r="N290" s="15" t="n"/>
      <c r="O290" s="20">
        <f>IF(A290="","",MONTH(A290))</f>
        <v/>
      </c>
      <c r="P290" s="20">
        <f>IF(A290="","",YEAR(A290))</f>
        <v/>
      </c>
      <c r="Q290" s="20">
        <f>IF(A290="","",DAY(A290))</f>
        <v/>
      </c>
    </row>
    <row r="291">
      <c r="A291" s="18" t="n"/>
      <c r="B291" s="15" t="n"/>
      <c r="C291" s="15" t="n"/>
      <c r="D291" s="15" t="n"/>
      <c r="E291" s="15" t="n"/>
      <c r="F291" s="19" t="n"/>
      <c r="G291" s="15" t="n"/>
      <c r="H291" s="15" t="n"/>
      <c r="I291" s="15" t="n"/>
      <c r="J291" s="15" t="n"/>
      <c r="K291" s="15" t="n"/>
      <c r="L291" s="21" t="n"/>
      <c r="M291" s="15" t="n"/>
      <c r="N291" s="15" t="n"/>
      <c r="O291" s="20">
        <f>IF(A291="","",MONTH(A291))</f>
        <v/>
      </c>
      <c r="P291" s="20">
        <f>IF(A291="","",YEAR(A291))</f>
        <v/>
      </c>
      <c r="Q291" s="20">
        <f>IF(A291="","",DAY(A291))</f>
        <v/>
      </c>
    </row>
    <row r="292">
      <c r="A292" s="18" t="n"/>
      <c r="B292" s="15" t="n"/>
      <c r="C292" s="15" t="n"/>
      <c r="D292" s="15" t="n"/>
      <c r="E292" s="15" t="n"/>
      <c r="F292" s="19" t="n"/>
      <c r="G292" s="15" t="n"/>
      <c r="H292" s="15" t="n"/>
      <c r="I292" s="15" t="n"/>
      <c r="J292" s="15" t="n"/>
      <c r="K292" s="15" t="n"/>
      <c r="L292" s="21" t="n"/>
      <c r="M292" s="15" t="n"/>
      <c r="N292" s="15" t="n"/>
      <c r="O292" s="20">
        <f>IF(A292="","",MONTH(A292))</f>
        <v/>
      </c>
      <c r="P292" s="20">
        <f>IF(A292="","",YEAR(A292))</f>
        <v/>
      </c>
      <c r="Q292" s="20">
        <f>IF(A292="","",DAY(A292))</f>
        <v/>
      </c>
    </row>
    <row r="293">
      <c r="A293" s="18" t="n"/>
      <c r="B293" s="15" t="n"/>
      <c r="C293" s="15" t="n"/>
      <c r="D293" s="15" t="n"/>
      <c r="E293" s="15" t="n"/>
      <c r="F293" s="19" t="n"/>
      <c r="G293" s="15" t="n"/>
      <c r="H293" s="15" t="n"/>
      <c r="I293" s="15" t="n"/>
      <c r="J293" s="15" t="n"/>
      <c r="K293" s="15" t="n"/>
      <c r="L293" s="21" t="n"/>
      <c r="M293" s="15" t="n"/>
      <c r="N293" s="15" t="n"/>
      <c r="O293" s="20">
        <f>IF(A293="","",MONTH(A293))</f>
        <v/>
      </c>
      <c r="P293" s="20">
        <f>IF(A293="","",YEAR(A293))</f>
        <v/>
      </c>
      <c r="Q293" s="20">
        <f>IF(A293="","",DAY(A293))</f>
        <v/>
      </c>
    </row>
    <row r="294">
      <c r="A294" s="18" t="n"/>
      <c r="B294" s="15" t="n"/>
      <c r="C294" s="15" t="n"/>
      <c r="D294" s="15" t="n"/>
      <c r="E294" s="15" t="n"/>
      <c r="F294" s="19" t="n"/>
      <c r="G294" s="15" t="n"/>
      <c r="H294" s="15" t="n"/>
      <c r="I294" s="15" t="n"/>
      <c r="J294" s="15" t="n"/>
      <c r="K294" s="15" t="n"/>
      <c r="L294" s="21" t="n"/>
      <c r="M294" s="15" t="n"/>
      <c r="N294" s="15" t="n"/>
      <c r="O294" s="20">
        <f>IF(A294="","",MONTH(A294))</f>
        <v/>
      </c>
      <c r="P294" s="20">
        <f>IF(A294="","",YEAR(A294))</f>
        <v/>
      </c>
      <c r="Q294" s="20">
        <f>IF(A294="","",DAY(A294))</f>
        <v/>
      </c>
    </row>
    <row r="295">
      <c r="A295" s="18" t="n"/>
      <c r="B295" s="15" t="n"/>
      <c r="C295" s="15" t="n"/>
      <c r="D295" s="15" t="n"/>
      <c r="E295" s="15" t="n"/>
      <c r="F295" s="19" t="n"/>
      <c r="G295" s="15" t="n"/>
      <c r="H295" s="15" t="n"/>
      <c r="I295" s="15" t="n"/>
      <c r="J295" s="15" t="n"/>
      <c r="K295" s="15" t="n"/>
      <c r="L295" s="21" t="n"/>
      <c r="M295" s="15" t="n"/>
      <c r="N295" s="15" t="n"/>
      <c r="O295" s="20">
        <f>IF(A295="","",MONTH(A295))</f>
        <v/>
      </c>
      <c r="P295" s="20">
        <f>IF(A295="","",YEAR(A295))</f>
        <v/>
      </c>
      <c r="Q295" s="20">
        <f>IF(A295="","",DAY(A295))</f>
        <v/>
      </c>
    </row>
    <row r="296">
      <c r="A296" s="18" t="n"/>
      <c r="B296" s="15" t="n"/>
      <c r="C296" s="15" t="n"/>
      <c r="D296" s="15" t="n"/>
      <c r="E296" s="15" t="n"/>
      <c r="F296" s="19" t="n"/>
      <c r="G296" s="15" t="n"/>
      <c r="H296" s="15" t="n"/>
      <c r="I296" s="15" t="n"/>
      <c r="J296" s="15" t="n"/>
      <c r="K296" s="15" t="n"/>
      <c r="L296" s="21" t="n"/>
      <c r="M296" s="15" t="n"/>
      <c r="N296" s="15" t="n"/>
      <c r="O296" s="20">
        <f>IF(A296="","",MONTH(A296))</f>
        <v/>
      </c>
      <c r="P296" s="20">
        <f>IF(A296="","",YEAR(A296))</f>
        <v/>
      </c>
      <c r="Q296" s="20">
        <f>IF(A296="","",DAY(A296))</f>
        <v/>
      </c>
    </row>
    <row r="297">
      <c r="A297" s="18" t="n"/>
      <c r="B297" s="15" t="n"/>
      <c r="C297" s="15" t="n"/>
      <c r="D297" s="15" t="n"/>
      <c r="E297" s="15" t="n"/>
      <c r="F297" s="19" t="n"/>
      <c r="G297" s="15" t="n"/>
      <c r="H297" s="15" t="n"/>
      <c r="I297" s="15" t="n"/>
      <c r="J297" s="15" t="n"/>
      <c r="K297" s="15" t="n"/>
      <c r="L297" s="21" t="n"/>
      <c r="M297" s="15" t="n"/>
      <c r="N297" s="15" t="n"/>
      <c r="O297" s="20">
        <f>IF(A297="","",MONTH(A297))</f>
        <v/>
      </c>
      <c r="P297" s="20">
        <f>IF(A297="","",YEAR(A297))</f>
        <v/>
      </c>
      <c r="Q297" s="20">
        <f>IF(A297="","",DAY(A297))</f>
        <v/>
      </c>
    </row>
    <row r="298">
      <c r="A298" s="18" t="n"/>
      <c r="B298" s="15" t="n"/>
      <c r="C298" s="15" t="n"/>
      <c r="D298" s="15" t="n"/>
      <c r="E298" s="15" t="n"/>
      <c r="F298" s="19" t="n"/>
      <c r="G298" s="15" t="n"/>
      <c r="H298" s="15" t="n"/>
      <c r="I298" s="15" t="n"/>
      <c r="J298" s="15" t="n"/>
      <c r="K298" s="15" t="n"/>
      <c r="L298" s="21" t="n"/>
      <c r="M298" s="15" t="n"/>
      <c r="N298" s="15" t="n"/>
      <c r="O298" s="20">
        <f>IF(A298="","",MONTH(A298))</f>
        <v/>
      </c>
      <c r="P298" s="20">
        <f>IF(A298="","",YEAR(A298))</f>
        <v/>
      </c>
      <c r="Q298" s="20">
        <f>IF(A298="","",DAY(A298))</f>
        <v/>
      </c>
    </row>
    <row r="299">
      <c r="A299" s="18" t="n"/>
      <c r="B299" s="15" t="n"/>
      <c r="C299" s="15" t="n"/>
      <c r="D299" s="15" t="n"/>
      <c r="E299" s="15" t="n"/>
      <c r="F299" s="19" t="n"/>
      <c r="G299" s="15" t="n"/>
      <c r="H299" s="15" t="n"/>
      <c r="I299" s="15" t="n"/>
      <c r="J299" s="15" t="n"/>
      <c r="K299" s="15" t="n"/>
      <c r="L299" s="21" t="n"/>
      <c r="M299" s="15" t="n"/>
      <c r="N299" s="15" t="n"/>
      <c r="O299" s="20">
        <f>IF(A299="","",MONTH(A299))</f>
        <v/>
      </c>
      <c r="P299" s="20">
        <f>IF(A299="","",YEAR(A299))</f>
        <v/>
      </c>
      <c r="Q299" s="20">
        <f>IF(A299="","",DAY(A299))</f>
        <v/>
      </c>
    </row>
    <row r="300">
      <c r="A300" s="18" t="n"/>
      <c r="B300" s="15" t="n"/>
      <c r="C300" s="15" t="n"/>
      <c r="D300" s="15" t="n"/>
      <c r="E300" s="15" t="n"/>
      <c r="F300" s="19" t="n"/>
      <c r="G300" s="15" t="n"/>
      <c r="H300" s="15" t="n"/>
      <c r="I300" s="15" t="n"/>
      <c r="J300" s="15" t="n"/>
      <c r="K300" s="15" t="n"/>
      <c r="L300" s="21" t="n"/>
      <c r="M300" s="15" t="n"/>
      <c r="N300" s="15" t="n"/>
      <c r="O300" s="20">
        <f>IF(A300="","",MONTH(A300))</f>
        <v/>
      </c>
      <c r="P300" s="20">
        <f>IF(A300="","",YEAR(A300))</f>
        <v/>
      </c>
      <c r="Q300" s="20">
        <f>IF(A300="","",DAY(A300))</f>
        <v/>
      </c>
    </row>
    <row r="301">
      <c r="A301" s="18" t="n"/>
      <c r="B301" s="15" t="n"/>
      <c r="C301" s="15" t="n"/>
      <c r="D301" s="15" t="n"/>
      <c r="E301" s="15" t="n"/>
      <c r="F301" s="19" t="n"/>
      <c r="G301" s="15" t="n"/>
      <c r="H301" s="15" t="n"/>
      <c r="I301" s="15" t="n"/>
      <c r="J301" s="15" t="n"/>
      <c r="K301" s="15" t="n"/>
      <c r="L301" s="21" t="n"/>
      <c r="M301" s="15" t="n"/>
      <c r="N301" s="15" t="n"/>
      <c r="O301" s="20">
        <f>IF(A301="","",MONTH(A301))</f>
        <v/>
      </c>
      <c r="P301" s="20">
        <f>IF(A301="","",YEAR(A301))</f>
        <v/>
      </c>
      <c r="Q301" s="20">
        <f>IF(A301="","",DAY(A301))</f>
        <v/>
      </c>
    </row>
    <row r="302">
      <c r="A302" s="18" t="n"/>
      <c r="B302" s="15" t="n"/>
      <c r="C302" s="15" t="n"/>
      <c r="D302" s="15" t="n"/>
      <c r="E302" s="15" t="n"/>
      <c r="F302" s="19" t="n"/>
      <c r="G302" s="15" t="n"/>
      <c r="H302" s="15" t="n"/>
      <c r="I302" s="15" t="n"/>
      <c r="J302" s="15" t="n"/>
      <c r="K302" s="15" t="n"/>
      <c r="L302" s="21" t="n"/>
      <c r="M302" s="15" t="n"/>
      <c r="N302" s="15" t="n"/>
      <c r="O302" s="20">
        <f>IF(A302="","",MONTH(A302))</f>
        <v/>
      </c>
      <c r="P302" s="20">
        <f>IF(A302="","",YEAR(A302))</f>
        <v/>
      </c>
      <c r="Q302" s="20">
        <f>IF(A302="","",DAY(A302))</f>
        <v/>
      </c>
    </row>
    <row r="303">
      <c r="A303" s="18" t="n"/>
      <c r="B303" s="15" t="n"/>
      <c r="C303" s="15" t="n"/>
      <c r="D303" s="15" t="n"/>
      <c r="E303" s="15" t="n"/>
      <c r="F303" s="19" t="n"/>
      <c r="G303" s="15" t="n"/>
      <c r="H303" s="15" t="n"/>
      <c r="I303" s="15" t="n"/>
      <c r="J303" s="15" t="n"/>
      <c r="K303" s="15" t="n"/>
      <c r="L303" s="21" t="n"/>
      <c r="M303" s="15" t="n"/>
      <c r="N303" s="15" t="n"/>
      <c r="O303" s="20">
        <f>IF(A303="","",MONTH(A303))</f>
        <v/>
      </c>
      <c r="P303" s="20">
        <f>IF(A303="","",YEAR(A303))</f>
        <v/>
      </c>
      <c r="Q303" s="20">
        <f>IF(A303="","",DAY(A303))</f>
        <v/>
      </c>
    </row>
    <row r="304">
      <c r="A304" s="18" t="n"/>
      <c r="B304" s="15" t="n"/>
      <c r="C304" s="15" t="n"/>
      <c r="D304" s="15" t="n"/>
      <c r="E304" s="15" t="n"/>
      <c r="F304" s="19" t="n"/>
      <c r="G304" s="15" t="n"/>
      <c r="H304" s="15" t="n"/>
      <c r="I304" s="15" t="n"/>
      <c r="J304" s="15" t="n"/>
      <c r="K304" s="15" t="n"/>
      <c r="L304" s="21" t="n"/>
      <c r="M304" s="15" t="n"/>
      <c r="N304" s="15" t="n"/>
      <c r="O304" s="20">
        <f>IF(A304="","",MONTH(A304))</f>
        <v/>
      </c>
      <c r="P304" s="20">
        <f>IF(A304="","",YEAR(A304))</f>
        <v/>
      </c>
      <c r="Q304" s="20">
        <f>IF(A304="","",DAY(A304))</f>
        <v/>
      </c>
    </row>
    <row r="305">
      <c r="A305" s="18" t="n"/>
      <c r="B305" s="15" t="n"/>
      <c r="C305" s="15" t="n"/>
      <c r="D305" s="15" t="n"/>
      <c r="E305" s="15" t="n"/>
      <c r="F305" s="19" t="n"/>
      <c r="G305" s="15" t="n"/>
      <c r="H305" s="15" t="n"/>
      <c r="I305" s="15" t="n"/>
      <c r="J305" s="15" t="n"/>
      <c r="K305" s="15" t="n"/>
      <c r="L305" s="21" t="n"/>
      <c r="M305" s="15" t="n"/>
      <c r="N305" s="15" t="n"/>
      <c r="O305" s="20">
        <f>IF(A305="","",MONTH(A305))</f>
        <v/>
      </c>
      <c r="P305" s="20">
        <f>IF(A305="","",YEAR(A305))</f>
        <v/>
      </c>
      <c r="Q305" s="20">
        <f>IF(A305="","",DAY(A305))</f>
        <v/>
      </c>
    </row>
    <row r="306">
      <c r="A306" s="18" t="n"/>
      <c r="B306" s="15" t="n"/>
      <c r="C306" s="15" t="n"/>
      <c r="D306" s="15" t="n"/>
      <c r="E306" s="15" t="n"/>
      <c r="F306" s="19" t="n"/>
      <c r="G306" s="15" t="n"/>
      <c r="H306" s="15" t="n"/>
      <c r="I306" s="15" t="n"/>
      <c r="J306" s="15" t="n"/>
      <c r="K306" s="15" t="n"/>
      <c r="L306" s="21" t="n"/>
      <c r="M306" s="15" t="n"/>
      <c r="N306" s="15" t="n"/>
      <c r="O306" s="20">
        <f>IF(A306="","",MONTH(A306))</f>
        <v/>
      </c>
      <c r="P306" s="20">
        <f>IF(A306="","",YEAR(A306))</f>
        <v/>
      </c>
      <c r="Q306" s="20">
        <f>IF(A306="","",DAY(A306))</f>
        <v/>
      </c>
    </row>
    <row r="307">
      <c r="A307" s="18" t="n"/>
      <c r="B307" s="15" t="n"/>
      <c r="C307" s="15" t="n"/>
      <c r="D307" s="15" t="n"/>
      <c r="E307" s="15" t="n"/>
      <c r="F307" s="19" t="n"/>
      <c r="G307" s="15" t="n"/>
      <c r="H307" s="15" t="n"/>
      <c r="I307" s="15" t="n"/>
      <c r="J307" s="15" t="n"/>
      <c r="K307" s="15" t="n"/>
      <c r="L307" s="21" t="n"/>
      <c r="M307" s="15" t="n"/>
      <c r="N307" s="15" t="n"/>
      <c r="O307" s="20">
        <f>IF(A307="","",MONTH(A307))</f>
        <v/>
      </c>
      <c r="P307" s="20">
        <f>IF(A307="","",YEAR(A307))</f>
        <v/>
      </c>
      <c r="Q307" s="20">
        <f>IF(A307="","",DAY(A307))</f>
        <v/>
      </c>
    </row>
    <row r="308">
      <c r="A308" s="18" t="n"/>
      <c r="B308" s="15" t="n"/>
      <c r="C308" s="15" t="n"/>
      <c r="D308" s="15" t="n"/>
      <c r="E308" s="15" t="n"/>
      <c r="F308" s="19" t="n"/>
      <c r="G308" s="15" t="n"/>
      <c r="H308" s="15" t="n"/>
      <c r="I308" s="15" t="n"/>
      <c r="J308" s="15" t="n"/>
      <c r="K308" s="15" t="n"/>
      <c r="L308" s="21" t="n"/>
      <c r="M308" s="15" t="n"/>
      <c r="N308" s="15" t="n"/>
      <c r="O308" s="20">
        <f>IF(A308="","",MONTH(A308))</f>
        <v/>
      </c>
      <c r="P308" s="20">
        <f>IF(A308="","",YEAR(A308))</f>
        <v/>
      </c>
      <c r="Q308" s="20">
        <f>IF(A308="","",DAY(A308))</f>
        <v/>
      </c>
    </row>
    <row r="309">
      <c r="A309" s="18" t="n"/>
      <c r="B309" s="15" t="n"/>
      <c r="C309" s="15" t="n"/>
      <c r="D309" s="15" t="n"/>
      <c r="E309" s="15" t="n"/>
      <c r="F309" s="19" t="n"/>
      <c r="G309" s="15" t="n"/>
      <c r="H309" s="15" t="n"/>
      <c r="I309" s="15" t="n"/>
      <c r="J309" s="15" t="n"/>
      <c r="K309" s="15" t="n"/>
      <c r="L309" s="21" t="n"/>
      <c r="M309" s="15" t="n"/>
      <c r="N309" s="15" t="n"/>
      <c r="O309" s="20">
        <f>IF(A309="","",MONTH(A309))</f>
        <v/>
      </c>
      <c r="P309" s="20">
        <f>IF(A309="","",YEAR(A309))</f>
        <v/>
      </c>
      <c r="Q309" s="20">
        <f>IF(A309="","",DAY(A309))</f>
        <v/>
      </c>
    </row>
    <row r="310">
      <c r="A310" s="18" t="n"/>
      <c r="B310" s="15" t="n"/>
      <c r="C310" s="15" t="n"/>
      <c r="D310" s="15" t="n"/>
      <c r="E310" s="15" t="n"/>
      <c r="F310" s="19" t="n"/>
      <c r="G310" s="15" t="n"/>
      <c r="H310" s="15" t="n"/>
      <c r="I310" s="15" t="n"/>
      <c r="J310" s="15" t="n"/>
      <c r="K310" s="15" t="n"/>
      <c r="L310" s="21" t="n"/>
      <c r="M310" s="15" t="n"/>
      <c r="N310" s="15" t="n"/>
      <c r="O310" s="20">
        <f>IF(A310="","",MONTH(A310))</f>
        <v/>
      </c>
      <c r="P310" s="20">
        <f>IF(A310="","",YEAR(A310))</f>
        <v/>
      </c>
      <c r="Q310" s="20">
        <f>IF(A310="","",DAY(A310))</f>
        <v/>
      </c>
    </row>
    <row r="311">
      <c r="A311" s="18" t="n"/>
      <c r="B311" s="15" t="n"/>
      <c r="C311" s="15" t="n"/>
      <c r="D311" s="15" t="n"/>
      <c r="E311" s="15" t="n"/>
      <c r="F311" s="19" t="n"/>
      <c r="G311" s="15" t="n"/>
      <c r="H311" s="15" t="n"/>
      <c r="I311" s="15" t="n"/>
      <c r="J311" s="15" t="n"/>
      <c r="K311" s="15" t="n"/>
      <c r="L311" s="21" t="n"/>
      <c r="M311" s="15" t="n"/>
      <c r="N311" s="15" t="n"/>
      <c r="O311" s="20">
        <f>IF(A311="","",MONTH(A311))</f>
        <v/>
      </c>
      <c r="P311" s="20">
        <f>IF(A311="","",YEAR(A311))</f>
        <v/>
      </c>
      <c r="Q311" s="20">
        <f>IF(A311="","",DAY(A311))</f>
        <v/>
      </c>
    </row>
    <row r="312">
      <c r="A312" s="18" t="n"/>
      <c r="B312" s="15" t="n"/>
      <c r="C312" s="15" t="n"/>
      <c r="D312" s="15" t="n"/>
      <c r="E312" s="15" t="n"/>
      <c r="F312" s="19" t="n"/>
      <c r="G312" s="15" t="n"/>
      <c r="H312" s="15" t="n"/>
      <c r="I312" s="15" t="n"/>
      <c r="J312" s="15" t="n"/>
      <c r="K312" s="15" t="n"/>
      <c r="L312" s="21" t="n"/>
      <c r="M312" s="15" t="n"/>
      <c r="N312" s="15" t="n"/>
      <c r="O312" s="20">
        <f>IF(A312="","",MONTH(A312))</f>
        <v/>
      </c>
      <c r="P312" s="20">
        <f>IF(A312="","",YEAR(A312))</f>
        <v/>
      </c>
      <c r="Q312" s="20">
        <f>IF(A312="","",DAY(A312))</f>
        <v/>
      </c>
    </row>
    <row r="313">
      <c r="A313" s="18" t="n"/>
      <c r="B313" s="15" t="n"/>
      <c r="C313" s="15" t="n"/>
      <c r="D313" s="15" t="n"/>
      <c r="E313" s="15" t="n"/>
      <c r="F313" s="19" t="n"/>
      <c r="G313" s="15" t="n"/>
      <c r="H313" s="15" t="n"/>
      <c r="I313" s="15" t="n"/>
      <c r="J313" s="15" t="n"/>
      <c r="K313" s="15" t="n"/>
      <c r="L313" s="21" t="n"/>
      <c r="M313" s="15" t="n"/>
      <c r="N313" s="15" t="n"/>
      <c r="O313" s="20">
        <f>IF(A313="","",MONTH(A313))</f>
        <v/>
      </c>
      <c r="P313" s="20">
        <f>IF(A313="","",YEAR(A313))</f>
        <v/>
      </c>
      <c r="Q313" s="20">
        <f>IF(A313="","",DAY(A313))</f>
        <v/>
      </c>
    </row>
    <row r="314">
      <c r="A314" s="18" t="n"/>
      <c r="B314" s="15" t="n"/>
      <c r="C314" s="15" t="n"/>
      <c r="D314" s="15" t="n"/>
      <c r="E314" s="15" t="n"/>
      <c r="F314" s="19" t="n"/>
      <c r="G314" s="15" t="n"/>
      <c r="H314" s="15" t="n"/>
      <c r="I314" s="15" t="n"/>
      <c r="J314" s="15" t="n"/>
      <c r="K314" s="15" t="n"/>
      <c r="L314" s="21" t="n"/>
      <c r="M314" s="15" t="n"/>
      <c r="N314" s="15" t="n"/>
      <c r="O314" s="20">
        <f>IF(A314="","",MONTH(A314))</f>
        <v/>
      </c>
      <c r="P314" s="20">
        <f>IF(A314="","",YEAR(A314))</f>
        <v/>
      </c>
      <c r="Q314" s="20">
        <f>IF(A314="","",DAY(A314))</f>
        <v/>
      </c>
    </row>
    <row r="315">
      <c r="A315" s="18" t="n"/>
      <c r="B315" s="15" t="n"/>
      <c r="C315" s="15" t="n"/>
      <c r="D315" s="15" t="n"/>
      <c r="E315" s="15" t="n"/>
      <c r="F315" s="19" t="n"/>
      <c r="G315" s="15" t="n"/>
      <c r="H315" s="15" t="n"/>
      <c r="I315" s="15" t="n"/>
      <c r="J315" s="15" t="n"/>
      <c r="K315" s="15" t="n"/>
      <c r="L315" s="21" t="n"/>
      <c r="M315" s="15" t="n"/>
      <c r="N315" s="15" t="n"/>
      <c r="O315" s="20">
        <f>IF(A315="","",MONTH(A315))</f>
        <v/>
      </c>
      <c r="P315" s="20">
        <f>IF(A315="","",YEAR(A315))</f>
        <v/>
      </c>
      <c r="Q315" s="20">
        <f>IF(A315="","",DAY(A315))</f>
        <v/>
      </c>
    </row>
    <row r="316">
      <c r="A316" s="18" t="n"/>
      <c r="B316" s="15" t="n"/>
      <c r="C316" s="15" t="n"/>
      <c r="D316" s="15" t="n"/>
      <c r="E316" s="15" t="n"/>
      <c r="F316" s="19" t="n"/>
      <c r="G316" s="15" t="n"/>
      <c r="H316" s="15" t="n"/>
      <c r="I316" s="15" t="n"/>
      <c r="J316" s="15" t="n"/>
      <c r="K316" s="15" t="n"/>
      <c r="L316" s="21" t="n"/>
      <c r="M316" s="15" t="n"/>
      <c r="N316" s="15" t="n"/>
      <c r="O316" s="20">
        <f>IF(A316="","",MONTH(A316))</f>
        <v/>
      </c>
      <c r="P316" s="20">
        <f>IF(A316="","",YEAR(A316))</f>
        <v/>
      </c>
      <c r="Q316" s="20">
        <f>IF(A316="","",DAY(A316))</f>
        <v/>
      </c>
    </row>
    <row r="317">
      <c r="A317" s="18" t="n"/>
      <c r="B317" s="15" t="n"/>
      <c r="C317" s="15" t="n"/>
      <c r="D317" s="15" t="n"/>
      <c r="E317" s="15" t="n"/>
      <c r="F317" s="19" t="n"/>
      <c r="G317" s="15" t="n"/>
      <c r="H317" s="15" t="n"/>
      <c r="I317" s="15" t="n"/>
      <c r="J317" s="15" t="n"/>
      <c r="K317" s="15" t="n"/>
      <c r="L317" s="21" t="n"/>
      <c r="M317" s="15" t="n"/>
      <c r="N317" s="15" t="n"/>
      <c r="O317" s="20">
        <f>IF(A317="","",MONTH(A317))</f>
        <v/>
      </c>
      <c r="P317" s="20">
        <f>IF(A317="","",YEAR(A317))</f>
        <v/>
      </c>
      <c r="Q317" s="20">
        <f>IF(A317="","",DAY(A317))</f>
        <v/>
      </c>
    </row>
    <row r="318">
      <c r="A318" s="18" t="n"/>
      <c r="B318" s="15" t="n"/>
      <c r="C318" s="15" t="n"/>
      <c r="D318" s="15" t="n"/>
      <c r="E318" s="15" t="n"/>
      <c r="F318" s="19" t="n"/>
      <c r="G318" s="15" t="n"/>
      <c r="H318" s="15" t="n"/>
      <c r="I318" s="15" t="n"/>
      <c r="J318" s="15" t="n"/>
      <c r="K318" s="15" t="n"/>
      <c r="L318" s="21" t="n"/>
      <c r="M318" s="15" t="n"/>
      <c r="N318" s="15" t="n"/>
      <c r="O318" s="20">
        <f>IF(A318="","",MONTH(A318))</f>
        <v/>
      </c>
      <c r="P318" s="20">
        <f>IF(A318="","",YEAR(A318))</f>
        <v/>
      </c>
      <c r="Q318" s="20">
        <f>IF(A318="","",DAY(A318))</f>
        <v/>
      </c>
    </row>
    <row r="319">
      <c r="A319" s="18" t="n"/>
      <c r="B319" s="15" t="n"/>
      <c r="C319" s="15" t="n"/>
      <c r="D319" s="15" t="n"/>
      <c r="E319" s="15" t="n"/>
      <c r="F319" s="19" t="n"/>
      <c r="G319" s="15" t="n"/>
      <c r="H319" s="15" t="n"/>
      <c r="I319" s="15" t="n"/>
      <c r="J319" s="15" t="n"/>
      <c r="K319" s="15" t="n"/>
      <c r="L319" s="21" t="n"/>
      <c r="M319" s="15" t="n"/>
      <c r="N319" s="15" t="n"/>
      <c r="O319" s="20">
        <f>IF(A319="","",MONTH(A319))</f>
        <v/>
      </c>
      <c r="P319" s="20">
        <f>IF(A319="","",YEAR(A319))</f>
        <v/>
      </c>
      <c r="Q319" s="20">
        <f>IF(A319="","",DAY(A319))</f>
        <v/>
      </c>
    </row>
    <row r="320">
      <c r="A320" s="18" t="n"/>
      <c r="B320" s="15" t="n"/>
      <c r="C320" s="15" t="n"/>
      <c r="D320" s="15" t="n"/>
      <c r="E320" s="15" t="n"/>
      <c r="F320" s="19" t="n"/>
      <c r="G320" s="15" t="n"/>
      <c r="H320" s="15" t="n"/>
      <c r="I320" s="15" t="n"/>
      <c r="J320" s="15" t="n"/>
      <c r="K320" s="15" t="n"/>
      <c r="L320" s="21" t="n"/>
      <c r="M320" s="15" t="n"/>
      <c r="N320" s="15" t="n"/>
      <c r="O320" s="20">
        <f>IF(A320="","",MONTH(A320))</f>
        <v/>
      </c>
      <c r="P320" s="20">
        <f>IF(A320="","",YEAR(A320))</f>
        <v/>
      </c>
      <c r="Q320" s="20">
        <f>IF(A320="","",DAY(A320))</f>
        <v/>
      </c>
    </row>
    <row r="321">
      <c r="A321" s="18" t="n"/>
      <c r="B321" s="15" t="n"/>
      <c r="C321" s="15" t="n"/>
      <c r="D321" s="15" t="n"/>
      <c r="E321" s="15" t="n"/>
      <c r="F321" s="19" t="n"/>
      <c r="G321" s="15" t="n"/>
      <c r="H321" s="15" t="n"/>
      <c r="I321" s="15" t="n"/>
      <c r="J321" s="15" t="n"/>
      <c r="K321" s="15" t="n"/>
      <c r="L321" s="21" t="n"/>
      <c r="M321" s="15" t="n"/>
      <c r="N321" s="15" t="n"/>
      <c r="O321" s="20">
        <f>IF(A321="","",MONTH(A321))</f>
        <v/>
      </c>
      <c r="P321" s="20">
        <f>IF(A321="","",YEAR(A321))</f>
        <v/>
      </c>
      <c r="Q321" s="20">
        <f>IF(A321="","",DAY(A321))</f>
        <v/>
      </c>
    </row>
    <row r="322">
      <c r="A322" s="18" t="n"/>
      <c r="B322" s="15" t="n"/>
      <c r="C322" s="15" t="n"/>
      <c r="D322" s="15" t="n"/>
      <c r="E322" s="15" t="n"/>
      <c r="F322" s="19" t="n"/>
      <c r="G322" s="15" t="n"/>
      <c r="H322" s="15" t="n"/>
      <c r="I322" s="15" t="n"/>
      <c r="J322" s="15" t="n"/>
      <c r="K322" s="15" t="n"/>
      <c r="L322" s="21" t="n"/>
      <c r="M322" s="15" t="n"/>
      <c r="N322" s="15" t="n"/>
      <c r="O322" s="20">
        <f>IF(A322="","",MONTH(A322))</f>
        <v/>
      </c>
      <c r="P322" s="20">
        <f>IF(A322="","",YEAR(A322))</f>
        <v/>
      </c>
      <c r="Q322" s="20">
        <f>IF(A322="","",DAY(A322))</f>
        <v/>
      </c>
    </row>
    <row r="323">
      <c r="A323" s="18" t="n"/>
      <c r="B323" s="15" t="n"/>
      <c r="C323" s="15" t="n"/>
      <c r="D323" s="15" t="n"/>
      <c r="E323" s="15" t="n"/>
      <c r="F323" s="19" t="n"/>
      <c r="G323" s="15" t="n"/>
      <c r="H323" s="15" t="n"/>
      <c r="I323" s="15" t="n"/>
      <c r="J323" s="15" t="n"/>
      <c r="K323" s="15" t="n"/>
      <c r="L323" s="21" t="n"/>
      <c r="M323" s="15" t="n"/>
      <c r="N323" s="15" t="n"/>
      <c r="O323" s="20">
        <f>IF(A323="","",MONTH(A323))</f>
        <v/>
      </c>
      <c r="P323" s="20">
        <f>IF(A323="","",YEAR(A323))</f>
        <v/>
      </c>
      <c r="Q323" s="20">
        <f>IF(A323="","",DAY(A323))</f>
        <v/>
      </c>
    </row>
    <row r="324">
      <c r="A324" s="18" t="n"/>
      <c r="B324" s="15" t="n"/>
      <c r="C324" s="15" t="n"/>
      <c r="D324" s="15" t="n"/>
      <c r="E324" s="15" t="n"/>
      <c r="F324" s="19" t="n"/>
      <c r="G324" s="15" t="n"/>
      <c r="H324" s="15" t="n"/>
      <c r="I324" s="15" t="n"/>
      <c r="J324" s="15" t="n"/>
      <c r="K324" s="15" t="n"/>
      <c r="L324" s="21" t="n"/>
      <c r="M324" s="15" t="n"/>
      <c r="N324" s="15" t="n"/>
      <c r="O324" s="20">
        <f>IF(A324="","",MONTH(A324))</f>
        <v/>
      </c>
      <c r="P324" s="20">
        <f>IF(A324="","",YEAR(A324))</f>
        <v/>
      </c>
      <c r="Q324" s="20">
        <f>IF(A324="","",DAY(A324))</f>
        <v/>
      </c>
    </row>
    <row r="325">
      <c r="A325" s="18" t="n"/>
      <c r="B325" s="15" t="n"/>
      <c r="C325" s="15" t="n"/>
      <c r="D325" s="15" t="n"/>
      <c r="E325" s="15" t="n"/>
      <c r="F325" s="19" t="n"/>
      <c r="G325" s="15" t="n"/>
      <c r="H325" s="15" t="n"/>
      <c r="I325" s="15" t="n"/>
      <c r="J325" s="15" t="n"/>
      <c r="K325" s="15" t="n"/>
      <c r="L325" s="21" t="n"/>
      <c r="M325" s="15" t="n"/>
      <c r="N325" s="15" t="n"/>
      <c r="O325" s="20">
        <f>IF(A325="","",MONTH(A325))</f>
        <v/>
      </c>
      <c r="P325" s="20">
        <f>IF(A325="","",YEAR(A325))</f>
        <v/>
      </c>
      <c r="Q325" s="20">
        <f>IF(A325="","",DAY(A325))</f>
        <v/>
      </c>
    </row>
    <row r="326">
      <c r="A326" s="18" t="n"/>
      <c r="B326" s="15" t="n"/>
      <c r="C326" s="15" t="n"/>
      <c r="D326" s="15" t="n"/>
      <c r="E326" s="15" t="n"/>
      <c r="F326" s="19" t="n"/>
      <c r="G326" s="15" t="n"/>
      <c r="H326" s="15" t="n"/>
      <c r="I326" s="15" t="n"/>
      <c r="J326" s="15" t="n"/>
      <c r="K326" s="15" t="n"/>
      <c r="L326" s="21" t="n"/>
      <c r="M326" s="15" t="n"/>
      <c r="N326" s="15" t="n"/>
      <c r="O326" s="20">
        <f>IF(A326="","",MONTH(A326))</f>
        <v/>
      </c>
      <c r="P326" s="20">
        <f>IF(A326="","",YEAR(A326))</f>
        <v/>
      </c>
      <c r="Q326" s="20">
        <f>IF(A326="","",DAY(A326))</f>
        <v/>
      </c>
    </row>
    <row r="327">
      <c r="A327" s="18" t="n"/>
      <c r="B327" s="15" t="n"/>
      <c r="C327" s="15" t="n"/>
      <c r="D327" s="15" t="n"/>
      <c r="E327" s="15" t="n"/>
      <c r="F327" s="19" t="n"/>
      <c r="G327" s="15" t="n"/>
      <c r="H327" s="15" t="n"/>
      <c r="I327" s="15" t="n"/>
      <c r="J327" s="15" t="n"/>
      <c r="K327" s="15" t="n"/>
      <c r="L327" s="21" t="n"/>
      <c r="M327" s="15" t="n"/>
      <c r="N327" s="15" t="n"/>
      <c r="O327" s="20">
        <f>IF(A327="","",MONTH(A327))</f>
        <v/>
      </c>
      <c r="P327" s="20">
        <f>IF(A327="","",YEAR(A327))</f>
        <v/>
      </c>
      <c r="Q327" s="20">
        <f>IF(A327="","",DAY(A327))</f>
        <v/>
      </c>
    </row>
    <row r="328">
      <c r="A328" s="18" t="n"/>
      <c r="B328" s="15" t="n"/>
      <c r="C328" s="15" t="n"/>
      <c r="D328" s="15" t="n"/>
      <c r="E328" s="15" t="n"/>
      <c r="F328" s="19" t="n"/>
      <c r="G328" s="15" t="n"/>
      <c r="H328" s="15" t="n"/>
      <c r="I328" s="15" t="n"/>
      <c r="J328" s="15" t="n"/>
      <c r="K328" s="15" t="n"/>
      <c r="L328" s="21" t="n"/>
      <c r="M328" s="15" t="n"/>
      <c r="N328" s="15" t="n"/>
      <c r="O328" s="20">
        <f>IF(A328="","",MONTH(A328))</f>
        <v/>
      </c>
      <c r="P328" s="20">
        <f>IF(A328="","",YEAR(A328))</f>
        <v/>
      </c>
      <c r="Q328" s="20">
        <f>IF(A328="","",DAY(A328))</f>
        <v/>
      </c>
    </row>
    <row r="329">
      <c r="A329" s="18" t="n"/>
      <c r="B329" s="15" t="n"/>
      <c r="C329" s="15" t="n"/>
      <c r="D329" s="15" t="n"/>
      <c r="E329" s="15" t="n"/>
      <c r="F329" s="19" t="n"/>
      <c r="G329" s="15" t="n"/>
      <c r="H329" s="15" t="n"/>
      <c r="I329" s="15" t="n"/>
      <c r="J329" s="15" t="n"/>
      <c r="K329" s="15" t="n"/>
      <c r="L329" s="21" t="n"/>
      <c r="M329" s="15" t="n"/>
      <c r="N329" s="15" t="n"/>
      <c r="O329" s="20">
        <f>IF(A329="","",MONTH(A329))</f>
        <v/>
      </c>
      <c r="P329" s="20">
        <f>IF(A329="","",YEAR(A329))</f>
        <v/>
      </c>
      <c r="Q329" s="20">
        <f>IF(A329="","",DAY(A329))</f>
        <v/>
      </c>
    </row>
    <row r="330">
      <c r="A330" s="18" t="n"/>
      <c r="B330" s="15" t="n"/>
      <c r="C330" s="15" t="n"/>
      <c r="D330" s="15" t="n"/>
      <c r="E330" s="15" t="n"/>
      <c r="F330" s="19" t="n"/>
      <c r="G330" s="15" t="n"/>
      <c r="H330" s="15" t="n"/>
      <c r="I330" s="15" t="n"/>
      <c r="J330" s="15" t="n"/>
      <c r="K330" s="15" t="n"/>
      <c r="L330" s="21" t="n"/>
      <c r="M330" s="15" t="n"/>
      <c r="N330" s="15" t="n"/>
      <c r="O330" s="20">
        <f>IF(A330="","",MONTH(A330))</f>
        <v/>
      </c>
      <c r="P330" s="20">
        <f>IF(A330="","",YEAR(A330))</f>
        <v/>
      </c>
      <c r="Q330" s="20">
        <f>IF(A330="","",DAY(A330))</f>
        <v/>
      </c>
    </row>
    <row r="331">
      <c r="A331" s="18" t="n"/>
      <c r="B331" s="15" t="n"/>
      <c r="C331" s="15" t="n"/>
      <c r="D331" s="15" t="n"/>
      <c r="E331" s="15" t="n"/>
      <c r="F331" s="19" t="n"/>
      <c r="G331" s="15" t="n"/>
      <c r="H331" s="15" t="n"/>
      <c r="I331" s="15" t="n"/>
      <c r="J331" s="15" t="n"/>
      <c r="K331" s="15" t="n"/>
      <c r="L331" s="21" t="n"/>
      <c r="M331" s="15" t="n"/>
      <c r="N331" s="15" t="n"/>
      <c r="O331" s="20">
        <f>IF(A331="","",MONTH(A331))</f>
        <v/>
      </c>
      <c r="P331" s="20">
        <f>IF(A331="","",YEAR(A331))</f>
        <v/>
      </c>
      <c r="Q331" s="20">
        <f>IF(A331="","",DAY(A331))</f>
        <v/>
      </c>
    </row>
    <row r="332">
      <c r="A332" s="18" t="n"/>
      <c r="B332" s="15" t="n"/>
      <c r="C332" s="15" t="n"/>
      <c r="D332" s="15" t="n"/>
      <c r="E332" s="15" t="n"/>
      <c r="F332" s="19" t="n"/>
      <c r="G332" s="15" t="n"/>
      <c r="H332" s="15" t="n"/>
      <c r="I332" s="15" t="n"/>
      <c r="J332" s="15" t="n"/>
      <c r="K332" s="15" t="n"/>
      <c r="L332" s="21" t="n"/>
      <c r="M332" s="15" t="n"/>
      <c r="N332" s="15" t="n"/>
      <c r="O332" s="20">
        <f>IF(A332="","",MONTH(A332))</f>
        <v/>
      </c>
      <c r="P332" s="20">
        <f>IF(A332="","",YEAR(A332))</f>
        <v/>
      </c>
      <c r="Q332" s="20">
        <f>IF(A332="","",DAY(A332))</f>
        <v/>
      </c>
    </row>
    <row r="333">
      <c r="A333" s="18" t="n"/>
      <c r="B333" s="15" t="n"/>
      <c r="C333" s="15" t="n"/>
      <c r="D333" s="15" t="n"/>
      <c r="E333" s="15" t="n"/>
      <c r="F333" s="19" t="n"/>
      <c r="G333" s="15" t="n"/>
      <c r="H333" s="15" t="n"/>
      <c r="I333" s="15" t="n"/>
      <c r="J333" s="15" t="n"/>
      <c r="K333" s="15" t="n"/>
      <c r="L333" s="21" t="n"/>
      <c r="M333" s="15" t="n"/>
      <c r="N333" s="15" t="n"/>
      <c r="O333" s="20">
        <f>IF(A333="","",MONTH(A333))</f>
        <v/>
      </c>
      <c r="P333" s="20">
        <f>IF(A333="","",YEAR(A333))</f>
        <v/>
      </c>
      <c r="Q333" s="20">
        <f>IF(A333="","",DAY(A333))</f>
        <v/>
      </c>
    </row>
    <row r="334">
      <c r="A334" s="18" t="n"/>
      <c r="B334" s="15" t="n"/>
      <c r="C334" s="15" t="n"/>
      <c r="D334" s="15" t="n"/>
      <c r="E334" s="15" t="n"/>
      <c r="F334" s="19" t="n"/>
      <c r="G334" s="15" t="n"/>
      <c r="H334" s="15" t="n"/>
      <c r="I334" s="15" t="n"/>
      <c r="J334" s="15" t="n"/>
      <c r="K334" s="15" t="n"/>
      <c r="L334" s="21" t="n"/>
      <c r="M334" s="15" t="n"/>
      <c r="N334" s="15" t="n"/>
      <c r="O334" s="20">
        <f>IF(A334="","",MONTH(A334))</f>
        <v/>
      </c>
      <c r="P334" s="20">
        <f>IF(A334="","",YEAR(A334))</f>
        <v/>
      </c>
      <c r="Q334" s="20">
        <f>IF(A334="","",DAY(A334))</f>
        <v/>
      </c>
    </row>
    <row r="335">
      <c r="A335" s="18" t="n"/>
      <c r="B335" s="15" t="n"/>
      <c r="C335" s="15" t="n"/>
      <c r="D335" s="15" t="n"/>
      <c r="E335" s="15" t="n"/>
      <c r="F335" s="19" t="n"/>
      <c r="G335" s="15" t="n"/>
      <c r="H335" s="15" t="n"/>
      <c r="I335" s="15" t="n"/>
      <c r="J335" s="15" t="n"/>
      <c r="K335" s="15" t="n"/>
      <c r="L335" s="21" t="n"/>
      <c r="M335" s="15" t="n"/>
      <c r="N335" s="15" t="n"/>
      <c r="O335" s="20">
        <f>IF(A335="","",MONTH(A335))</f>
        <v/>
      </c>
      <c r="P335" s="20">
        <f>IF(A335="","",YEAR(A335))</f>
        <v/>
      </c>
      <c r="Q335" s="20">
        <f>IF(A335="","",DAY(A335))</f>
        <v/>
      </c>
    </row>
    <row r="336">
      <c r="A336" s="18" t="n"/>
      <c r="B336" s="15" t="n"/>
      <c r="C336" s="15" t="n"/>
      <c r="D336" s="15" t="n"/>
      <c r="E336" s="15" t="n"/>
      <c r="F336" s="19" t="n"/>
      <c r="G336" s="15" t="n"/>
      <c r="H336" s="15" t="n"/>
      <c r="I336" s="15" t="n"/>
      <c r="J336" s="15" t="n"/>
      <c r="K336" s="15" t="n"/>
      <c r="L336" s="21" t="n"/>
      <c r="M336" s="15" t="n"/>
      <c r="N336" s="15" t="n"/>
      <c r="O336" s="20">
        <f>IF(A336="","",MONTH(A336))</f>
        <v/>
      </c>
      <c r="P336" s="20">
        <f>IF(A336="","",YEAR(A336))</f>
        <v/>
      </c>
      <c r="Q336" s="20">
        <f>IF(A336="","",DAY(A336))</f>
        <v/>
      </c>
    </row>
    <row r="337">
      <c r="A337" s="18" t="n"/>
      <c r="B337" s="15" t="n"/>
      <c r="C337" s="15" t="n"/>
      <c r="D337" s="15" t="n"/>
      <c r="E337" s="15" t="n"/>
      <c r="F337" s="19" t="n"/>
      <c r="G337" s="15" t="n"/>
      <c r="H337" s="15" t="n"/>
      <c r="I337" s="15" t="n"/>
      <c r="J337" s="15" t="n"/>
      <c r="K337" s="15" t="n"/>
      <c r="L337" s="21" t="n"/>
      <c r="M337" s="15" t="n"/>
      <c r="N337" s="15" t="n"/>
      <c r="O337" s="20">
        <f>IF(A337="","",MONTH(A337))</f>
        <v/>
      </c>
      <c r="P337" s="20">
        <f>IF(A337="","",YEAR(A337))</f>
        <v/>
      </c>
      <c r="Q337" s="20">
        <f>IF(A337="","",DAY(A337))</f>
        <v/>
      </c>
    </row>
    <row r="338">
      <c r="A338" s="18" t="n"/>
      <c r="B338" s="15" t="n"/>
      <c r="C338" s="15" t="n"/>
      <c r="D338" s="15" t="n"/>
      <c r="E338" s="15" t="n"/>
      <c r="F338" s="19" t="n"/>
      <c r="G338" s="15" t="n"/>
      <c r="H338" s="15" t="n"/>
      <c r="I338" s="15" t="n"/>
      <c r="J338" s="15" t="n"/>
      <c r="K338" s="15" t="n"/>
      <c r="L338" s="21" t="n"/>
      <c r="M338" s="15" t="n"/>
      <c r="N338" s="15" t="n"/>
      <c r="O338" s="20">
        <f>IF(A338="","",MONTH(A338))</f>
        <v/>
      </c>
      <c r="P338" s="20">
        <f>IF(A338="","",YEAR(A338))</f>
        <v/>
      </c>
      <c r="Q338" s="20">
        <f>IF(A338="","",DAY(A338))</f>
        <v/>
      </c>
    </row>
    <row r="339">
      <c r="A339" s="18" t="n"/>
      <c r="B339" s="15" t="n"/>
      <c r="C339" s="15" t="n"/>
      <c r="D339" s="15" t="n"/>
      <c r="E339" s="15" t="n"/>
      <c r="F339" s="19" t="n"/>
      <c r="G339" s="15" t="n"/>
      <c r="H339" s="15" t="n"/>
      <c r="I339" s="15" t="n"/>
      <c r="J339" s="15" t="n"/>
      <c r="K339" s="15" t="n"/>
      <c r="L339" s="21" t="n"/>
      <c r="M339" s="15" t="n"/>
      <c r="N339" s="15" t="n"/>
      <c r="O339" s="20">
        <f>IF(A339="","",MONTH(A339))</f>
        <v/>
      </c>
      <c r="P339" s="20">
        <f>IF(A339="","",YEAR(A339))</f>
        <v/>
      </c>
      <c r="Q339" s="20">
        <f>IF(A339="","",DAY(A339))</f>
        <v/>
      </c>
    </row>
    <row r="340">
      <c r="A340" s="18" t="n"/>
      <c r="B340" s="15" t="n"/>
      <c r="C340" s="15" t="n"/>
      <c r="D340" s="15" t="n"/>
      <c r="E340" s="15" t="n"/>
      <c r="F340" s="19" t="n"/>
      <c r="G340" s="15" t="n"/>
      <c r="H340" s="15" t="n"/>
      <c r="I340" s="15" t="n"/>
      <c r="J340" s="15" t="n"/>
      <c r="K340" s="15" t="n"/>
      <c r="L340" s="21" t="n"/>
      <c r="M340" s="15" t="n"/>
      <c r="N340" s="15" t="n"/>
      <c r="O340" s="20">
        <f>IF(A340="","",MONTH(A340))</f>
        <v/>
      </c>
      <c r="P340" s="20">
        <f>IF(A340="","",YEAR(A340))</f>
        <v/>
      </c>
      <c r="Q340" s="20">
        <f>IF(A340="","",DAY(A340))</f>
        <v/>
      </c>
    </row>
    <row r="341">
      <c r="A341" s="18" t="n"/>
      <c r="B341" s="15" t="n"/>
      <c r="C341" s="15" t="n"/>
      <c r="D341" s="15" t="n"/>
      <c r="E341" s="15" t="n"/>
      <c r="F341" s="19" t="n"/>
      <c r="G341" s="15" t="n"/>
      <c r="H341" s="15" t="n"/>
      <c r="I341" s="15" t="n"/>
      <c r="J341" s="15" t="n"/>
      <c r="K341" s="15" t="n"/>
      <c r="L341" s="21" t="n"/>
      <c r="M341" s="15" t="n"/>
      <c r="N341" s="15" t="n"/>
      <c r="O341" s="20">
        <f>IF(A341="","",MONTH(A341))</f>
        <v/>
      </c>
      <c r="P341" s="20">
        <f>IF(A341="","",YEAR(A341))</f>
        <v/>
      </c>
      <c r="Q341" s="20">
        <f>IF(A341="","",DAY(A341))</f>
        <v/>
      </c>
    </row>
    <row r="342">
      <c r="A342" s="18" t="n"/>
      <c r="B342" s="15" t="n"/>
      <c r="C342" s="15" t="n"/>
      <c r="D342" s="15" t="n"/>
      <c r="E342" s="15" t="n"/>
      <c r="F342" s="19" t="n"/>
      <c r="G342" s="15" t="n"/>
      <c r="H342" s="15" t="n"/>
      <c r="I342" s="15" t="n"/>
      <c r="J342" s="15" t="n"/>
      <c r="K342" s="15" t="n"/>
      <c r="L342" s="21" t="n"/>
      <c r="M342" s="15" t="n"/>
      <c r="N342" s="15" t="n"/>
      <c r="O342" s="20">
        <f>IF(A342="","",MONTH(A342))</f>
        <v/>
      </c>
      <c r="P342" s="20">
        <f>IF(A342="","",YEAR(A342))</f>
        <v/>
      </c>
      <c r="Q342" s="20">
        <f>IF(A342="","",DAY(A342))</f>
        <v/>
      </c>
    </row>
    <row r="343">
      <c r="A343" s="18" t="n"/>
      <c r="B343" s="15" t="n"/>
      <c r="C343" s="15" t="n"/>
      <c r="D343" s="15" t="n"/>
      <c r="E343" s="15" t="n"/>
      <c r="F343" s="19" t="n"/>
      <c r="G343" s="15" t="n"/>
      <c r="H343" s="15" t="n"/>
      <c r="I343" s="15" t="n"/>
      <c r="J343" s="15" t="n"/>
      <c r="K343" s="15" t="n"/>
      <c r="L343" s="21" t="n"/>
      <c r="M343" s="15" t="n"/>
      <c r="N343" s="15" t="n"/>
      <c r="O343" s="20">
        <f>IF(A343="","",MONTH(A343))</f>
        <v/>
      </c>
      <c r="P343" s="20">
        <f>IF(A343="","",YEAR(A343))</f>
        <v/>
      </c>
      <c r="Q343" s="20">
        <f>IF(A343="","",DAY(A343))</f>
        <v/>
      </c>
    </row>
    <row r="344">
      <c r="A344" s="18" t="n"/>
      <c r="B344" s="15" t="n"/>
      <c r="C344" s="15" t="n"/>
      <c r="D344" s="15" t="n"/>
      <c r="E344" s="15" t="n"/>
      <c r="F344" s="19" t="n"/>
      <c r="G344" s="15" t="n"/>
      <c r="H344" s="15" t="n"/>
      <c r="I344" s="15" t="n"/>
      <c r="J344" s="15" t="n"/>
      <c r="K344" s="15" t="n"/>
      <c r="L344" s="21" t="n"/>
      <c r="M344" s="15" t="n"/>
      <c r="N344" s="15" t="n"/>
      <c r="O344" s="20">
        <f>IF(A344="","",MONTH(A344))</f>
        <v/>
      </c>
      <c r="P344" s="20">
        <f>IF(A344="","",YEAR(A344))</f>
        <v/>
      </c>
      <c r="Q344" s="20">
        <f>IF(A344="","",DAY(A344))</f>
        <v/>
      </c>
    </row>
    <row r="345">
      <c r="A345" s="18" t="n"/>
      <c r="B345" s="15" t="n"/>
      <c r="C345" s="15" t="n"/>
      <c r="D345" s="15" t="n"/>
      <c r="E345" s="15" t="n"/>
      <c r="F345" s="19" t="n"/>
      <c r="G345" s="15" t="n"/>
      <c r="H345" s="15" t="n"/>
      <c r="I345" s="15" t="n"/>
      <c r="J345" s="15" t="n"/>
      <c r="K345" s="15" t="n"/>
      <c r="L345" s="21" t="n"/>
      <c r="M345" s="15" t="n"/>
      <c r="N345" s="15" t="n"/>
      <c r="O345" s="20">
        <f>IF(A345="","",MONTH(A345))</f>
        <v/>
      </c>
      <c r="P345" s="20">
        <f>IF(A345="","",YEAR(A345))</f>
        <v/>
      </c>
      <c r="Q345" s="20">
        <f>IF(A345="","",DAY(A345))</f>
        <v/>
      </c>
    </row>
    <row r="346">
      <c r="A346" s="18" t="n"/>
      <c r="B346" s="15" t="n"/>
      <c r="C346" s="15" t="n"/>
      <c r="D346" s="15" t="n"/>
      <c r="E346" s="15" t="n"/>
      <c r="F346" s="19" t="n"/>
      <c r="G346" s="15" t="n"/>
      <c r="H346" s="15" t="n"/>
      <c r="I346" s="15" t="n"/>
      <c r="J346" s="15" t="n"/>
      <c r="K346" s="15" t="n"/>
      <c r="L346" s="21" t="n"/>
      <c r="M346" s="15" t="n"/>
      <c r="N346" s="15" t="n"/>
      <c r="O346" s="20">
        <f>IF(A346="","",MONTH(A346))</f>
        <v/>
      </c>
      <c r="P346" s="20">
        <f>IF(A346="","",YEAR(A346))</f>
        <v/>
      </c>
      <c r="Q346" s="20">
        <f>IF(A346="","",DAY(A346))</f>
        <v/>
      </c>
    </row>
    <row r="347">
      <c r="A347" s="18" t="n"/>
      <c r="B347" s="15" t="n"/>
      <c r="C347" s="15" t="n"/>
      <c r="D347" s="15" t="n"/>
      <c r="E347" s="15" t="n"/>
      <c r="F347" s="19" t="n"/>
      <c r="G347" s="15" t="n"/>
      <c r="H347" s="15" t="n"/>
      <c r="I347" s="15" t="n"/>
      <c r="J347" s="15" t="n"/>
      <c r="K347" s="15" t="n"/>
      <c r="L347" s="21" t="n"/>
      <c r="M347" s="15" t="n"/>
      <c r="N347" s="15" t="n"/>
      <c r="O347" s="20">
        <f>IF(A347="","",MONTH(A347))</f>
        <v/>
      </c>
      <c r="P347" s="20">
        <f>IF(A347="","",YEAR(A347))</f>
        <v/>
      </c>
      <c r="Q347" s="20">
        <f>IF(A347="","",DAY(A347))</f>
        <v/>
      </c>
    </row>
    <row r="348">
      <c r="A348" s="18" t="n"/>
      <c r="B348" s="15" t="n"/>
      <c r="C348" s="15" t="n"/>
      <c r="D348" s="15" t="n"/>
      <c r="E348" s="15" t="n"/>
      <c r="F348" s="19" t="n"/>
      <c r="G348" s="15" t="n"/>
      <c r="H348" s="15" t="n"/>
      <c r="I348" s="15" t="n"/>
      <c r="J348" s="15" t="n"/>
      <c r="K348" s="15" t="n"/>
      <c r="L348" s="21" t="n"/>
      <c r="M348" s="15" t="n"/>
      <c r="N348" s="15" t="n"/>
      <c r="O348" s="20">
        <f>IF(A348="","",MONTH(A348))</f>
        <v/>
      </c>
      <c r="P348" s="20">
        <f>IF(A348="","",YEAR(A348))</f>
        <v/>
      </c>
      <c r="Q348" s="20">
        <f>IF(A348="","",DAY(A348))</f>
        <v/>
      </c>
    </row>
    <row r="349">
      <c r="A349" s="18" t="n"/>
      <c r="B349" s="15" t="n"/>
      <c r="C349" s="15" t="n"/>
      <c r="D349" s="15" t="n"/>
      <c r="E349" s="15" t="n"/>
      <c r="F349" s="19" t="n"/>
      <c r="G349" s="15" t="n"/>
      <c r="H349" s="15" t="n"/>
      <c r="I349" s="15" t="n"/>
      <c r="J349" s="15" t="n"/>
      <c r="K349" s="15" t="n"/>
      <c r="L349" s="21" t="n"/>
      <c r="M349" s="15" t="n"/>
      <c r="N349" s="15" t="n"/>
      <c r="O349" s="20">
        <f>IF(A349="","",MONTH(A349))</f>
        <v/>
      </c>
      <c r="P349" s="20">
        <f>IF(A349="","",YEAR(A349))</f>
        <v/>
      </c>
      <c r="Q349" s="20">
        <f>IF(A349="","",DAY(A349))</f>
        <v/>
      </c>
    </row>
    <row r="350">
      <c r="A350" s="18" t="n"/>
      <c r="B350" s="15" t="n"/>
      <c r="C350" s="15" t="n"/>
      <c r="D350" s="15" t="n"/>
      <c r="E350" s="15" t="n"/>
      <c r="F350" s="19" t="n"/>
      <c r="G350" s="15" t="n"/>
      <c r="H350" s="15" t="n"/>
      <c r="I350" s="15" t="n"/>
      <c r="J350" s="15" t="n"/>
      <c r="K350" s="15" t="n"/>
      <c r="L350" s="21" t="n"/>
      <c r="M350" s="15" t="n"/>
      <c r="N350" s="15" t="n"/>
      <c r="O350" s="20">
        <f>IF(A350="","",MONTH(A350))</f>
        <v/>
      </c>
      <c r="P350" s="20">
        <f>IF(A350="","",YEAR(A350))</f>
        <v/>
      </c>
      <c r="Q350" s="20">
        <f>IF(A350="","",DAY(A350))</f>
        <v/>
      </c>
    </row>
    <row r="351">
      <c r="A351" s="18" t="n"/>
      <c r="B351" s="15" t="n"/>
      <c r="C351" s="15" t="n"/>
      <c r="D351" s="15" t="n"/>
      <c r="E351" s="15" t="n"/>
      <c r="F351" s="19" t="n"/>
      <c r="G351" s="15" t="n"/>
      <c r="H351" s="15" t="n"/>
      <c r="I351" s="15" t="n"/>
      <c r="J351" s="15" t="n"/>
      <c r="K351" s="15" t="n"/>
      <c r="L351" s="21" t="n"/>
      <c r="M351" s="15" t="n"/>
      <c r="N351" s="15" t="n"/>
      <c r="O351" s="20">
        <f>IF(A351="","",MONTH(A351))</f>
        <v/>
      </c>
      <c r="P351" s="20">
        <f>IF(A351="","",YEAR(A351))</f>
        <v/>
      </c>
      <c r="Q351" s="20">
        <f>IF(A351="","",DAY(A351))</f>
        <v/>
      </c>
    </row>
    <row r="352">
      <c r="A352" s="18" t="n"/>
      <c r="B352" s="15" t="n"/>
      <c r="C352" s="15" t="n"/>
      <c r="D352" s="15" t="n"/>
      <c r="E352" s="15" t="n"/>
      <c r="F352" s="19" t="n"/>
      <c r="G352" s="15" t="n"/>
      <c r="H352" s="15" t="n"/>
      <c r="I352" s="15" t="n"/>
      <c r="J352" s="15" t="n"/>
      <c r="K352" s="15" t="n"/>
      <c r="L352" s="21" t="n"/>
      <c r="M352" s="15" t="n"/>
      <c r="N352" s="15" t="n"/>
      <c r="O352" s="20">
        <f>IF(A352="","",MONTH(A352))</f>
        <v/>
      </c>
      <c r="P352" s="20">
        <f>IF(A352="","",YEAR(A352))</f>
        <v/>
      </c>
      <c r="Q352" s="20">
        <f>IF(A352="","",DAY(A352))</f>
        <v/>
      </c>
    </row>
    <row r="353">
      <c r="A353" s="18" t="n"/>
      <c r="B353" s="15" t="n"/>
      <c r="C353" s="15" t="n"/>
      <c r="D353" s="15" t="n"/>
      <c r="E353" s="15" t="n"/>
      <c r="F353" s="19" t="n"/>
      <c r="G353" s="15" t="n"/>
      <c r="H353" s="15" t="n"/>
      <c r="I353" s="15" t="n"/>
      <c r="J353" s="15" t="n"/>
      <c r="K353" s="15" t="n"/>
      <c r="L353" s="21" t="n"/>
      <c r="M353" s="15" t="n"/>
      <c r="N353" s="15" t="n"/>
      <c r="O353" s="20">
        <f>IF(A353="","",MONTH(A353))</f>
        <v/>
      </c>
      <c r="P353" s="20">
        <f>IF(A353="","",YEAR(A353))</f>
        <v/>
      </c>
      <c r="Q353" s="20">
        <f>IF(A353="","",DAY(A353))</f>
        <v/>
      </c>
    </row>
    <row r="354">
      <c r="A354" s="18" t="n"/>
      <c r="B354" s="15" t="n"/>
      <c r="C354" s="15" t="n"/>
      <c r="D354" s="15" t="n"/>
      <c r="E354" s="15" t="n"/>
      <c r="F354" s="19" t="n"/>
      <c r="G354" s="15" t="n"/>
      <c r="H354" s="15" t="n"/>
      <c r="I354" s="15" t="n"/>
      <c r="J354" s="15" t="n"/>
      <c r="K354" s="15" t="n"/>
      <c r="L354" s="21" t="n"/>
      <c r="M354" s="15" t="n"/>
      <c r="N354" s="15" t="n"/>
      <c r="O354" s="20">
        <f>IF(A354="","",MONTH(A354))</f>
        <v/>
      </c>
      <c r="P354" s="20">
        <f>IF(A354="","",YEAR(A354))</f>
        <v/>
      </c>
      <c r="Q354" s="20">
        <f>IF(A354="","",DAY(A354))</f>
        <v/>
      </c>
    </row>
    <row r="355">
      <c r="A355" s="18" t="n"/>
      <c r="B355" s="15" t="n"/>
      <c r="C355" s="15" t="n"/>
      <c r="D355" s="15" t="n"/>
      <c r="E355" s="15" t="n"/>
      <c r="F355" s="19" t="n"/>
      <c r="G355" s="15" t="n"/>
      <c r="H355" s="15" t="n"/>
      <c r="I355" s="15" t="n"/>
      <c r="J355" s="15" t="n"/>
      <c r="K355" s="15" t="n"/>
      <c r="L355" s="21" t="n"/>
      <c r="M355" s="15" t="n"/>
      <c r="N355" s="15" t="n"/>
      <c r="O355" s="20">
        <f>IF(A355="","",MONTH(A355))</f>
        <v/>
      </c>
      <c r="P355" s="20">
        <f>IF(A355="","",YEAR(A355))</f>
        <v/>
      </c>
      <c r="Q355" s="20">
        <f>IF(A355="","",DAY(A355))</f>
        <v/>
      </c>
    </row>
    <row r="356">
      <c r="A356" s="18" t="n"/>
      <c r="B356" s="15" t="n"/>
      <c r="C356" s="15" t="n"/>
      <c r="D356" s="15" t="n"/>
      <c r="E356" s="15" t="n"/>
      <c r="F356" s="19" t="n"/>
      <c r="G356" s="15" t="n"/>
      <c r="H356" s="15" t="n"/>
      <c r="I356" s="15" t="n"/>
      <c r="J356" s="15" t="n"/>
      <c r="K356" s="15" t="n"/>
      <c r="L356" s="21" t="n"/>
      <c r="M356" s="15" t="n"/>
      <c r="N356" s="15" t="n"/>
      <c r="O356" s="20">
        <f>IF(A356="","",MONTH(A356))</f>
        <v/>
      </c>
      <c r="P356" s="20">
        <f>IF(A356="","",YEAR(A356))</f>
        <v/>
      </c>
      <c r="Q356" s="20">
        <f>IF(A356="","",DAY(A356))</f>
        <v/>
      </c>
    </row>
    <row r="357">
      <c r="A357" s="18" t="n"/>
      <c r="B357" s="15" t="n"/>
      <c r="C357" s="15" t="n"/>
      <c r="D357" s="15" t="n"/>
      <c r="E357" s="15" t="n"/>
      <c r="F357" s="19" t="n"/>
      <c r="G357" s="15" t="n"/>
      <c r="H357" s="15" t="n"/>
      <c r="I357" s="15" t="n"/>
      <c r="J357" s="15" t="n"/>
      <c r="K357" s="15" t="n"/>
      <c r="L357" s="21" t="n"/>
      <c r="M357" s="15" t="n"/>
      <c r="N357" s="15" t="n"/>
      <c r="O357" s="20">
        <f>IF(A357="","",MONTH(A357))</f>
        <v/>
      </c>
      <c r="P357" s="20">
        <f>IF(A357="","",YEAR(A357))</f>
        <v/>
      </c>
      <c r="Q357" s="20">
        <f>IF(A357="","",DAY(A357))</f>
        <v/>
      </c>
    </row>
    <row r="358">
      <c r="A358" s="18" t="n"/>
      <c r="B358" s="15" t="n"/>
      <c r="C358" s="15" t="n"/>
      <c r="D358" s="15" t="n"/>
      <c r="E358" s="15" t="n"/>
      <c r="F358" s="19" t="n"/>
      <c r="G358" s="15" t="n"/>
      <c r="H358" s="15" t="n"/>
      <c r="I358" s="15" t="n"/>
      <c r="J358" s="15" t="n"/>
      <c r="K358" s="15" t="n"/>
      <c r="L358" s="21" t="n"/>
      <c r="M358" s="15" t="n"/>
      <c r="N358" s="15" t="n"/>
      <c r="O358" s="20">
        <f>IF(A358="","",MONTH(A358))</f>
        <v/>
      </c>
      <c r="P358" s="20">
        <f>IF(A358="","",YEAR(A358))</f>
        <v/>
      </c>
      <c r="Q358" s="20">
        <f>IF(A358="","",DAY(A358))</f>
        <v/>
      </c>
    </row>
    <row r="359">
      <c r="A359" s="18" t="n"/>
      <c r="B359" s="15" t="n"/>
      <c r="C359" s="15" t="n"/>
      <c r="D359" s="15" t="n"/>
      <c r="E359" s="15" t="n"/>
      <c r="F359" s="19" t="n"/>
      <c r="G359" s="15" t="n"/>
      <c r="H359" s="15" t="n"/>
      <c r="I359" s="15" t="n"/>
      <c r="J359" s="15" t="n"/>
      <c r="K359" s="15" t="n"/>
      <c r="L359" s="21" t="n"/>
      <c r="M359" s="15" t="n"/>
      <c r="N359" s="15" t="n"/>
      <c r="O359" s="20">
        <f>IF(A359="","",MONTH(A359))</f>
        <v/>
      </c>
      <c r="P359" s="20">
        <f>IF(A359="","",YEAR(A359))</f>
        <v/>
      </c>
      <c r="Q359" s="20">
        <f>IF(A359="","",DAY(A359))</f>
        <v/>
      </c>
    </row>
    <row r="360">
      <c r="A360" s="18" t="n"/>
      <c r="B360" s="15" t="n"/>
      <c r="C360" s="15" t="n"/>
      <c r="D360" s="15" t="n"/>
      <c r="E360" s="15" t="n"/>
      <c r="F360" s="19" t="n"/>
      <c r="G360" s="15" t="n"/>
      <c r="H360" s="15" t="n"/>
      <c r="I360" s="15" t="n"/>
      <c r="J360" s="15" t="n"/>
      <c r="K360" s="15" t="n"/>
      <c r="L360" s="21" t="n"/>
      <c r="M360" s="15" t="n"/>
      <c r="N360" s="15" t="n"/>
      <c r="O360" s="20">
        <f>IF(A360="","",MONTH(A360))</f>
        <v/>
      </c>
      <c r="P360" s="20">
        <f>IF(A360="","",YEAR(A360))</f>
        <v/>
      </c>
      <c r="Q360" s="20">
        <f>IF(A360="","",DAY(A360))</f>
        <v/>
      </c>
    </row>
    <row r="361">
      <c r="A361" s="18" t="n"/>
      <c r="B361" s="15" t="n"/>
      <c r="C361" s="15" t="n"/>
      <c r="D361" s="15" t="n"/>
      <c r="E361" s="15" t="n"/>
      <c r="F361" s="19" t="n"/>
      <c r="G361" s="15" t="n"/>
      <c r="H361" s="15" t="n"/>
      <c r="I361" s="15" t="n"/>
      <c r="J361" s="15" t="n"/>
      <c r="K361" s="15" t="n"/>
      <c r="L361" s="21" t="n"/>
      <c r="M361" s="15" t="n"/>
      <c r="N361" s="15" t="n"/>
      <c r="O361" s="20">
        <f>IF(A361="","",MONTH(A361))</f>
        <v/>
      </c>
      <c r="P361" s="20">
        <f>IF(A361="","",YEAR(A361))</f>
        <v/>
      </c>
      <c r="Q361" s="20">
        <f>IF(A361="","",DAY(A361))</f>
        <v/>
      </c>
    </row>
    <row r="362">
      <c r="A362" s="18" t="n"/>
      <c r="B362" s="15" t="n"/>
      <c r="C362" s="15" t="n"/>
      <c r="D362" s="15" t="n"/>
      <c r="E362" s="15" t="n"/>
      <c r="F362" s="19" t="n"/>
      <c r="G362" s="15" t="n"/>
      <c r="H362" s="15" t="n"/>
      <c r="I362" s="15" t="n"/>
      <c r="J362" s="15" t="n"/>
      <c r="K362" s="15" t="n"/>
      <c r="L362" s="21" t="n"/>
      <c r="M362" s="15" t="n"/>
      <c r="N362" s="15" t="n"/>
      <c r="O362" s="20">
        <f>IF(A362="","",MONTH(A362))</f>
        <v/>
      </c>
      <c r="P362" s="20">
        <f>IF(A362="","",YEAR(A362))</f>
        <v/>
      </c>
      <c r="Q362" s="20">
        <f>IF(A362="","",DAY(A362))</f>
        <v/>
      </c>
    </row>
    <row r="363">
      <c r="A363" s="18" t="n"/>
      <c r="B363" s="15" t="n"/>
      <c r="C363" s="15" t="n"/>
      <c r="D363" s="15" t="n"/>
      <c r="E363" s="15" t="n"/>
      <c r="F363" s="19" t="n"/>
      <c r="G363" s="15" t="n"/>
      <c r="H363" s="15" t="n"/>
      <c r="I363" s="15" t="n"/>
      <c r="J363" s="15" t="n"/>
      <c r="K363" s="15" t="n"/>
      <c r="L363" s="21" t="n"/>
      <c r="M363" s="15" t="n"/>
      <c r="N363" s="15" t="n"/>
      <c r="O363" s="20">
        <f>IF(A363="","",MONTH(A363))</f>
        <v/>
      </c>
      <c r="P363" s="20">
        <f>IF(A363="","",YEAR(A363))</f>
        <v/>
      </c>
      <c r="Q363" s="20">
        <f>IF(A363="","",DAY(A363))</f>
        <v/>
      </c>
    </row>
    <row r="364">
      <c r="A364" s="18" t="n"/>
      <c r="B364" s="15" t="n"/>
      <c r="C364" s="15" t="n"/>
      <c r="D364" s="15" t="n"/>
      <c r="E364" s="15" t="n"/>
      <c r="F364" s="19" t="n"/>
      <c r="G364" s="15" t="n"/>
      <c r="H364" s="15" t="n"/>
      <c r="I364" s="15" t="n"/>
      <c r="J364" s="15" t="n"/>
      <c r="K364" s="15" t="n"/>
      <c r="L364" s="21" t="n"/>
      <c r="M364" s="15" t="n"/>
      <c r="N364" s="15" t="n"/>
      <c r="O364" s="20">
        <f>IF(A364="","",MONTH(A364))</f>
        <v/>
      </c>
      <c r="P364" s="20">
        <f>IF(A364="","",YEAR(A364))</f>
        <v/>
      </c>
      <c r="Q364" s="20">
        <f>IF(A364="","",DAY(A364))</f>
        <v/>
      </c>
    </row>
    <row r="365">
      <c r="A365" s="18" t="n"/>
      <c r="B365" s="15" t="n"/>
      <c r="C365" s="15" t="n"/>
      <c r="D365" s="15" t="n"/>
      <c r="E365" s="15" t="n"/>
      <c r="F365" s="19" t="n"/>
      <c r="G365" s="15" t="n"/>
      <c r="H365" s="15" t="n"/>
      <c r="I365" s="15" t="n"/>
      <c r="J365" s="15" t="n"/>
      <c r="K365" s="15" t="n"/>
      <c r="L365" s="21" t="n"/>
      <c r="M365" s="15" t="n"/>
      <c r="N365" s="15" t="n"/>
      <c r="O365" s="20">
        <f>IF(A365="","",MONTH(A365))</f>
        <v/>
      </c>
      <c r="P365" s="20">
        <f>IF(A365="","",YEAR(A365))</f>
        <v/>
      </c>
      <c r="Q365" s="20">
        <f>IF(A365="","",DAY(A365))</f>
        <v/>
      </c>
    </row>
    <row r="366">
      <c r="A366" s="18" t="n"/>
      <c r="B366" s="15" t="n"/>
      <c r="C366" s="15" t="n"/>
      <c r="D366" s="15" t="n"/>
      <c r="E366" s="15" t="n"/>
      <c r="F366" s="19" t="n"/>
      <c r="G366" s="15" t="n"/>
      <c r="H366" s="15" t="n"/>
      <c r="I366" s="15" t="n"/>
      <c r="J366" s="15" t="n"/>
      <c r="K366" s="15" t="n"/>
      <c r="L366" s="21" t="n"/>
      <c r="M366" s="15" t="n"/>
      <c r="N366" s="15" t="n"/>
      <c r="O366" s="20">
        <f>IF(A366="","",MONTH(A366))</f>
        <v/>
      </c>
      <c r="P366" s="20">
        <f>IF(A366="","",YEAR(A366))</f>
        <v/>
      </c>
      <c r="Q366" s="20">
        <f>IF(A366="","",DAY(A366))</f>
        <v/>
      </c>
    </row>
    <row r="367">
      <c r="A367" s="18" t="n"/>
      <c r="B367" s="15" t="n"/>
      <c r="C367" s="15" t="n"/>
      <c r="D367" s="15" t="n"/>
      <c r="E367" s="15" t="n"/>
      <c r="F367" s="19" t="n"/>
      <c r="G367" s="15" t="n"/>
      <c r="H367" s="15" t="n"/>
      <c r="I367" s="15" t="n"/>
      <c r="J367" s="15" t="n"/>
      <c r="K367" s="15" t="n"/>
      <c r="L367" s="21" t="n"/>
      <c r="M367" s="15" t="n"/>
      <c r="N367" s="15" t="n"/>
      <c r="O367" s="20">
        <f>IF(A367="","",MONTH(A367))</f>
        <v/>
      </c>
      <c r="P367" s="20">
        <f>IF(A367="","",YEAR(A367))</f>
        <v/>
      </c>
      <c r="Q367" s="20">
        <f>IF(A367="","",DAY(A367))</f>
        <v/>
      </c>
    </row>
    <row r="368">
      <c r="A368" s="18" t="n"/>
      <c r="B368" s="15" t="n"/>
      <c r="C368" s="15" t="n"/>
      <c r="D368" s="15" t="n"/>
      <c r="E368" s="15" t="n"/>
      <c r="F368" s="19" t="n"/>
      <c r="G368" s="15" t="n"/>
      <c r="H368" s="15" t="n"/>
      <c r="I368" s="15" t="n"/>
      <c r="J368" s="15" t="n"/>
      <c r="K368" s="15" t="n"/>
      <c r="L368" s="21" t="n"/>
      <c r="M368" s="15" t="n"/>
      <c r="N368" s="15" t="n"/>
      <c r="O368" s="20">
        <f>IF(A368="","",MONTH(A368))</f>
        <v/>
      </c>
      <c r="P368" s="20">
        <f>IF(A368="","",YEAR(A368))</f>
        <v/>
      </c>
      <c r="Q368" s="20">
        <f>IF(A368="","",DAY(A368))</f>
        <v/>
      </c>
    </row>
    <row r="369">
      <c r="A369" s="18" t="n"/>
      <c r="B369" s="15" t="n"/>
      <c r="C369" s="15" t="n"/>
      <c r="D369" s="15" t="n"/>
      <c r="E369" s="15" t="n"/>
      <c r="F369" s="19" t="n"/>
      <c r="G369" s="15" t="n"/>
      <c r="H369" s="15" t="n"/>
      <c r="I369" s="15" t="n"/>
      <c r="J369" s="15" t="n"/>
      <c r="K369" s="15" t="n"/>
      <c r="L369" s="21" t="n"/>
      <c r="M369" s="15" t="n"/>
      <c r="N369" s="15" t="n"/>
      <c r="O369" s="20">
        <f>IF(A369="","",MONTH(A369))</f>
        <v/>
      </c>
      <c r="P369" s="20">
        <f>IF(A369="","",YEAR(A369))</f>
        <v/>
      </c>
      <c r="Q369" s="20">
        <f>IF(A369="","",DAY(A369))</f>
        <v/>
      </c>
    </row>
    <row r="370">
      <c r="A370" s="18" t="n"/>
      <c r="B370" s="15" t="n"/>
      <c r="C370" s="15" t="n"/>
      <c r="D370" s="15" t="n"/>
      <c r="E370" s="15" t="n"/>
      <c r="F370" s="19" t="n"/>
      <c r="G370" s="15" t="n"/>
      <c r="H370" s="15" t="n"/>
      <c r="I370" s="15" t="n"/>
      <c r="J370" s="15" t="n"/>
      <c r="K370" s="15" t="n"/>
      <c r="L370" s="21" t="n"/>
      <c r="M370" s="15" t="n"/>
      <c r="N370" s="15" t="n"/>
      <c r="O370" s="20">
        <f>IF(A370="","",MONTH(A370))</f>
        <v/>
      </c>
      <c r="P370" s="20">
        <f>IF(A370="","",YEAR(A370))</f>
        <v/>
      </c>
      <c r="Q370" s="20">
        <f>IF(A370="","",DAY(A370))</f>
        <v/>
      </c>
    </row>
    <row r="371">
      <c r="A371" s="18" t="n"/>
      <c r="B371" s="15" t="n"/>
      <c r="C371" s="15" t="n"/>
      <c r="D371" s="15" t="n"/>
      <c r="E371" s="15" t="n"/>
      <c r="F371" s="19" t="n"/>
      <c r="G371" s="15" t="n"/>
      <c r="H371" s="15" t="n"/>
      <c r="I371" s="15" t="n"/>
      <c r="J371" s="15" t="n"/>
      <c r="K371" s="15" t="n"/>
      <c r="L371" s="21" t="n"/>
      <c r="M371" s="15" t="n"/>
      <c r="N371" s="15" t="n"/>
      <c r="O371" s="20">
        <f>IF(A371="","",MONTH(A371))</f>
        <v/>
      </c>
      <c r="P371" s="20">
        <f>IF(A371="","",YEAR(A371))</f>
        <v/>
      </c>
      <c r="Q371" s="20">
        <f>IF(A371="","",DAY(A371))</f>
        <v/>
      </c>
    </row>
    <row r="372">
      <c r="A372" s="18" t="n"/>
      <c r="B372" s="15" t="n"/>
      <c r="C372" s="15" t="n"/>
      <c r="D372" s="15" t="n"/>
      <c r="E372" s="15" t="n"/>
      <c r="F372" s="19" t="n"/>
      <c r="G372" s="15" t="n"/>
      <c r="H372" s="15" t="n"/>
      <c r="I372" s="15" t="n"/>
      <c r="J372" s="15" t="n"/>
      <c r="K372" s="15" t="n"/>
      <c r="L372" s="21" t="n"/>
      <c r="M372" s="15" t="n"/>
      <c r="N372" s="15" t="n"/>
      <c r="O372" s="20">
        <f>IF(A372="","",MONTH(A372))</f>
        <v/>
      </c>
      <c r="P372" s="20">
        <f>IF(A372="","",YEAR(A372))</f>
        <v/>
      </c>
      <c r="Q372" s="20">
        <f>IF(A372="","",DAY(A372))</f>
        <v/>
      </c>
    </row>
    <row r="373">
      <c r="A373" s="18" t="n"/>
      <c r="B373" s="15" t="n"/>
      <c r="C373" s="15" t="n"/>
      <c r="D373" s="15" t="n"/>
      <c r="E373" s="15" t="n"/>
      <c r="F373" s="19" t="n"/>
      <c r="G373" s="15" t="n"/>
      <c r="H373" s="15" t="n"/>
      <c r="I373" s="15" t="n"/>
      <c r="J373" s="15" t="n"/>
      <c r="K373" s="15" t="n"/>
      <c r="L373" s="21" t="n"/>
      <c r="M373" s="15" t="n"/>
      <c r="N373" s="15" t="n"/>
      <c r="O373" s="20">
        <f>IF(A373="","",MONTH(A373))</f>
        <v/>
      </c>
      <c r="P373" s="20">
        <f>IF(A373="","",YEAR(A373))</f>
        <v/>
      </c>
      <c r="Q373" s="20">
        <f>IF(A373="","",DAY(A373))</f>
        <v/>
      </c>
    </row>
    <row r="374">
      <c r="A374" s="18" t="n"/>
      <c r="B374" s="15" t="n"/>
      <c r="C374" s="15" t="n"/>
      <c r="D374" s="15" t="n"/>
      <c r="E374" s="15" t="n"/>
      <c r="F374" s="19" t="n"/>
      <c r="G374" s="15" t="n"/>
      <c r="H374" s="15" t="n"/>
      <c r="I374" s="15" t="n"/>
      <c r="J374" s="15" t="n"/>
      <c r="K374" s="15" t="n"/>
      <c r="L374" s="21" t="n"/>
      <c r="M374" s="15" t="n"/>
      <c r="N374" s="15" t="n"/>
      <c r="O374" s="20">
        <f>IF(A374="","",MONTH(A374))</f>
        <v/>
      </c>
      <c r="P374" s="20">
        <f>IF(A374="","",YEAR(A374))</f>
        <v/>
      </c>
      <c r="Q374" s="20">
        <f>IF(A374="","",DAY(A374))</f>
        <v/>
      </c>
    </row>
    <row r="375">
      <c r="A375" s="18" t="n"/>
      <c r="B375" s="15" t="n"/>
      <c r="C375" s="15" t="n"/>
      <c r="D375" s="15" t="n"/>
      <c r="E375" s="15" t="n"/>
      <c r="F375" s="19" t="n"/>
      <c r="G375" s="15" t="n"/>
      <c r="H375" s="15" t="n"/>
      <c r="I375" s="15" t="n"/>
      <c r="J375" s="15" t="n"/>
      <c r="K375" s="15" t="n"/>
      <c r="L375" s="21" t="n"/>
      <c r="M375" s="15" t="n"/>
      <c r="N375" s="15" t="n"/>
      <c r="O375" s="20">
        <f>IF(A375="","",MONTH(A375))</f>
        <v/>
      </c>
      <c r="P375" s="20">
        <f>IF(A375="","",YEAR(A375))</f>
        <v/>
      </c>
      <c r="Q375" s="20">
        <f>IF(A375="","",DAY(A375))</f>
        <v/>
      </c>
    </row>
    <row r="376">
      <c r="A376" s="18" t="n"/>
      <c r="B376" s="15" t="n"/>
      <c r="C376" s="15" t="n"/>
      <c r="D376" s="15" t="n"/>
      <c r="E376" s="15" t="n"/>
      <c r="F376" s="19" t="n"/>
      <c r="G376" s="15" t="n"/>
      <c r="H376" s="15" t="n"/>
      <c r="I376" s="15" t="n"/>
      <c r="J376" s="15" t="n"/>
      <c r="K376" s="15" t="n"/>
      <c r="L376" s="21" t="n"/>
      <c r="M376" s="15" t="n"/>
      <c r="N376" s="15" t="n"/>
      <c r="O376" s="20">
        <f>IF(A376="","",MONTH(A376))</f>
        <v/>
      </c>
      <c r="P376" s="20">
        <f>IF(A376="","",YEAR(A376))</f>
        <v/>
      </c>
      <c r="Q376" s="20">
        <f>IF(A376="","",DAY(A376))</f>
        <v/>
      </c>
    </row>
    <row r="377">
      <c r="A377" s="18" t="n"/>
      <c r="B377" s="15" t="n"/>
      <c r="C377" s="15" t="n"/>
      <c r="D377" s="15" t="n"/>
      <c r="E377" s="15" t="n"/>
      <c r="F377" s="19" t="n"/>
      <c r="G377" s="15" t="n"/>
      <c r="H377" s="15" t="n"/>
      <c r="I377" s="15" t="n"/>
      <c r="J377" s="15" t="n"/>
      <c r="K377" s="15" t="n"/>
      <c r="L377" s="21" t="n"/>
      <c r="M377" s="15" t="n"/>
      <c r="N377" s="15" t="n"/>
      <c r="O377" s="20">
        <f>IF(A377="","",MONTH(A377))</f>
        <v/>
      </c>
      <c r="P377" s="20">
        <f>IF(A377="","",YEAR(A377))</f>
        <v/>
      </c>
      <c r="Q377" s="20">
        <f>IF(A377="","",DAY(A377))</f>
        <v/>
      </c>
    </row>
    <row r="378">
      <c r="A378" s="18" t="n"/>
      <c r="B378" s="15" t="n"/>
      <c r="C378" s="15" t="n"/>
      <c r="D378" s="15" t="n"/>
      <c r="E378" s="15" t="n"/>
      <c r="F378" s="19" t="n"/>
      <c r="G378" s="15" t="n"/>
      <c r="H378" s="15" t="n"/>
      <c r="I378" s="15" t="n"/>
      <c r="J378" s="15" t="n"/>
      <c r="K378" s="15" t="n"/>
      <c r="L378" s="21" t="n"/>
      <c r="M378" s="15" t="n"/>
      <c r="N378" s="15" t="n"/>
      <c r="O378" s="20">
        <f>IF(A378="","",MONTH(A378))</f>
        <v/>
      </c>
      <c r="P378" s="20">
        <f>IF(A378="","",YEAR(A378))</f>
        <v/>
      </c>
      <c r="Q378" s="20">
        <f>IF(A378="","",DAY(A378))</f>
        <v/>
      </c>
    </row>
    <row r="379">
      <c r="A379" s="18" t="n"/>
      <c r="B379" s="15" t="n"/>
      <c r="C379" s="15" t="n"/>
      <c r="D379" s="15" t="n"/>
      <c r="E379" s="15" t="n"/>
      <c r="F379" s="19" t="n"/>
      <c r="G379" s="15" t="n"/>
      <c r="H379" s="15" t="n"/>
      <c r="I379" s="15" t="n"/>
      <c r="J379" s="15" t="n"/>
      <c r="K379" s="15" t="n"/>
      <c r="L379" s="21" t="n"/>
      <c r="M379" s="15" t="n"/>
      <c r="N379" s="15" t="n"/>
      <c r="O379" s="20">
        <f>IF(A379="","",MONTH(A379))</f>
        <v/>
      </c>
      <c r="P379" s="20">
        <f>IF(A379="","",YEAR(A379))</f>
        <v/>
      </c>
      <c r="Q379" s="20">
        <f>IF(A379="","",DAY(A379))</f>
        <v/>
      </c>
    </row>
    <row r="380">
      <c r="A380" s="18" t="n"/>
      <c r="B380" s="15" t="n"/>
      <c r="C380" s="15" t="n"/>
      <c r="D380" s="15" t="n"/>
      <c r="E380" s="15" t="n"/>
      <c r="F380" s="19" t="n"/>
      <c r="G380" s="15" t="n"/>
      <c r="H380" s="15" t="n"/>
      <c r="I380" s="15" t="n"/>
      <c r="J380" s="15" t="n"/>
      <c r="K380" s="15" t="n"/>
      <c r="L380" s="21" t="n"/>
      <c r="M380" s="15" t="n"/>
      <c r="N380" s="15" t="n"/>
      <c r="O380" s="20">
        <f>IF(A380="","",MONTH(A380))</f>
        <v/>
      </c>
      <c r="P380" s="20">
        <f>IF(A380="","",YEAR(A380))</f>
        <v/>
      </c>
      <c r="Q380" s="20">
        <f>IF(A380="","",DAY(A380))</f>
        <v/>
      </c>
    </row>
    <row r="381">
      <c r="A381" s="18" t="n"/>
      <c r="B381" s="15" t="n"/>
      <c r="C381" s="15" t="n"/>
      <c r="D381" s="15" t="n"/>
      <c r="E381" s="15" t="n"/>
      <c r="F381" s="19" t="n"/>
      <c r="G381" s="15" t="n"/>
      <c r="H381" s="15" t="n"/>
      <c r="I381" s="15" t="n"/>
      <c r="J381" s="15" t="n"/>
      <c r="K381" s="15" t="n"/>
      <c r="L381" s="21" t="n"/>
      <c r="M381" s="15" t="n"/>
      <c r="N381" s="15" t="n"/>
      <c r="O381" s="20">
        <f>IF(A381="","",MONTH(A381))</f>
        <v/>
      </c>
      <c r="P381" s="20">
        <f>IF(A381="","",YEAR(A381))</f>
        <v/>
      </c>
      <c r="Q381" s="20">
        <f>IF(A381="","",DAY(A381))</f>
        <v/>
      </c>
    </row>
    <row r="382">
      <c r="A382" s="18" t="n"/>
      <c r="B382" s="15" t="n"/>
      <c r="C382" s="15" t="n"/>
      <c r="D382" s="15" t="n"/>
      <c r="E382" s="15" t="n"/>
      <c r="F382" s="19" t="n"/>
      <c r="G382" s="15" t="n"/>
      <c r="H382" s="15" t="n"/>
      <c r="I382" s="15" t="n"/>
      <c r="J382" s="15" t="n"/>
      <c r="K382" s="15" t="n"/>
      <c r="L382" s="21" t="n"/>
      <c r="M382" s="15" t="n"/>
      <c r="N382" s="15" t="n"/>
      <c r="O382" s="20">
        <f>IF(A382="","",MONTH(A382))</f>
        <v/>
      </c>
      <c r="P382" s="20">
        <f>IF(A382="","",YEAR(A382))</f>
        <v/>
      </c>
      <c r="Q382" s="20">
        <f>IF(A382="","",DAY(A382))</f>
        <v/>
      </c>
    </row>
    <row r="383">
      <c r="A383" s="18" t="n"/>
      <c r="B383" s="15" t="n"/>
      <c r="C383" s="15" t="n"/>
      <c r="D383" s="15" t="n"/>
      <c r="E383" s="15" t="n"/>
      <c r="F383" s="19" t="n"/>
      <c r="G383" s="15" t="n"/>
      <c r="H383" s="15" t="n"/>
      <c r="I383" s="15" t="n"/>
      <c r="J383" s="15" t="n"/>
      <c r="K383" s="15" t="n"/>
      <c r="L383" s="21" t="n"/>
      <c r="M383" s="15" t="n"/>
      <c r="N383" s="15" t="n"/>
      <c r="O383" s="20">
        <f>IF(A383="","",MONTH(A383))</f>
        <v/>
      </c>
      <c r="P383" s="20">
        <f>IF(A383="","",YEAR(A383))</f>
        <v/>
      </c>
      <c r="Q383" s="20">
        <f>IF(A383="","",DAY(A383))</f>
        <v/>
      </c>
    </row>
    <row r="384">
      <c r="A384" s="18" t="n"/>
      <c r="B384" s="15" t="n"/>
      <c r="C384" s="15" t="n"/>
      <c r="D384" s="15" t="n"/>
      <c r="E384" s="15" t="n"/>
      <c r="F384" s="19" t="n"/>
      <c r="G384" s="15" t="n"/>
      <c r="H384" s="15" t="n"/>
      <c r="I384" s="15" t="n"/>
      <c r="J384" s="15" t="n"/>
      <c r="K384" s="15" t="n"/>
      <c r="L384" s="21" t="n"/>
      <c r="M384" s="15" t="n"/>
      <c r="N384" s="15" t="n"/>
      <c r="O384" s="20">
        <f>IF(A384="","",MONTH(A384))</f>
        <v/>
      </c>
      <c r="P384" s="20">
        <f>IF(A384="","",YEAR(A384))</f>
        <v/>
      </c>
      <c r="Q384" s="20">
        <f>IF(A384="","",DAY(A384))</f>
        <v/>
      </c>
    </row>
    <row r="385">
      <c r="A385" s="18" t="n"/>
      <c r="B385" s="15" t="n"/>
      <c r="C385" s="15" t="n"/>
      <c r="D385" s="15" t="n"/>
      <c r="E385" s="15" t="n"/>
      <c r="F385" s="19" t="n"/>
      <c r="G385" s="15" t="n"/>
      <c r="H385" s="15" t="n"/>
      <c r="I385" s="15" t="n"/>
      <c r="J385" s="15" t="n"/>
      <c r="K385" s="15" t="n"/>
      <c r="L385" s="21" t="n"/>
      <c r="M385" s="15" t="n"/>
      <c r="N385" s="15" t="n"/>
      <c r="O385" s="20">
        <f>IF(A385="","",MONTH(A385))</f>
        <v/>
      </c>
      <c r="P385" s="20">
        <f>IF(A385="","",YEAR(A385))</f>
        <v/>
      </c>
      <c r="Q385" s="20">
        <f>IF(A385="","",DAY(A385))</f>
        <v/>
      </c>
    </row>
    <row r="386">
      <c r="A386" s="18" t="n"/>
      <c r="B386" s="15" t="n"/>
      <c r="C386" s="15" t="n"/>
      <c r="D386" s="15" t="n"/>
      <c r="E386" s="15" t="n"/>
      <c r="F386" s="19" t="n"/>
      <c r="G386" s="15" t="n"/>
      <c r="H386" s="15" t="n"/>
      <c r="I386" s="15" t="n"/>
      <c r="J386" s="15" t="n"/>
      <c r="K386" s="15" t="n"/>
      <c r="L386" s="21" t="n"/>
      <c r="M386" s="15" t="n"/>
      <c r="N386" s="15" t="n"/>
      <c r="O386" s="20">
        <f>IF(A386="","",MONTH(A386))</f>
        <v/>
      </c>
      <c r="P386" s="20">
        <f>IF(A386="","",YEAR(A386))</f>
        <v/>
      </c>
      <c r="Q386" s="20">
        <f>IF(A386="","",DAY(A386))</f>
        <v/>
      </c>
    </row>
    <row r="387">
      <c r="A387" s="18" t="n"/>
      <c r="B387" s="15" t="n"/>
      <c r="C387" s="15" t="n"/>
      <c r="D387" s="15" t="n"/>
      <c r="E387" s="15" t="n"/>
      <c r="F387" s="19" t="n"/>
      <c r="G387" s="15" t="n"/>
      <c r="H387" s="15" t="n"/>
      <c r="I387" s="15" t="n"/>
      <c r="J387" s="15" t="n"/>
      <c r="K387" s="15" t="n"/>
      <c r="L387" s="21" t="n"/>
      <c r="M387" s="15" t="n"/>
      <c r="N387" s="15" t="n"/>
      <c r="O387" s="20">
        <f>IF(A387="","",MONTH(A387))</f>
        <v/>
      </c>
      <c r="P387" s="20">
        <f>IF(A387="","",YEAR(A387))</f>
        <v/>
      </c>
      <c r="Q387" s="20">
        <f>IF(A387="","",DAY(A387))</f>
        <v/>
      </c>
    </row>
    <row r="388">
      <c r="A388" s="18" t="n"/>
      <c r="B388" s="15" t="n"/>
      <c r="C388" s="15" t="n"/>
      <c r="D388" s="15" t="n"/>
      <c r="E388" s="15" t="n"/>
      <c r="F388" s="19" t="n"/>
      <c r="G388" s="15" t="n"/>
      <c r="H388" s="15" t="n"/>
      <c r="I388" s="15" t="n"/>
      <c r="J388" s="15" t="n"/>
      <c r="K388" s="15" t="n"/>
      <c r="L388" s="21" t="n"/>
      <c r="M388" s="15" t="n"/>
      <c r="N388" s="15" t="n"/>
      <c r="O388" s="20">
        <f>IF(A388="","",MONTH(A388))</f>
        <v/>
      </c>
      <c r="P388" s="20">
        <f>IF(A388="","",YEAR(A388))</f>
        <v/>
      </c>
      <c r="Q388" s="20">
        <f>IF(A388="","",DAY(A388))</f>
        <v/>
      </c>
    </row>
    <row r="389">
      <c r="A389" s="18" t="n"/>
      <c r="B389" s="15" t="n"/>
      <c r="C389" s="15" t="n"/>
      <c r="D389" s="15" t="n"/>
      <c r="E389" s="15" t="n"/>
      <c r="F389" s="19" t="n"/>
      <c r="G389" s="15" t="n"/>
      <c r="H389" s="15" t="n"/>
      <c r="I389" s="15" t="n"/>
      <c r="J389" s="15" t="n"/>
      <c r="K389" s="15" t="n"/>
      <c r="L389" s="21" t="n"/>
      <c r="M389" s="15" t="n"/>
      <c r="N389" s="15" t="n"/>
      <c r="O389" s="20">
        <f>IF(A389="","",MONTH(A389))</f>
        <v/>
      </c>
      <c r="P389" s="20">
        <f>IF(A389="","",YEAR(A389))</f>
        <v/>
      </c>
      <c r="Q389" s="20">
        <f>IF(A389="","",DAY(A389))</f>
        <v/>
      </c>
    </row>
    <row r="390">
      <c r="A390" s="18" t="n"/>
      <c r="B390" s="15" t="n"/>
      <c r="C390" s="15" t="n"/>
      <c r="D390" s="15" t="n"/>
      <c r="E390" s="15" t="n"/>
      <c r="F390" s="19" t="n"/>
      <c r="G390" s="15" t="n"/>
      <c r="H390" s="15" t="n"/>
      <c r="I390" s="15" t="n"/>
      <c r="J390" s="15" t="n"/>
      <c r="K390" s="15" t="n"/>
      <c r="L390" s="21" t="n"/>
      <c r="M390" s="15" t="n"/>
      <c r="N390" s="15" t="n"/>
      <c r="O390" s="20">
        <f>IF(A390="","",MONTH(A390))</f>
        <v/>
      </c>
      <c r="P390" s="20">
        <f>IF(A390="","",YEAR(A390))</f>
        <v/>
      </c>
      <c r="Q390" s="20">
        <f>IF(A390="","",DAY(A390))</f>
        <v/>
      </c>
    </row>
    <row r="391">
      <c r="A391" s="18" t="n"/>
      <c r="B391" s="15" t="n"/>
      <c r="C391" s="15" t="n"/>
      <c r="D391" s="15" t="n"/>
      <c r="E391" s="15" t="n"/>
      <c r="F391" s="19" t="n"/>
      <c r="G391" s="15" t="n"/>
      <c r="H391" s="15" t="n"/>
      <c r="I391" s="15" t="n"/>
      <c r="J391" s="15" t="n"/>
      <c r="K391" s="15" t="n"/>
      <c r="L391" s="21" t="n"/>
      <c r="M391" s="15" t="n"/>
      <c r="N391" s="15" t="n"/>
      <c r="O391" s="20">
        <f>IF(A391="","",MONTH(A391))</f>
        <v/>
      </c>
      <c r="P391" s="20">
        <f>IF(A391="","",YEAR(A391))</f>
        <v/>
      </c>
      <c r="Q391" s="20">
        <f>IF(A391="","",DAY(A391))</f>
        <v/>
      </c>
    </row>
    <row r="392">
      <c r="A392" s="18" t="n"/>
      <c r="B392" s="15" t="n"/>
      <c r="C392" s="15" t="n"/>
      <c r="D392" s="15" t="n"/>
      <c r="E392" s="15" t="n"/>
      <c r="F392" s="19" t="n"/>
      <c r="G392" s="15" t="n"/>
      <c r="H392" s="15" t="n"/>
      <c r="I392" s="15" t="n"/>
      <c r="J392" s="15" t="n"/>
      <c r="K392" s="15" t="n"/>
      <c r="L392" s="21" t="n"/>
      <c r="M392" s="15" t="n"/>
      <c r="N392" s="15" t="n"/>
      <c r="O392" s="20">
        <f>IF(A392="","",MONTH(A392))</f>
        <v/>
      </c>
      <c r="P392" s="20">
        <f>IF(A392="","",YEAR(A392))</f>
        <v/>
      </c>
      <c r="Q392" s="20">
        <f>IF(A392="","",DAY(A392))</f>
        <v/>
      </c>
    </row>
    <row r="393">
      <c r="A393" s="18" t="n"/>
      <c r="B393" s="15" t="n"/>
      <c r="C393" s="15" t="n"/>
      <c r="D393" s="15" t="n"/>
      <c r="E393" s="15" t="n"/>
      <c r="F393" s="19" t="n"/>
      <c r="G393" s="15" t="n"/>
      <c r="H393" s="15" t="n"/>
      <c r="I393" s="15" t="n"/>
      <c r="J393" s="15" t="n"/>
      <c r="K393" s="15" t="n"/>
      <c r="L393" s="21" t="n"/>
      <c r="M393" s="15" t="n"/>
      <c r="N393" s="15" t="n"/>
      <c r="O393" s="20">
        <f>IF(A393="","",MONTH(A393))</f>
        <v/>
      </c>
      <c r="P393" s="20">
        <f>IF(A393="","",YEAR(A393))</f>
        <v/>
      </c>
      <c r="Q393" s="20">
        <f>IF(A393="","",DAY(A393))</f>
        <v/>
      </c>
    </row>
    <row r="394">
      <c r="A394" s="18" t="n"/>
      <c r="B394" s="15" t="n"/>
      <c r="C394" s="15" t="n"/>
      <c r="D394" s="15" t="n"/>
      <c r="E394" s="15" t="n"/>
      <c r="F394" s="19" t="n"/>
      <c r="G394" s="15" t="n"/>
      <c r="H394" s="15" t="n"/>
      <c r="I394" s="15" t="n"/>
      <c r="J394" s="15" t="n"/>
      <c r="K394" s="15" t="n"/>
      <c r="L394" s="21" t="n"/>
      <c r="M394" s="15" t="n"/>
      <c r="N394" s="15" t="n"/>
      <c r="O394" s="20">
        <f>IF(A394="","",MONTH(A394))</f>
        <v/>
      </c>
      <c r="P394" s="20">
        <f>IF(A394="","",YEAR(A394))</f>
        <v/>
      </c>
      <c r="Q394" s="20">
        <f>IF(A394="","",DAY(A394))</f>
        <v/>
      </c>
    </row>
    <row r="395">
      <c r="A395" s="18" t="n"/>
      <c r="B395" s="15" t="n"/>
      <c r="C395" s="15" t="n"/>
      <c r="D395" s="15" t="n"/>
      <c r="E395" s="15" t="n"/>
      <c r="F395" s="19" t="n"/>
      <c r="G395" s="15" t="n"/>
      <c r="H395" s="15" t="n"/>
      <c r="I395" s="15" t="n"/>
      <c r="J395" s="15" t="n"/>
      <c r="K395" s="15" t="n"/>
      <c r="L395" s="21" t="n"/>
      <c r="M395" s="15" t="n"/>
      <c r="N395" s="15" t="n"/>
      <c r="O395" s="20">
        <f>IF(A395="","",MONTH(A395))</f>
        <v/>
      </c>
      <c r="P395" s="20">
        <f>IF(A395="","",YEAR(A395))</f>
        <v/>
      </c>
      <c r="Q395" s="20">
        <f>IF(A395="","",DAY(A395))</f>
        <v/>
      </c>
    </row>
    <row r="396">
      <c r="A396" s="18" t="n"/>
      <c r="B396" s="15" t="n"/>
      <c r="C396" s="15" t="n"/>
      <c r="D396" s="15" t="n"/>
      <c r="E396" s="15" t="n"/>
      <c r="F396" s="19" t="n"/>
      <c r="G396" s="15" t="n"/>
      <c r="H396" s="15" t="n"/>
      <c r="I396" s="15" t="n"/>
      <c r="J396" s="15" t="n"/>
      <c r="K396" s="15" t="n"/>
      <c r="L396" s="21" t="n"/>
      <c r="M396" s="15" t="n"/>
      <c r="N396" s="15" t="n"/>
      <c r="O396" s="20">
        <f>IF(A396="","",MONTH(A396))</f>
        <v/>
      </c>
      <c r="P396" s="20">
        <f>IF(A396="","",YEAR(A396))</f>
        <v/>
      </c>
      <c r="Q396" s="20">
        <f>IF(A396="","",DAY(A396))</f>
        <v/>
      </c>
    </row>
    <row r="397">
      <c r="A397" s="18" t="n"/>
      <c r="B397" s="15" t="n"/>
      <c r="C397" s="15" t="n"/>
      <c r="D397" s="15" t="n"/>
      <c r="E397" s="15" t="n"/>
      <c r="F397" s="19" t="n"/>
      <c r="G397" s="15" t="n"/>
      <c r="H397" s="15" t="n"/>
      <c r="I397" s="15" t="n"/>
      <c r="J397" s="15" t="n"/>
      <c r="K397" s="15" t="n"/>
      <c r="L397" s="21" t="n"/>
      <c r="M397" s="15" t="n"/>
      <c r="N397" s="15" t="n"/>
      <c r="O397" s="20">
        <f>IF(A397="","",MONTH(A397))</f>
        <v/>
      </c>
      <c r="P397" s="20">
        <f>IF(A397="","",YEAR(A397))</f>
        <v/>
      </c>
      <c r="Q397" s="20">
        <f>IF(A397="","",DAY(A397))</f>
        <v/>
      </c>
    </row>
    <row r="398">
      <c r="A398" s="18" t="n"/>
      <c r="B398" s="15" t="n"/>
      <c r="C398" s="15" t="n"/>
      <c r="D398" s="15" t="n"/>
      <c r="E398" s="15" t="n"/>
      <c r="F398" s="19" t="n"/>
      <c r="G398" s="15" t="n"/>
      <c r="H398" s="15" t="n"/>
      <c r="I398" s="15" t="n"/>
      <c r="J398" s="15" t="n"/>
      <c r="K398" s="15" t="n"/>
      <c r="L398" s="21" t="n"/>
      <c r="M398" s="15" t="n"/>
      <c r="N398" s="15" t="n"/>
      <c r="O398" s="20">
        <f>IF(A398="","",MONTH(A398))</f>
        <v/>
      </c>
      <c r="P398" s="20">
        <f>IF(A398="","",YEAR(A398))</f>
        <v/>
      </c>
      <c r="Q398" s="20">
        <f>IF(A398="","",DAY(A398))</f>
        <v/>
      </c>
    </row>
    <row r="399">
      <c r="A399" s="18" t="n"/>
      <c r="B399" s="15" t="n"/>
      <c r="C399" s="15" t="n"/>
      <c r="D399" s="15" t="n"/>
      <c r="E399" s="15" t="n"/>
      <c r="F399" s="19" t="n"/>
      <c r="G399" s="15" t="n"/>
      <c r="H399" s="15" t="n"/>
      <c r="I399" s="15" t="n"/>
      <c r="J399" s="15" t="n"/>
      <c r="K399" s="15" t="n"/>
      <c r="L399" s="21" t="n"/>
      <c r="M399" s="15" t="n"/>
      <c r="N399" s="15" t="n"/>
      <c r="O399" s="20">
        <f>IF(A399="","",MONTH(A399))</f>
        <v/>
      </c>
      <c r="P399" s="20">
        <f>IF(A399="","",YEAR(A399))</f>
        <v/>
      </c>
      <c r="Q399" s="20">
        <f>IF(A399="","",DAY(A399))</f>
        <v/>
      </c>
    </row>
    <row r="400">
      <c r="A400" s="18" t="n"/>
      <c r="B400" s="15" t="n"/>
      <c r="C400" s="15" t="n"/>
      <c r="D400" s="15" t="n"/>
      <c r="E400" s="15" t="n"/>
      <c r="F400" s="19" t="n"/>
      <c r="G400" s="15" t="n"/>
      <c r="H400" s="15" t="n"/>
      <c r="I400" s="15" t="n"/>
      <c r="J400" s="15" t="n"/>
      <c r="K400" s="15" t="n"/>
      <c r="L400" s="21" t="n"/>
      <c r="M400" s="15" t="n"/>
      <c r="N400" s="15" t="n"/>
      <c r="O400" s="20">
        <f>IF(A400="","",MONTH(A400))</f>
        <v/>
      </c>
      <c r="P400" s="20">
        <f>IF(A400="","",YEAR(A400))</f>
        <v/>
      </c>
      <c r="Q400" s="20">
        <f>IF(A400="","",DAY(A400))</f>
        <v/>
      </c>
    </row>
    <row r="401">
      <c r="A401" s="18" t="n"/>
      <c r="B401" s="15" t="n"/>
      <c r="C401" s="15" t="n"/>
      <c r="D401" s="15" t="n"/>
      <c r="E401" s="15" t="n"/>
      <c r="F401" s="19" t="n"/>
      <c r="G401" s="15" t="n"/>
      <c r="H401" s="15" t="n"/>
      <c r="I401" s="15" t="n"/>
      <c r="J401" s="15" t="n"/>
      <c r="K401" s="15" t="n"/>
      <c r="L401" s="21" t="n"/>
      <c r="M401" s="15" t="n"/>
      <c r="N401" s="15" t="n"/>
      <c r="O401" s="20">
        <f>IF(A401="","",MONTH(A401))</f>
        <v/>
      </c>
      <c r="P401" s="20">
        <f>IF(A401="","",YEAR(A401))</f>
        <v/>
      </c>
      <c r="Q401" s="20">
        <f>IF(A401="","",DAY(A401))</f>
        <v/>
      </c>
    </row>
    <row r="402">
      <c r="A402" s="18" t="n"/>
      <c r="B402" s="15" t="n"/>
      <c r="C402" s="15" t="n"/>
      <c r="D402" s="15" t="n"/>
      <c r="E402" s="15" t="n"/>
      <c r="F402" s="19" t="n"/>
      <c r="G402" s="15" t="n"/>
      <c r="H402" s="15" t="n"/>
      <c r="I402" s="15" t="n"/>
      <c r="J402" s="15" t="n"/>
      <c r="K402" s="15" t="n"/>
      <c r="L402" s="21" t="n"/>
      <c r="M402" s="15" t="n"/>
      <c r="N402" s="15" t="n"/>
      <c r="O402" s="20">
        <f>IF(A402="","",MONTH(A402))</f>
        <v/>
      </c>
      <c r="P402" s="20">
        <f>IF(A402="","",YEAR(A402))</f>
        <v/>
      </c>
      <c r="Q402" s="20">
        <f>IF(A402="","",DAY(A402))</f>
        <v/>
      </c>
    </row>
    <row r="403">
      <c r="A403" s="18" t="n"/>
      <c r="B403" s="15" t="n"/>
      <c r="C403" s="15" t="n"/>
      <c r="D403" s="15" t="n"/>
      <c r="E403" s="15" t="n"/>
      <c r="F403" s="19" t="n"/>
      <c r="G403" s="15" t="n"/>
      <c r="H403" s="15" t="n"/>
      <c r="I403" s="15" t="n"/>
      <c r="J403" s="15" t="n"/>
      <c r="K403" s="15" t="n"/>
      <c r="L403" s="21" t="n"/>
      <c r="M403" s="15" t="n"/>
      <c r="N403" s="15" t="n"/>
      <c r="O403" s="20">
        <f>IF(A403="","",MONTH(A403))</f>
        <v/>
      </c>
      <c r="P403" s="20">
        <f>IF(A403="","",YEAR(A403))</f>
        <v/>
      </c>
      <c r="Q403" s="20">
        <f>IF(A403="","",DAY(A403))</f>
        <v/>
      </c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3:Q403"/>
  <mergeCells count="2">
    <mergeCell ref="A2:Q2"/>
    <mergeCell ref="A1:Q1"/>
  </mergeCells>
  <conditionalFormatting sqref="F4:F403">
    <cfRule type="dataBar" priority="1">
      <dataBar>
        <cfvo type="num" val="0"/>
        <cfvo type="max"/>
        <color rgb="001F7A5C"/>
      </dataBar>
    </cfRule>
  </conditionalFormatting>
  <conditionalFormatting sqref="B4:B403">
    <cfRule type="cellIs" priority="2" operator="equal" dxfId="0">
      <formula>"Expense"</formula>
    </cfRule>
    <cfRule type="cellIs" priority="3" operator="equal" dxfId="1">
      <formula>"Income"</formula>
    </cfRule>
  </conditionalFormatting>
  <dataValidations count="8">
    <dataValidation sqref="B4:B403" showDropDown="0" showInputMessage="0" showErrorMessage="1" allowBlank="1" type="list">
      <formula1>L_Transaction_Types</formula1>
    </dataValidation>
    <dataValidation sqref="C4:C403" showDropDown="0" showInputMessage="0" showErrorMessage="1" allowBlank="1" type="list">
      <formula1>L_Categories</formula1>
    </dataValidation>
    <dataValidation sqref="D4:D403" showDropDown="0" showInputMessage="0" showErrorMessage="1" allowBlank="1" type="list">
      <formula1>L_Subcategories</formula1>
    </dataValidation>
    <dataValidation sqref="G4:G403" showDropDown="0" showInputMessage="0" showErrorMessage="1" allowBlank="1" type="list">
      <formula1>L_Account_Types</formula1>
    </dataValidation>
    <dataValidation sqref="H4:H403" showDropDown="0" showInputMessage="0" showErrorMessage="1" allowBlank="1" type="list">
      <formula1>L_Payment_Methods</formula1>
    </dataValidation>
    <dataValidation sqref="I4:I403" showDropDown="0" showInputMessage="0" showErrorMessage="1" allowBlank="1" type="list">
      <formula1>L_Family_Members</formula1>
    </dataValidation>
    <dataValidation sqref="J4:J403 M4:M403 N4:N403" showDropDown="0" showInputMessage="0" showErrorMessage="1" allowBlank="1" type="list">
      <formula1>L_Yes_No</formula1>
    </dataValidation>
    <dataValidation sqref="K4:K403" showDropDown="0" showInputMessage="0" showErrorMessage="1" allowBlank="1" type="list">
      <formula1>L_Essential_Discretionary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  <col width="26" customWidth="1" min="8" max="8"/>
  </cols>
  <sheetData>
    <row r="1" ht="30" customHeight="1">
      <c r="A1" s="1" t="inlineStr">
        <is>
          <t>📋 Complete Family Budget</t>
        </is>
      </c>
    </row>
    <row r="2" ht="28" customHeight="1">
      <c r="A2" s="2" t="inlineStr">
        <is>
          <t>Set a monthly limit per subcategory. Actuals pull live from the Transaction Ledger; variance is automatic.</t>
        </is>
      </c>
    </row>
    <row r="3">
      <c r="A3" s="14" t="inlineStr">
        <is>
          <t>Category</t>
        </is>
      </c>
      <c r="B3" s="14" t="inlineStr">
        <is>
          <t>Subcategory</t>
        </is>
      </c>
      <c r="C3" s="14" t="inlineStr">
        <is>
          <t>Monthly Budget</t>
        </is>
      </c>
      <c r="D3" s="14" t="inlineStr">
        <is>
          <t>Actual This Month</t>
        </is>
      </c>
      <c r="E3" s="14" t="inlineStr">
        <is>
          <t>Actual YTD</t>
        </is>
      </c>
      <c r="F3" s="14" t="inlineStr">
        <is>
          <t>Variance (This Month)</t>
        </is>
      </c>
      <c r="G3" s="14" t="inlineStr">
        <is>
          <t>% of Budget</t>
        </is>
      </c>
      <c r="H3" s="14" t="inlineStr">
        <is>
          <t>Notes</t>
        </is>
      </c>
    </row>
    <row r="4">
      <c r="A4" s="15" t="inlineStr">
        <is>
          <t>Housing</t>
        </is>
      </c>
      <c r="B4" s="15" t="inlineStr">
        <is>
          <t>Mortgage/Rent</t>
        </is>
      </c>
      <c r="C4" s="19" t="n">
        <v>1250</v>
      </c>
      <c r="D4" s="16">
        <f>SUMIFS('💳 Transactions'!$F$4:$F$403,'💳 Transactions'!$C$4:$C$403,A4,'💳 Transactions'!$D$4:$D$403,B4,'💳 Transactions'!$B$4:$B$403,"Expense",'💳 Transactions'!$O$4:$O$403,C_Month,'💳 Transactions'!$P$4:$P$403,C_Year)</f>
        <v/>
      </c>
      <c r="E4" s="16">
        <f>SUMIFS('💳 Transactions'!$F$4:$F$403,'💳 Transactions'!$C$4:$C$403,A4,'💳 Transactions'!$D$4:$D$403,B4,'💳 Transactions'!$B$4:$B$403,"Expense",'💳 Transactions'!$P$4:$P$403,C_Year)</f>
        <v/>
      </c>
      <c r="F4" s="16">
        <f>IF(C4="","",C4-D4)</f>
        <v/>
      </c>
      <c r="G4" s="22">
        <f>IF(C4="","",IF(C4=0,"",D4/C4))</f>
        <v/>
      </c>
      <c r="H4" s="15" t="n"/>
    </row>
    <row r="5">
      <c r="A5" s="15" t="inlineStr">
        <is>
          <t>Housing</t>
        </is>
      </c>
      <c r="B5" s="15" t="inlineStr">
        <is>
          <t>Property Tax</t>
        </is>
      </c>
      <c r="C5" s="19" t="n">
        <v>185</v>
      </c>
      <c r="D5" s="16">
        <f>SUMIFS('💳 Transactions'!$F$4:$F$403,'💳 Transactions'!$C$4:$C$403,A5,'💳 Transactions'!$D$4:$D$403,B5,'💳 Transactions'!$B$4:$B$403,"Expense",'💳 Transactions'!$O$4:$O$403,C_Month,'💳 Transactions'!$P$4:$P$403,C_Year)</f>
        <v/>
      </c>
      <c r="E5" s="16">
        <f>SUMIFS('💳 Transactions'!$F$4:$F$403,'💳 Transactions'!$C$4:$C$403,A5,'💳 Transactions'!$D$4:$D$403,B5,'💳 Transactions'!$B$4:$B$403,"Expense",'💳 Transactions'!$P$4:$P$403,C_Year)</f>
        <v/>
      </c>
      <c r="F5" s="16">
        <f>IF(C5="","",C5-D5)</f>
        <v/>
      </c>
      <c r="G5" s="22">
        <f>IF(C5="","",IF(C5=0,"",D5/C5))</f>
        <v/>
      </c>
      <c r="H5" s="15" t="n"/>
    </row>
    <row r="6">
      <c r="A6" s="15" t="inlineStr">
        <is>
          <t>Housing</t>
        </is>
      </c>
      <c r="B6" s="15" t="inlineStr">
        <is>
          <t>HOA</t>
        </is>
      </c>
      <c r="C6" s="19" t="n">
        <v>35</v>
      </c>
      <c r="D6" s="16">
        <f>SUMIFS('💳 Transactions'!$F$4:$F$403,'💳 Transactions'!$C$4:$C$403,A6,'💳 Transactions'!$D$4:$D$403,B6,'💳 Transactions'!$B$4:$B$403,"Expense",'💳 Transactions'!$O$4:$O$403,C_Month,'💳 Transactions'!$P$4:$P$403,C_Year)</f>
        <v/>
      </c>
      <c r="E6" s="16">
        <f>SUMIFS('💳 Transactions'!$F$4:$F$403,'💳 Transactions'!$C$4:$C$403,A6,'💳 Transactions'!$D$4:$D$403,B6,'💳 Transactions'!$B$4:$B$403,"Expense",'💳 Transactions'!$P$4:$P$403,C_Year)</f>
        <v/>
      </c>
      <c r="F6" s="16">
        <f>IF(C6="","",C6-D6)</f>
        <v/>
      </c>
      <c r="G6" s="22">
        <f>IF(C6="","",IF(C6=0,"",D6/C6))</f>
        <v/>
      </c>
      <c r="H6" s="15" t="n"/>
    </row>
    <row r="7">
      <c r="A7" s="15" t="inlineStr">
        <is>
          <t>Housing</t>
        </is>
      </c>
      <c r="B7" s="15" t="inlineStr">
        <is>
          <t>Home Insurance</t>
        </is>
      </c>
      <c r="C7" s="19" t="n">
        <v>90</v>
      </c>
      <c r="D7" s="16">
        <f>SUMIFS('💳 Transactions'!$F$4:$F$403,'💳 Transactions'!$C$4:$C$403,A7,'💳 Transactions'!$D$4:$D$403,B7,'💳 Transactions'!$B$4:$B$403,"Expense",'💳 Transactions'!$O$4:$O$403,C_Month,'💳 Transactions'!$P$4:$P$403,C_Year)</f>
        <v/>
      </c>
      <c r="E7" s="16">
        <f>SUMIFS('💳 Transactions'!$F$4:$F$403,'💳 Transactions'!$C$4:$C$403,A7,'💳 Transactions'!$D$4:$D$403,B7,'💳 Transactions'!$B$4:$B$403,"Expense",'💳 Transactions'!$P$4:$P$403,C_Year)</f>
        <v/>
      </c>
      <c r="F7" s="16">
        <f>IF(C7="","",C7-D7)</f>
        <v/>
      </c>
      <c r="G7" s="22">
        <f>IF(C7="","",IF(C7=0,"",D7/C7))</f>
        <v/>
      </c>
      <c r="H7" s="15" t="n"/>
    </row>
    <row r="8">
      <c r="A8" s="15" t="inlineStr">
        <is>
          <t>Housing</t>
        </is>
      </c>
      <c r="B8" s="15" t="inlineStr">
        <is>
          <t>Repairs/Maintenance</t>
        </is>
      </c>
      <c r="C8" s="19" t="n">
        <v>85</v>
      </c>
      <c r="D8" s="16">
        <f>SUMIFS('💳 Transactions'!$F$4:$F$403,'💳 Transactions'!$C$4:$C$403,A8,'💳 Transactions'!$D$4:$D$403,B8,'💳 Transactions'!$B$4:$B$403,"Expense",'💳 Transactions'!$O$4:$O$403,C_Month,'💳 Transactions'!$P$4:$P$403,C_Year)</f>
        <v/>
      </c>
      <c r="E8" s="16">
        <f>SUMIFS('💳 Transactions'!$F$4:$F$403,'💳 Transactions'!$C$4:$C$403,A8,'💳 Transactions'!$D$4:$D$403,B8,'💳 Transactions'!$B$4:$B$403,"Expense",'💳 Transactions'!$P$4:$P$403,C_Year)</f>
        <v/>
      </c>
      <c r="F8" s="16">
        <f>IF(C8="","",C8-D8)</f>
        <v/>
      </c>
      <c r="G8" s="22">
        <f>IF(C8="","",IF(C8=0,"",D8/C8))</f>
        <v/>
      </c>
      <c r="H8" s="15" t="n"/>
    </row>
    <row r="9">
      <c r="A9" s="15" t="inlineStr">
        <is>
          <t>Housing</t>
        </is>
      </c>
      <c r="B9" s="15" t="inlineStr">
        <is>
          <t>Utilities</t>
        </is>
      </c>
      <c r="C9" s="19" t="n">
        <v>235</v>
      </c>
      <c r="D9" s="16">
        <f>SUMIFS('💳 Transactions'!$F$4:$F$403,'💳 Transactions'!$C$4:$C$403,A9,'💳 Transactions'!$D$4:$D$403,B9,'💳 Transactions'!$B$4:$B$403,"Expense",'💳 Transactions'!$O$4:$O$403,C_Month,'💳 Transactions'!$P$4:$P$403,C_Year)</f>
        <v/>
      </c>
      <c r="E9" s="16">
        <f>SUMIFS('💳 Transactions'!$F$4:$F$403,'💳 Transactions'!$C$4:$C$403,A9,'💳 Transactions'!$D$4:$D$403,B9,'💳 Transactions'!$B$4:$B$403,"Expense",'💳 Transactions'!$P$4:$P$403,C_Year)</f>
        <v/>
      </c>
      <c r="F9" s="16">
        <f>IF(C9="","",C9-D9)</f>
        <v/>
      </c>
      <c r="G9" s="22">
        <f>IF(C9="","",IF(C9=0,"",D9/C9))</f>
        <v/>
      </c>
      <c r="H9" s="15" t="n"/>
    </row>
    <row r="10">
      <c r="A10" s="15" t="inlineStr">
        <is>
          <t>Housing</t>
        </is>
      </c>
      <c r="B10" s="15" t="inlineStr">
        <is>
          <t>Other Housing</t>
        </is>
      </c>
      <c r="C10" s="19" t="n"/>
      <c r="D10" s="16">
        <f>SUMIFS('💳 Transactions'!$F$4:$F$403,'💳 Transactions'!$C$4:$C$403,A10,'💳 Transactions'!$D$4:$D$403,B10,'💳 Transactions'!$B$4:$B$403,"Expense",'💳 Transactions'!$O$4:$O$403,C_Month,'💳 Transactions'!$P$4:$P$403,C_Year)</f>
        <v/>
      </c>
      <c r="E10" s="16">
        <f>SUMIFS('💳 Transactions'!$F$4:$F$403,'💳 Transactions'!$C$4:$C$403,A10,'💳 Transactions'!$D$4:$D$403,B10,'💳 Transactions'!$B$4:$B$403,"Expense",'💳 Transactions'!$P$4:$P$403,C_Year)</f>
        <v/>
      </c>
      <c r="F10" s="16">
        <f>IF(C10="","",C10-D10)</f>
        <v/>
      </c>
      <c r="G10" s="22">
        <f>IF(C10="","",IF(C10=0,"",D10/C10))</f>
        <v/>
      </c>
      <c r="H10" s="15" t="n"/>
    </row>
    <row r="11">
      <c r="A11" s="23" t="inlineStr">
        <is>
          <t>Housing</t>
        </is>
      </c>
      <c r="B11" s="23" t="inlineStr">
        <is>
          <t>Category Subtotal</t>
        </is>
      </c>
      <c r="C11" s="24">
        <f>SUM(C4:C10)</f>
        <v/>
      </c>
      <c r="D11" s="24">
        <f>SUM(D4:D10)</f>
        <v/>
      </c>
      <c r="E11" s="24">
        <f>SUM(E4:E10)</f>
        <v/>
      </c>
      <c r="F11" s="24">
        <f>SUM(F4:F10)</f>
        <v/>
      </c>
      <c r="G11" s="25">
        <f>IF(C11=0,"",D11/C11)</f>
        <v/>
      </c>
      <c r="H11" s="26" t="n"/>
    </row>
    <row r="12">
      <c r="A12" s="15" t="inlineStr">
        <is>
          <t>Transportation</t>
        </is>
      </c>
      <c r="B12" s="15" t="inlineStr">
        <is>
          <t>Car Payments</t>
        </is>
      </c>
      <c r="C12" s="19" t="n">
        <v>265</v>
      </c>
      <c r="D12" s="16">
        <f>SUMIFS('💳 Transactions'!$F$4:$F$403,'💳 Transactions'!$C$4:$C$403,A12,'💳 Transactions'!$D$4:$D$403,B12,'💳 Transactions'!$B$4:$B$403,"Expense",'💳 Transactions'!$O$4:$O$403,C_Month,'💳 Transactions'!$P$4:$P$403,C_Year)</f>
        <v/>
      </c>
      <c r="E12" s="16">
        <f>SUMIFS('💳 Transactions'!$F$4:$F$403,'💳 Transactions'!$C$4:$C$403,A12,'💳 Transactions'!$D$4:$D$403,B12,'💳 Transactions'!$B$4:$B$403,"Expense",'💳 Transactions'!$P$4:$P$403,C_Year)</f>
        <v/>
      </c>
      <c r="F12" s="16">
        <f>IF(C12="","",C12-D12)</f>
        <v/>
      </c>
      <c r="G12" s="22">
        <f>IF(C12="","",IF(C12=0,"",D12/C12))</f>
        <v/>
      </c>
      <c r="H12" s="15" t="n"/>
    </row>
    <row r="13">
      <c r="A13" s="15" t="inlineStr">
        <is>
          <t>Transportation</t>
        </is>
      </c>
      <c r="B13" s="15" t="inlineStr">
        <is>
          <t>Gas</t>
        </is>
      </c>
      <c r="C13" s="19" t="n">
        <v>140</v>
      </c>
      <c r="D13" s="16">
        <f>SUMIFS('💳 Transactions'!$F$4:$F$403,'💳 Transactions'!$C$4:$C$403,A13,'💳 Transactions'!$D$4:$D$403,B13,'💳 Transactions'!$B$4:$B$403,"Expense",'💳 Transactions'!$O$4:$O$403,C_Month,'💳 Transactions'!$P$4:$P$403,C_Year)</f>
        <v/>
      </c>
      <c r="E13" s="16">
        <f>SUMIFS('💳 Transactions'!$F$4:$F$403,'💳 Transactions'!$C$4:$C$403,A13,'💳 Transactions'!$D$4:$D$403,B13,'💳 Transactions'!$B$4:$B$403,"Expense",'💳 Transactions'!$P$4:$P$403,C_Year)</f>
        <v/>
      </c>
      <c r="F13" s="16">
        <f>IF(C13="","",C13-D13)</f>
        <v/>
      </c>
      <c r="G13" s="22">
        <f>IF(C13="","",IF(C13=0,"",D13/C13))</f>
        <v/>
      </c>
      <c r="H13" s="15" t="n"/>
    </row>
    <row r="14">
      <c r="A14" s="15" t="inlineStr">
        <is>
          <t>Transportation</t>
        </is>
      </c>
      <c r="B14" s="15" t="inlineStr">
        <is>
          <t>Auto Insurance</t>
        </is>
      </c>
      <c r="C14" s="19" t="n">
        <v>85</v>
      </c>
      <c r="D14" s="16">
        <f>SUMIFS('💳 Transactions'!$F$4:$F$403,'💳 Transactions'!$C$4:$C$403,A14,'💳 Transactions'!$D$4:$D$403,B14,'💳 Transactions'!$B$4:$B$403,"Expense",'💳 Transactions'!$O$4:$O$403,C_Month,'💳 Transactions'!$P$4:$P$403,C_Year)</f>
        <v/>
      </c>
      <c r="E14" s="16">
        <f>SUMIFS('💳 Transactions'!$F$4:$F$403,'💳 Transactions'!$C$4:$C$403,A14,'💳 Transactions'!$D$4:$D$403,B14,'💳 Transactions'!$B$4:$B$403,"Expense",'💳 Transactions'!$P$4:$P$403,C_Year)</f>
        <v/>
      </c>
      <c r="F14" s="16">
        <f>IF(C14="","",C14-D14)</f>
        <v/>
      </c>
      <c r="G14" s="22">
        <f>IF(C14="","",IF(C14=0,"",D14/C14))</f>
        <v/>
      </c>
      <c r="H14" s="15" t="n"/>
    </row>
    <row r="15">
      <c r="A15" s="15" t="inlineStr">
        <is>
          <t>Transportation</t>
        </is>
      </c>
      <c r="B15" s="15" t="inlineStr">
        <is>
          <t>Maintenance/Repairs</t>
        </is>
      </c>
      <c r="C15" s="19" t="n">
        <v>65</v>
      </c>
      <c r="D15" s="16">
        <f>SUMIFS('💳 Transactions'!$F$4:$F$403,'💳 Transactions'!$C$4:$C$403,A15,'💳 Transactions'!$D$4:$D$403,B15,'💳 Transactions'!$B$4:$B$403,"Expense",'💳 Transactions'!$O$4:$O$403,C_Month,'💳 Transactions'!$P$4:$P$403,C_Year)</f>
        <v/>
      </c>
      <c r="E15" s="16">
        <f>SUMIFS('💳 Transactions'!$F$4:$F$403,'💳 Transactions'!$C$4:$C$403,A15,'💳 Transactions'!$D$4:$D$403,B15,'💳 Transactions'!$B$4:$B$403,"Expense",'💳 Transactions'!$P$4:$P$403,C_Year)</f>
        <v/>
      </c>
      <c r="F15" s="16">
        <f>IF(C15="","",C15-D15)</f>
        <v/>
      </c>
      <c r="G15" s="22">
        <f>IF(C15="","",IF(C15=0,"",D15/C15))</f>
        <v/>
      </c>
      <c r="H15" s="15" t="n"/>
    </row>
    <row r="16">
      <c r="A16" s="15" t="inlineStr">
        <is>
          <t>Transportation</t>
        </is>
      </c>
      <c r="B16" s="15" t="inlineStr">
        <is>
          <t>Registration</t>
        </is>
      </c>
      <c r="C16" s="19" t="n">
        <v>25</v>
      </c>
      <c r="D16" s="16">
        <f>SUMIFS('💳 Transactions'!$F$4:$F$403,'💳 Transactions'!$C$4:$C$403,A16,'💳 Transactions'!$D$4:$D$403,B16,'💳 Transactions'!$B$4:$B$403,"Expense",'💳 Transactions'!$O$4:$O$403,C_Month,'💳 Transactions'!$P$4:$P$403,C_Year)</f>
        <v/>
      </c>
      <c r="E16" s="16">
        <f>SUMIFS('💳 Transactions'!$F$4:$F$403,'💳 Transactions'!$C$4:$C$403,A16,'💳 Transactions'!$D$4:$D$403,B16,'💳 Transactions'!$B$4:$B$403,"Expense",'💳 Transactions'!$P$4:$P$403,C_Year)</f>
        <v/>
      </c>
      <c r="F16" s="16">
        <f>IF(C16="","",C16-D16)</f>
        <v/>
      </c>
      <c r="G16" s="22">
        <f>IF(C16="","",IF(C16=0,"",D16/C16))</f>
        <v/>
      </c>
      <c r="H16" s="15" t="n"/>
    </row>
    <row r="17">
      <c r="A17" s="15" t="inlineStr">
        <is>
          <t>Transportation</t>
        </is>
      </c>
      <c r="B17" s="15" t="inlineStr">
        <is>
          <t>Parking/Tolls</t>
        </is>
      </c>
      <c r="C17" s="19" t="n">
        <v>35</v>
      </c>
      <c r="D17" s="16">
        <f>SUMIFS('💳 Transactions'!$F$4:$F$403,'💳 Transactions'!$C$4:$C$403,A17,'💳 Transactions'!$D$4:$D$403,B17,'💳 Transactions'!$B$4:$B$403,"Expense",'💳 Transactions'!$O$4:$O$403,C_Month,'💳 Transactions'!$P$4:$P$403,C_Year)</f>
        <v/>
      </c>
      <c r="E17" s="16">
        <f>SUMIFS('💳 Transactions'!$F$4:$F$403,'💳 Transactions'!$C$4:$C$403,A17,'💳 Transactions'!$D$4:$D$403,B17,'💳 Transactions'!$B$4:$B$403,"Expense",'💳 Transactions'!$P$4:$P$403,C_Year)</f>
        <v/>
      </c>
      <c r="F17" s="16">
        <f>IF(C17="","",C17-D17)</f>
        <v/>
      </c>
      <c r="G17" s="22">
        <f>IF(C17="","",IF(C17=0,"",D17/C17))</f>
        <v/>
      </c>
      <c r="H17" s="15" t="n"/>
    </row>
    <row r="18">
      <c r="A18" s="15" t="inlineStr">
        <is>
          <t>Transportation</t>
        </is>
      </c>
      <c r="B18" s="15" t="inlineStr">
        <is>
          <t>Public Transportation</t>
        </is>
      </c>
      <c r="C18" s="19" t="n">
        <v>20</v>
      </c>
      <c r="D18" s="16">
        <f>SUMIFS('💳 Transactions'!$F$4:$F$403,'💳 Transactions'!$C$4:$C$403,A18,'💳 Transactions'!$D$4:$D$403,B18,'💳 Transactions'!$B$4:$B$403,"Expense",'💳 Transactions'!$O$4:$O$403,C_Month,'💳 Transactions'!$P$4:$P$403,C_Year)</f>
        <v/>
      </c>
      <c r="E18" s="16">
        <f>SUMIFS('💳 Transactions'!$F$4:$F$403,'💳 Transactions'!$C$4:$C$403,A18,'💳 Transactions'!$D$4:$D$403,B18,'💳 Transactions'!$B$4:$B$403,"Expense",'💳 Transactions'!$P$4:$P$403,C_Year)</f>
        <v/>
      </c>
      <c r="F18" s="16">
        <f>IF(C18="","",C18-D18)</f>
        <v/>
      </c>
      <c r="G18" s="22">
        <f>IF(C18="","",IF(C18=0,"",D18/C18))</f>
        <v/>
      </c>
      <c r="H18" s="15" t="n"/>
    </row>
    <row r="19">
      <c r="A19" s="23" t="inlineStr">
        <is>
          <t>Transportation</t>
        </is>
      </c>
      <c r="B19" s="23" t="inlineStr">
        <is>
          <t>Category Subtotal</t>
        </is>
      </c>
      <c r="C19" s="24">
        <f>SUM(C12:C18)</f>
        <v/>
      </c>
      <c r="D19" s="24">
        <f>SUM(D12:D18)</f>
        <v/>
      </c>
      <c r="E19" s="24">
        <f>SUM(E12:E18)</f>
        <v/>
      </c>
      <c r="F19" s="24">
        <f>SUM(F12:F18)</f>
        <v/>
      </c>
      <c r="G19" s="25">
        <f>IF(C19=0,"",D19/C19)</f>
        <v/>
      </c>
      <c r="H19" s="26" t="n"/>
    </row>
    <row r="20">
      <c r="A20" s="15" t="inlineStr">
        <is>
          <t>Food</t>
        </is>
      </c>
      <c r="B20" s="15" t="inlineStr">
        <is>
          <t>Groceries</t>
        </is>
      </c>
      <c r="C20" s="19" t="n">
        <v>435</v>
      </c>
      <c r="D20" s="16">
        <f>SUMIFS('💳 Transactions'!$F$4:$F$403,'💳 Transactions'!$C$4:$C$403,A20,'💳 Transactions'!$D$4:$D$403,B20,'💳 Transactions'!$B$4:$B$403,"Expense",'💳 Transactions'!$O$4:$O$403,C_Month,'💳 Transactions'!$P$4:$P$403,C_Year)</f>
        <v/>
      </c>
      <c r="E20" s="16">
        <f>SUMIFS('💳 Transactions'!$F$4:$F$403,'💳 Transactions'!$C$4:$C$403,A20,'💳 Transactions'!$D$4:$D$403,B20,'💳 Transactions'!$B$4:$B$403,"Expense",'💳 Transactions'!$P$4:$P$403,C_Year)</f>
        <v/>
      </c>
      <c r="F20" s="16">
        <f>IF(C20="","",C20-D20)</f>
        <v/>
      </c>
      <c r="G20" s="22">
        <f>IF(C20="","",IF(C20=0,"",D20/C20))</f>
        <v/>
      </c>
      <c r="H20" s="15" t="n"/>
    </row>
    <row r="21">
      <c r="A21" s="15" t="inlineStr">
        <is>
          <t>Food</t>
        </is>
      </c>
      <c r="B21" s="15" t="inlineStr">
        <is>
          <t>Restaurants</t>
        </is>
      </c>
      <c r="C21" s="19" t="n">
        <v>140</v>
      </c>
      <c r="D21" s="16">
        <f>SUMIFS('💳 Transactions'!$F$4:$F$403,'💳 Transactions'!$C$4:$C$403,A21,'💳 Transactions'!$D$4:$D$403,B21,'💳 Transactions'!$B$4:$B$403,"Expense",'💳 Transactions'!$O$4:$O$403,C_Month,'💳 Transactions'!$P$4:$P$403,C_Year)</f>
        <v/>
      </c>
      <c r="E21" s="16">
        <f>SUMIFS('💳 Transactions'!$F$4:$F$403,'💳 Transactions'!$C$4:$C$403,A21,'💳 Transactions'!$D$4:$D$403,B21,'💳 Transactions'!$B$4:$B$403,"Expense",'💳 Transactions'!$P$4:$P$403,C_Year)</f>
        <v/>
      </c>
      <c r="F21" s="16">
        <f>IF(C21="","",C21-D21)</f>
        <v/>
      </c>
      <c r="G21" s="22">
        <f>IF(C21="","",IF(C21=0,"",D21/C21))</f>
        <v/>
      </c>
      <c r="H21" s="15" t="n"/>
    </row>
    <row r="22">
      <c r="A22" s="15" t="inlineStr">
        <is>
          <t>Food</t>
        </is>
      </c>
      <c r="B22" s="15" t="inlineStr">
        <is>
          <t>Takeout/Delivery</t>
        </is>
      </c>
      <c r="C22" s="19" t="n">
        <v>45</v>
      </c>
      <c r="D22" s="16">
        <f>SUMIFS('💳 Transactions'!$F$4:$F$403,'💳 Transactions'!$C$4:$C$403,A22,'💳 Transactions'!$D$4:$D$403,B22,'💳 Transactions'!$B$4:$B$403,"Expense",'💳 Transactions'!$O$4:$O$403,C_Month,'💳 Transactions'!$P$4:$P$403,C_Year)</f>
        <v/>
      </c>
      <c r="E22" s="16">
        <f>SUMIFS('💳 Transactions'!$F$4:$F$403,'💳 Transactions'!$C$4:$C$403,A22,'💳 Transactions'!$D$4:$D$403,B22,'💳 Transactions'!$B$4:$B$403,"Expense",'💳 Transactions'!$P$4:$P$403,C_Year)</f>
        <v/>
      </c>
      <c r="F22" s="16">
        <f>IF(C22="","",C22-D22)</f>
        <v/>
      </c>
      <c r="G22" s="22">
        <f>IF(C22="","",IF(C22=0,"",D22/C22))</f>
        <v/>
      </c>
      <c r="H22" s="15" t="n"/>
    </row>
    <row r="23">
      <c r="A23" s="15" t="inlineStr">
        <is>
          <t>Food</t>
        </is>
      </c>
      <c r="B23" s="15" t="inlineStr">
        <is>
          <t>Coffee</t>
        </is>
      </c>
      <c r="C23" s="19" t="n">
        <v>35</v>
      </c>
      <c r="D23" s="16">
        <f>SUMIFS('💳 Transactions'!$F$4:$F$403,'💳 Transactions'!$C$4:$C$403,A23,'💳 Transactions'!$D$4:$D$403,B23,'💳 Transactions'!$B$4:$B$403,"Expense",'💳 Transactions'!$O$4:$O$403,C_Month,'💳 Transactions'!$P$4:$P$403,C_Year)</f>
        <v/>
      </c>
      <c r="E23" s="16">
        <f>SUMIFS('💳 Transactions'!$F$4:$F$403,'💳 Transactions'!$C$4:$C$403,A23,'💳 Transactions'!$D$4:$D$403,B23,'💳 Transactions'!$B$4:$B$403,"Expense",'💳 Transactions'!$P$4:$P$403,C_Year)</f>
        <v/>
      </c>
      <c r="F23" s="16">
        <f>IF(C23="","",C23-D23)</f>
        <v/>
      </c>
      <c r="G23" s="22">
        <f>IF(C23="","",IF(C23=0,"",D23/C23))</f>
        <v/>
      </c>
      <c r="H23" s="15" t="n"/>
    </row>
    <row r="24">
      <c r="A24" s="15" t="inlineStr">
        <is>
          <t>Food</t>
        </is>
      </c>
      <c r="B24" s="15" t="inlineStr">
        <is>
          <t>Other Food</t>
        </is>
      </c>
      <c r="C24" s="19" t="n"/>
      <c r="D24" s="16">
        <f>SUMIFS('💳 Transactions'!$F$4:$F$403,'💳 Transactions'!$C$4:$C$403,A24,'💳 Transactions'!$D$4:$D$403,B24,'💳 Transactions'!$B$4:$B$403,"Expense",'💳 Transactions'!$O$4:$O$403,C_Month,'💳 Transactions'!$P$4:$P$403,C_Year)</f>
        <v/>
      </c>
      <c r="E24" s="16">
        <f>SUMIFS('💳 Transactions'!$F$4:$F$403,'💳 Transactions'!$C$4:$C$403,A24,'💳 Transactions'!$D$4:$D$403,B24,'💳 Transactions'!$B$4:$B$403,"Expense",'💳 Transactions'!$P$4:$P$403,C_Year)</f>
        <v/>
      </c>
      <c r="F24" s="16">
        <f>IF(C24="","",C24-D24)</f>
        <v/>
      </c>
      <c r="G24" s="22">
        <f>IF(C24="","",IF(C24=0,"",D24/C24))</f>
        <v/>
      </c>
      <c r="H24" s="15" t="n"/>
    </row>
    <row r="25">
      <c r="A25" s="23" t="inlineStr">
        <is>
          <t>Food</t>
        </is>
      </c>
      <c r="B25" s="23" t="inlineStr">
        <is>
          <t>Category Subtotal</t>
        </is>
      </c>
      <c r="C25" s="24">
        <f>SUM(C20:C24)</f>
        <v/>
      </c>
      <c r="D25" s="24">
        <f>SUM(D20:D24)</f>
        <v/>
      </c>
      <c r="E25" s="24">
        <f>SUM(E20:E24)</f>
        <v/>
      </c>
      <c r="F25" s="24">
        <f>SUM(F20:F24)</f>
        <v/>
      </c>
      <c r="G25" s="25">
        <f>IF(C25=0,"",D25/C25)</f>
        <v/>
      </c>
      <c r="H25" s="26" t="n"/>
    </row>
    <row r="26">
      <c r="A26" s="15" t="inlineStr">
        <is>
          <t>Family</t>
        </is>
      </c>
      <c r="B26" s="15" t="inlineStr">
        <is>
          <t>Childcare</t>
        </is>
      </c>
      <c r="C26" s="19" t="n">
        <v>585</v>
      </c>
      <c r="D26" s="16">
        <f>SUMIFS('💳 Transactions'!$F$4:$F$403,'💳 Transactions'!$C$4:$C$403,A26,'💳 Transactions'!$D$4:$D$403,B26,'💳 Transactions'!$B$4:$B$403,"Expense",'💳 Transactions'!$O$4:$O$403,C_Month,'💳 Transactions'!$P$4:$P$403,C_Year)</f>
        <v/>
      </c>
      <c r="E26" s="16">
        <f>SUMIFS('💳 Transactions'!$F$4:$F$403,'💳 Transactions'!$C$4:$C$403,A26,'💳 Transactions'!$D$4:$D$403,B26,'💳 Transactions'!$B$4:$B$403,"Expense",'💳 Transactions'!$P$4:$P$403,C_Year)</f>
        <v/>
      </c>
      <c r="F26" s="16">
        <f>IF(C26="","",C26-D26)</f>
        <v/>
      </c>
      <c r="G26" s="22">
        <f>IF(C26="","",IF(C26=0,"",D26/C26))</f>
        <v/>
      </c>
      <c r="H26" s="15" t="n"/>
    </row>
    <row r="27">
      <c r="A27" s="15" t="inlineStr">
        <is>
          <t>Family</t>
        </is>
      </c>
      <c r="B27" s="15" t="inlineStr">
        <is>
          <t>School</t>
        </is>
      </c>
      <c r="C27" s="19" t="n">
        <v>60</v>
      </c>
      <c r="D27" s="16">
        <f>SUMIFS('💳 Transactions'!$F$4:$F$403,'💳 Transactions'!$C$4:$C$403,A27,'💳 Transactions'!$D$4:$D$403,B27,'💳 Transactions'!$B$4:$B$403,"Expense",'💳 Transactions'!$O$4:$O$403,C_Month,'💳 Transactions'!$P$4:$P$403,C_Year)</f>
        <v/>
      </c>
      <c r="E27" s="16">
        <f>SUMIFS('💳 Transactions'!$F$4:$F$403,'💳 Transactions'!$C$4:$C$403,A27,'💳 Transactions'!$D$4:$D$403,B27,'💳 Transactions'!$B$4:$B$403,"Expense",'💳 Transactions'!$P$4:$P$403,C_Year)</f>
        <v/>
      </c>
      <c r="F27" s="16">
        <f>IF(C27="","",C27-D27)</f>
        <v/>
      </c>
      <c r="G27" s="22">
        <f>IF(C27="","",IF(C27=0,"",D27/C27))</f>
        <v/>
      </c>
      <c r="H27" s="15" t="n"/>
    </row>
    <row r="28">
      <c r="A28" s="15" t="inlineStr">
        <is>
          <t>Family</t>
        </is>
      </c>
      <c r="B28" s="15" t="inlineStr">
        <is>
          <t>Activities/Sports</t>
        </is>
      </c>
      <c r="C28" s="19" t="n">
        <v>75</v>
      </c>
      <c r="D28" s="16">
        <f>SUMIFS('💳 Transactions'!$F$4:$F$403,'💳 Transactions'!$C$4:$C$403,A28,'💳 Transactions'!$D$4:$D$403,B28,'💳 Transactions'!$B$4:$B$403,"Expense",'💳 Transactions'!$O$4:$O$403,C_Month,'💳 Transactions'!$P$4:$P$403,C_Year)</f>
        <v/>
      </c>
      <c r="E28" s="16">
        <f>SUMIFS('💳 Transactions'!$F$4:$F$403,'💳 Transactions'!$C$4:$C$403,A28,'💳 Transactions'!$D$4:$D$403,B28,'💳 Transactions'!$B$4:$B$403,"Expense",'💳 Transactions'!$P$4:$P$403,C_Year)</f>
        <v/>
      </c>
      <c r="F28" s="16">
        <f>IF(C28="","",C28-D28)</f>
        <v/>
      </c>
      <c r="G28" s="22">
        <f>IF(C28="","",IF(C28=0,"",D28/C28))</f>
        <v/>
      </c>
      <c r="H28" s="15" t="n"/>
    </row>
    <row r="29">
      <c r="A29" s="15" t="inlineStr">
        <is>
          <t>Family</t>
        </is>
      </c>
      <c r="B29" s="15" t="inlineStr">
        <is>
          <t>Clothing</t>
        </is>
      </c>
      <c r="C29" s="19" t="n">
        <v>65</v>
      </c>
      <c r="D29" s="16">
        <f>SUMIFS('💳 Transactions'!$F$4:$F$403,'💳 Transactions'!$C$4:$C$403,A29,'💳 Transactions'!$D$4:$D$403,B29,'💳 Transactions'!$B$4:$B$403,"Expense",'💳 Transactions'!$O$4:$O$403,C_Month,'💳 Transactions'!$P$4:$P$403,C_Year)</f>
        <v/>
      </c>
      <c r="E29" s="16">
        <f>SUMIFS('💳 Transactions'!$F$4:$F$403,'💳 Transactions'!$C$4:$C$403,A29,'💳 Transactions'!$D$4:$D$403,B29,'💳 Transactions'!$B$4:$B$403,"Expense",'💳 Transactions'!$P$4:$P$403,C_Year)</f>
        <v/>
      </c>
      <c r="F29" s="16">
        <f>IF(C29="","",C29-D29)</f>
        <v/>
      </c>
      <c r="G29" s="22">
        <f>IF(C29="","",IF(C29=0,"",D29/C29))</f>
        <v/>
      </c>
      <c r="H29" s="15" t="n"/>
    </row>
    <row r="30">
      <c r="A30" s="15" t="inlineStr">
        <is>
          <t>Family</t>
        </is>
      </c>
      <c r="B30" s="15" t="inlineStr">
        <is>
          <t>Allowances</t>
        </is>
      </c>
      <c r="C30" s="19" t="n">
        <v>25</v>
      </c>
      <c r="D30" s="16">
        <f>SUMIFS('💳 Transactions'!$F$4:$F$403,'💳 Transactions'!$C$4:$C$403,A30,'💳 Transactions'!$D$4:$D$403,B30,'💳 Transactions'!$B$4:$B$403,"Expense",'💳 Transactions'!$O$4:$O$403,C_Month,'💳 Transactions'!$P$4:$P$403,C_Year)</f>
        <v/>
      </c>
      <c r="E30" s="16">
        <f>SUMIFS('💳 Transactions'!$F$4:$F$403,'💳 Transactions'!$C$4:$C$403,A30,'💳 Transactions'!$D$4:$D$403,B30,'💳 Transactions'!$B$4:$B$403,"Expense",'💳 Transactions'!$P$4:$P$403,C_Year)</f>
        <v/>
      </c>
      <c r="F30" s="16">
        <f>IF(C30="","",C30-D30)</f>
        <v/>
      </c>
      <c r="G30" s="22">
        <f>IF(C30="","",IF(C30=0,"",D30/C30))</f>
        <v/>
      </c>
      <c r="H30" s="15" t="n"/>
    </row>
    <row r="31">
      <c r="A31" s="15" t="inlineStr">
        <is>
          <t>Family</t>
        </is>
      </c>
      <c r="B31" s="15" t="inlineStr">
        <is>
          <t>Baby Expenses</t>
        </is>
      </c>
      <c r="C31" s="19" t="n">
        <v>40</v>
      </c>
      <c r="D31" s="16">
        <f>SUMIFS('💳 Transactions'!$F$4:$F$403,'💳 Transactions'!$C$4:$C$403,A31,'💳 Transactions'!$D$4:$D$403,B31,'💳 Transactions'!$B$4:$B$403,"Expense",'💳 Transactions'!$O$4:$O$403,C_Month,'💳 Transactions'!$P$4:$P$403,C_Year)</f>
        <v/>
      </c>
      <c r="E31" s="16">
        <f>SUMIFS('💳 Transactions'!$F$4:$F$403,'💳 Transactions'!$C$4:$C$403,A31,'💳 Transactions'!$D$4:$D$403,B31,'💳 Transactions'!$B$4:$B$403,"Expense",'💳 Transactions'!$P$4:$P$403,C_Year)</f>
        <v/>
      </c>
      <c r="F31" s="16">
        <f>IF(C31="","",C31-D31)</f>
        <v/>
      </c>
      <c r="G31" s="22">
        <f>IF(C31="","",IF(C31=0,"",D31/C31))</f>
        <v/>
      </c>
      <c r="H31" s="15" t="n"/>
    </row>
    <row r="32">
      <c r="A32" s="15" t="inlineStr">
        <is>
          <t>Family</t>
        </is>
      </c>
      <c r="B32" s="15" t="inlineStr">
        <is>
          <t>College Savings</t>
        </is>
      </c>
      <c r="C32" s="19" t="n">
        <v>125</v>
      </c>
      <c r="D32" s="16">
        <f>SUMIFS('💳 Transactions'!$F$4:$F$403,'💳 Transactions'!$C$4:$C$403,A32,'💳 Transactions'!$D$4:$D$403,B32,'💳 Transactions'!$B$4:$B$403,"Expense",'💳 Transactions'!$O$4:$O$403,C_Month,'💳 Transactions'!$P$4:$P$403,C_Year)</f>
        <v/>
      </c>
      <c r="E32" s="16">
        <f>SUMIFS('💳 Transactions'!$F$4:$F$403,'💳 Transactions'!$C$4:$C$403,A32,'💳 Transactions'!$D$4:$D$403,B32,'💳 Transactions'!$B$4:$B$403,"Expense",'💳 Transactions'!$P$4:$P$403,C_Year)</f>
        <v/>
      </c>
      <c r="F32" s="16">
        <f>IF(C32="","",C32-D32)</f>
        <v/>
      </c>
      <c r="G32" s="22">
        <f>IF(C32="","",IF(C32=0,"",D32/C32))</f>
        <v/>
      </c>
      <c r="H32" s="15" t="n"/>
    </row>
    <row r="33">
      <c r="A33" s="15" t="inlineStr">
        <is>
          <t>Family</t>
        </is>
      </c>
      <c r="B33" s="15" t="inlineStr">
        <is>
          <t>Other Family</t>
        </is>
      </c>
      <c r="C33" s="19" t="n"/>
      <c r="D33" s="16">
        <f>SUMIFS('💳 Transactions'!$F$4:$F$403,'💳 Transactions'!$C$4:$C$403,A33,'💳 Transactions'!$D$4:$D$403,B33,'💳 Transactions'!$B$4:$B$403,"Expense",'💳 Transactions'!$O$4:$O$403,C_Month,'💳 Transactions'!$P$4:$P$403,C_Year)</f>
        <v/>
      </c>
      <c r="E33" s="16">
        <f>SUMIFS('💳 Transactions'!$F$4:$F$403,'💳 Transactions'!$C$4:$C$403,A33,'💳 Transactions'!$D$4:$D$403,B33,'💳 Transactions'!$B$4:$B$403,"Expense",'💳 Transactions'!$P$4:$P$403,C_Year)</f>
        <v/>
      </c>
      <c r="F33" s="16">
        <f>IF(C33="","",C33-D33)</f>
        <v/>
      </c>
      <c r="G33" s="22">
        <f>IF(C33="","",IF(C33=0,"",D33/C33))</f>
        <v/>
      </c>
      <c r="H33" s="15" t="n"/>
    </row>
    <row r="34">
      <c r="A34" s="23" t="inlineStr">
        <is>
          <t>Family</t>
        </is>
      </c>
      <c r="B34" s="23" t="inlineStr">
        <is>
          <t>Category Subtotal</t>
        </is>
      </c>
      <c r="C34" s="24">
        <f>SUM(C26:C33)</f>
        <v/>
      </c>
      <c r="D34" s="24">
        <f>SUM(D26:D33)</f>
        <v/>
      </c>
      <c r="E34" s="24">
        <f>SUM(E26:E33)</f>
        <v/>
      </c>
      <c r="F34" s="24">
        <f>SUM(F26:F33)</f>
        <v/>
      </c>
      <c r="G34" s="25">
        <f>IF(C34=0,"",D34/C34)</f>
        <v/>
      </c>
      <c r="H34" s="26" t="n"/>
    </row>
    <row r="35">
      <c r="A35" s="15" t="inlineStr">
        <is>
          <t>Healthcare</t>
        </is>
      </c>
      <c r="B35" s="15" t="inlineStr">
        <is>
          <t>Health Insurance</t>
        </is>
      </c>
      <c r="C35" s="19" t="n">
        <v>290</v>
      </c>
      <c r="D35" s="16">
        <f>SUMIFS('💳 Transactions'!$F$4:$F$403,'💳 Transactions'!$C$4:$C$403,A35,'💳 Transactions'!$D$4:$D$403,B35,'💳 Transactions'!$B$4:$B$403,"Expense",'💳 Transactions'!$O$4:$O$403,C_Month,'💳 Transactions'!$P$4:$P$403,C_Year)</f>
        <v/>
      </c>
      <c r="E35" s="16">
        <f>SUMIFS('💳 Transactions'!$F$4:$F$403,'💳 Transactions'!$C$4:$C$403,A35,'💳 Transactions'!$D$4:$D$403,B35,'💳 Transactions'!$B$4:$B$403,"Expense",'💳 Transactions'!$P$4:$P$403,C_Year)</f>
        <v/>
      </c>
      <c r="F35" s="16">
        <f>IF(C35="","",C35-D35)</f>
        <v/>
      </c>
      <c r="G35" s="22">
        <f>IF(C35="","",IF(C35=0,"",D35/C35))</f>
        <v/>
      </c>
      <c r="H35" s="15" t="n"/>
    </row>
    <row r="36">
      <c r="A36" s="15" t="inlineStr">
        <is>
          <t>Healthcare</t>
        </is>
      </c>
      <c r="B36" s="15" t="inlineStr">
        <is>
          <t>Dental</t>
        </is>
      </c>
      <c r="C36" s="19" t="n">
        <v>20</v>
      </c>
      <c r="D36" s="16">
        <f>SUMIFS('💳 Transactions'!$F$4:$F$403,'💳 Transactions'!$C$4:$C$403,A36,'💳 Transactions'!$D$4:$D$403,B36,'💳 Transactions'!$B$4:$B$403,"Expense",'💳 Transactions'!$O$4:$O$403,C_Month,'💳 Transactions'!$P$4:$P$403,C_Year)</f>
        <v/>
      </c>
      <c r="E36" s="16">
        <f>SUMIFS('💳 Transactions'!$F$4:$F$403,'💳 Transactions'!$C$4:$C$403,A36,'💳 Transactions'!$D$4:$D$403,B36,'💳 Transactions'!$B$4:$B$403,"Expense",'💳 Transactions'!$P$4:$P$403,C_Year)</f>
        <v/>
      </c>
      <c r="F36" s="16">
        <f>IF(C36="","",C36-D36)</f>
        <v/>
      </c>
      <c r="G36" s="22">
        <f>IF(C36="","",IF(C36=0,"",D36/C36))</f>
        <v/>
      </c>
      <c r="H36" s="15" t="n"/>
    </row>
    <row r="37">
      <c r="A37" s="15" t="inlineStr">
        <is>
          <t>Healthcare</t>
        </is>
      </c>
      <c r="B37" s="15" t="inlineStr">
        <is>
          <t>Vision</t>
        </is>
      </c>
      <c r="C37" s="19" t="n">
        <v>15</v>
      </c>
      <c r="D37" s="16">
        <f>SUMIFS('💳 Transactions'!$F$4:$F$403,'💳 Transactions'!$C$4:$C$403,A37,'💳 Transactions'!$D$4:$D$403,B37,'💳 Transactions'!$B$4:$B$403,"Expense",'💳 Transactions'!$O$4:$O$403,C_Month,'💳 Transactions'!$P$4:$P$403,C_Year)</f>
        <v/>
      </c>
      <c r="E37" s="16">
        <f>SUMIFS('💳 Transactions'!$F$4:$F$403,'💳 Transactions'!$C$4:$C$403,A37,'💳 Transactions'!$D$4:$D$403,B37,'💳 Transactions'!$B$4:$B$403,"Expense",'💳 Transactions'!$P$4:$P$403,C_Year)</f>
        <v/>
      </c>
      <c r="F37" s="16">
        <f>IF(C37="","",C37-D37)</f>
        <v/>
      </c>
      <c r="G37" s="22">
        <f>IF(C37="","",IF(C37=0,"",D37/C37))</f>
        <v/>
      </c>
      <c r="H37" s="15" t="n"/>
    </row>
    <row r="38">
      <c r="A38" s="15" t="inlineStr">
        <is>
          <t>Healthcare</t>
        </is>
      </c>
      <c r="B38" s="15" t="inlineStr">
        <is>
          <t>Prescriptions</t>
        </is>
      </c>
      <c r="C38" s="19" t="n">
        <v>35</v>
      </c>
      <c r="D38" s="16">
        <f>SUMIFS('💳 Transactions'!$F$4:$F$403,'💳 Transactions'!$C$4:$C$403,A38,'💳 Transactions'!$D$4:$D$403,B38,'💳 Transactions'!$B$4:$B$403,"Expense",'💳 Transactions'!$O$4:$O$403,C_Month,'💳 Transactions'!$P$4:$P$403,C_Year)</f>
        <v/>
      </c>
      <c r="E38" s="16">
        <f>SUMIFS('💳 Transactions'!$F$4:$F$403,'💳 Transactions'!$C$4:$C$403,A38,'💳 Transactions'!$D$4:$D$403,B38,'💳 Transactions'!$B$4:$B$403,"Expense",'💳 Transactions'!$P$4:$P$403,C_Year)</f>
        <v/>
      </c>
      <c r="F38" s="16">
        <f>IF(C38="","",C38-D38)</f>
        <v/>
      </c>
      <c r="G38" s="22">
        <f>IF(C38="","",IF(C38=0,"",D38/C38))</f>
        <v/>
      </c>
      <c r="H38" s="15" t="n"/>
    </row>
    <row r="39">
      <c r="A39" s="15" t="inlineStr">
        <is>
          <t>Healthcare</t>
        </is>
      </c>
      <c r="B39" s="15" t="inlineStr">
        <is>
          <t>Medical Expenses</t>
        </is>
      </c>
      <c r="C39" s="19" t="n">
        <v>65</v>
      </c>
      <c r="D39" s="16">
        <f>SUMIFS('💳 Transactions'!$F$4:$F$403,'💳 Transactions'!$C$4:$C$403,A39,'💳 Transactions'!$D$4:$D$403,B39,'💳 Transactions'!$B$4:$B$403,"Expense",'💳 Transactions'!$O$4:$O$403,C_Month,'💳 Transactions'!$P$4:$P$403,C_Year)</f>
        <v/>
      </c>
      <c r="E39" s="16">
        <f>SUMIFS('💳 Transactions'!$F$4:$F$403,'💳 Transactions'!$C$4:$C$403,A39,'💳 Transactions'!$D$4:$D$403,B39,'💳 Transactions'!$B$4:$B$403,"Expense",'💳 Transactions'!$P$4:$P$403,C_Year)</f>
        <v/>
      </c>
      <c r="F39" s="16">
        <f>IF(C39="","",C39-D39)</f>
        <v/>
      </c>
      <c r="G39" s="22">
        <f>IF(C39="","",IF(C39=0,"",D39/C39))</f>
        <v/>
      </c>
      <c r="H39" s="15" t="n"/>
    </row>
    <row r="40">
      <c r="A40" s="15" t="inlineStr">
        <is>
          <t>Healthcare</t>
        </is>
      </c>
      <c r="B40" s="15" t="inlineStr">
        <is>
          <t>Other Healthcare</t>
        </is>
      </c>
      <c r="C40" s="19" t="n"/>
      <c r="D40" s="16">
        <f>SUMIFS('💳 Transactions'!$F$4:$F$403,'💳 Transactions'!$C$4:$C$403,A40,'💳 Transactions'!$D$4:$D$403,B40,'💳 Transactions'!$B$4:$B$403,"Expense",'💳 Transactions'!$O$4:$O$403,C_Month,'💳 Transactions'!$P$4:$P$403,C_Year)</f>
        <v/>
      </c>
      <c r="E40" s="16">
        <f>SUMIFS('💳 Transactions'!$F$4:$F$403,'💳 Transactions'!$C$4:$C$403,A40,'💳 Transactions'!$D$4:$D$403,B40,'💳 Transactions'!$B$4:$B$403,"Expense",'💳 Transactions'!$P$4:$P$403,C_Year)</f>
        <v/>
      </c>
      <c r="F40" s="16">
        <f>IF(C40="","",C40-D40)</f>
        <v/>
      </c>
      <c r="G40" s="22">
        <f>IF(C40="","",IF(C40=0,"",D40/C40))</f>
        <v/>
      </c>
      <c r="H40" s="15" t="n"/>
    </row>
    <row r="41">
      <c r="A41" s="23" t="inlineStr">
        <is>
          <t>Healthcare</t>
        </is>
      </c>
      <c r="B41" s="23" t="inlineStr">
        <is>
          <t>Category Subtotal</t>
        </is>
      </c>
      <c r="C41" s="24">
        <f>SUM(C35:C40)</f>
        <v/>
      </c>
      <c r="D41" s="24">
        <f>SUM(D35:D40)</f>
        <v/>
      </c>
      <c r="E41" s="24">
        <f>SUM(E35:E40)</f>
        <v/>
      </c>
      <c r="F41" s="24">
        <f>SUM(F35:F40)</f>
        <v/>
      </c>
      <c r="G41" s="25">
        <f>IF(C41=0,"",D41/C41)</f>
        <v/>
      </c>
      <c r="H41" s="26" t="n"/>
    </row>
    <row r="42">
      <c r="A42" s="15" t="inlineStr">
        <is>
          <t>Lifestyle</t>
        </is>
      </c>
      <c r="B42" s="15" t="inlineStr">
        <is>
          <t>Entertainment</t>
        </is>
      </c>
      <c r="C42" s="19" t="n">
        <v>90</v>
      </c>
      <c r="D42" s="16">
        <f>SUMIFS('💳 Transactions'!$F$4:$F$403,'💳 Transactions'!$C$4:$C$403,A42,'💳 Transactions'!$D$4:$D$403,B42,'💳 Transactions'!$B$4:$B$403,"Expense",'💳 Transactions'!$O$4:$O$403,C_Month,'💳 Transactions'!$P$4:$P$403,C_Year)</f>
        <v/>
      </c>
      <c r="E42" s="16">
        <f>SUMIFS('💳 Transactions'!$F$4:$F$403,'💳 Transactions'!$C$4:$C$403,A42,'💳 Transactions'!$D$4:$D$403,B42,'💳 Transactions'!$B$4:$B$403,"Expense",'💳 Transactions'!$P$4:$P$403,C_Year)</f>
        <v/>
      </c>
      <c r="F42" s="16">
        <f>IF(C42="","",C42-D42)</f>
        <v/>
      </c>
      <c r="G42" s="22">
        <f>IF(C42="","",IF(C42=0,"",D42/C42))</f>
        <v/>
      </c>
      <c r="H42" s="15" t="n"/>
    </row>
    <row r="43">
      <c r="A43" s="15" t="inlineStr">
        <is>
          <t>Lifestyle</t>
        </is>
      </c>
      <c r="B43" s="15" t="inlineStr">
        <is>
          <t>Subscriptions</t>
        </is>
      </c>
      <c r="C43" s="19" t="n">
        <v>60</v>
      </c>
      <c r="D43" s="16">
        <f>SUMIFS('💳 Transactions'!$F$4:$F$403,'💳 Transactions'!$C$4:$C$403,A43,'💳 Transactions'!$D$4:$D$403,B43,'💳 Transactions'!$B$4:$B$403,"Expense",'💳 Transactions'!$O$4:$O$403,C_Month,'💳 Transactions'!$P$4:$P$403,C_Year)</f>
        <v/>
      </c>
      <c r="E43" s="16">
        <f>SUMIFS('💳 Transactions'!$F$4:$F$403,'💳 Transactions'!$C$4:$C$403,A43,'💳 Transactions'!$D$4:$D$403,B43,'💳 Transactions'!$B$4:$B$403,"Expense",'💳 Transactions'!$P$4:$P$403,C_Year)</f>
        <v/>
      </c>
      <c r="F43" s="16">
        <f>IF(C43="","",C43-D43)</f>
        <v/>
      </c>
      <c r="G43" s="22">
        <f>IF(C43="","",IF(C43=0,"",D43/C43))</f>
        <v/>
      </c>
      <c r="H43" s="15" t="n"/>
    </row>
    <row r="44">
      <c r="A44" s="15" t="inlineStr">
        <is>
          <t>Lifestyle</t>
        </is>
      </c>
      <c r="B44" s="15" t="inlineStr">
        <is>
          <t>Travel</t>
        </is>
      </c>
      <c r="C44" s="19" t="n">
        <v>150</v>
      </c>
      <c r="D44" s="16">
        <f>SUMIFS('💳 Transactions'!$F$4:$F$403,'💳 Transactions'!$C$4:$C$403,A44,'💳 Transactions'!$D$4:$D$403,B44,'💳 Transactions'!$B$4:$B$403,"Expense",'💳 Transactions'!$O$4:$O$403,C_Month,'💳 Transactions'!$P$4:$P$403,C_Year)</f>
        <v/>
      </c>
      <c r="E44" s="16">
        <f>SUMIFS('💳 Transactions'!$F$4:$F$403,'💳 Transactions'!$C$4:$C$403,A44,'💳 Transactions'!$D$4:$D$403,B44,'💳 Transactions'!$B$4:$B$403,"Expense",'💳 Transactions'!$P$4:$P$403,C_Year)</f>
        <v/>
      </c>
      <c r="F44" s="16">
        <f>IF(C44="","",C44-D44)</f>
        <v/>
      </c>
      <c r="G44" s="22">
        <f>IF(C44="","",IF(C44=0,"",D44/C44))</f>
        <v/>
      </c>
      <c r="H44" s="15" t="n"/>
    </row>
    <row r="45">
      <c r="A45" s="15" t="inlineStr">
        <is>
          <t>Lifestyle</t>
        </is>
      </c>
      <c r="B45" s="15" t="inlineStr">
        <is>
          <t>Hobbies</t>
        </is>
      </c>
      <c r="C45" s="19" t="n">
        <v>45</v>
      </c>
      <c r="D45" s="16">
        <f>SUMIFS('💳 Transactions'!$F$4:$F$403,'💳 Transactions'!$C$4:$C$403,A45,'💳 Transactions'!$D$4:$D$403,B45,'💳 Transactions'!$B$4:$B$403,"Expense",'💳 Transactions'!$O$4:$O$403,C_Month,'💳 Transactions'!$P$4:$P$403,C_Year)</f>
        <v/>
      </c>
      <c r="E45" s="16">
        <f>SUMIFS('💳 Transactions'!$F$4:$F$403,'💳 Transactions'!$C$4:$C$403,A45,'💳 Transactions'!$D$4:$D$403,B45,'💳 Transactions'!$B$4:$B$403,"Expense",'💳 Transactions'!$P$4:$P$403,C_Year)</f>
        <v/>
      </c>
      <c r="F45" s="16">
        <f>IF(C45="","",C45-D45)</f>
        <v/>
      </c>
      <c r="G45" s="22">
        <f>IF(C45="","",IF(C45=0,"",D45/C45))</f>
        <v/>
      </c>
      <c r="H45" s="15" t="n"/>
    </row>
    <row r="46">
      <c r="A46" s="15" t="inlineStr">
        <is>
          <t>Lifestyle</t>
        </is>
      </c>
      <c r="B46" s="15" t="inlineStr">
        <is>
          <t>Personal Care</t>
        </is>
      </c>
      <c r="C46" s="19" t="n">
        <v>40</v>
      </c>
      <c r="D46" s="16">
        <f>SUMIFS('💳 Transactions'!$F$4:$F$403,'💳 Transactions'!$C$4:$C$403,A46,'💳 Transactions'!$D$4:$D$403,B46,'💳 Transactions'!$B$4:$B$403,"Expense",'💳 Transactions'!$O$4:$O$403,C_Month,'💳 Transactions'!$P$4:$P$403,C_Year)</f>
        <v/>
      </c>
      <c r="E46" s="16">
        <f>SUMIFS('💳 Transactions'!$F$4:$F$403,'💳 Transactions'!$C$4:$C$403,A46,'💳 Transactions'!$D$4:$D$403,B46,'💳 Transactions'!$B$4:$B$403,"Expense",'💳 Transactions'!$P$4:$P$403,C_Year)</f>
        <v/>
      </c>
      <c r="F46" s="16">
        <f>IF(C46="","",C46-D46)</f>
        <v/>
      </c>
      <c r="G46" s="22">
        <f>IF(C46="","",IF(C46=0,"",D46/C46))</f>
        <v/>
      </c>
      <c r="H46" s="15" t="n"/>
    </row>
    <row r="47">
      <c r="A47" s="15" t="inlineStr">
        <is>
          <t>Lifestyle</t>
        </is>
      </c>
      <c r="B47" s="15" t="inlineStr">
        <is>
          <t>Shopping</t>
        </is>
      </c>
      <c r="C47" s="19" t="n">
        <v>90</v>
      </c>
      <c r="D47" s="16">
        <f>SUMIFS('💳 Transactions'!$F$4:$F$403,'💳 Transactions'!$C$4:$C$403,A47,'💳 Transactions'!$D$4:$D$403,B47,'💳 Transactions'!$B$4:$B$403,"Expense",'💳 Transactions'!$O$4:$O$403,C_Month,'💳 Transactions'!$P$4:$P$403,C_Year)</f>
        <v/>
      </c>
      <c r="E47" s="16">
        <f>SUMIFS('💳 Transactions'!$F$4:$F$403,'💳 Transactions'!$C$4:$C$403,A47,'💳 Transactions'!$D$4:$D$403,B47,'💳 Transactions'!$B$4:$B$403,"Expense",'💳 Transactions'!$P$4:$P$403,C_Year)</f>
        <v/>
      </c>
      <c r="F47" s="16">
        <f>IF(C47="","",C47-D47)</f>
        <v/>
      </c>
      <c r="G47" s="22">
        <f>IF(C47="","",IF(C47=0,"",D47/C47))</f>
        <v/>
      </c>
      <c r="H47" s="15" t="n"/>
    </row>
    <row r="48">
      <c r="A48" s="15" t="inlineStr">
        <is>
          <t>Lifestyle</t>
        </is>
      </c>
      <c r="B48" s="15" t="inlineStr">
        <is>
          <t>Other Lifestyle</t>
        </is>
      </c>
      <c r="C48" s="19" t="n"/>
      <c r="D48" s="16">
        <f>SUMIFS('💳 Transactions'!$F$4:$F$403,'💳 Transactions'!$C$4:$C$403,A48,'💳 Transactions'!$D$4:$D$403,B48,'💳 Transactions'!$B$4:$B$403,"Expense",'💳 Transactions'!$O$4:$O$403,C_Month,'💳 Transactions'!$P$4:$P$403,C_Year)</f>
        <v/>
      </c>
      <c r="E48" s="16">
        <f>SUMIFS('💳 Transactions'!$F$4:$F$403,'💳 Transactions'!$C$4:$C$403,A48,'💳 Transactions'!$D$4:$D$403,B48,'💳 Transactions'!$B$4:$B$403,"Expense",'💳 Transactions'!$P$4:$P$403,C_Year)</f>
        <v/>
      </c>
      <c r="F48" s="16">
        <f>IF(C48="","",C48-D48)</f>
        <v/>
      </c>
      <c r="G48" s="22">
        <f>IF(C48="","",IF(C48=0,"",D48/C48))</f>
        <v/>
      </c>
      <c r="H48" s="15" t="n"/>
    </row>
    <row r="49">
      <c r="A49" s="23" t="inlineStr">
        <is>
          <t>Lifestyle</t>
        </is>
      </c>
      <c r="B49" s="23" t="inlineStr">
        <is>
          <t>Category Subtotal</t>
        </is>
      </c>
      <c r="C49" s="24">
        <f>SUM(C42:C48)</f>
        <v/>
      </c>
      <c r="D49" s="24">
        <f>SUM(D42:D48)</f>
        <v/>
      </c>
      <c r="E49" s="24">
        <f>SUM(E42:E48)</f>
        <v/>
      </c>
      <c r="F49" s="24">
        <f>SUM(F42:F48)</f>
        <v/>
      </c>
      <c r="G49" s="25">
        <f>IF(C49=0,"",D49/C49)</f>
        <v/>
      </c>
      <c r="H49" s="26" t="n"/>
    </row>
    <row r="50">
      <c r="A50" s="15" t="inlineStr">
        <is>
          <t>Financial</t>
        </is>
      </c>
      <c r="B50" s="15" t="inlineStr">
        <is>
          <t>Credit Cards</t>
        </is>
      </c>
      <c r="C50" s="19" t="n">
        <v>150</v>
      </c>
      <c r="D50" s="16">
        <f>SUMIFS('💳 Transactions'!$F$4:$F$403,'💳 Transactions'!$C$4:$C$403,A50,'💳 Transactions'!$D$4:$D$403,B50,'💳 Transactions'!$B$4:$B$403,"Expense",'💳 Transactions'!$O$4:$O$403,C_Month,'💳 Transactions'!$P$4:$P$403,C_Year)</f>
        <v/>
      </c>
      <c r="E50" s="16">
        <f>SUMIFS('💳 Transactions'!$F$4:$F$403,'💳 Transactions'!$C$4:$C$403,A50,'💳 Transactions'!$D$4:$D$403,B50,'💳 Transactions'!$B$4:$B$403,"Expense",'💳 Transactions'!$P$4:$P$403,C_Year)</f>
        <v/>
      </c>
      <c r="F50" s="16">
        <f>IF(C50="","",C50-D50)</f>
        <v/>
      </c>
      <c r="G50" s="22">
        <f>IF(C50="","",IF(C50=0,"",D50/C50))</f>
        <v/>
      </c>
      <c r="H50" s="15" t="n"/>
    </row>
    <row r="51">
      <c r="A51" s="15" t="inlineStr">
        <is>
          <t>Financial</t>
        </is>
      </c>
      <c r="B51" s="15" t="inlineStr">
        <is>
          <t>Student Loans</t>
        </is>
      </c>
      <c r="C51" s="19" t="n">
        <v>165</v>
      </c>
      <c r="D51" s="16">
        <f>SUMIFS('💳 Transactions'!$F$4:$F$403,'💳 Transactions'!$C$4:$C$403,A51,'💳 Transactions'!$D$4:$D$403,B51,'💳 Transactions'!$B$4:$B$403,"Expense",'💳 Transactions'!$O$4:$O$403,C_Month,'💳 Transactions'!$P$4:$P$403,C_Year)</f>
        <v/>
      </c>
      <c r="E51" s="16">
        <f>SUMIFS('💳 Transactions'!$F$4:$F$403,'💳 Transactions'!$C$4:$C$403,A51,'💳 Transactions'!$D$4:$D$403,B51,'💳 Transactions'!$B$4:$B$403,"Expense",'💳 Transactions'!$P$4:$P$403,C_Year)</f>
        <v/>
      </c>
      <c r="F51" s="16">
        <f>IF(C51="","",C51-D51)</f>
        <v/>
      </c>
      <c r="G51" s="22">
        <f>IF(C51="","",IF(C51=0,"",D51/C51))</f>
        <v/>
      </c>
      <c r="H51" s="15" t="n"/>
    </row>
    <row r="52">
      <c r="A52" s="15" t="inlineStr">
        <is>
          <t>Financial</t>
        </is>
      </c>
      <c r="B52" s="15" t="inlineStr">
        <is>
          <t>Auto Loans</t>
        </is>
      </c>
      <c r="C52" s="19" t="n">
        <v>210</v>
      </c>
      <c r="D52" s="16">
        <f>SUMIFS('💳 Transactions'!$F$4:$F$403,'💳 Transactions'!$C$4:$C$403,A52,'💳 Transactions'!$D$4:$D$403,B52,'💳 Transactions'!$B$4:$B$403,"Expense",'💳 Transactions'!$O$4:$O$403,C_Month,'💳 Transactions'!$P$4:$P$403,C_Year)</f>
        <v/>
      </c>
      <c r="E52" s="16">
        <f>SUMIFS('💳 Transactions'!$F$4:$F$403,'💳 Transactions'!$C$4:$C$403,A52,'💳 Transactions'!$D$4:$D$403,B52,'💳 Transactions'!$B$4:$B$403,"Expense",'💳 Transactions'!$P$4:$P$403,C_Year)</f>
        <v/>
      </c>
      <c r="F52" s="16">
        <f>IF(C52="","",C52-D52)</f>
        <v/>
      </c>
      <c r="G52" s="22">
        <f>IF(C52="","",IF(C52=0,"",D52/C52))</f>
        <v/>
      </c>
      <c r="H52" s="15" t="n"/>
    </row>
    <row r="53">
      <c r="A53" s="15" t="inlineStr">
        <is>
          <t>Financial</t>
        </is>
      </c>
      <c r="B53" s="15" t="inlineStr">
        <is>
          <t>Personal Loans</t>
        </is>
      </c>
      <c r="C53" s="19" t="n">
        <v>75</v>
      </c>
      <c r="D53" s="16">
        <f>SUMIFS('💳 Transactions'!$F$4:$F$403,'💳 Transactions'!$C$4:$C$403,A53,'💳 Transactions'!$D$4:$D$403,B53,'💳 Transactions'!$B$4:$B$403,"Expense",'💳 Transactions'!$O$4:$O$403,C_Month,'💳 Transactions'!$P$4:$P$403,C_Year)</f>
        <v/>
      </c>
      <c r="E53" s="16">
        <f>SUMIFS('💳 Transactions'!$F$4:$F$403,'💳 Transactions'!$C$4:$C$403,A53,'💳 Transactions'!$D$4:$D$403,B53,'💳 Transactions'!$B$4:$B$403,"Expense",'💳 Transactions'!$P$4:$P$403,C_Year)</f>
        <v/>
      </c>
      <c r="F53" s="16">
        <f>IF(C53="","",C53-D53)</f>
        <v/>
      </c>
      <c r="G53" s="22">
        <f>IF(C53="","",IF(C53=0,"",D53/C53))</f>
        <v/>
      </c>
      <c r="H53" s="15" t="n"/>
    </row>
    <row r="54">
      <c r="A54" s="15" t="inlineStr">
        <is>
          <t>Financial</t>
        </is>
      </c>
      <c r="B54" s="15" t="inlineStr">
        <is>
          <t>Savings</t>
        </is>
      </c>
      <c r="C54" s="19" t="n">
        <v>210</v>
      </c>
      <c r="D54" s="16">
        <f>SUMIFS('💳 Transactions'!$F$4:$F$403,'💳 Transactions'!$C$4:$C$403,A54,'💳 Transactions'!$D$4:$D$403,B54,'💳 Transactions'!$B$4:$B$403,"Expense",'💳 Transactions'!$O$4:$O$403,C_Month,'💳 Transactions'!$P$4:$P$403,C_Year)</f>
        <v/>
      </c>
      <c r="E54" s="16">
        <f>SUMIFS('💳 Transactions'!$F$4:$F$403,'💳 Transactions'!$C$4:$C$403,A54,'💳 Transactions'!$D$4:$D$403,B54,'💳 Transactions'!$B$4:$B$403,"Expense",'💳 Transactions'!$P$4:$P$403,C_Year)</f>
        <v/>
      </c>
      <c r="F54" s="16">
        <f>IF(C54="","",C54-D54)</f>
        <v/>
      </c>
      <c r="G54" s="22">
        <f>IF(C54="","",IF(C54=0,"",D54/C54))</f>
        <v/>
      </c>
      <c r="H54" s="15" t="n"/>
    </row>
    <row r="55">
      <c r="A55" s="15" t="inlineStr">
        <is>
          <t>Financial</t>
        </is>
      </c>
      <c r="B55" s="15" t="inlineStr">
        <is>
          <t>Investments</t>
        </is>
      </c>
      <c r="C55" s="19" t="n">
        <v>125</v>
      </c>
      <c r="D55" s="16">
        <f>SUMIFS('💳 Transactions'!$F$4:$F$403,'💳 Transactions'!$C$4:$C$403,A55,'💳 Transactions'!$D$4:$D$403,B55,'💳 Transactions'!$B$4:$B$403,"Expense",'💳 Transactions'!$O$4:$O$403,C_Month,'💳 Transactions'!$P$4:$P$403,C_Year)</f>
        <v/>
      </c>
      <c r="E55" s="16">
        <f>SUMIFS('💳 Transactions'!$F$4:$F$403,'💳 Transactions'!$C$4:$C$403,A55,'💳 Transactions'!$D$4:$D$403,B55,'💳 Transactions'!$B$4:$B$403,"Expense",'💳 Transactions'!$P$4:$P$403,C_Year)</f>
        <v/>
      </c>
      <c r="F55" s="16">
        <f>IF(C55="","",C55-D55)</f>
        <v/>
      </c>
      <c r="G55" s="22">
        <f>IF(C55="","",IF(C55=0,"",D55/C55))</f>
        <v/>
      </c>
      <c r="H55" s="15" t="n"/>
    </row>
    <row r="56">
      <c r="A56" s="15" t="inlineStr">
        <is>
          <t>Financial</t>
        </is>
      </c>
      <c r="B56" s="15" t="inlineStr">
        <is>
          <t>Retirement</t>
        </is>
      </c>
      <c r="C56" s="19" t="n">
        <v>250</v>
      </c>
      <c r="D56" s="16">
        <f>SUMIFS('💳 Transactions'!$F$4:$F$403,'💳 Transactions'!$C$4:$C$403,A56,'💳 Transactions'!$D$4:$D$403,B56,'💳 Transactions'!$B$4:$B$403,"Expense",'💳 Transactions'!$O$4:$O$403,C_Month,'💳 Transactions'!$P$4:$P$403,C_Year)</f>
        <v/>
      </c>
      <c r="E56" s="16">
        <f>SUMIFS('💳 Transactions'!$F$4:$F$403,'💳 Transactions'!$C$4:$C$403,A56,'💳 Transactions'!$D$4:$D$403,B56,'💳 Transactions'!$B$4:$B$403,"Expense",'💳 Transactions'!$P$4:$P$403,C_Year)</f>
        <v/>
      </c>
      <c r="F56" s="16">
        <f>IF(C56="","",C56-D56)</f>
        <v/>
      </c>
      <c r="G56" s="22">
        <f>IF(C56="","",IF(C56=0,"",D56/C56))</f>
        <v/>
      </c>
      <c r="H56" s="15" t="n"/>
    </row>
    <row r="57">
      <c r="A57" s="15" t="inlineStr">
        <is>
          <t>Financial</t>
        </is>
      </c>
      <c r="B57" s="15" t="inlineStr">
        <is>
          <t>Other Financial</t>
        </is>
      </c>
      <c r="C57" s="19" t="n"/>
      <c r="D57" s="16">
        <f>SUMIFS('💳 Transactions'!$F$4:$F$403,'💳 Transactions'!$C$4:$C$403,A57,'💳 Transactions'!$D$4:$D$403,B57,'💳 Transactions'!$B$4:$B$403,"Expense",'💳 Transactions'!$O$4:$O$403,C_Month,'💳 Transactions'!$P$4:$P$403,C_Year)</f>
        <v/>
      </c>
      <c r="E57" s="16">
        <f>SUMIFS('💳 Transactions'!$F$4:$F$403,'💳 Transactions'!$C$4:$C$403,A57,'💳 Transactions'!$D$4:$D$403,B57,'💳 Transactions'!$B$4:$B$403,"Expense",'💳 Transactions'!$P$4:$P$403,C_Year)</f>
        <v/>
      </c>
      <c r="F57" s="16">
        <f>IF(C57="","",C57-D57)</f>
        <v/>
      </c>
      <c r="G57" s="22">
        <f>IF(C57="","",IF(C57=0,"",D57/C57))</f>
        <v/>
      </c>
      <c r="H57" s="15" t="n"/>
    </row>
    <row r="58">
      <c r="A58" s="23" t="inlineStr">
        <is>
          <t>Financial</t>
        </is>
      </c>
      <c r="B58" s="23" t="inlineStr">
        <is>
          <t>Category Subtotal</t>
        </is>
      </c>
      <c r="C58" s="24">
        <f>SUM(C50:C57)</f>
        <v/>
      </c>
      <c r="D58" s="24">
        <f>SUM(D50:D57)</f>
        <v/>
      </c>
      <c r="E58" s="24">
        <f>SUM(E50:E57)</f>
        <v/>
      </c>
      <c r="F58" s="24">
        <f>SUM(F50:F57)</f>
        <v/>
      </c>
      <c r="G58" s="25">
        <f>IF(C58=0,"",D58/C58)</f>
        <v/>
      </c>
      <c r="H58" s="26" t="n"/>
    </row>
    <row r="59">
      <c r="A59" s="15" t="inlineStr">
        <is>
          <t>Giving</t>
        </is>
      </c>
      <c r="B59" s="15" t="inlineStr">
        <is>
          <t>Charity</t>
        </is>
      </c>
      <c r="C59" s="19" t="n">
        <v>85</v>
      </c>
      <c r="D59" s="16">
        <f>SUMIFS('💳 Transactions'!$F$4:$F$403,'💳 Transactions'!$C$4:$C$403,A59,'💳 Transactions'!$D$4:$D$403,B59,'💳 Transactions'!$B$4:$B$403,"Expense",'💳 Transactions'!$O$4:$O$403,C_Month,'💳 Transactions'!$P$4:$P$403,C_Year)</f>
        <v/>
      </c>
      <c r="E59" s="16">
        <f>SUMIFS('💳 Transactions'!$F$4:$F$403,'💳 Transactions'!$C$4:$C$403,A59,'💳 Transactions'!$D$4:$D$403,B59,'💳 Transactions'!$B$4:$B$403,"Expense",'💳 Transactions'!$P$4:$P$403,C_Year)</f>
        <v/>
      </c>
      <c r="F59" s="16">
        <f>IF(C59="","",C59-D59)</f>
        <v/>
      </c>
      <c r="G59" s="22">
        <f>IF(C59="","",IF(C59=0,"",D59/C59))</f>
        <v/>
      </c>
      <c r="H59" s="15" t="n"/>
    </row>
    <row r="60">
      <c r="A60" s="15" t="inlineStr">
        <is>
          <t>Giving</t>
        </is>
      </c>
      <c r="B60" s="15" t="inlineStr">
        <is>
          <t>Gifts</t>
        </is>
      </c>
      <c r="C60" s="19" t="n">
        <v>35</v>
      </c>
      <c r="D60" s="16">
        <f>SUMIFS('💳 Transactions'!$F$4:$F$403,'💳 Transactions'!$C$4:$C$403,A60,'💳 Transactions'!$D$4:$D$403,B60,'💳 Transactions'!$B$4:$B$403,"Expense",'💳 Transactions'!$O$4:$O$403,C_Month,'💳 Transactions'!$P$4:$P$403,C_Year)</f>
        <v/>
      </c>
      <c r="E60" s="16">
        <f>SUMIFS('💳 Transactions'!$F$4:$F$403,'💳 Transactions'!$C$4:$C$403,A60,'💳 Transactions'!$D$4:$D$403,B60,'💳 Transactions'!$B$4:$B$403,"Expense",'💳 Transactions'!$P$4:$P$403,C_Year)</f>
        <v/>
      </c>
      <c r="F60" s="16">
        <f>IF(C60="","",C60-D60)</f>
        <v/>
      </c>
      <c r="G60" s="22">
        <f>IF(C60="","",IF(C60=0,"",D60/C60))</f>
        <v/>
      </c>
      <c r="H60" s="15" t="n"/>
    </row>
    <row r="61">
      <c r="A61" s="15" t="inlineStr">
        <is>
          <t>Giving</t>
        </is>
      </c>
      <c r="B61" s="15" t="inlineStr">
        <is>
          <t>Tithe</t>
        </is>
      </c>
      <c r="C61" s="19" t="n"/>
      <c r="D61" s="16">
        <f>SUMIFS('💳 Transactions'!$F$4:$F$403,'💳 Transactions'!$C$4:$C$403,A61,'💳 Transactions'!$D$4:$D$403,B61,'💳 Transactions'!$B$4:$B$403,"Expense",'💳 Transactions'!$O$4:$O$403,C_Month,'💳 Transactions'!$P$4:$P$403,C_Year)</f>
        <v/>
      </c>
      <c r="E61" s="16">
        <f>SUMIFS('💳 Transactions'!$F$4:$F$403,'💳 Transactions'!$C$4:$C$403,A61,'💳 Transactions'!$D$4:$D$403,B61,'💳 Transactions'!$B$4:$B$403,"Expense",'💳 Transactions'!$P$4:$P$403,C_Year)</f>
        <v/>
      </c>
      <c r="F61" s="16">
        <f>IF(C61="","",C61-D61)</f>
        <v/>
      </c>
      <c r="G61" s="22">
        <f>IF(C61="","",IF(C61=0,"",D61/C61))</f>
        <v/>
      </c>
      <c r="H61" s="15" t="n"/>
    </row>
    <row r="62">
      <c r="A62" s="15" t="inlineStr">
        <is>
          <t>Giving</t>
        </is>
      </c>
      <c r="B62" s="15" t="inlineStr">
        <is>
          <t>Other Giving</t>
        </is>
      </c>
      <c r="C62" s="19" t="n"/>
      <c r="D62" s="16">
        <f>SUMIFS('💳 Transactions'!$F$4:$F$403,'💳 Transactions'!$C$4:$C$403,A62,'💳 Transactions'!$D$4:$D$403,B62,'💳 Transactions'!$B$4:$B$403,"Expense",'💳 Transactions'!$O$4:$O$403,C_Month,'💳 Transactions'!$P$4:$P$403,C_Year)</f>
        <v/>
      </c>
      <c r="E62" s="16">
        <f>SUMIFS('💳 Transactions'!$F$4:$F$403,'💳 Transactions'!$C$4:$C$403,A62,'💳 Transactions'!$D$4:$D$403,B62,'💳 Transactions'!$B$4:$B$403,"Expense",'💳 Transactions'!$P$4:$P$403,C_Year)</f>
        <v/>
      </c>
      <c r="F62" s="16">
        <f>IF(C62="","",C62-D62)</f>
        <v/>
      </c>
      <c r="G62" s="22">
        <f>IF(C62="","",IF(C62=0,"",D62/C62))</f>
        <v/>
      </c>
      <c r="H62" s="15" t="n"/>
    </row>
    <row r="63">
      <c r="A63" s="23" t="inlineStr">
        <is>
          <t>Giving</t>
        </is>
      </c>
      <c r="B63" s="23" t="inlineStr">
        <is>
          <t>Category Subtotal</t>
        </is>
      </c>
      <c r="C63" s="24">
        <f>SUM(C59:C62)</f>
        <v/>
      </c>
      <c r="D63" s="24">
        <f>SUM(D59:D62)</f>
        <v/>
      </c>
      <c r="E63" s="24">
        <f>SUM(E59:E62)</f>
        <v/>
      </c>
      <c r="F63" s="24">
        <f>SUM(F59:F62)</f>
        <v/>
      </c>
      <c r="G63" s="25">
        <f>IF(C63=0,"",D63/C63)</f>
        <v/>
      </c>
      <c r="H63" s="26" t="n"/>
    </row>
    <row r="64">
      <c r="A64" s="15" t="inlineStr">
        <is>
          <t>Pets</t>
        </is>
      </c>
      <c r="B64" s="15" t="inlineStr">
        <is>
          <t>Food</t>
        </is>
      </c>
      <c r="C64" s="19" t="n">
        <v>60</v>
      </c>
      <c r="D64" s="16">
        <f>SUMIFS('💳 Transactions'!$F$4:$F$403,'💳 Transactions'!$C$4:$C$403,A64,'💳 Transactions'!$D$4:$D$403,B64,'💳 Transactions'!$B$4:$B$403,"Expense",'💳 Transactions'!$O$4:$O$403,C_Month,'💳 Transactions'!$P$4:$P$403,C_Year)</f>
        <v/>
      </c>
      <c r="E64" s="16">
        <f>SUMIFS('💳 Transactions'!$F$4:$F$403,'💳 Transactions'!$C$4:$C$403,A64,'💳 Transactions'!$D$4:$D$403,B64,'💳 Transactions'!$B$4:$B$403,"Expense",'💳 Transactions'!$P$4:$P$403,C_Year)</f>
        <v/>
      </c>
      <c r="F64" s="16">
        <f>IF(C64="","",C64-D64)</f>
        <v/>
      </c>
      <c r="G64" s="22">
        <f>IF(C64="","",IF(C64=0,"",D64/C64))</f>
        <v/>
      </c>
      <c r="H64" s="15" t="n"/>
    </row>
    <row r="65">
      <c r="A65" s="15" t="inlineStr">
        <is>
          <t>Pets</t>
        </is>
      </c>
      <c r="B65" s="15" t="inlineStr">
        <is>
          <t>Vet</t>
        </is>
      </c>
      <c r="C65" s="19" t="n">
        <v>35</v>
      </c>
      <c r="D65" s="16">
        <f>SUMIFS('💳 Transactions'!$F$4:$F$403,'💳 Transactions'!$C$4:$C$403,A65,'💳 Transactions'!$D$4:$D$403,B65,'💳 Transactions'!$B$4:$B$403,"Expense",'💳 Transactions'!$O$4:$O$403,C_Month,'💳 Transactions'!$P$4:$P$403,C_Year)</f>
        <v/>
      </c>
      <c r="E65" s="16">
        <f>SUMIFS('💳 Transactions'!$F$4:$F$403,'💳 Transactions'!$C$4:$C$403,A65,'💳 Transactions'!$D$4:$D$403,B65,'💳 Transactions'!$B$4:$B$403,"Expense",'💳 Transactions'!$P$4:$P$403,C_Year)</f>
        <v/>
      </c>
      <c r="F65" s="16">
        <f>IF(C65="","",C65-D65)</f>
        <v/>
      </c>
      <c r="G65" s="22">
        <f>IF(C65="","",IF(C65=0,"",D65/C65))</f>
        <v/>
      </c>
      <c r="H65" s="15" t="n"/>
    </row>
    <row r="66">
      <c r="A66" s="15" t="inlineStr">
        <is>
          <t>Pets</t>
        </is>
      </c>
      <c r="B66" s="15" t="inlineStr">
        <is>
          <t>Grooming</t>
        </is>
      </c>
      <c r="C66" s="19" t="n"/>
      <c r="D66" s="16">
        <f>SUMIFS('💳 Transactions'!$F$4:$F$403,'💳 Transactions'!$C$4:$C$403,A66,'💳 Transactions'!$D$4:$D$403,B66,'💳 Transactions'!$B$4:$B$403,"Expense",'💳 Transactions'!$O$4:$O$403,C_Month,'💳 Transactions'!$P$4:$P$403,C_Year)</f>
        <v/>
      </c>
      <c r="E66" s="16">
        <f>SUMIFS('💳 Transactions'!$F$4:$F$403,'💳 Transactions'!$C$4:$C$403,A66,'💳 Transactions'!$D$4:$D$403,B66,'💳 Transactions'!$B$4:$B$403,"Expense",'💳 Transactions'!$P$4:$P$403,C_Year)</f>
        <v/>
      </c>
      <c r="F66" s="16">
        <f>IF(C66="","",C66-D66)</f>
        <v/>
      </c>
      <c r="G66" s="22">
        <f>IF(C66="","",IF(C66=0,"",D66/C66))</f>
        <v/>
      </c>
      <c r="H66" s="15" t="n"/>
    </row>
    <row r="67">
      <c r="A67" s="15" t="inlineStr">
        <is>
          <t>Pets</t>
        </is>
      </c>
      <c r="B67" s="15" t="inlineStr">
        <is>
          <t>Supplies</t>
        </is>
      </c>
      <c r="C67" s="19" t="n">
        <v>20</v>
      </c>
      <c r="D67" s="16">
        <f>SUMIFS('💳 Transactions'!$F$4:$F$403,'💳 Transactions'!$C$4:$C$403,A67,'💳 Transactions'!$D$4:$D$403,B67,'💳 Transactions'!$B$4:$B$403,"Expense",'💳 Transactions'!$O$4:$O$403,C_Month,'💳 Transactions'!$P$4:$P$403,C_Year)</f>
        <v/>
      </c>
      <c r="E67" s="16">
        <f>SUMIFS('💳 Transactions'!$F$4:$F$403,'💳 Transactions'!$C$4:$C$403,A67,'💳 Transactions'!$D$4:$D$403,B67,'💳 Transactions'!$B$4:$B$403,"Expense",'💳 Transactions'!$P$4:$P$403,C_Year)</f>
        <v/>
      </c>
      <c r="F67" s="16">
        <f>IF(C67="","",C67-D67)</f>
        <v/>
      </c>
      <c r="G67" s="22">
        <f>IF(C67="","",IF(C67=0,"",D67/C67))</f>
        <v/>
      </c>
      <c r="H67" s="15" t="n"/>
    </row>
    <row r="68">
      <c r="A68" s="15" t="inlineStr">
        <is>
          <t>Pets</t>
        </is>
      </c>
      <c r="B68" s="15" t="inlineStr">
        <is>
          <t>Other Pets</t>
        </is>
      </c>
      <c r="C68" s="19" t="n"/>
      <c r="D68" s="16">
        <f>SUMIFS('💳 Transactions'!$F$4:$F$403,'💳 Transactions'!$C$4:$C$403,A68,'💳 Transactions'!$D$4:$D$403,B68,'💳 Transactions'!$B$4:$B$403,"Expense",'💳 Transactions'!$O$4:$O$403,C_Month,'💳 Transactions'!$P$4:$P$403,C_Year)</f>
        <v/>
      </c>
      <c r="E68" s="16">
        <f>SUMIFS('💳 Transactions'!$F$4:$F$403,'💳 Transactions'!$C$4:$C$403,A68,'💳 Transactions'!$D$4:$D$403,B68,'💳 Transactions'!$B$4:$B$403,"Expense",'💳 Transactions'!$P$4:$P$403,C_Year)</f>
        <v/>
      </c>
      <c r="F68" s="16">
        <f>IF(C68="","",C68-D68)</f>
        <v/>
      </c>
      <c r="G68" s="22">
        <f>IF(C68="","",IF(C68=0,"",D68/C68))</f>
        <v/>
      </c>
      <c r="H68" s="15" t="n"/>
    </row>
    <row r="69">
      <c r="A69" s="23" t="inlineStr">
        <is>
          <t>Pets</t>
        </is>
      </c>
      <c r="B69" s="23" t="inlineStr">
        <is>
          <t>Category Subtotal</t>
        </is>
      </c>
      <c r="C69" s="24">
        <f>SUM(C64:C68)</f>
        <v/>
      </c>
      <c r="D69" s="24">
        <f>SUM(D64:D68)</f>
        <v/>
      </c>
      <c r="E69" s="24">
        <f>SUM(E64:E68)</f>
        <v/>
      </c>
      <c r="F69" s="24">
        <f>SUM(F64:F68)</f>
        <v/>
      </c>
      <c r="G69" s="25">
        <f>IF(C69=0,"",D69/C69)</f>
        <v/>
      </c>
      <c r="H69" s="26" t="n"/>
    </row>
    <row r="70">
      <c r="A70" s="15" t="inlineStr">
        <is>
          <t>Travel</t>
        </is>
      </c>
      <c r="B70" s="15" t="inlineStr">
        <is>
          <t>Transport</t>
        </is>
      </c>
      <c r="C70" s="19" t="n"/>
      <c r="D70" s="16">
        <f>SUMIFS('💳 Transactions'!$F$4:$F$403,'💳 Transactions'!$C$4:$C$403,A70,'💳 Transactions'!$D$4:$D$403,B70,'💳 Transactions'!$B$4:$B$403,"Expense",'💳 Transactions'!$O$4:$O$403,C_Month,'💳 Transactions'!$P$4:$P$403,C_Year)</f>
        <v/>
      </c>
      <c r="E70" s="16">
        <f>SUMIFS('💳 Transactions'!$F$4:$F$403,'💳 Transactions'!$C$4:$C$403,A70,'💳 Transactions'!$D$4:$D$403,B70,'💳 Transactions'!$B$4:$B$403,"Expense",'💳 Transactions'!$P$4:$P$403,C_Year)</f>
        <v/>
      </c>
      <c r="F70" s="16">
        <f>IF(C70="","",C70-D70)</f>
        <v/>
      </c>
      <c r="G70" s="22">
        <f>IF(C70="","",IF(C70=0,"",D70/C70))</f>
        <v/>
      </c>
      <c r="H70" s="15" t="n"/>
    </row>
    <row r="71">
      <c r="A71" s="15" t="inlineStr">
        <is>
          <t>Travel</t>
        </is>
      </c>
      <c r="B71" s="15" t="inlineStr">
        <is>
          <t>Lodging</t>
        </is>
      </c>
      <c r="C71" s="19" t="n"/>
      <c r="D71" s="16">
        <f>SUMIFS('💳 Transactions'!$F$4:$F$403,'💳 Transactions'!$C$4:$C$403,A71,'💳 Transactions'!$D$4:$D$403,B71,'💳 Transactions'!$B$4:$B$403,"Expense",'💳 Transactions'!$O$4:$O$403,C_Month,'💳 Transactions'!$P$4:$P$403,C_Year)</f>
        <v/>
      </c>
      <c r="E71" s="16">
        <f>SUMIFS('💳 Transactions'!$F$4:$F$403,'💳 Transactions'!$C$4:$C$403,A71,'💳 Transactions'!$D$4:$D$403,B71,'💳 Transactions'!$B$4:$B$403,"Expense",'💳 Transactions'!$P$4:$P$403,C_Year)</f>
        <v/>
      </c>
      <c r="F71" s="16">
        <f>IF(C71="","",C71-D71)</f>
        <v/>
      </c>
      <c r="G71" s="22">
        <f>IF(C71="","",IF(C71=0,"",D71/C71))</f>
        <v/>
      </c>
      <c r="H71" s="15" t="n"/>
    </row>
    <row r="72">
      <c r="A72" s="15" t="inlineStr">
        <is>
          <t>Travel</t>
        </is>
      </c>
      <c r="B72" s="15" t="inlineStr">
        <is>
          <t>Food &amp; Dining</t>
        </is>
      </c>
      <c r="C72" s="19" t="n"/>
      <c r="D72" s="16">
        <f>SUMIFS('💳 Transactions'!$F$4:$F$403,'💳 Transactions'!$C$4:$C$403,A72,'💳 Transactions'!$D$4:$D$403,B72,'💳 Transactions'!$B$4:$B$403,"Expense",'💳 Transactions'!$O$4:$O$403,C_Month,'💳 Transactions'!$P$4:$P$403,C_Year)</f>
        <v/>
      </c>
      <c r="E72" s="16">
        <f>SUMIFS('💳 Transactions'!$F$4:$F$403,'💳 Transactions'!$C$4:$C$403,A72,'💳 Transactions'!$D$4:$D$403,B72,'💳 Transactions'!$B$4:$B$403,"Expense",'💳 Transactions'!$P$4:$P$403,C_Year)</f>
        <v/>
      </c>
      <c r="F72" s="16">
        <f>IF(C72="","",C72-D72)</f>
        <v/>
      </c>
      <c r="G72" s="22">
        <f>IF(C72="","",IF(C72=0,"",D72/C72))</f>
        <v/>
      </c>
      <c r="H72" s="15" t="n"/>
    </row>
    <row r="73">
      <c r="A73" s="15" t="inlineStr">
        <is>
          <t>Travel</t>
        </is>
      </c>
      <c r="B73" s="15" t="inlineStr">
        <is>
          <t>Activities</t>
        </is>
      </c>
      <c r="C73" s="19" t="n"/>
      <c r="D73" s="16">
        <f>SUMIFS('💳 Transactions'!$F$4:$F$403,'💳 Transactions'!$C$4:$C$403,A73,'💳 Transactions'!$D$4:$D$403,B73,'💳 Transactions'!$B$4:$B$403,"Expense",'💳 Transactions'!$O$4:$O$403,C_Month,'💳 Transactions'!$P$4:$P$403,C_Year)</f>
        <v/>
      </c>
      <c r="E73" s="16">
        <f>SUMIFS('💳 Transactions'!$F$4:$F$403,'💳 Transactions'!$C$4:$C$403,A73,'💳 Transactions'!$D$4:$D$403,B73,'💳 Transactions'!$B$4:$B$403,"Expense",'💳 Transactions'!$P$4:$P$403,C_Year)</f>
        <v/>
      </c>
      <c r="F73" s="16">
        <f>IF(C73="","",C73-D73)</f>
        <v/>
      </c>
      <c r="G73" s="22">
        <f>IF(C73="","",IF(C73=0,"",D73/C73))</f>
        <v/>
      </c>
      <c r="H73" s="15" t="n"/>
    </row>
    <row r="74">
      <c r="A74" s="15" t="inlineStr">
        <is>
          <t>Travel</t>
        </is>
      </c>
      <c r="B74" s="15" t="inlineStr">
        <is>
          <t>Other Travel</t>
        </is>
      </c>
      <c r="C74" s="19" t="n"/>
      <c r="D74" s="16">
        <f>SUMIFS('💳 Transactions'!$F$4:$F$403,'💳 Transactions'!$C$4:$C$403,A74,'💳 Transactions'!$D$4:$D$403,B74,'💳 Transactions'!$B$4:$B$403,"Expense",'💳 Transactions'!$O$4:$O$403,C_Month,'💳 Transactions'!$P$4:$P$403,C_Year)</f>
        <v/>
      </c>
      <c r="E74" s="16">
        <f>SUMIFS('💳 Transactions'!$F$4:$F$403,'💳 Transactions'!$C$4:$C$403,A74,'💳 Transactions'!$D$4:$D$403,B74,'💳 Transactions'!$B$4:$B$403,"Expense",'💳 Transactions'!$P$4:$P$403,C_Year)</f>
        <v/>
      </c>
      <c r="F74" s="16">
        <f>IF(C74="","",C74-D74)</f>
        <v/>
      </c>
      <c r="G74" s="22">
        <f>IF(C74="","",IF(C74=0,"",D74/C74))</f>
        <v/>
      </c>
      <c r="H74" s="15" t="n"/>
    </row>
    <row r="75">
      <c r="A75" s="23" t="inlineStr">
        <is>
          <t>Travel</t>
        </is>
      </c>
      <c r="B75" s="23" t="inlineStr">
        <is>
          <t>Category Subtotal</t>
        </is>
      </c>
      <c r="C75" s="24">
        <f>SUM(C70:C74)</f>
        <v/>
      </c>
      <c r="D75" s="24">
        <f>SUM(D70:D74)</f>
        <v/>
      </c>
      <c r="E75" s="24">
        <f>SUM(E70:E74)</f>
        <v/>
      </c>
      <c r="F75" s="24">
        <f>SUM(F70:F74)</f>
        <v/>
      </c>
      <c r="G75" s="25">
        <f>IF(C75=0,"",D75/C75)</f>
        <v/>
      </c>
      <c r="H75" s="26" t="n"/>
    </row>
    <row r="76">
      <c r="A76" s="15" t="inlineStr">
        <is>
          <t>Miscellaneous</t>
        </is>
      </c>
      <c r="B76" s="15" t="inlineStr">
        <is>
          <t>Fees</t>
        </is>
      </c>
      <c r="C76" s="19" t="n">
        <v>25</v>
      </c>
      <c r="D76" s="16">
        <f>SUMIFS('💳 Transactions'!$F$4:$F$403,'💳 Transactions'!$C$4:$C$403,A76,'💳 Transactions'!$D$4:$D$403,B76,'💳 Transactions'!$B$4:$B$403,"Expense",'💳 Transactions'!$O$4:$O$403,C_Month,'💳 Transactions'!$P$4:$P$403,C_Year)</f>
        <v/>
      </c>
      <c r="E76" s="16">
        <f>SUMIFS('💳 Transactions'!$F$4:$F$403,'💳 Transactions'!$C$4:$C$403,A76,'💳 Transactions'!$D$4:$D$403,B76,'💳 Transactions'!$B$4:$B$403,"Expense",'💳 Transactions'!$P$4:$P$403,C_Year)</f>
        <v/>
      </c>
      <c r="F76" s="16">
        <f>IF(C76="","",C76-D76)</f>
        <v/>
      </c>
      <c r="G76" s="22">
        <f>IF(C76="","",IF(C76=0,"",D76/C76))</f>
        <v/>
      </c>
      <c r="H76" s="15" t="n"/>
    </row>
    <row r="77">
      <c r="A77" s="15" t="inlineStr">
        <is>
          <t>Miscellaneous</t>
        </is>
      </c>
      <c r="B77" s="15" t="inlineStr">
        <is>
          <t>Gifts</t>
        </is>
      </c>
      <c r="C77" s="19" t="n"/>
      <c r="D77" s="16">
        <f>SUMIFS('💳 Transactions'!$F$4:$F$403,'💳 Transactions'!$C$4:$C$403,A77,'💳 Transactions'!$D$4:$D$403,B77,'💳 Transactions'!$B$4:$B$403,"Expense",'💳 Transactions'!$O$4:$O$403,C_Month,'💳 Transactions'!$P$4:$P$403,C_Year)</f>
        <v/>
      </c>
      <c r="E77" s="16">
        <f>SUMIFS('💳 Transactions'!$F$4:$F$403,'💳 Transactions'!$C$4:$C$403,A77,'💳 Transactions'!$D$4:$D$403,B77,'💳 Transactions'!$B$4:$B$403,"Expense",'💳 Transactions'!$P$4:$P$403,C_Year)</f>
        <v/>
      </c>
      <c r="F77" s="16">
        <f>IF(C77="","",C77-D77)</f>
        <v/>
      </c>
      <c r="G77" s="22">
        <f>IF(C77="","",IF(C77=0,"",D77/C77))</f>
        <v/>
      </c>
      <c r="H77" s="15" t="n"/>
    </row>
    <row r="78">
      <c r="A78" s="15" t="inlineStr">
        <is>
          <t>Miscellaneous</t>
        </is>
      </c>
      <c r="B78" s="15" t="inlineStr">
        <is>
          <t>Other Misc</t>
        </is>
      </c>
      <c r="C78" s="19" t="n"/>
      <c r="D78" s="16">
        <f>SUMIFS('💳 Transactions'!$F$4:$F$403,'💳 Transactions'!$C$4:$C$403,A78,'💳 Transactions'!$D$4:$D$403,B78,'💳 Transactions'!$B$4:$B$403,"Expense",'💳 Transactions'!$O$4:$O$403,C_Month,'💳 Transactions'!$P$4:$P$403,C_Year)</f>
        <v/>
      </c>
      <c r="E78" s="16">
        <f>SUMIFS('💳 Transactions'!$F$4:$F$403,'💳 Transactions'!$C$4:$C$403,A78,'💳 Transactions'!$D$4:$D$403,B78,'💳 Transactions'!$B$4:$B$403,"Expense",'💳 Transactions'!$P$4:$P$403,C_Year)</f>
        <v/>
      </c>
      <c r="F78" s="16">
        <f>IF(C78="","",C78-D78)</f>
        <v/>
      </c>
      <c r="G78" s="22">
        <f>IF(C78="","",IF(C78=0,"",D78/C78))</f>
        <v/>
      </c>
      <c r="H78" s="15" t="n"/>
    </row>
    <row r="79">
      <c r="A79" s="23" t="inlineStr">
        <is>
          <t>Miscellaneous</t>
        </is>
      </c>
      <c r="B79" s="23" t="inlineStr">
        <is>
          <t>Category Subtotal</t>
        </is>
      </c>
      <c r="C79" s="24">
        <f>SUM(C76:C78)</f>
        <v/>
      </c>
      <c r="D79" s="24">
        <f>SUM(D76:D78)</f>
        <v/>
      </c>
      <c r="E79" s="24">
        <f>SUM(E76:E78)</f>
        <v/>
      </c>
      <c r="F79" s="24">
        <f>SUM(F76:F78)</f>
        <v/>
      </c>
      <c r="G79" s="25">
        <f>IF(C79=0,"",D79/C79)</f>
        <v/>
      </c>
      <c r="H79" s="26" t="n"/>
    </row>
    <row r="81">
      <c r="A81" s="27" t="inlineStr">
        <is>
          <t>TOTAL</t>
        </is>
      </c>
      <c r="B81" s="27" t="inlineStr">
        <is>
          <t>Grand Total</t>
        </is>
      </c>
      <c r="C81" s="28">
        <f>SUM(C11,C19,C25,C34,C41,C49,C58,C63,C69,C75,C79)</f>
        <v/>
      </c>
      <c r="D81" s="28">
        <f>SUM(D11,D19,D25,D34,D41,D49,D58,D63,D69,D75,D79)</f>
        <v/>
      </c>
      <c r="E81" s="28">
        <f>SUM(E11,E19,E25,E34,E41,E49,E58,E63,E69,E75,E79)</f>
        <v/>
      </c>
      <c r="F81" s="28">
        <f>SUM(F11,F19,F25,F34,F41,F49,F58,F63,F69,F75,F79)</f>
        <v/>
      </c>
      <c r="G81" s="29">
        <f>IF(C81=0,"",D81/C81)</f>
        <v/>
      </c>
      <c r="H81" s="30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mergeCells count="2">
    <mergeCell ref="A2:H2"/>
    <mergeCell ref="A1:H1"/>
  </mergeCells>
  <conditionalFormatting sqref="D4:D81">
    <cfRule type="cellIs" priority="1" operator="greaterThan" dxfId="2">
      <formula>C4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4" customWidth="1" min="4" max="4"/>
    <col width="16" customWidth="1" min="5" max="5"/>
    <col width="15" customWidth="1" min="6" max="6"/>
    <col width="10" customWidth="1" min="7" max="7"/>
    <col width="8" customWidth="1" min="8" max="8"/>
    <col width="26" customWidth="1" min="9" max="9"/>
    <col width="12" customWidth="1" min="10" max="10"/>
    <col width="7" customWidth="1" min="11" max="11"/>
    <col width="7" customWidth="1" min="12" max="12"/>
    <col width="7" customWidth="1" min="13" max="13"/>
  </cols>
  <sheetData>
    <row r="1" ht="30" customHeight="1">
      <c r="A1" s="1" t="inlineStr">
        <is>
          <t>🧾 Bills &amp; Subscriptions Calendar</t>
        </is>
      </c>
    </row>
    <row r="2" ht="28" customHeight="1">
      <c r="A2" s="2" t="inlineStr">
        <is>
          <t>Track every recurring payment. Annual cost &amp; next month computation are automatic.</t>
        </is>
      </c>
    </row>
    <row r="3">
      <c r="A3" s="14" t="inlineStr">
        <is>
          <t>Bill Name</t>
        </is>
      </c>
      <c r="B3" s="14" t="inlineStr">
        <is>
          <t>Amount</t>
        </is>
      </c>
      <c r="C3" s="14" t="inlineStr">
        <is>
          <t>Due Date</t>
        </is>
      </c>
      <c r="D3" s="14" t="inlineStr">
        <is>
          <t>Frequency</t>
        </is>
      </c>
      <c r="E3" s="14" t="inlineStr">
        <is>
          <t>Category</t>
        </is>
      </c>
      <c r="F3" s="14" t="inlineStr">
        <is>
          <t>Account Charged</t>
        </is>
      </c>
      <c r="G3" s="14" t="inlineStr">
        <is>
          <t>Autopay?</t>
        </is>
      </c>
      <c r="H3" s="14" t="inlineStr">
        <is>
          <t>Paid?</t>
        </is>
      </c>
      <c r="I3" s="14" t="inlineStr">
        <is>
          <t>Notes</t>
        </is>
      </c>
      <c r="J3" s="14" t="inlineStr">
        <is>
          <t>Annual Cost</t>
        </is>
      </c>
      <c r="K3" s="14" t="inlineStr">
        <is>
          <t>Month</t>
        </is>
      </c>
      <c r="L3" s="14" t="inlineStr">
        <is>
          <t>Year</t>
        </is>
      </c>
      <c r="M3" s="14" t="inlineStr">
        <is>
          <t>Day</t>
        </is>
      </c>
    </row>
    <row r="4">
      <c r="A4" s="15" t="inlineStr">
        <is>
          <t>Home Mortgage</t>
        </is>
      </c>
      <c r="B4" s="19" t="n">
        <v>1850</v>
      </c>
      <c r="C4" s="18" t="n">
        <v>46235</v>
      </c>
      <c r="D4" s="15" t="inlineStr">
        <is>
          <t>Monthly</t>
        </is>
      </c>
      <c r="E4" s="15" t="inlineStr">
        <is>
          <t>Housing</t>
        </is>
      </c>
      <c r="F4" s="15" t="inlineStr">
        <is>
          <t>Checking</t>
        </is>
      </c>
      <c r="G4" s="15" t="inlineStr">
        <is>
          <t>Yes</t>
        </is>
      </c>
      <c r="H4" s="15" t="inlineStr">
        <is>
          <t>Yes</t>
        </is>
      </c>
      <c r="I4" s="15" t="inlineStr"/>
      <c r="J4" s="16">
        <f>IF(C4="","",IF(D4="Monthly",B4*12,IF(D4="Weekly",B4*52,IF(D4="Biweekly",B4*26,IF(D4="Twice Monthly",B4*24,IF(D4="Quarterly",B4*4,IF(D4="Annually",B4,IF(D4="One-time",B4,""))))))))</f>
        <v/>
      </c>
      <c r="K4" s="20">
        <f>IF(C4="","",MONTH(C4))</f>
        <v/>
      </c>
      <c r="L4" s="20">
        <f>IF(C4="","",YEAR(C4))</f>
        <v/>
      </c>
      <c r="M4" s="20">
        <f>IF(C4="","",DAY(C4))</f>
        <v/>
      </c>
    </row>
    <row r="5">
      <c r="A5" s="15" t="inlineStr">
        <is>
          <t>Electric</t>
        </is>
      </c>
      <c r="B5" s="19" t="n">
        <v>145</v>
      </c>
      <c r="C5" s="18" t="n">
        <v>46242</v>
      </c>
      <c r="D5" s="15" t="inlineStr">
        <is>
          <t>Monthly</t>
        </is>
      </c>
      <c r="E5" s="15" t="inlineStr">
        <is>
          <t>Housing</t>
        </is>
      </c>
      <c r="F5" s="15" t="inlineStr">
        <is>
          <t>Checking</t>
        </is>
      </c>
      <c r="G5" s="15" t="inlineStr">
        <is>
          <t>Yes</t>
        </is>
      </c>
      <c r="H5" s="15" t="inlineStr">
        <is>
          <t>Yes</t>
        </is>
      </c>
      <c r="I5" s="15" t="inlineStr"/>
      <c r="J5" s="16">
        <f>IF(C5="","",IF(D5="Monthly",B5*12,IF(D5="Weekly",B5*52,IF(D5="Biweekly",B5*26,IF(D5="Twice Monthly",B5*24,IF(D5="Quarterly",B5*4,IF(D5="Annually",B5,IF(D5="One-time",B5,""))))))))</f>
        <v/>
      </c>
      <c r="K5" s="20">
        <f>IF(C5="","",MONTH(C5))</f>
        <v/>
      </c>
      <c r="L5" s="20">
        <f>IF(C5="","",YEAR(C5))</f>
        <v/>
      </c>
      <c r="M5" s="20">
        <f>IF(C5="","",DAY(C5))</f>
        <v/>
      </c>
    </row>
    <row r="6">
      <c r="A6" s="15" t="inlineStr">
        <is>
          <t>Internet</t>
        </is>
      </c>
      <c r="B6" s="19" t="n">
        <v>60</v>
      </c>
      <c r="C6" s="18" t="n">
        <v>46246</v>
      </c>
      <c r="D6" s="15" t="inlineStr">
        <is>
          <t>Monthly</t>
        </is>
      </c>
      <c r="E6" s="15" t="inlineStr">
        <is>
          <t>Housing</t>
        </is>
      </c>
      <c r="F6" s="15" t="inlineStr">
        <is>
          <t>Credit Card</t>
        </is>
      </c>
      <c r="G6" s="15" t="inlineStr">
        <is>
          <t>Yes</t>
        </is>
      </c>
      <c r="H6" s="15" t="inlineStr">
        <is>
          <t>Yes</t>
        </is>
      </c>
      <c r="I6" s="15" t="inlineStr"/>
      <c r="J6" s="16">
        <f>IF(C6="","",IF(D6="Monthly",B6*12,IF(D6="Weekly",B6*52,IF(D6="Biweekly",B6*26,IF(D6="Twice Monthly",B6*24,IF(D6="Quarterly",B6*4,IF(D6="Annually",B6,IF(D6="One-time",B6,""))))))))</f>
        <v/>
      </c>
      <c r="K6" s="20">
        <f>IF(C6="","",MONTH(C6))</f>
        <v/>
      </c>
      <c r="L6" s="20">
        <f>IF(C6="","",YEAR(C6))</f>
        <v/>
      </c>
      <c r="M6" s="20">
        <f>IF(C6="","",DAY(C6))</f>
        <v/>
      </c>
    </row>
    <row r="7">
      <c r="A7" s="15" t="inlineStr">
        <is>
          <t>Water &amp; Sewer</t>
        </is>
      </c>
      <c r="B7" s="19" t="n">
        <v>55</v>
      </c>
      <c r="C7" s="18" t="n">
        <v>46249</v>
      </c>
      <c r="D7" s="15" t="inlineStr">
        <is>
          <t>Monthly</t>
        </is>
      </c>
      <c r="E7" s="15" t="inlineStr">
        <is>
          <t>Housing</t>
        </is>
      </c>
      <c r="F7" s="15" t="inlineStr">
        <is>
          <t>Checking</t>
        </is>
      </c>
      <c r="G7" s="15" t="inlineStr">
        <is>
          <t>Yes</t>
        </is>
      </c>
      <c r="H7" s="15" t="inlineStr">
        <is>
          <t>Yes</t>
        </is>
      </c>
      <c r="I7" s="15" t="inlineStr"/>
      <c r="J7" s="16">
        <f>IF(C7="","",IF(D7="Monthly",B7*12,IF(D7="Weekly",B7*52,IF(D7="Biweekly",B7*26,IF(D7="Twice Monthly",B7*24,IF(D7="Quarterly",B7*4,IF(D7="Annually",B7,IF(D7="One-time",B7,""))))))))</f>
        <v/>
      </c>
      <c r="K7" s="20">
        <f>IF(C7="","",MONTH(C7))</f>
        <v/>
      </c>
      <c r="L7" s="20">
        <f>IF(C7="","",YEAR(C7))</f>
        <v/>
      </c>
      <c r="M7" s="20">
        <f>IF(C7="","",DAY(C7))</f>
        <v/>
      </c>
    </row>
    <row r="8">
      <c r="A8" s="15" t="inlineStr">
        <is>
          <t>Home Insurance</t>
        </is>
      </c>
      <c r="B8" s="19" t="n">
        <v>120</v>
      </c>
      <c r="C8" s="18" t="n">
        <v>46254</v>
      </c>
      <c r="D8" s="15" t="inlineStr">
        <is>
          <t>Monthly</t>
        </is>
      </c>
      <c r="E8" s="15" t="inlineStr">
        <is>
          <t>Housing</t>
        </is>
      </c>
      <c r="F8" s="15" t="inlineStr">
        <is>
          <t>Checking</t>
        </is>
      </c>
      <c r="G8" s="15" t="inlineStr">
        <is>
          <t>Yes</t>
        </is>
      </c>
      <c r="H8" s="15" t="inlineStr">
        <is>
          <t>Yes</t>
        </is>
      </c>
      <c r="I8" s="15" t="inlineStr"/>
      <c r="J8" s="16">
        <f>IF(C8="","",IF(D8="Monthly",B8*12,IF(D8="Weekly",B8*52,IF(D8="Biweekly",B8*26,IF(D8="Twice Monthly",B8*24,IF(D8="Quarterly",B8*4,IF(D8="Annually",B8,IF(D8="One-time",B8,""))))))))</f>
        <v/>
      </c>
      <c r="K8" s="20">
        <f>IF(C8="","",MONTH(C8))</f>
        <v/>
      </c>
      <c r="L8" s="20">
        <f>IF(C8="","",YEAR(C8))</f>
        <v/>
      </c>
      <c r="M8" s="20">
        <f>IF(C8="","",DAY(C8))</f>
        <v/>
      </c>
    </row>
    <row r="9">
      <c r="A9" s="15" t="inlineStr">
        <is>
          <t>Auto Insurance</t>
        </is>
      </c>
      <c r="B9" s="19" t="n">
        <v>130</v>
      </c>
      <c r="C9" s="18" t="n">
        <v>46256</v>
      </c>
      <c r="D9" s="15" t="inlineStr">
        <is>
          <t>Monthly</t>
        </is>
      </c>
      <c r="E9" s="15" t="inlineStr">
        <is>
          <t>Transportation</t>
        </is>
      </c>
      <c r="F9" s="15" t="inlineStr">
        <is>
          <t>Credit Card</t>
        </is>
      </c>
      <c r="G9" s="15" t="inlineStr">
        <is>
          <t>Yes</t>
        </is>
      </c>
      <c r="H9" s="15" t="inlineStr">
        <is>
          <t>Yes</t>
        </is>
      </c>
      <c r="I9" s="15" t="inlineStr"/>
      <c r="J9" s="16">
        <f>IF(C9="","",IF(D9="Monthly",B9*12,IF(D9="Weekly",B9*52,IF(D9="Biweekly",B9*26,IF(D9="Twice Monthly",B9*24,IF(D9="Quarterly",B9*4,IF(D9="Annually",B9,IF(D9="One-time",B9,""))))))))</f>
        <v/>
      </c>
      <c r="K9" s="20">
        <f>IF(C9="","",MONTH(C9))</f>
        <v/>
      </c>
      <c r="L9" s="20">
        <f>IF(C9="","",YEAR(C9))</f>
        <v/>
      </c>
      <c r="M9" s="20">
        <f>IF(C9="","",DAY(C9))</f>
        <v/>
      </c>
    </row>
    <row r="10">
      <c r="A10" s="15" t="inlineStr">
        <is>
          <t>Cell Phone</t>
        </is>
      </c>
      <c r="B10" s="19" t="n">
        <v>90</v>
      </c>
      <c r="C10" s="18" t="n">
        <v>46259</v>
      </c>
      <c r="D10" s="15" t="inlineStr">
        <is>
          <t>Monthly</t>
        </is>
      </c>
      <c r="E10" s="15" t="inlineStr">
        <is>
          <t>Lifestyle</t>
        </is>
      </c>
      <c r="F10" s="15" t="inlineStr">
        <is>
          <t>Credit Card</t>
        </is>
      </c>
      <c r="G10" s="15" t="inlineStr">
        <is>
          <t>Yes</t>
        </is>
      </c>
      <c r="H10" s="15" t="inlineStr">
        <is>
          <t>Yes</t>
        </is>
      </c>
      <c r="I10" s="15" t="inlineStr"/>
      <c r="J10" s="16">
        <f>IF(C10="","",IF(D10="Monthly",B10*12,IF(D10="Weekly",B10*52,IF(D10="Biweekly",B10*26,IF(D10="Twice Monthly",B10*24,IF(D10="Quarterly",B10*4,IF(D10="Annually",B10,IF(D10="One-time",B10,""))))))))</f>
        <v/>
      </c>
      <c r="K10" s="20">
        <f>IF(C10="","",MONTH(C10))</f>
        <v/>
      </c>
      <c r="L10" s="20">
        <f>IF(C10="","",YEAR(C10))</f>
        <v/>
      </c>
      <c r="M10" s="20">
        <f>IF(C10="","",DAY(C10))</f>
        <v/>
      </c>
    </row>
    <row r="11">
      <c r="A11" s="15" t="inlineStr">
        <is>
          <t>Netflix</t>
        </is>
      </c>
      <c r="B11" s="19" t="n">
        <v>15.5</v>
      </c>
      <c r="C11" s="18" t="n">
        <v>46239</v>
      </c>
      <c r="D11" s="15" t="inlineStr">
        <is>
          <t>Monthly</t>
        </is>
      </c>
      <c r="E11" s="15" t="inlineStr">
        <is>
          <t>Lifestyle</t>
        </is>
      </c>
      <c r="F11" s="15" t="inlineStr">
        <is>
          <t>Credit Card</t>
        </is>
      </c>
      <c r="G11" s="15" t="inlineStr">
        <is>
          <t>Yes</t>
        </is>
      </c>
      <c r="H11" s="15" t="inlineStr">
        <is>
          <t>Yes</t>
        </is>
      </c>
      <c r="I11" s="15" t="inlineStr"/>
      <c r="J11" s="16">
        <f>IF(C11="","",IF(D11="Monthly",B11*12,IF(D11="Weekly",B11*52,IF(D11="Biweekly",B11*26,IF(D11="Twice Monthly",B11*24,IF(D11="Quarterly",B11*4,IF(D11="Annually",B11,IF(D11="One-time",B11,""))))))))</f>
        <v/>
      </c>
      <c r="K11" s="20">
        <f>IF(C11="","",MONTH(C11))</f>
        <v/>
      </c>
      <c r="L11" s="20">
        <f>IF(C11="","",YEAR(C11))</f>
        <v/>
      </c>
      <c r="M11" s="20">
        <f>IF(C11="","",DAY(C11))</f>
        <v/>
      </c>
    </row>
    <row r="12">
      <c r="A12" s="15" t="inlineStr">
        <is>
          <t>Spotify</t>
        </is>
      </c>
      <c r="B12" s="19" t="n">
        <v>11</v>
      </c>
      <c r="C12" s="18" t="n">
        <v>46240</v>
      </c>
      <c r="D12" s="15" t="inlineStr">
        <is>
          <t>Monthly</t>
        </is>
      </c>
      <c r="E12" s="15" t="inlineStr">
        <is>
          <t>Lifestyle</t>
        </is>
      </c>
      <c r="F12" s="15" t="inlineStr">
        <is>
          <t>Credit Card</t>
        </is>
      </c>
      <c r="G12" s="15" t="inlineStr">
        <is>
          <t>Yes</t>
        </is>
      </c>
      <c r="H12" s="15" t="inlineStr">
        <is>
          <t>Yes</t>
        </is>
      </c>
      <c r="I12" s="15" t="inlineStr"/>
      <c r="J12" s="16">
        <f>IF(C12="","",IF(D12="Monthly",B12*12,IF(D12="Weekly",B12*52,IF(D12="Biweekly",B12*26,IF(D12="Twice Monthly",B12*24,IF(D12="Quarterly",B12*4,IF(D12="Annually",B12,IF(D12="One-time",B12,""))))))))</f>
        <v/>
      </c>
      <c r="K12" s="20">
        <f>IF(C12="","",MONTH(C12))</f>
        <v/>
      </c>
      <c r="L12" s="20">
        <f>IF(C12="","",YEAR(C12))</f>
        <v/>
      </c>
      <c r="M12" s="20">
        <f>IF(C12="","",DAY(C12))</f>
        <v/>
      </c>
    </row>
    <row r="13">
      <c r="A13" s="15" t="inlineStr">
        <is>
          <t>Amazon Prime</t>
        </is>
      </c>
      <c r="B13" s="19" t="n">
        <v>14.5</v>
      </c>
      <c r="C13" s="18" t="n">
        <v>46241</v>
      </c>
      <c r="D13" s="15" t="inlineStr">
        <is>
          <t>Annually</t>
        </is>
      </c>
      <c r="E13" s="15" t="inlineStr">
        <is>
          <t>Lifestyle</t>
        </is>
      </c>
      <c r="F13" s="15" t="inlineStr">
        <is>
          <t>Credit Card</t>
        </is>
      </c>
      <c r="G13" s="15" t="inlineStr">
        <is>
          <t>Yes</t>
        </is>
      </c>
      <c r="H13" s="15" t="inlineStr">
        <is>
          <t>Yes</t>
        </is>
      </c>
      <c r="I13" s="15" t="inlineStr"/>
      <c r="J13" s="16">
        <f>IF(C13="","",IF(D13="Monthly",B13*12,IF(D13="Weekly",B13*52,IF(D13="Biweekly",B13*26,IF(D13="Twice Monthly",B13*24,IF(D13="Quarterly",B13*4,IF(D13="Annually",B13,IF(D13="One-time",B13,""))))))))</f>
        <v/>
      </c>
      <c r="K13" s="20">
        <f>IF(C13="","",MONTH(C13))</f>
        <v/>
      </c>
      <c r="L13" s="20">
        <f>IF(C13="","",YEAR(C13))</f>
        <v/>
      </c>
      <c r="M13" s="20">
        <f>IF(C13="","",DAY(C13))</f>
        <v/>
      </c>
    </row>
    <row r="14">
      <c r="A14" s="15" t="inlineStr">
        <is>
          <t>Gym Membership</t>
        </is>
      </c>
      <c r="B14" s="19" t="n">
        <v>45</v>
      </c>
      <c r="C14" s="18" t="n">
        <v>46237</v>
      </c>
      <c r="D14" s="15" t="inlineStr">
        <is>
          <t>Monthly</t>
        </is>
      </c>
      <c r="E14" s="15" t="inlineStr">
        <is>
          <t>Lifestyle</t>
        </is>
      </c>
      <c r="F14" s="15" t="inlineStr">
        <is>
          <t>Credit Card</t>
        </is>
      </c>
      <c r="G14" s="15" t="inlineStr">
        <is>
          <t>Yes</t>
        </is>
      </c>
      <c r="H14" s="15" t="inlineStr">
        <is>
          <t>No</t>
        </is>
      </c>
      <c r="I14" s="15" t="inlineStr"/>
      <c r="J14" s="16">
        <f>IF(C14="","",IF(D14="Monthly",B14*12,IF(D14="Weekly",B14*52,IF(D14="Biweekly",B14*26,IF(D14="Twice Monthly",B14*24,IF(D14="Quarterly",B14*4,IF(D14="Annually",B14,IF(D14="One-time",B14,""))))))))</f>
        <v/>
      </c>
      <c r="K14" s="20">
        <f>IF(C14="","",MONTH(C14))</f>
        <v/>
      </c>
      <c r="L14" s="20">
        <f>IF(C14="","",YEAR(C14))</f>
        <v/>
      </c>
      <c r="M14" s="20">
        <f>IF(C14="","",DAY(C14))</f>
        <v/>
      </c>
    </row>
    <row r="15">
      <c r="A15" s="15" t="inlineStr">
        <is>
          <t>Student Loan</t>
        </is>
      </c>
      <c r="B15" s="19" t="n">
        <v>220</v>
      </c>
      <c r="C15" s="18" t="n">
        <v>46252</v>
      </c>
      <c r="D15" s="15" t="inlineStr">
        <is>
          <t>Monthly</t>
        </is>
      </c>
      <c r="E15" s="15" t="inlineStr">
        <is>
          <t>Financial</t>
        </is>
      </c>
      <c r="F15" s="15" t="inlineStr">
        <is>
          <t>Checking</t>
        </is>
      </c>
      <c r="G15" s="15" t="inlineStr">
        <is>
          <t>Yes</t>
        </is>
      </c>
      <c r="H15" s="15" t="inlineStr">
        <is>
          <t>Yes</t>
        </is>
      </c>
      <c r="I15" s="15" t="inlineStr"/>
      <c r="J15" s="16">
        <f>IF(C15="","",IF(D15="Monthly",B15*12,IF(D15="Weekly",B15*52,IF(D15="Biweekly",B15*26,IF(D15="Twice Monthly",B15*24,IF(D15="Quarterly",B15*4,IF(D15="Annually",B15,IF(D15="One-time",B15,""))))))))</f>
        <v/>
      </c>
      <c r="K15" s="20">
        <f>IF(C15="","",MONTH(C15))</f>
        <v/>
      </c>
      <c r="L15" s="20">
        <f>IF(C15="","",YEAR(C15))</f>
        <v/>
      </c>
      <c r="M15" s="20">
        <f>IF(C15="","",DAY(C15))</f>
        <v/>
      </c>
    </row>
    <row r="16">
      <c r="A16" s="15" t="inlineStr">
        <is>
          <t>Property Tax</t>
        </is>
      </c>
      <c r="B16" s="19" t="n">
        <v>250</v>
      </c>
      <c r="C16" s="18" t="n">
        <v>46262</v>
      </c>
      <c r="D16" s="15" t="inlineStr">
        <is>
          <t>Annually</t>
        </is>
      </c>
      <c r="E16" s="15" t="inlineStr">
        <is>
          <t>Housing</t>
        </is>
      </c>
      <c r="F16" s="15" t="inlineStr">
        <is>
          <t>Checking</t>
        </is>
      </c>
      <c r="G16" s="15" t="inlineStr">
        <is>
          <t>No</t>
        </is>
      </c>
      <c r="H16" s="15" t="inlineStr">
        <is>
          <t>No</t>
        </is>
      </c>
      <c r="I16" s="15" t="inlineStr"/>
      <c r="J16" s="16">
        <f>IF(C16="","",IF(D16="Monthly",B16*12,IF(D16="Weekly",B16*52,IF(D16="Biweekly",B16*26,IF(D16="Twice Monthly",B16*24,IF(D16="Quarterly",B16*4,IF(D16="Annually",B16,IF(D16="One-time",B16,""))))))))</f>
        <v/>
      </c>
      <c r="K16" s="20">
        <f>IF(C16="","",MONTH(C16))</f>
        <v/>
      </c>
      <c r="L16" s="20">
        <f>IF(C16="","",YEAR(C16))</f>
        <v/>
      </c>
      <c r="M16" s="20">
        <f>IF(C16="","",DAY(C16))</f>
        <v/>
      </c>
    </row>
    <row r="17">
      <c r="A17" s="15" t="inlineStr">
        <is>
          <t>Life Insurance</t>
        </is>
      </c>
      <c r="B17" s="19" t="n">
        <v>55</v>
      </c>
      <c r="C17" s="18" t="n">
        <v>46244</v>
      </c>
      <c r="D17" s="15" t="inlineStr">
        <is>
          <t>Monthly</t>
        </is>
      </c>
      <c r="E17" s="15" t="inlineStr">
        <is>
          <t>Healthcare</t>
        </is>
      </c>
      <c r="F17" s="15" t="inlineStr">
        <is>
          <t>Checking</t>
        </is>
      </c>
      <c r="G17" s="15" t="inlineStr">
        <is>
          <t>Yes</t>
        </is>
      </c>
      <c r="H17" s="15" t="inlineStr">
        <is>
          <t>Yes</t>
        </is>
      </c>
      <c r="I17" s="15" t="inlineStr"/>
      <c r="J17" s="16">
        <f>IF(C17="","",IF(D17="Monthly",B17*12,IF(D17="Weekly",B17*52,IF(D17="Biweekly",B17*26,IF(D17="Twice Monthly",B17*24,IF(D17="Quarterly",B17*4,IF(D17="Annually",B17,IF(D17="One-time",B17,""))))))))</f>
        <v/>
      </c>
      <c r="K17" s="20">
        <f>IF(C17="","",MONTH(C17))</f>
        <v/>
      </c>
      <c r="L17" s="20">
        <f>IF(C17="","",YEAR(C17))</f>
        <v/>
      </c>
      <c r="M17" s="20">
        <f>IF(C17="","",DAY(C17))</f>
        <v/>
      </c>
    </row>
    <row r="18">
      <c r="A18" s="15" t="n"/>
      <c r="B18" s="19" t="n"/>
      <c r="C18" s="18" t="n"/>
      <c r="D18" s="15" t="n"/>
      <c r="E18" s="15" t="n"/>
      <c r="F18" s="15" t="n"/>
      <c r="G18" s="15" t="n"/>
      <c r="H18" s="15" t="n"/>
      <c r="I18" s="21" t="n"/>
      <c r="J18" s="16">
        <f>IF(C18="","",IF(D18="Monthly",B18*12,IF(D18="Weekly",B18*52,IF(D18="Biweekly",B18*26,IF(D18="Twice Monthly",B18*24,IF(D18="Quarterly",B18*4,IF(D18="Annually",B18,IF(D18="One-time",B18,""))))))))</f>
        <v/>
      </c>
      <c r="K18" s="20">
        <f>IF(C18="","",MONTH(C18))</f>
        <v/>
      </c>
      <c r="L18" s="20">
        <f>IF(C18="","",YEAR(C18))</f>
        <v/>
      </c>
      <c r="M18" s="20">
        <f>IF(C18="","",DAY(C18))</f>
        <v/>
      </c>
    </row>
    <row r="19">
      <c r="A19" s="15" t="n"/>
      <c r="B19" s="19" t="n"/>
      <c r="C19" s="18" t="n"/>
      <c r="D19" s="15" t="n"/>
      <c r="E19" s="15" t="n"/>
      <c r="F19" s="15" t="n"/>
      <c r="G19" s="15" t="n"/>
      <c r="H19" s="15" t="n"/>
      <c r="I19" s="21" t="n"/>
      <c r="J19" s="16">
        <f>IF(C19="","",IF(D19="Monthly",B19*12,IF(D19="Weekly",B19*52,IF(D19="Biweekly",B19*26,IF(D19="Twice Monthly",B19*24,IF(D19="Quarterly",B19*4,IF(D19="Annually",B19,IF(D19="One-time",B19,""))))))))</f>
        <v/>
      </c>
      <c r="K19" s="20">
        <f>IF(C19="","",MONTH(C19))</f>
        <v/>
      </c>
      <c r="L19" s="20">
        <f>IF(C19="","",YEAR(C19))</f>
        <v/>
      </c>
      <c r="M19" s="20">
        <f>IF(C19="","",DAY(C19))</f>
        <v/>
      </c>
    </row>
    <row r="20">
      <c r="A20" s="15" t="n"/>
      <c r="B20" s="19" t="n"/>
      <c r="C20" s="18" t="n"/>
      <c r="D20" s="15" t="n"/>
      <c r="E20" s="15" t="n"/>
      <c r="F20" s="15" t="n"/>
      <c r="G20" s="15" t="n"/>
      <c r="H20" s="15" t="n"/>
      <c r="I20" s="21" t="n"/>
      <c r="J20" s="16">
        <f>IF(C20="","",IF(D20="Monthly",B20*12,IF(D20="Weekly",B20*52,IF(D20="Biweekly",B20*26,IF(D20="Twice Monthly",B20*24,IF(D20="Quarterly",B20*4,IF(D20="Annually",B20,IF(D20="One-time",B20,""))))))))</f>
        <v/>
      </c>
      <c r="K20" s="20">
        <f>IF(C20="","",MONTH(C20))</f>
        <v/>
      </c>
      <c r="L20" s="20">
        <f>IF(C20="","",YEAR(C20))</f>
        <v/>
      </c>
      <c r="M20" s="20">
        <f>IF(C20="","",DAY(C20))</f>
        <v/>
      </c>
    </row>
    <row r="21">
      <c r="A21" s="15" t="n"/>
      <c r="B21" s="19" t="n"/>
      <c r="C21" s="18" t="n"/>
      <c r="D21" s="15" t="n"/>
      <c r="E21" s="15" t="n"/>
      <c r="F21" s="15" t="n"/>
      <c r="G21" s="15" t="n"/>
      <c r="H21" s="15" t="n"/>
      <c r="I21" s="21" t="n"/>
      <c r="J21" s="16">
        <f>IF(C21="","",IF(D21="Monthly",B21*12,IF(D21="Weekly",B21*52,IF(D21="Biweekly",B21*26,IF(D21="Twice Monthly",B21*24,IF(D21="Quarterly",B21*4,IF(D21="Annually",B21,IF(D21="One-time",B21,""))))))))</f>
        <v/>
      </c>
      <c r="K21" s="20">
        <f>IF(C21="","",MONTH(C21))</f>
        <v/>
      </c>
      <c r="L21" s="20">
        <f>IF(C21="","",YEAR(C21))</f>
        <v/>
      </c>
      <c r="M21" s="20">
        <f>IF(C21="","",DAY(C21))</f>
        <v/>
      </c>
    </row>
    <row r="22">
      <c r="A22" s="15" t="n"/>
      <c r="B22" s="19" t="n"/>
      <c r="C22" s="18" t="n"/>
      <c r="D22" s="15" t="n"/>
      <c r="E22" s="15" t="n"/>
      <c r="F22" s="15" t="n"/>
      <c r="G22" s="15" t="n"/>
      <c r="H22" s="15" t="n"/>
      <c r="I22" s="21" t="n"/>
      <c r="J22" s="16">
        <f>IF(C22="","",IF(D22="Monthly",B22*12,IF(D22="Weekly",B22*52,IF(D22="Biweekly",B22*26,IF(D22="Twice Monthly",B22*24,IF(D22="Quarterly",B22*4,IF(D22="Annually",B22,IF(D22="One-time",B22,""))))))))</f>
        <v/>
      </c>
      <c r="K22" s="20">
        <f>IF(C22="","",MONTH(C22))</f>
        <v/>
      </c>
      <c r="L22" s="20">
        <f>IF(C22="","",YEAR(C22))</f>
        <v/>
      </c>
      <c r="M22" s="20">
        <f>IF(C22="","",DAY(C22))</f>
        <v/>
      </c>
    </row>
    <row r="23">
      <c r="A23" s="15" t="n"/>
      <c r="B23" s="19" t="n"/>
      <c r="C23" s="18" t="n"/>
      <c r="D23" s="15" t="n"/>
      <c r="E23" s="15" t="n"/>
      <c r="F23" s="15" t="n"/>
      <c r="G23" s="15" t="n"/>
      <c r="H23" s="15" t="n"/>
      <c r="I23" s="21" t="n"/>
      <c r="J23" s="16">
        <f>IF(C23="","",IF(D23="Monthly",B23*12,IF(D23="Weekly",B23*52,IF(D23="Biweekly",B23*26,IF(D23="Twice Monthly",B23*24,IF(D23="Quarterly",B23*4,IF(D23="Annually",B23,IF(D23="One-time",B23,""))))))))</f>
        <v/>
      </c>
      <c r="K23" s="20">
        <f>IF(C23="","",MONTH(C23))</f>
        <v/>
      </c>
      <c r="L23" s="20">
        <f>IF(C23="","",YEAR(C23))</f>
        <v/>
      </c>
      <c r="M23" s="20">
        <f>IF(C23="","",DAY(C23))</f>
        <v/>
      </c>
    </row>
    <row r="24">
      <c r="A24" s="15" t="n"/>
      <c r="B24" s="19" t="n"/>
      <c r="C24" s="18" t="n"/>
      <c r="D24" s="15" t="n"/>
      <c r="E24" s="15" t="n"/>
      <c r="F24" s="15" t="n"/>
      <c r="G24" s="15" t="n"/>
      <c r="H24" s="15" t="n"/>
      <c r="I24" s="21" t="n"/>
      <c r="J24" s="16">
        <f>IF(C24="","",IF(D24="Monthly",B24*12,IF(D24="Weekly",B24*52,IF(D24="Biweekly",B24*26,IF(D24="Twice Monthly",B24*24,IF(D24="Quarterly",B24*4,IF(D24="Annually",B24,IF(D24="One-time",B24,""))))))))</f>
        <v/>
      </c>
      <c r="K24" s="20">
        <f>IF(C24="","",MONTH(C24))</f>
        <v/>
      </c>
      <c r="L24" s="20">
        <f>IF(C24="","",YEAR(C24))</f>
        <v/>
      </c>
      <c r="M24" s="20">
        <f>IF(C24="","",DAY(C24))</f>
        <v/>
      </c>
    </row>
    <row r="25">
      <c r="A25" s="15" t="n"/>
      <c r="B25" s="19" t="n"/>
      <c r="C25" s="18" t="n"/>
      <c r="D25" s="15" t="n"/>
      <c r="E25" s="15" t="n"/>
      <c r="F25" s="15" t="n"/>
      <c r="G25" s="15" t="n"/>
      <c r="H25" s="15" t="n"/>
      <c r="I25" s="21" t="n"/>
      <c r="J25" s="16">
        <f>IF(C25="","",IF(D25="Monthly",B25*12,IF(D25="Weekly",B25*52,IF(D25="Biweekly",B25*26,IF(D25="Twice Monthly",B25*24,IF(D25="Quarterly",B25*4,IF(D25="Annually",B25,IF(D25="One-time",B25,""))))))))</f>
        <v/>
      </c>
      <c r="K25" s="20">
        <f>IF(C25="","",MONTH(C25))</f>
        <v/>
      </c>
      <c r="L25" s="20">
        <f>IF(C25="","",YEAR(C25))</f>
        <v/>
      </c>
      <c r="M25" s="20">
        <f>IF(C25="","",DAY(C25))</f>
        <v/>
      </c>
    </row>
    <row r="26">
      <c r="A26" s="15" t="n"/>
      <c r="B26" s="19" t="n"/>
      <c r="C26" s="18" t="n"/>
      <c r="D26" s="15" t="n"/>
      <c r="E26" s="15" t="n"/>
      <c r="F26" s="15" t="n"/>
      <c r="G26" s="15" t="n"/>
      <c r="H26" s="15" t="n"/>
      <c r="I26" s="21" t="n"/>
      <c r="J26" s="16">
        <f>IF(C26="","",IF(D26="Monthly",B26*12,IF(D26="Weekly",B26*52,IF(D26="Biweekly",B26*26,IF(D26="Twice Monthly",B26*24,IF(D26="Quarterly",B26*4,IF(D26="Annually",B26,IF(D26="One-time",B26,""))))))))</f>
        <v/>
      </c>
      <c r="K26" s="20">
        <f>IF(C26="","",MONTH(C26))</f>
        <v/>
      </c>
      <c r="L26" s="20">
        <f>IF(C26="","",YEAR(C26))</f>
        <v/>
      </c>
      <c r="M26" s="20">
        <f>IF(C26="","",DAY(C26))</f>
        <v/>
      </c>
    </row>
    <row r="27">
      <c r="A27" s="15" t="n"/>
      <c r="B27" s="19" t="n"/>
      <c r="C27" s="18" t="n"/>
      <c r="D27" s="15" t="n"/>
      <c r="E27" s="15" t="n"/>
      <c r="F27" s="15" t="n"/>
      <c r="G27" s="15" t="n"/>
      <c r="H27" s="15" t="n"/>
      <c r="I27" s="21" t="n"/>
      <c r="J27" s="16">
        <f>IF(C27="","",IF(D27="Monthly",B27*12,IF(D27="Weekly",B27*52,IF(D27="Biweekly",B27*26,IF(D27="Twice Monthly",B27*24,IF(D27="Quarterly",B27*4,IF(D27="Annually",B27,IF(D27="One-time",B27,""))))))))</f>
        <v/>
      </c>
      <c r="K27" s="20">
        <f>IF(C27="","",MONTH(C27))</f>
        <v/>
      </c>
      <c r="L27" s="20">
        <f>IF(C27="","",YEAR(C27))</f>
        <v/>
      </c>
      <c r="M27" s="20">
        <f>IF(C27="","",DAY(C27))</f>
        <v/>
      </c>
    </row>
    <row r="28">
      <c r="A28" s="15" t="n"/>
      <c r="B28" s="19" t="n"/>
      <c r="C28" s="18" t="n"/>
      <c r="D28" s="15" t="n"/>
      <c r="E28" s="15" t="n"/>
      <c r="F28" s="15" t="n"/>
      <c r="G28" s="15" t="n"/>
      <c r="H28" s="15" t="n"/>
      <c r="I28" s="21" t="n"/>
      <c r="J28" s="16">
        <f>IF(C28="","",IF(D28="Monthly",B28*12,IF(D28="Weekly",B28*52,IF(D28="Biweekly",B28*26,IF(D28="Twice Monthly",B28*24,IF(D28="Quarterly",B28*4,IF(D28="Annually",B28,IF(D28="One-time",B28,""))))))))</f>
        <v/>
      </c>
      <c r="K28" s="20">
        <f>IF(C28="","",MONTH(C28))</f>
        <v/>
      </c>
      <c r="L28" s="20">
        <f>IF(C28="","",YEAR(C28))</f>
        <v/>
      </c>
      <c r="M28" s="20">
        <f>IF(C28="","",DAY(C28))</f>
        <v/>
      </c>
    </row>
    <row r="29">
      <c r="A29" s="15" t="n"/>
      <c r="B29" s="19" t="n"/>
      <c r="C29" s="18" t="n"/>
      <c r="D29" s="15" t="n"/>
      <c r="E29" s="15" t="n"/>
      <c r="F29" s="15" t="n"/>
      <c r="G29" s="15" t="n"/>
      <c r="H29" s="15" t="n"/>
      <c r="I29" s="21" t="n"/>
      <c r="J29" s="16">
        <f>IF(C29="","",IF(D29="Monthly",B29*12,IF(D29="Weekly",B29*52,IF(D29="Biweekly",B29*26,IF(D29="Twice Monthly",B29*24,IF(D29="Quarterly",B29*4,IF(D29="Annually",B29,IF(D29="One-time",B29,""))))))))</f>
        <v/>
      </c>
      <c r="K29" s="20">
        <f>IF(C29="","",MONTH(C29))</f>
        <v/>
      </c>
      <c r="L29" s="20">
        <f>IF(C29="","",YEAR(C29))</f>
        <v/>
      </c>
      <c r="M29" s="20">
        <f>IF(C29="","",DAY(C29))</f>
        <v/>
      </c>
    </row>
    <row r="30">
      <c r="A30" s="15" t="n"/>
      <c r="B30" s="19" t="n"/>
      <c r="C30" s="18" t="n"/>
      <c r="D30" s="15" t="n"/>
      <c r="E30" s="15" t="n"/>
      <c r="F30" s="15" t="n"/>
      <c r="G30" s="15" t="n"/>
      <c r="H30" s="15" t="n"/>
      <c r="I30" s="21" t="n"/>
      <c r="J30" s="16">
        <f>IF(C30="","",IF(D30="Monthly",B30*12,IF(D30="Weekly",B30*52,IF(D30="Biweekly",B30*26,IF(D30="Twice Monthly",B30*24,IF(D30="Quarterly",B30*4,IF(D30="Annually",B30,IF(D30="One-time",B30,""))))))))</f>
        <v/>
      </c>
      <c r="K30" s="20">
        <f>IF(C30="","",MONTH(C30))</f>
        <v/>
      </c>
      <c r="L30" s="20">
        <f>IF(C30="","",YEAR(C30))</f>
        <v/>
      </c>
      <c r="M30" s="20">
        <f>IF(C30="","",DAY(C30))</f>
        <v/>
      </c>
    </row>
    <row r="31">
      <c r="A31" s="15" t="n"/>
      <c r="B31" s="19" t="n"/>
      <c r="C31" s="18" t="n"/>
      <c r="D31" s="15" t="n"/>
      <c r="E31" s="15" t="n"/>
      <c r="F31" s="15" t="n"/>
      <c r="G31" s="15" t="n"/>
      <c r="H31" s="15" t="n"/>
      <c r="I31" s="21" t="n"/>
      <c r="J31" s="16">
        <f>IF(C31="","",IF(D31="Monthly",B31*12,IF(D31="Weekly",B31*52,IF(D31="Biweekly",B31*26,IF(D31="Twice Monthly",B31*24,IF(D31="Quarterly",B31*4,IF(D31="Annually",B31,IF(D31="One-time",B31,""))))))))</f>
        <v/>
      </c>
      <c r="K31" s="20">
        <f>IF(C31="","",MONTH(C31))</f>
        <v/>
      </c>
      <c r="L31" s="20">
        <f>IF(C31="","",YEAR(C31))</f>
        <v/>
      </c>
      <c r="M31" s="20">
        <f>IF(C31="","",DAY(C31))</f>
        <v/>
      </c>
    </row>
    <row r="32">
      <c r="A32" s="15" t="n"/>
      <c r="B32" s="19" t="n"/>
      <c r="C32" s="18" t="n"/>
      <c r="D32" s="15" t="n"/>
      <c r="E32" s="15" t="n"/>
      <c r="F32" s="15" t="n"/>
      <c r="G32" s="15" t="n"/>
      <c r="H32" s="15" t="n"/>
      <c r="I32" s="21" t="n"/>
      <c r="J32" s="16">
        <f>IF(C32="","",IF(D32="Monthly",B32*12,IF(D32="Weekly",B32*52,IF(D32="Biweekly",B32*26,IF(D32="Twice Monthly",B32*24,IF(D32="Quarterly",B32*4,IF(D32="Annually",B32,IF(D32="One-time",B32,""))))))))</f>
        <v/>
      </c>
      <c r="K32" s="20">
        <f>IF(C32="","",MONTH(C32))</f>
        <v/>
      </c>
      <c r="L32" s="20">
        <f>IF(C32="","",YEAR(C32))</f>
        <v/>
      </c>
      <c r="M32" s="20">
        <f>IF(C32="","",DAY(C32))</f>
        <v/>
      </c>
    </row>
    <row r="33">
      <c r="A33" s="15" t="n"/>
      <c r="B33" s="19" t="n"/>
      <c r="C33" s="18" t="n"/>
      <c r="D33" s="15" t="n"/>
      <c r="E33" s="15" t="n"/>
      <c r="F33" s="15" t="n"/>
      <c r="G33" s="15" t="n"/>
      <c r="H33" s="15" t="n"/>
      <c r="I33" s="21" t="n"/>
      <c r="J33" s="16">
        <f>IF(C33="","",IF(D33="Monthly",B33*12,IF(D33="Weekly",B33*52,IF(D33="Biweekly",B33*26,IF(D33="Twice Monthly",B33*24,IF(D33="Quarterly",B33*4,IF(D33="Annually",B33,IF(D33="One-time",B33,""))))))))</f>
        <v/>
      </c>
      <c r="K33" s="20">
        <f>IF(C33="","",MONTH(C33))</f>
        <v/>
      </c>
      <c r="L33" s="20">
        <f>IF(C33="","",YEAR(C33))</f>
        <v/>
      </c>
      <c r="M33" s="20">
        <f>IF(C33="","",DAY(C33))</f>
        <v/>
      </c>
    </row>
    <row r="34">
      <c r="A34" s="15" t="n"/>
      <c r="B34" s="19" t="n"/>
      <c r="C34" s="18" t="n"/>
      <c r="D34" s="15" t="n"/>
      <c r="E34" s="15" t="n"/>
      <c r="F34" s="15" t="n"/>
      <c r="G34" s="15" t="n"/>
      <c r="H34" s="15" t="n"/>
      <c r="I34" s="21" t="n"/>
      <c r="J34" s="16">
        <f>IF(C34="","",IF(D34="Monthly",B34*12,IF(D34="Weekly",B34*52,IF(D34="Biweekly",B34*26,IF(D34="Twice Monthly",B34*24,IF(D34="Quarterly",B34*4,IF(D34="Annually",B34,IF(D34="One-time",B34,""))))))))</f>
        <v/>
      </c>
      <c r="K34" s="20">
        <f>IF(C34="","",MONTH(C34))</f>
        <v/>
      </c>
      <c r="L34" s="20">
        <f>IF(C34="","",YEAR(C34))</f>
        <v/>
      </c>
      <c r="M34" s="20">
        <f>IF(C34="","",DAY(C34))</f>
        <v/>
      </c>
    </row>
    <row r="35">
      <c r="A35" s="15" t="n"/>
      <c r="B35" s="19" t="n"/>
      <c r="C35" s="18" t="n"/>
      <c r="D35" s="15" t="n"/>
      <c r="E35" s="15" t="n"/>
      <c r="F35" s="15" t="n"/>
      <c r="G35" s="15" t="n"/>
      <c r="H35" s="15" t="n"/>
      <c r="I35" s="21" t="n"/>
      <c r="J35" s="16">
        <f>IF(C35="","",IF(D35="Monthly",B35*12,IF(D35="Weekly",B35*52,IF(D35="Biweekly",B35*26,IF(D35="Twice Monthly",B35*24,IF(D35="Quarterly",B35*4,IF(D35="Annually",B35,IF(D35="One-time",B35,""))))))))</f>
        <v/>
      </c>
      <c r="K35" s="20">
        <f>IF(C35="","",MONTH(C35))</f>
        <v/>
      </c>
      <c r="L35" s="20">
        <f>IF(C35="","",YEAR(C35))</f>
        <v/>
      </c>
      <c r="M35" s="20">
        <f>IF(C35="","",DAY(C35))</f>
        <v/>
      </c>
    </row>
    <row r="36">
      <c r="A36" s="15" t="n"/>
      <c r="B36" s="19" t="n"/>
      <c r="C36" s="18" t="n"/>
      <c r="D36" s="15" t="n"/>
      <c r="E36" s="15" t="n"/>
      <c r="F36" s="15" t="n"/>
      <c r="G36" s="15" t="n"/>
      <c r="H36" s="15" t="n"/>
      <c r="I36" s="21" t="n"/>
      <c r="J36" s="16">
        <f>IF(C36="","",IF(D36="Monthly",B36*12,IF(D36="Weekly",B36*52,IF(D36="Biweekly",B36*26,IF(D36="Twice Monthly",B36*24,IF(D36="Quarterly",B36*4,IF(D36="Annually",B36,IF(D36="One-time",B36,""))))))))</f>
        <v/>
      </c>
      <c r="K36" s="20">
        <f>IF(C36="","",MONTH(C36))</f>
        <v/>
      </c>
      <c r="L36" s="20">
        <f>IF(C36="","",YEAR(C36))</f>
        <v/>
      </c>
      <c r="M36" s="20">
        <f>IF(C36="","",DAY(C36))</f>
        <v/>
      </c>
    </row>
    <row r="37">
      <c r="A37" s="15" t="n"/>
      <c r="B37" s="19" t="n"/>
      <c r="C37" s="18" t="n"/>
      <c r="D37" s="15" t="n"/>
      <c r="E37" s="15" t="n"/>
      <c r="F37" s="15" t="n"/>
      <c r="G37" s="15" t="n"/>
      <c r="H37" s="15" t="n"/>
      <c r="I37" s="21" t="n"/>
      <c r="J37" s="16">
        <f>IF(C37="","",IF(D37="Monthly",B37*12,IF(D37="Weekly",B37*52,IF(D37="Biweekly",B37*26,IF(D37="Twice Monthly",B37*24,IF(D37="Quarterly",B37*4,IF(D37="Annually",B37,IF(D37="One-time",B37,""))))))))</f>
        <v/>
      </c>
      <c r="K37" s="20">
        <f>IF(C37="","",MONTH(C37))</f>
        <v/>
      </c>
      <c r="L37" s="20">
        <f>IF(C37="","",YEAR(C37))</f>
        <v/>
      </c>
      <c r="M37" s="20">
        <f>IF(C37="","",DAY(C37))</f>
        <v/>
      </c>
    </row>
    <row r="38">
      <c r="A38" s="15" t="n"/>
      <c r="B38" s="19" t="n"/>
      <c r="C38" s="18" t="n"/>
      <c r="D38" s="15" t="n"/>
      <c r="E38" s="15" t="n"/>
      <c r="F38" s="15" t="n"/>
      <c r="G38" s="15" t="n"/>
      <c r="H38" s="15" t="n"/>
      <c r="I38" s="21" t="n"/>
      <c r="J38" s="16">
        <f>IF(C38="","",IF(D38="Monthly",B38*12,IF(D38="Weekly",B38*52,IF(D38="Biweekly",B38*26,IF(D38="Twice Monthly",B38*24,IF(D38="Quarterly",B38*4,IF(D38="Annually",B38,IF(D38="One-time",B38,""))))))))</f>
        <v/>
      </c>
      <c r="K38" s="20">
        <f>IF(C38="","",MONTH(C38))</f>
        <v/>
      </c>
      <c r="L38" s="20">
        <f>IF(C38="","",YEAR(C38))</f>
        <v/>
      </c>
      <c r="M38" s="20">
        <f>IF(C38="","",DAY(C38))</f>
        <v/>
      </c>
    </row>
    <row r="39">
      <c r="A39" s="15" t="n"/>
      <c r="B39" s="19" t="n"/>
      <c r="C39" s="18" t="n"/>
      <c r="D39" s="15" t="n"/>
      <c r="E39" s="15" t="n"/>
      <c r="F39" s="15" t="n"/>
      <c r="G39" s="15" t="n"/>
      <c r="H39" s="15" t="n"/>
      <c r="I39" s="21" t="n"/>
      <c r="J39" s="16">
        <f>IF(C39="","",IF(D39="Monthly",B39*12,IF(D39="Weekly",B39*52,IF(D39="Biweekly",B39*26,IF(D39="Twice Monthly",B39*24,IF(D39="Quarterly",B39*4,IF(D39="Annually",B39,IF(D39="One-time",B39,""))))))))</f>
        <v/>
      </c>
      <c r="K39" s="20">
        <f>IF(C39="","",MONTH(C39))</f>
        <v/>
      </c>
      <c r="L39" s="20">
        <f>IF(C39="","",YEAR(C39))</f>
        <v/>
      </c>
      <c r="M39" s="20">
        <f>IF(C39="","",DAY(C39))</f>
        <v/>
      </c>
    </row>
    <row r="40">
      <c r="A40" s="15" t="n"/>
      <c r="B40" s="19" t="n"/>
      <c r="C40" s="18" t="n"/>
      <c r="D40" s="15" t="n"/>
      <c r="E40" s="15" t="n"/>
      <c r="F40" s="15" t="n"/>
      <c r="G40" s="15" t="n"/>
      <c r="H40" s="15" t="n"/>
      <c r="I40" s="21" t="n"/>
      <c r="J40" s="16">
        <f>IF(C40="","",IF(D40="Monthly",B40*12,IF(D40="Weekly",B40*52,IF(D40="Biweekly",B40*26,IF(D40="Twice Monthly",B40*24,IF(D40="Quarterly",B40*4,IF(D40="Annually",B40,IF(D40="One-time",B40,""))))))))</f>
        <v/>
      </c>
      <c r="K40" s="20">
        <f>IF(C40="","",MONTH(C40))</f>
        <v/>
      </c>
      <c r="L40" s="20">
        <f>IF(C40="","",YEAR(C40))</f>
        <v/>
      </c>
      <c r="M40" s="20">
        <f>IF(C40="","",DAY(C40))</f>
        <v/>
      </c>
    </row>
    <row r="41">
      <c r="A41" s="15" t="n"/>
      <c r="B41" s="19" t="n"/>
      <c r="C41" s="18" t="n"/>
      <c r="D41" s="15" t="n"/>
      <c r="E41" s="15" t="n"/>
      <c r="F41" s="15" t="n"/>
      <c r="G41" s="15" t="n"/>
      <c r="H41" s="15" t="n"/>
      <c r="I41" s="21" t="n"/>
      <c r="J41" s="16">
        <f>IF(C41="","",IF(D41="Monthly",B41*12,IF(D41="Weekly",B41*52,IF(D41="Biweekly",B41*26,IF(D41="Twice Monthly",B41*24,IF(D41="Quarterly",B41*4,IF(D41="Annually",B41,IF(D41="One-time",B41,""))))))))</f>
        <v/>
      </c>
      <c r="K41" s="20">
        <f>IF(C41="","",MONTH(C41))</f>
        <v/>
      </c>
      <c r="L41" s="20">
        <f>IF(C41="","",YEAR(C41))</f>
        <v/>
      </c>
      <c r="M41" s="20">
        <f>IF(C41="","",DAY(C41))</f>
        <v/>
      </c>
    </row>
    <row r="42">
      <c r="A42" s="15" t="n"/>
      <c r="B42" s="19" t="n"/>
      <c r="C42" s="18" t="n"/>
      <c r="D42" s="15" t="n"/>
      <c r="E42" s="15" t="n"/>
      <c r="F42" s="15" t="n"/>
      <c r="G42" s="15" t="n"/>
      <c r="H42" s="15" t="n"/>
      <c r="I42" s="21" t="n"/>
      <c r="J42" s="16">
        <f>IF(C42="","",IF(D42="Monthly",B42*12,IF(D42="Weekly",B42*52,IF(D42="Biweekly",B42*26,IF(D42="Twice Monthly",B42*24,IF(D42="Quarterly",B42*4,IF(D42="Annually",B42,IF(D42="One-time",B42,""))))))))</f>
        <v/>
      </c>
      <c r="K42" s="20">
        <f>IF(C42="","",MONTH(C42))</f>
        <v/>
      </c>
      <c r="L42" s="20">
        <f>IF(C42="","",YEAR(C42))</f>
        <v/>
      </c>
      <c r="M42" s="20">
        <f>IF(C42="","",DAY(C42))</f>
        <v/>
      </c>
    </row>
    <row r="43">
      <c r="A43" s="15" t="n"/>
      <c r="B43" s="19" t="n"/>
      <c r="C43" s="18" t="n"/>
      <c r="D43" s="15" t="n"/>
      <c r="E43" s="15" t="n"/>
      <c r="F43" s="15" t="n"/>
      <c r="G43" s="15" t="n"/>
      <c r="H43" s="15" t="n"/>
      <c r="I43" s="21" t="n"/>
      <c r="J43" s="16">
        <f>IF(C43="","",IF(D43="Monthly",B43*12,IF(D43="Weekly",B43*52,IF(D43="Biweekly",B43*26,IF(D43="Twice Monthly",B43*24,IF(D43="Quarterly",B43*4,IF(D43="Annually",B43,IF(D43="One-time",B43,""))))))))</f>
        <v/>
      </c>
      <c r="K43" s="20">
        <f>IF(C43="","",MONTH(C43))</f>
        <v/>
      </c>
      <c r="L43" s="20">
        <f>IF(C43="","",YEAR(C43))</f>
        <v/>
      </c>
      <c r="M43" s="20">
        <f>IF(C43="","",DAY(C43))</f>
        <v/>
      </c>
    </row>
    <row r="44">
      <c r="A44" s="15" t="n"/>
      <c r="B44" s="19" t="n"/>
      <c r="C44" s="18" t="n"/>
      <c r="D44" s="15" t="n"/>
      <c r="E44" s="15" t="n"/>
      <c r="F44" s="15" t="n"/>
      <c r="G44" s="15" t="n"/>
      <c r="H44" s="15" t="n"/>
      <c r="I44" s="21" t="n"/>
      <c r="J44" s="16">
        <f>IF(C44="","",IF(D44="Monthly",B44*12,IF(D44="Weekly",B44*52,IF(D44="Biweekly",B44*26,IF(D44="Twice Monthly",B44*24,IF(D44="Quarterly",B44*4,IF(D44="Annually",B44,IF(D44="One-time",B44,""))))))))</f>
        <v/>
      </c>
      <c r="K44" s="20">
        <f>IF(C44="","",MONTH(C44))</f>
        <v/>
      </c>
      <c r="L44" s="20">
        <f>IF(C44="","",YEAR(C44))</f>
        <v/>
      </c>
      <c r="M44" s="20">
        <f>IF(C44="","",DAY(C44))</f>
        <v/>
      </c>
    </row>
    <row r="45">
      <c r="A45" s="15" t="n"/>
      <c r="B45" s="19" t="n"/>
      <c r="C45" s="18" t="n"/>
      <c r="D45" s="15" t="n"/>
      <c r="E45" s="15" t="n"/>
      <c r="F45" s="15" t="n"/>
      <c r="G45" s="15" t="n"/>
      <c r="H45" s="15" t="n"/>
      <c r="I45" s="21" t="n"/>
      <c r="J45" s="16">
        <f>IF(C45="","",IF(D45="Monthly",B45*12,IF(D45="Weekly",B45*52,IF(D45="Biweekly",B45*26,IF(D45="Twice Monthly",B45*24,IF(D45="Quarterly",B45*4,IF(D45="Annually",B45,IF(D45="One-time",B45,""))))))))</f>
        <v/>
      </c>
      <c r="K45" s="20">
        <f>IF(C45="","",MONTH(C45))</f>
        <v/>
      </c>
      <c r="L45" s="20">
        <f>IF(C45="","",YEAR(C45))</f>
        <v/>
      </c>
      <c r="M45" s="20">
        <f>IF(C45="","",DAY(C45))</f>
        <v/>
      </c>
    </row>
    <row r="46">
      <c r="A46" s="15" t="n"/>
      <c r="B46" s="19" t="n"/>
      <c r="C46" s="18" t="n"/>
      <c r="D46" s="15" t="n"/>
      <c r="E46" s="15" t="n"/>
      <c r="F46" s="15" t="n"/>
      <c r="G46" s="15" t="n"/>
      <c r="H46" s="15" t="n"/>
      <c r="I46" s="21" t="n"/>
      <c r="J46" s="16">
        <f>IF(C46="","",IF(D46="Monthly",B46*12,IF(D46="Weekly",B46*52,IF(D46="Biweekly",B46*26,IF(D46="Twice Monthly",B46*24,IF(D46="Quarterly",B46*4,IF(D46="Annually",B46,IF(D46="One-time",B46,""))))))))</f>
        <v/>
      </c>
      <c r="K46" s="20">
        <f>IF(C46="","",MONTH(C46))</f>
        <v/>
      </c>
      <c r="L46" s="20">
        <f>IF(C46="","",YEAR(C46))</f>
        <v/>
      </c>
      <c r="M46" s="20">
        <f>IF(C46="","",DAY(C46))</f>
        <v/>
      </c>
    </row>
    <row r="47">
      <c r="A47" s="15" t="n"/>
      <c r="B47" s="19" t="n"/>
      <c r="C47" s="18" t="n"/>
      <c r="D47" s="15" t="n"/>
      <c r="E47" s="15" t="n"/>
      <c r="F47" s="15" t="n"/>
      <c r="G47" s="15" t="n"/>
      <c r="H47" s="15" t="n"/>
      <c r="I47" s="21" t="n"/>
      <c r="J47" s="16">
        <f>IF(C47="","",IF(D47="Monthly",B47*12,IF(D47="Weekly",B47*52,IF(D47="Biweekly",B47*26,IF(D47="Twice Monthly",B47*24,IF(D47="Quarterly",B47*4,IF(D47="Annually",B47,IF(D47="One-time",B47,""))))))))</f>
        <v/>
      </c>
      <c r="K47" s="20">
        <f>IF(C47="","",MONTH(C47))</f>
        <v/>
      </c>
      <c r="L47" s="20">
        <f>IF(C47="","",YEAR(C47))</f>
        <v/>
      </c>
      <c r="M47" s="20">
        <f>IF(C47="","",DAY(C47))</f>
        <v/>
      </c>
    </row>
    <row r="48">
      <c r="A48" s="15" t="n"/>
      <c r="B48" s="19" t="n"/>
      <c r="C48" s="18" t="n"/>
      <c r="D48" s="15" t="n"/>
      <c r="E48" s="15" t="n"/>
      <c r="F48" s="15" t="n"/>
      <c r="G48" s="15" t="n"/>
      <c r="H48" s="15" t="n"/>
      <c r="I48" s="21" t="n"/>
      <c r="J48" s="16">
        <f>IF(C48="","",IF(D48="Monthly",B48*12,IF(D48="Weekly",B48*52,IF(D48="Biweekly",B48*26,IF(D48="Twice Monthly",B48*24,IF(D48="Quarterly",B48*4,IF(D48="Annually",B48,IF(D48="One-time",B48,""))))))))</f>
        <v/>
      </c>
      <c r="K48" s="20">
        <f>IF(C48="","",MONTH(C48))</f>
        <v/>
      </c>
      <c r="L48" s="20">
        <f>IF(C48="","",YEAR(C48))</f>
        <v/>
      </c>
      <c r="M48" s="20">
        <f>IF(C48="","",DAY(C48))</f>
        <v/>
      </c>
    </row>
    <row r="49">
      <c r="A49" s="15" t="n"/>
      <c r="B49" s="19" t="n"/>
      <c r="C49" s="18" t="n"/>
      <c r="D49" s="15" t="n"/>
      <c r="E49" s="15" t="n"/>
      <c r="F49" s="15" t="n"/>
      <c r="G49" s="15" t="n"/>
      <c r="H49" s="15" t="n"/>
      <c r="I49" s="21" t="n"/>
      <c r="J49" s="16">
        <f>IF(C49="","",IF(D49="Monthly",B49*12,IF(D49="Weekly",B49*52,IF(D49="Biweekly",B49*26,IF(D49="Twice Monthly",B49*24,IF(D49="Quarterly",B49*4,IF(D49="Annually",B49,IF(D49="One-time",B49,""))))))))</f>
        <v/>
      </c>
      <c r="K49" s="20">
        <f>IF(C49="","",MONTH(C49))</f>
        <v/>
      </c>
      <c r="L49" s="20">
        <f>IF(C49="","",YEAR(C49))</f>
        <v/>
      </c>
      <c r="M49" s="20">
        <f>IF(C49="","",DAY(C49))</f>
        <v/>
      </c>
    </row>
    <row r="50">
      <c r="A50" s="15" t="n"/>
      <c r="B50" s="19" t="n"/>
      <c r="C50" s="18" t="n"/>
      <c r="D50" s="15" t="n"/>
      <c r="E50" s="15" t="n"/>
      <c r="F50" s="15" t="n"/>
      <c r="G50" s="15" t="n"/>
      <c r="H50" s="15" t="n"/>
      <c r="I50" s="21" t="n"/>
      <c r="J50" s="16">
        <f>IF(C50="","",IF(D50="Monthly",B50*12,IF(D50="Weekly",B50*52,IF(D50="Biweekly",B50*26,IF(D50="Twice Monthly",B50*24,IF(D50="Quarterly",B50*4,IF(D50="Annually",B50,IF(D50="One-time",B50,""))))))))</f>
        <v/>
      </c>
      <c r="K50" s="20">
        <f>IF(C50="","",MONTH(C50))</f>
        <v/>
      </c>
      <c r="L50" s="20">
        <f>IF(C50="","",YEAR(C50))</f>
        <v/>
      </c>
      <c r="M50" s="20">
        <f>IF(C50="","",DAY(C50))</f>
        <v/>
      </c>
    </row>
    <row r="51">
      <c r="A51" s="15" t="n"/>
      <c r="B51" s="19" t="n"/>
      <c r="C51" s="18" t="n"/>
      <c r="D51" s="15" t="n"/>
      <c r="E51" s="15" t="n"/>
      <c r="F51" s="15" t="n"/>
      <c r="G51" s="15" t="n"/>
      <c r="H51" s="15" t="n"/>
      <c r="I51" s="21" t="n"/>
      <c r="J51" s="16">
        <f>IF(C51="","",IF(D51="Monthly",B51*12,IF(D51="Weekly",B51*52,IF(D51="Biweekly",B51*26,IF(D51="Twice Monthly",B51*24,IF(D51="Quarterly",B51*4,IF(D51="Annually",B51,IF(D51="One-time",B51,""))))))))</f>
        <v/>
      </c>
      <c r="K51" s="20">
        <f>IF(C51="","",MONTH(C51))</f>
        <v/>
      </c>
      <c r="L51" s="20">
        <f>IF(C51="","",YEAR(C51))</f>
        <v/>
      </c>
      <c r="M51" s="20">
        <f>IF(C51="","",DAY(C51))</f>
        <v/>
      </c>
    </row>
    <row r="52">
      <c r="A52" s="15" t="n"/>
      <c r="B52" s="19" t="n"/>
      <c r="C52" s="18" t="n"/>
      <c r="D52" s="15" t="n"/>
      <c r="E52" s="15" t="n"/>
      <c r="F52" s="15" t="n"/>
      <c r="G52" s="15" t="n"/>
      <c r="H52" s="15" t="n"/>
      <c r="I52" s="21" t="n"/>
      <c r="J52" s="16">
        <f>IF(C52="","",IF(D52="Monthly",B52*12,IF(D52="Weekly",B52*52,IF(D52="Biweekly",B52*26,IF(D52="Twice Monthly",B52*24,IF(D52="Quarterly",B52*4,IF(D52="Annually",B52,IF(D52="One-time",B52,""))))))))</f>
        <v/>
      </c>
      <c r="K52" s="20">
        <f>IF(C52="","",MONTH(C52))</f>
        <v/>
      </c>
      <c r="L52" s="20">
        <f>IF(C52="","",YEAR(C52))</f>
        <v/>
      </c>
      <c r="M52" s="20">
        <f>IF(C52="","",DAY(C52))</f>
        <v/>
      </c>
    </row>
    <row r="53">
      <c r="A53" s="15" t="n"/>
      <c r="B53" s="19" t="n"/>
      <c r="C53" s="18" t="n"/>
      <c r="D53" s="15" t="n"/>
      <c r="E53" s="15" t="n"/>
      <c r="F53" s="15" t="n"/>
      <c r="G53" s="15" t="n"/>
      <c r="H53" s="15" t="n"/>
      <c r="I53" s="21" t="n"/>
      <c r="J53" s="16">
        <f>IF(C53="","",IF(D53="Monthly",B53*12,IF(D53="Weekly",B53*52,IF(D53="Biweekly",B53*26,IF(D53="Twice Monthly",B53*24,IF(D53="Quarterly",B53*4,IF(D53="Annually",B53,IF(D53="One-time",B53,""))))))))</f>
        <v/>
      </c>
      <c r="K53" s="20">
        <f>IF(C53="","",MONTH(C53))</f>
        <v/>
      </c>
      <c r="L53" s="20">
        <f>IF(C53="","",YEAR(C53))</f>
        <v/>
      </c>
      <c r="M53" s="20">
        <f>IF(C53="","",DAY(C53))</f>
        <v/>
      </c>
    </row>
    <row r="54">
      <c r="A54" s="15" t="n"/>
      <c r="B54" s="19" t="n"/>
      <c r="C54" s="18" t="n"/>
      <c r="D54" s="15" t="n"/>
      <c r="E54" s="15" t="n"/>
      <c r="F54" s="15" t="n"/>
      <c r="G54" s="15" t="n"/>
      <c r="H54" s="15" t="n"/>
      <c r="I54" s="21" t="n"/>
      <c r="J54" s="16">
        <f>IF(C54="","",IF(D54="Monthly",B54*12,IF(D54="Weekly",B54*52,IF(D54="Biweekly",B54*26,IF(D54="Twice Monthly",B54*24,IF(D54="Quarterly",B54*4,IF(D54="Annually",B54,IF(D54="One-time",B54,""))))))))</f>
        <v/>
      </c>
      <c r="K54" s="20">
        <f>IF(C54="","",MONTH(C54))</f>
        <v/>
      </c>
      <c r="L54" s="20">
        <f>IF(C54="","",YEAR(C54))</f>
        <v/>
      </c>
      <c r="M54" s="20">
        <f>IF(C54="","",DAY(C54))</f>
        <v/>
      </c>
    </row>
    <row r="55">
      <c r="A55" s="15" t="n"/>
      <c r="B55" s="19" t="n"/>
      <c r="C55" s="18" t="n"/>
      <c r="D55" s="15" t="n"/>
      <c r="E55" s="15" t="n"/>
      <c r="F55" s="15" t="n"/>
      <c r="G55" s="15" t="n"/>
      <c r="H55" s="15" t="n"/>
      <c r="I55" s="21" t="n"/>
      <c r="J55" s="16">
        <f>IF(C55="","",IF(D55="Monthly",B55*12,IF(D55="Weekly",B55*52,IF(D55="Biweekly",B55*26,IF(D55="Twice Monthly",B55*24,IF(D55="Quarterly",B55*4,IF(D55="Annually",B55,IF(D55="One-time",B55,""))))))))</f>
        <v/>
      </c>
      <c r="K55" s="20">
        <f>IF(C55="","",MONTH(C55))</f>
        <v/>
      </c>
      <c r="L55" s="20">
        <f>IF(C55="","",YEAR(C55))</f>
        <v/>
      </c>
      <c r="M55" s="20">
        <f>IF(C55="","",DAY(C55))</f>
        <v/>
      </c>
    </row>
    <row r="56">
      <c r="A56" s="15" t="n"/>
      <c r="B56" s="19" t="n"/>
      <c r="C56" s="18" t="n"/>
      <c r="D56" s="15" t="n"/>
      <c r="E56" s="15" t="n"/>
      <c r="F56" s="15" t="n"/>
      <c r="G56" s="15" t="n"/>
      <c r="H56" s="15" t="n"/>
      <c r="I56" s="21" t="n"/>
      <c r="J56" s="16">
        <f>IF(C56="","",IF(D56="Monthly",B56*12,IF(D56="Weekly",B56*52,IF(D56="Biweekly",B56*26,IF(D56="Twice Monthly",B56*24,IF(D56="Quarterly",B56*4,IF(D56="Annually",B56,IF(D56="One-time",B56,""))))))))</f>
        <v/>
      </c>
      <c r="K56" s="20">
        <f>IF(C56="","",MONTH(C56))</f>
        <v/>
      </c>
      <c r="L56" s="20">
        <f>IF(C56="","",YEAR(C56))</f>
        <v/>
      </c>
      <c r="M56" s="20">
        <f>IF(C56="","",DAY(C56))</f>
        <v/>
      </c>
    </row>
    <row r="57">
      <c r="A57" s="15" t="n"/>
      <c r="B57" s="19" t="n"/>
      <c r="C57" s="18" t="n"/>
      <c r="D57" s="15" t="n"/>
      <c r="E57" s="15" t="n"/>
      <c r="F57" s="15" t="n"/>
      <c r="G57" s="15" t="n"/>
      <c r="H57" s="15" t="n"/>
      <c r="I57" s="21" t="n"/>
      <c r="J57" s="16">
        <f>IF(C57="","",IF(D57="Monthly",B57*12,IF(D57="Weekly",B57*52,IF(D57="Biweekly",B57*26,IF(D57="Twice Monthly",B57*24,IF(D57="Quarterly",B57*4,IF(D57="Annually",B57,IF(D57="One-time",B57,""))))))))</f>
        <v/>
      </c>
      <c r="K57" s="20">
        <f>IF(C57="","",MONTH(C57))</f>
        <v/>
      </c>
      <c r="L57" s="20">
        <f>IF(C57="","",YEAR(C57))</f>
        <v/>
      </c>
      <c r="M57" s="20">
        <f>IF(C57="","",DAY(C57))</f>
        <v/>
      </c>
    </row>
    <row r="58">
      <c r="A58" s="15" t="n"/>
      <c r="B58" s="19" t="n"/>
      <c r="C58" s="18" t="n"/>
      <c r="D58" s="15" t="n"/>
      <c r="E58" s="15" t="n"/>
      <c r="F58" s="15" t="n"/>
      <c r="G58" s="15" t="n"/>
      <c r="H58" s="15" t="n"/>
      <c r="I58" s="21" t="n"/>
      <c r="J58" s="16">
        <f>IF(C58="","",IF(D58="Monthly",B58*12,IF(D58="Weekly",B58*52,IF(D58="Biweekly",B58*26,IF(D58="Twice Monthly",B58*24,IF(D58="Quarterly",B58*4,IF(D58="Annually",B58,IF(D58="One-time",B58,""))))))))</f>
        <v/>
      </c>
      <c r="K58" s="20">
        <f>IF(C58="","",MONTH(C58))</f>
        <v/>
      </c>
      <c r="L58" s="20">
        <f>IF(C58="","",YEAR(C58))</f>
        <v/>
      </c>
      <c r="M58" s="20">
        <f>IF(C58="","",DAY(C58))</f>
        <v/>
      </c>
    </row>
    <row r="59">
      <c r="A59" s="15" t="n"/>
      <c r="B59" s="19" t="n"/>
      <c r="C59" s="18" t="n"/>
      <c r="D59" s="15" t="n"/>
      <c r="E59" s="15" t="n"/>
      <c r="F59" s="15" t="n"/>
      <c r="G59" s="15" t="n"/>
      <c r="H59" s="15" t="n"/>
      <c r="I59" s="21" t="n"/>
      <c r="J59" s="16">
        <f>IF(C59="","",IF(D59="Monthly",B59*12,IF(D59="Weekly",B59*52,IF(D59="Biweekly",B59*26,IF(D59="Twice Monthly",B59*24,IF(D59="Quarterly",B59*4,IF(D59="Annually",B59,IF(D59="One-time",B59,""))))))))</f>
        <v/>
      </c>
      <c r="K59" s="20">
        <f>IF(C59="","",MONTH(C59))</f>
        <v/>
      </c>
      <c r="L59" s="20">
        <f>IF(C59="","",YEAR(C59))</f>
        <v/>
      </c>
      <c r="M59" s="20">
        <f>IF(C59="","",DAY(C59))</f>
        <v/>
      </c>
    </row>
    <row r="60">
      <c r="A60" s="15" t="n"/>
      <c r="B60" s="19" t="n"/>
      <c r="C60" s="18" t="n"/>
      <c r="D60" s="15" t="n"/>
      <c r="E60" s="15" t="n"/>
      <c r="F60" s="15" t="n"/>
      <c r="G60" s="15" t="n"/>
      <c r="H60" s="15" t="n"/>
      <c r="I60" s="21" t="n"/>
      <c r="J60" s="16">
        <f>IF(C60="","",IF(D60="Monthly",B60*12,IF(D60="Weekly",B60*52,IF(D60="Biweekly",B60*26,IF(D60="Twice Monthly",B60*24,IF(D60="Quarterly",B60*4,IF(D60="Annually",B60,IF(D60="One-time",B60,""))))))))</f>
        <v/>
      </c>
      <c r="K60" s="20">
        <f>IF(C60="","",MONTH(C60))</f>
        <v/>
      </c>
      <c r="L60" s="20">
        <f>IF(C60="","",YEAR(C60))</f>
        <v/>
      </c>
      <c r="M60" s="20">
        <f>IF(C60="","",DAY(C60))</f>
        <v/>
      </c>
    </row>
    <row r="61">
      <c r="A61" s="15" t="n"/>
      <c r="B61" s="19" t="n"/>
      <c r="C61" s="18" t="n"/>
      <c r="D61" s="15" t="n"/>
      <c r="E61" s="15" t="n"/>
      <c r="F61" s="15" t="n"/>
      <c r="G61" s="15" t="n"/>
      <c r="H61" s="15" t="n"/>
      <c r="I61" s="21" t="n"/>
      <c r="J61" s="16">
        <f>IF(C61="","",IF(D61="Monthly",B61*12,IF(D61="Weekly",B61*52,IF(D61="Biweekly",B61*26,IF(D61="Twice Monthly",B61*24,IF(D61="Quarterly",B61*4,IF(D61="Annually",B61,IF(D61="One-time",B61,""))))))))</f>
        <v/>
      </c>
      <c r="K61" s="20">
        <f>IF(C61="","",MONTH(C61))</f>
        <v/>
      </c>
      <c r="L61" s="20">
        <f>IF(C61="","",YEAR(C61))</f>
        <v/>
      </c>
      <c r="M61" s="20">
        <f>IF(C61="","",DAY(C61))</f>
        <v/>
      </c>
    </row>
    <row r="62">
      <c r="A62" s="15" t="n"/>
      <c r="B62" s="19" t="n"/>
      <c r="C62" s="18" t="n"/>
      <c r="D62" s="15" t="n"/>
      <c r="E62" s="15" t="n"/>
      <c r="F62" s="15" t="n"/>
      <c r="G62" s="15" t="n"/>
      <c r="H62" s="15" t="n"/>
      <c r="I62" s="21" t="n"/>
      <c r="J62" s="16">
        <f>IF(C62="","",IF(D62="Monthly",B62*12,IF(D62="Weekly",B62*52,IF(D62="Biweekly",B62*26,IF(D62="Twice Monthly",B62*24,IF(D62="Quarterly",B62*4,IF(D62="Annually",B62,IF(D62="One-time",B62,""))))))))</f>
        <v/>
      </c>
      <c r="K62" s="20">
        <f>IF(C62="","",MONTH(C62))</f>
        <v/>
      </c>
      <c r="L62" s="20">
        <f>IF(C62="","",YEAR(C62))</f>
        <v/>
      </c>
      <c r="M62" s="20">
        <f>IF(C62="","",DAY(C62))</f>
        <v/>
      </c>
    </row>
    <row r="63">
      <c r="A63" s="15" t="n"/>
      <c r="B63" s="19" t="n"/>
      <c r="C63" s="18" t="n"/>
      <c r="D63" s="15" t="n"/>
      <c r="E63" s="15" t="n"/>
      <c r="F63" s="15" t="n"/>
      <c r="G63" s="15" t="n"/>
      <c r="H63" s="15" t="n"/>
      <c r="I63" s="21" t="n"/>
      <c r="J63" s="16">
        <f>IF(C63="","",IF(D63="Monthly",B63*12,IF(D63="Weekly",B63*52,IF(D63="Biweekly",B63*26,IF(D63="Twice Monthly",B63*24,IF(D63="Quarterly",B63*4,IF(D63="Annually",B63,IF(D63="One-time",B63,""))))))))</f>
        <v/>
      </c>
      <c r="K63" s="20">
        <f>IF(C63="","",MONTH(C63))</f>
        <v/>
      </c>
      <c r="L63" s="20">
        <f>IF(C63="","",YEAR(C63))</f>
        <v/>
      </c>
      <c r="M63" s="20">
        <f>IF(C63="","",DAY(C63))</f>
        <v/>
      </c>
    </row>
    <row r="64">
      <c r="A64" s="15" t="n"/>
      <c r="B64" s="19" t="n"/>
      <c r="C64" s="18" t="n"/>
      <c r="D64" s="15" t="n"/>
      <c r="E64" s="15" t="n"/>
      <c r="F64" s="15" t="n"/>
      <c r="G64" s="15" t="n"/>
      <c r="H64" s="15" t="n"/>
      <c r="I64" s="21" t="n"/>
      <c r="J64" s="16">
        <f>IF(C64="","",IF(D64="Monthly",B64*12,IF(D64="Weekly",B64*52,IF(D64="Biweekly",B64*26,IF(D64="Twice Monthly",B64*24,IF(D64="Quarterly",B64*4,IF(D64="Annually",B64,IF(D64="One-time",B64,""))))))))</f>
        <v/>
      </c>
      <c r="K64" s="20">
        <f>IF(C64="","",MONTH(C64))</f>
        <v/>
      </c>
      <c r="L64" s="20">
        <f>IF(C64="","",YEAR(C64))</f>
        <v/>
      </c>
      <c r="M64" s="20">
        <f>IF(C64="","",DAY(C64))</f>
        <v/>
      </c>
    </row>
    <row r="65">
      <c r="A65" s="15" t="n"/>
      <c r="B65" s="19" t="n"/>
      <c r="C65" s="18" t="n"/>
      <c r="D65" s="15" t="n"/>
      <c r="E65" s="15" t="n"/>
      <c r="F65" s="15" t="n"/>
      <c r="G65" s="15" t="n"/>
      <c r="H65" s="15" t="n"/>
      <c r="I65" s="21" t="n"/>
      <c r="J65" s="16">
        <f>IF(C65="","",IF(D65="Monthly",B65*12,IF(D65="Weekly",B65*52,IF(D65="Biweekly",B65*26,IF(D65="Twice Monthly",B65*24,IF(D65="Quarterly",B65*4,IF(D65="Annually",B65,IF(D65="One-time",B65,""))))))))</f>
        <v/>
      </c>
      <c r="K65" s="20">
        <f>IF(C65="","",MONTH(C65))</f>
        <v/>
      </c>
      <c r="L65" s="20">
        <f>IF(C65="","",YEAR(C65))</f>
        <v/>
      </c>
      <c r="M65" s="20">
        <f>IF(C65="","",DAY(C65))</f>
        <v/>
      </c>
    </row>
    <row r="66">
      <c r="A66" s="15" t="n"/>
      <c r="B66" s="19" t="n"/>
      <c r="C66" s="18" t="n"/>
      <c r="D66" s="15" t="n"/>
      <c r="E66" s="15" t="n"/>
      <c r="F66" s="15" t="n"/>
      <c r="G66" s="15" t="n"/>
      <c r="H66" s="15" t="n"/>
      <c r="I66" s="21" t="n"/>
      <c r="J66" s="16">
        <f>IF(C66="","",IF(D66="Monthly",B66*12,IF(D66="Weekly",B66*52,IF(D66="Biweekly",B66*26,IF(D66="Twice Monthly",B66*24,IF(D66="Quarterly",B66*4,IF(D66="Annually",B66,IF(D66="One-time",B66,""))))))))</f>
        <v/>
      </c>
      <c r="K66" s="20">
        <f>IF(C66="","",MONTH(C66))</f>
        <v/>
      </c>
      <c r="L66" s="20">
        <f>IF(C66="","",YEAR(C66))</f>
        <v/>
      </c>
      <c r="M66" s="20">
        <f>IF(C66="","",DAY(C66))</f>
        <v/>
      </c>
    </row>
    <row r="67">
      <c r="A67" s="15" t="n"/>
      <c r="B67" s="19" t="n"/>
      <c r="C67" s="18" t="n"/>
      <c r="D67" s="15" t="n"/>
      <c r="E67" s="15" t="n"/>
      <c r="F67" s="15" t="n"/>
      <c r="G67" s="15" t="n"/>
      <c r="H67" s="15" t="n"/>
      <c r="I67" s="21" t="n"/>
      <c r="J67" s="16">
        <f>IF(C67="","",IF(D67="Monthly",B67*12,IF(D67="Weekly",B67*52,IF(D67="Biweekly",B67*26,IF(D67="Twice Monthly",B67*24,IF(D67="Quarterly",B67*4,IF(D67="Annually",B67,IF(D67="One-time",B67,""))))))))</f>
        <v/>
      </c>
      <c r="K67" s="20">
        <f>IF(C67="","",MONTH(C67))</f>
        <v/>
      </c>
      <c r="L67" s="20">
        <f>IF(C67="","",YEAR(C67))</f>
        <v/>
      </c>
      <c r="M67" s="20">
        <f>IF(C67="","",DAY(C67))</f>
        <v/>
      </c>
    </row>
    <row r="68">
      <c r="A68" s="15" t="n"/>
      <c r="B68" s="19" t="n"/>
      <c r="C68" s="18" t="n"/>
      <c r="D68" s="15" t="n"/>
      <c r="E68" s="15" t="n"/>
      <c r="F68" s="15" t="n"/>
      <c r="G68" s="15" t="n"/>
      <c r="H68" s="15" t="n"/>
      <c r="I68" s="21" t="n"/>
      <c r="J68" s="16">
        <f>IF(C68="","",IF(D68="Monthly",B68*12,IF(D68="Weekly",B68*52,IF(D68="Biweekly",B68*26,IF(D68="Twice Monthly",B68*24,IF(D68="Quarterly",B68*4,IF(D68="Annually",B68,IF(D68="One-time",B68,""))))))))</f>
        <v/>
      </c>
      <c r="K68" s="20">
        <f>IF(C68="","",MONTH(C68))</f>
        <v/>
      </c>
      <c r="L68" s="20">
        <f>IF(C68="","",YEAR(C68))</f>
        <v/>
      </c>
      <c r="M68" s="20">
        <f>IF(C68="","",DAY(C68))</f>
        <v/>
      </c>
    </row>
    <row r="69">
      <c r="A69" s="15" t="n"/>
      <c r="B69" s="19" t="n"/>
      <c r="C69" s="18" t="n"/>
      <c r="D69" s="15" t="n"/>
      <c r="E69" s="15" t="n"/>
      <c r="F69" s="15" t="n"/>
      <c r="G69" s="15" t="n"/>
      <c r="H69" s="15" t="n"/>
      <c r="I69" s="21" t="n"/>
      <c r="J69" s="16">
        <f>IF(C69="","",IF(D69="Monthly",B69*12,IF(D69="Weekly",B69*52,IF(D69="Biweekly",B69*26,IF(D69="Twice Monthly",B69*24,IF(D69="Quarterly",B69*4,IF(D69="Annually",B69,IF(D69="One-time",B69,""))))))))</f>
        <v/>
      </c>
      <c r="K69" s="20">
        <f>IF(C69="","",MONTH(C69))</f>
        <v/>
      </c>
      <c r="L69" s="20">
        <f>IF(C69="","",YEAR(C69))</f>
        <v/>
      </c>
      <c r="M69" s="20">
        <f>IF(C69="","",DAY(C69))</f>
        <v/>
      </c>
    </row>
    <row r="70">
      <c r="A70" s="15" t="n"/>
      <c r="B70" s="19" t="n"/>
      <c r="C70" s="18" t="n"/>
      <c r="D70" s="15" t="n"/>
      <c r="E70" s="15" t="n"/>
      <c r="F70" s="15" t="n"/>
      <c r="G70" s="15" t="n"/>
      <c r="H70" s="15" t="n"/>
      <c r="I70" s="21" t="n"/>
      <c r="J70" s="16">
        <f>IF(C70="","",IF(D70="Monthly",B70*12,IF(D70="Weekly",B70*52,IF(D70="Biweekly",B70*26,IF(D70="Twice Monthly",B70*24,IF(D70="Quarterly",B70*4,IF(D70="Annually",B70,IF(D70="One-time",B70,""))))))))</f>
        <v/>
      </c>
      <c r="K70" s="20">
        <f>IF(C70="","",MONTH(C70))</f>
        <v/>
      </c>
      <c r="L70" s="20">
        <f>IF(C70="","",YEAR(C70))</f>
        <v/>
      </c>
      <c r="M70" s="20">
        <f>IF(C70="","",DAY(C70))</f>
        <v/>
      </c>
    </row>
    <row r="71">
      <c r="A71" s="15" t="n"/>
      <c r="B71" s="19" t="n"/>
      <c r="C71" s="18" t="n"/>
      <c r="D71" s="15" t="n"/>
      <c r="E71" s="15" t="n"/>
      <c r="F71" s="15" t="n"/>
      <c r="G71" s="15" t="n"/>
      <c r="H71" s="15" t="n"/>
      <c r="I71" s="21" t="n"/>
      <c r="J71" s="16">
        <f>IF(C71="","",IF(D71="Monthly",B71*12,IF(D71="Weekly",B71*52,IF(D71="Biweekly",B71*26,IF(D71="Twice Monthly",B71*24,IF(D71="Quarterly",B71*4,IF(D71="Annually",B71,IF(D71="One-time",B71,""))))))))</f>
        <v/>
      </c>
      <c r="K71" s="20">
        <f>IF(C71="","",MONTH(C71))</f>
        <v/>
      </c>
      <c r="L71" s="20">
        <f>IF(C71="","",YEAR(C71))</f>
        <v/>
      </c>
      <c r="M71" s="20">
        <f>IF(C71="","",DAY(C71))</f>
        <v/>
      </c>
    </row>
    <row r="72">
      <c r="A72" s="15" t="n"/>
      <c r="B72" s="19" t="n"/>
      <c r="C72" s="18" t="n"/>
      <c r="D72" s="15" t="n"/>
      <c r="E72" s="15" t="n"/>
      <c r="F72" s="15" t="n"/>
      <c r="G72" s="15" t="n"/>
      <c r="H72" s="15" t="n"/>
      <c r="I72" s="21" t="n"/>
      <c r="J72" s="16">
        <f>IF(C72="","",IF(D72="Monthly",B72*12,IF(D72="Weekly",B72*52,IF(D72="Biweekly",B72*26,IF(D72="Twice Monthly",B72*24,IF(D72="Quarterly",B72*4,IF(D72="Annually",B72,IF(D72="One-time",B72,""))))))))</f>
        <v/>
      </c>
      <c r="K72" s="20">
        <f>IF(C72="","",MONTH(C72))</f>
        <v/>
      </c>
      <c r="L72" s="20">
        <f>IF(C72="","",YEAR(C72))</f>
        <v/>
      </c>
      <c r="M72" s="20">
        <f>IF(C72="","",DAY(C72))</f>
        <v/>
      </c>
    </row>
    <row r="73">
      <c r="A73" s="15" t="n"/>
      <c r="B73" s="19" t="n"/>
      <c r="C73" s="18" t="n"/>
      <c r="D73" s="15" t="n"/>
      <c r="E73" s="15" t="n"/>
      <c r="F73" s="15" t="n"/>
      <c r="G73" s="15" t="n"/>
      <c r="H73" s="15" t="n"/>
      <c r="I73" s="21" t="n"/>
      <c r="J73" s="16">
        <f>IF(C73="","",IF(D73="Monthly",B73*12,IF(D73="Weekly",B73*52,IF(D73="Biweekly",B73*26,IF(D73="Twice Monthly",B73*24,IF(D73="Quarterly",B73*4,IF(D73="Annually",B73,IF(D73="One-time",B73,""))))))))</f>
        <v/>
      </c>
      <c r="K73" s="20">
        <f>IF(C73="","",MONTH(C73))</f>
        <v/>
      </c>
      <c r="L73" s="20">
        <f>IF(C73="","",YEAR(C73))</f>
        <v/>
      </c>
      <c r="M73" s="20">
        <f>IF(C73="","",DAY(C73))</f>
        <v/>
      </c>
    </row>
    <row r="74">
      <c r="A74" s="15" t="n"/>
      <c r="B74" s="19" t="n"/>
      <c r="C74" s="18" t="n"/>
      <c r="D74" s="15" t="n"/>
      <c r="E74" s="15" t="n"/>
      <c r="F74" s="15" t="n"/>
      <c r="G74" s="15" t="n"/>
      <c r="H74" s="15" t="n"/>
      <c r="I74" s="21" t="n"/>
      <c r="J74" s="16">
        <f>IF(C74="","",IF(D74="Monthly",B74*12,IF(D74="Weekly",B74*52,IF(D74="Biweekly",B74*26,IF(D74="Twice Monthly",B74*24,IF(D74="Quarterly",B74*4,IF(D74="Annually",B74,IF(D74="One-time",B74,""))))))))</f>
        <v/>
      </c>
      <c r="K74" s="20">
        <f>IF(C74="","",MONTH(C74))</f>
        <v/>
      </c>
      <c r="L74" s="20">
        <f>IF(C74="","",YEAR(C74))</f>
        <v/>
      </c>
      <c r="M74" s="20">
        <f>IF(C74="","",DAY(C74))</f>
        <v/>
      </c>
    </row>
    <row r="75">
      <c r="A75" s="15" t="n"/>
      <c r="B75" s="19" t="n"/>
      <c r="C75" s="18" t="n"/>
      <c r="D75" s="15" t="n"/>
      <c r="E75" s="15" t="n"/>
      <c r="F75" s="15" t="n"/>
      <c r="G75" s="15" t="n"/>
      <c r="H75" s="15" t="n"/>
      <c r="I75" s="21" t="n"/>
      <c r="J75" s="16">
        <f>IF(C75="","",IF(D75="Monthly",B75*12,IF(D75="Weekly",B75*52,IF(D75="Biweekly",B75*26,IF(D75="Twice Monthly",B75*24,IF(D75="Quarterly",B75*4,IF(D75="Annually",B75,IF(D75="One-time",B75,""))))))))</f>
        <v/>
      </c>
      <c r="K75" s="20">
        <f>IF(C75="","",MONTH(C75))</f>
        <v/>
      </c>
      <c r="L75" s="20">
        <f>IF(C75="","",YEAR(C75))</f>
        <v/>
      </c>
      <c r="M75" s="20">
        <f>IF(C75="","",DAY(C75))</f>
        <v/>
      </c>
    </row>
    <row r="76">
      <c r="A76" s="15" t="n"/>
      <c r="B76" s="19" t="n"/>
      <c r="C76" s="18" t="n"/>
      <c r="D76" s="15" t="n"/>
      <c r="E76" s="15" t="n"/>
      <c r="F76" s="15" t="n"/>
      <c r="G76" s="15" t="n"/>
      <c r="H76" s="15" t="n"/>
      <c r="I76" s="21" t="n"/>
      <c r="J76" s="16">
        <f>IF(C76="","",IF(D76="Monthly",B76*12,IF(D76="Weekly",B76*52,IF(D76="Biweekly",B76*26,IF(D76="Twice Monthly",B76*24,IF(D76="Quarterly",B76*4,IF(D76="Annually",B76,IF(D76="One-time",B76,""))))))))</f>
        <v/>
      </c>
      <c r="K76" s="20">
        <f>IF(C76="","",MONTH(C76))</f>
        <v/>
      </c>
      <c r="L76" s="20">
        <f>IF(C76="","",YEAR(C76))</f>
        <v/>
      </c>
      <c r="M76" s="20">
        <f>IF(C76="","",DAY(C76))</f>
        <v/>
      </c>
    </row>
    <row r="77">
      <c r="A77" s="15" t="n"/>
      <c r="B77" s="19" t="n"/>
      <c r="C77" s="18" t="n"/>
      <c r="D77" s="15" t="n"/>
      <c r="E77" s="15" t="n"/>
      <c r="F77" s="15" t="n"/>
      <c r="G77" s="15" t="n"/>
      <c r="H77" s="15" t="n"/>
      <c r="I77" s="21" t="n"/>
      <c r="J77" s="16">
        <f>IF(C77="","",IF(D77="Monthly",B77*12,IF(D77="Weekly",B77*52,IF(D77="Biweekly",B77*26,IF(D77="Twice Monthly",B77*24,IF(D77="Quarterly",B77*4,IF(D77="Annually",B77,IF(D77="One-time",B77,""))))))))</f>
        <v/>
      </c>
      <c r="K77" s="20">
        <f>IF(C77="","",MONTH(C77))</f>
        <v/>
      </c>
      <c r="L77" s="20">
        <f>IF(C77="","",YEAR(C77))</f>
        <v/>
      </c>
      <c r="M77" s="20">
        <f>IF(C77="","",DAY(C77))</f>
        <v/>
      </c>
    </row>
    <row r="78">
      <c r="A78" s="15" t="n"/>
      <c r="B78" s="19" t="n"/>
      <c r="C78" s="18" t="n"/>
      <c r="D78" s="15" t="n"/>
      <c r="E78" s="15" t="n"/>
      <c r="F78" s="15" t="n"/>
      <c r="G78" s="15" t="n"/>
      <c r="H78" s="15" t="n"/>
      <c r="I78" s="21" t="n"/>
      <c r="J78" s="16">
        <f>IF(C78="","",IF(D78="Monthly",B78*12,IF(D78="Weekly",B78*52,IF(D78="Biweekly",B78*26,IF(D78="Twice Monthly",B78*24,IF(D78="Quarterly",B78*4,IF(D78="Annually",B78,IF(D78="One-time",B78,""))))))))</f>
        <v/>
      </c>
      <c r="K78" s="20">
        <f>IF(C78="","",MONTH(C78))</f>
        <v/>
      </c>
      <c r="L78" s="20">
        <f>IF(C78="","",YEAR(C78))</f>
        <v/>
      </c>
      <c r="M78" s="20">
        <f>IF(C78="","",DAY(C78))</f>
        <v/>
      </c>
    </row>
    <row r="79">
      <c r="A79" s="15" t="n"/>
      <c r="B79" s="19" t="n"/>
      <c r="C79" s="18" t="n"/>
      <c r="D79" s="15" t="n"/>
      <c r="E79" s="15" t="n"/>
      <c r="F79" s="15" t="n"/>
      <c r="G79" s="15" t="n"/>
      <c r="H79" s="15" t="n"/>
      <c r="I79" s="21" t="n"/>
      <c r="J79" s="16">
        <f>IF(C79="","",IF(D79="Monthly",B79*12,IF(D79="Weekly",B79*52,IF(D79="Biweekly",B79*26,IF(D79="Twice Monthly",B79*24,IF(D79="Quarterly",B79*4,IF(D79="Annually",B79,IF(D79="One-time",B79,""))))))))</f>
        <v/>
      </c>
      <c r="K79" s="20">
        <f>IF(C79="","",MONTH(C79))</f>
        <v/>
      </c>
      <c r="L79" s="20">
        <f>IF(C79="","",YEAR(C79))</f>
        <v/>
      </c>
      <c r="M79" s="20">
        <f>IF(C79="","",DAY(C79))</f>
        <v/>
      </c>
    </row>
    <row r="80">
      <c r="A80" s="15" t="n"/>
      <c r="B80" s="19" t="n"/>
      <c r="C80" s="18" t="n"/>
      <c r="D80" s="15" t="n"/>
      <c r="E80" s="15" t="n"/>
      <c r="F80" s="15" t="n"/>
      <c r="G80" s="15" t="n"/>
      <c r="H80" s="15" t="n"/>
      <c r="I80" s="21" t="n"/>
      <c r="J80" s="16">
        <f>IF(C80="","",IF(D80="Monthly",B80*12,IF(D80="Weekly",B80*52,IF(D80="Biweekly",B80*26,IF(D80="Twice Monthly",B80*24,IF(D80="Quarterly",B80*4,IF(D80="Annually",B80,IF(D80="One-time",B80,""))))))))</f>
        <v/>
      </c>
      <c r="K80" s="20">
        <f>IF(C80="","",MONTH(C80))</f>
        <v/>
      </c>
      <c r="L80" s="20">
        <f>IF(C80="","",YEAR(C80))</f>
        <v/>
      </c>
      <c r="M80" s="20">
        <f>IF(C80="","",DAY(C80))</f>
        <v/>
      </c>
    </row>
    <row r="81">
      <c r="A81" s="15" t="n"/>
      <c r="B81" s="19" t="n"/>
      <c r="C81" s="18" t="n"/>
      <c r="D81" s="15" t="n"/>
      <c r="E81" s="15" t="n"/>
      <c r="F81" s="15" t="n"/>
      <c r="G81" s="15" t="n"/>
      <c r="H81" s="15" t="n"/>
      <c r="I81" s="21" t="n"/>
      <c r="J81" s="16">
        <f>IF(C81="","",IF(D81="Monthly",B81*12,IF(D81="Weekly",B81*52,IF(D81="Biweekly",B81*26,IF(D81="Twice Monthly",B81*24,IF(D81="Quarterly",B81*4,IF(D81="Annually",B81,IF(D81="One-time",B81,""))))))))</f>
        <v/>
      </c>
      <c r="K81" s="20">
        <f>IF(C81="","",MONTH(C81))</f>
        <v/>
      </c>
      <c r="L81" s="20">
        <f>IF(C81="","",YEAR(C81))</f>
        <v/>
      </c>
      <c r="M81" s="20">
        <f>IF(C81="","",DAY(C81))</f>
        <v/>
      </c>
    </row>
    <row r="82">
      <c r="A82" s="15" t="n"/>
      <c r="B82" s="19" t="n"/>
      <c r="C82" s="18" t="n"/>
      <c r="D82" s="15" t="n"/>
      <c r="E82" s="15" t="n"/>
      <c r="F82" s="15" t="n"/>
      <c r="G82" s="15" t="n"/>
      <c r="H82" s="15" t="n"/>
      <c r="I82" s="21" t="n"/>
      <c r="J82" s="16">
        <f>IF(C82="","",IF(D82="Monthly",B82*12,IF(D82="Weekly",B82*52,IF(D82="Biweekly",B82*26,IF(D82="Twice Monthly",B82*24,IF(D82="Quarterly",B82*4,IF(D82="Annually",B82,IF(D82="One-time",B82,""))))))))</f>
        <v/>
      </c>
      <c r="K82" s="20">
        <f>IF(C82="","",MONTH(C82))</f>
        <v/>
      </c>
      <c r="L82" s="20">
        <f>IF(C82="","",YEAR(C82))</f>
        <v/>
      </c>
      <c r="M82" s="20">
        <f>IF(C82="","",DAY(C82))</f>
        <v/>
      </c>
    </row>
    <row r="83">
      <c r="A83" s="15" t="n"/>
      <c r="B83" s="19" t="n"/>
      <c r="C83" s="18" t="n"/>
      <c r="D83" s="15" t="n"/>
      <c r="E83" s="15" t="n"/>
      <c r="F83" s="15" t="n"/>
      <c r="G83" s="15" t="n"/>
      <c r="H83" s="15" t="n"/>
      <c r="I83" s="21" t="n"/>
      <c r="J83" s="16">
        <f>IF(C83="","",IF(D83="Monthly",B83*12,IF(D83="Weekly",B83*52,IF(D83="Biweekly",B83*26,IF(D83="Twice Monthly",B83*24,IF(D83="Quarterly",B83*4,IF(D83="Annually",B83,IF(D83="One-time",B83,""))))))))</f>
        <v/>
      </c>
      <c r="K83" s="20">
        <f>IF(C83="","",MONTH(C83))</f>
        <v/>
      </c>
      <c r="L83" s="20">
        <f>IF(C83="","",YEAR(C83))</f>
        <v/>
      </c>
      <c r="M83" s="20">
        <f>IF(C83="","",DAY(C83))</f>
        <v/>
      </c>
    </row>
    <row r="84">
      <c r="A84" s="15" t="n"/>
      <c r="B84" s="19" t="n"/>
      <c r="C84" s="18" t="n"/>
      <c r="D84" s="15" t="n"/>
      <c r="E84" s="15" t="n"/>
      <c r="F84" s="15" t="n"/>
      <c r="G84" s="15" t="n"/>
      <c r="H84" s="15" t="n"/>
      <c r="I84" s="21" t="n"/>
      <c r="J84" s="16">
        <f>IF(C84="","",IF(D84="Monthly",B84*12,IF(D84="Weekly",B84*52,IF(D84="Biweekly",B84*26,IF(D84="Twice Monthly",B84*24,IF(D84="Quarterly",B84*4,IF(D84="Annually",B84,IF(D84="One-time",B84,""))))))))</f>
        <v/>
      </c>
      <c r="K84" s="20">
        <f>IF(C84="","",MONTH(C84))</f>
        <v/>
      </c>
      <c r="L84" s="20">
        <f>IF(C84="","",YEAR(C84))</f>
        <v/>
      </c>
      <c r="M84" s="20">
        <f>IF(C84="","",DAY(C84))</f>
        <v/>
      </c>
    </row>
    <row r="85">
      <c r="A85" s="15" t="n"/>
      <c r="B85" s="19" t="n"/>
      <c r="C85" s="18" t="n"/>
      <c r="D85" s="15" t="n"/>
      <c r="E85" s="15" t="n"/>
      <c r="F85" s="15" t="n"/>
      <c r="G85" s="15" t="n"/>
      <c r="H85" s="15" t="n"/>
      <c r="I85" s="21" t="n"/>
      <c r="J85" s="16">
        <f>IF(C85="","",IF(D85="Monthly",B85*12,IF(D85="Weekly",B85*52,IF(D85="Biweekly",B85*26,IF(D85="Twice Monthly",B85*24,IF(D85="Quarterly",B85*4,IF(D85="Annually",B85,IF(D85="One-time",B85,""))))))))</f>
        <v/>
      </c>
      <c r="K85" s="20">
        <f>IF(C85="","",MONTH(C85))</f>
        <v/>
      </c>
      <c r="L85" s="20">
        <f>IF(C85="","",YEAR(C85))</f>
        <v/>
      </c>
      <c r="M85" s="20">
        <f>IF(C85="","",DAY(C85))</f>
        <v/>
      </c>
    </row>
    <row r="86">
      <c r="A86" s="15" t="n"/>
      <c r="B86" s="19" t="n"/>
      <c r="C86" s="18" t="n"/>
      <c r="D86" s="15" t="n"/>
      <c r="E86" s="15" t="n"/>
      <c r="F86" s="15" t="n"/>
      <c r="G86" s="15" t="n"/>
      <c r="H86" s="15" t="n"/>
      <c r="I86" s="21" t="n"/>
      <c r="J86" s="16">
        <f>IF(C86="","",IF(D86="Monthly",B86*12,IF(D86="Weekly",B86*52,IF(D86="Biweekly",B86*26,IF(D86="Twice Monthly",B86*24,IF(D86="Quarterly",B86*4,IF(D86="Annually",B86,IF(D86="One-time",B86,""))))))))</f>
        <v/>
      </c>
      <c r="K86" s="20">
        <f>IF(C86="","",MONTH(C86))</f>
        <v/>
      </c>
      <c r="L86" s="20">
        <f>IF(C86="","",YEAR(C86))</f>
        <v/>
      </c>
      <c r="M86" s="20">
        <f>IF(C86="","",DAY(C86))</f>
        <v/>
      </c>
    </row>
    <row r="87">
      <c r="A87" s="15" t="n"/>
      <c r="B87" s="19" t="n"/>
      <c r="C87" s="18" t="n"/>
      <c r="D87" s="15" t="n"/>
      <c r="E87" s="15" t="n"/>
      <c r="F87" s="15" t="n"/>
      <c r="G87" s="15" t="n"/>
      <c r="H87" s="15" t="n"/>
      <c r="I87" s="21" t="n"/>
      <c r="J87" s="16">
        <f>IF(C87="","",IF(D87="Monthly",B87*12,IF(D87="Weekly",B87*52,IF(D87="Biweekly",B87*26,IF(D87="Twice Monthly",B87*24,IF(D87="Quarterly",B87*4,IF(D87="Annually",B87,IF(D87="One-time",B87,""))))))))</f>
        <v/>
      </c>
      <c r="K87" s="20">
        <f>IF(C87="","",MONTH(C87))</f>
        <v/>
      </c>
      <c r="L87" s="20">
        <f>IF(C87="","",YEAR(C87))</f>
        <v/>
      </c>
      <c r="M87" s="20">
        <f>IF(C87="","",DAY(C87))</f>
        <v/>
      </c>
    </row>
    <row r="88">
      <c r="A88" s="15" t="n"/>
      <c r="B88" s="19" t="n"/>
      <c r="C88" s="18" t="n"/>
      <c r="D88" s="15" t="n"/>
      <c r="E88" s="15" t="n"/>
      <c r="F88" s="15" t="n"/>
      <c r="G88" s="15" t="n"/>
      <c r="H88" s="15" t="n"/>
      <c r="I88" s="21" t="n"/>
      <c r="J88" s="16">
        <f>IF(C88="","",IF(D88="Monthly",B88*12,IF(D88="Weekly",B88*52,IF(D88="Biweekly",B88*26,IF(D88="Twice Monthly",B88*24,IF(D88="Quarterly",B88*4,IF(D88="Annually",B88,IF(D88="One-time",B88,""))))))))</f>
        <v/>
      </c>
      <c r="K88" s="20">
        <f>IF(C88="","",MONTH(C88))</f>
        <v/>
      </c>
      <c r="L88" s="20">
        <f>IF(C88="","",YEAR(C88))</f>
        <v/>
      </c>
      <c r="M88" s="20">
        <f>IF(C88="","",DAY(C88))</f>
        <v/>
      </c>
    </row>
    <row r="89">
      <c r="A89" s="15" t="n"/>
      <c r="B89" s="19" t="n"/>
      <c r="C89" s="18" t="n"/>
      <c r="D89" s="15" t="n"/>
      <c r="E89" s="15" t="n"/>
      <c r="F89" s="15" t="n"/>
      <c r="G89" s="15" t="n"/>
      <c r="H89" s="15" t="n"/>
      <c r="I89" s="21" t="n"/>
      <c r="J89" s="16">
        <f>IF(C89="","",IF(D89="Monthly",B89*12,IF(D89="Weekly",B89*52,IF(D89="Biweekly",B89*26,IF(D89="Twice Monthly",B89*24,IF(D89="Quarterly",B89*4,IF(D89="Annually",B89,IF(D89="One-time",B89,""))))))))</f>
        <v/>
      </c>
      <c r="K89" s="20">
        <f>IF(C89="","",MONTH(C89))</f>
        <v/>
      </c>
      <c r="L89" s="20">
        <f>IF(C89="","",YEAR(C89))</f>
        <v/>
      </c>
      <c r="M89" s="20">
        <f>IF(C89="","",DAY(C89))</f>
        <v/>
      </c>
    </row>
    <row r="90">
      <c r="A90" s="15" t="n"/>
      <c r="B90" s="19" t="n"/>
      <c r="C90" s="18" t="n"/>
      <c r="D90" s="15" t="n"/>
      <c r="E90" s="15" t="n"/>
      <c r="F90" s="15" t="n"/>
      <c r="G90" s="15" t="n"/>
      <c r="H90" s="15" t="n"/>
      <c r="I90" s="21" t="n"/>
      <c r="J90" s="16">
        <f>IF(C90="","",IF(D90="Monthly",B90*12,IF(D90="Weekly",B90*52,IF(D90="Biweekly",B90*26,IF(D90="Twice Monthly",B90*24,IF(D90="Quarterly",B90*4,IF(D90="Annually",B90,IF(D90="One-time",B90,""))))))))</f>
        <v/>
      </c>
      <c r="K90" s="20">
        <f>IF(C90="","",MONTH(C90))</f>
        <v/>
      </c>
      <c r="L90" s="20">
        <f>IF(C90="","",YEAR(C90))</f>
        <v/>
      </c>
      <c r="M90" s="20">
        <f>IF(C90="","",DAY(C90))</f>
        <v/>
      </c>
    </row>
    <row r="91">
      <c r="A91" s="15" t="n"/>
      <c r="B91" s="19" t="n"/>
      <c r="C91" s="18" t="n"/>
      <c r="D91" s="15" t="n"/>
      <c r="E91" s="15" t="n"/>
      <c r="F91" s="15" t="n"/>
      <c r="G91" s="15" t="n"/>
      <c r="H91" s="15" t="n"/>
      <c r="I91" s="21" t="n"/>
      <c r="J91" s="16">
        <f>IF(C91="","",IF(D91="Monthly",B91*12,IF(D91="Weekly",B91*52,IF(D91="Biweekly",B91*26,IF(D91="Twice Monthly",B91*24,IF(D91="Quarterly",B91*4,IF(D91="Annually",B91,IF(D91="One-time",B91,""))))))))</f>
        <v/>
      </c>
      <c r="K91" s="20">
        <f>IF(C91="","",MONTH(C91))</f>
        <v/>
      </c>
      <c r="L91" s="20">
        <f>IF(C91="","",YEAR(C91))</f>
        <v/>
      </c>
      <c r="M91" s="20">
        <f>IF(C91="","",DAY(C91))</f>
        <v/>
      </c>
    </row>
    <row r="92">
      <c r="A92" s="15" t="n"/>
      <c r="B92" s="19" t="n"/>
      <c r="C92" s="18" t="n"/>
      <c r="D92" s="15" t="n"/>
      <c r="E92" s="15" t="n"/>
      <c r="F92" s="15" t="n"/>
      <c r="G92" s="15" t="n"/>
      <c r="H92" s="15" t="n"/>
      <c r="I92" s="21" t="n"/>
      <c r="J92" s="16">
        <f>IF(C92="","",IF(D92="Monthly",B92*12,IF(D92="Weekly",B92*52,IF(D92="Biweekly",B92*26,IF(D92="Twice Monthly",B92*24,IF(D92="Quarterly",B92*4,IF(D92="Annually",B92,IF(D92="One-time",B92,""))))))))</f>
        <v/>
      </c>
      <c r="K92" s="20">
        <f>IF(C92="","",MONTH(C92))</f>
        <v/>
      </c>
      <c r="L92" s="20">
        <f>IF(C92="","",YEAR(C92))</f>
        <v/>
      </c>
      <c r="M92" s="20">
        <f>IF(C92="","",DAY(C92))</f>
        <v/>
      </c>
    </row>
    <row r="93">
      <c r="A93" s="15" t="n"/>
      <c r="B93" s="19" t="n"/>
      <c r="C93" s="18" t="n"/>
      <c r="D93" s="15" t="n"/>
      <c r="E93" s="15" t="n"/>
      <c r="F93" s="15" t="n"/>
      <c r="G93" s="15" t="n"/>
      <c r="H93" s="15" t="n"/>
      <c r="I93" s="21" t="n"/>
      <c r="J93" s="16">
        <f>IF(C93="","",IF(D93="Monthly",B93*12,IF(D93="Weekly",B93*52,IF(D93="Biweekly",B93*26,IF(D93="Twice Monthly",B93*24,IF(D93="Quarterly",B93*4,IF(D93="Annually",B93,IF(D93="One-time",B93,""))))))))</f>
        <v/>
      </c>
      <c r="K93" s="20">
        <f>IF(C93="","",MONTH(C93))</f>
        <v/>
      </c>
      <c r="L93" s="20">
        <f>IF(C93="","",YEAR(C93))</f>
        <v/>
      </c>
      <c r="M93" s="20">
        <f>IF(C93="","",DAY(C93))</f>
        <v/>
      </c>
    </row>
    <row r="94">
      <c r="A94" s="15" t="n"/>
      <c r="B94" s="19" t="n"/>
      <c r="C94" s="18" t="n"/>
      <c r="D94" s="15" t="n"/>
      <c r="E94" s="15" t="n"/>
      <c r="F94" s="15" t="n"/>
      <c r="G94" s="15" t="n"/>
      <c r="H94" s="15" t="n"/>
      <c r="I94" s="21" t="n"/>
      <c r="J94" s="16">
        <f>IF(C94="","",IF(D94="Monthly",B94*12,IF(D94="Weekly",B94*52,IF(D94="Biweekly",B94*26,IF(D94="Twice Monthly",B94*24,IF(D94="Quarterly",B94*4,IF(D94="Annually",B94,IF(D94="One-time",B94,""))))))))</f>
        <v/>
      </c>
      <c r="K94" s="20">
        <f>IF(C94="","",MONTH(C94))</f>
        <v/>
      </c>
      <c r="L94" s="20">
        <f>IF(C94="","",YEAR(C94))</f>
        <v/>
      </c>
      <c r="M94" s="20">
        <f>IF(C94="","",DAY(C94))</f>
        <v/>
      </c>
    </row>
    <row r="95">
      <c r="A95" s="15" t="n"/>
      <c r="B95" s="19" t="n"/>
      <c r="C95" s="18" t="n"/>
      <c r="D95" s="15" t="n"/>
      <c r="E95" s="15" t="n"/>
      <c r="F95" s="15" t="n"/>
      <c r="G95" s="15" t="n"/>
      <c r="H95" s="15" t="n"/>
      <c r="I95" s="21" t="n"/>
      <c r="J95" s="16">
        <f>IF(C95="","",IF(D95="Monthly",B95*12,IF(D95="Weekly",B95*52,IF(D95="Biweekly",B95*26,IF(D95="Twice Monthly",B95*24,IF(D95="Quarterly",B95*4,IF(D95="Annually",B95,IF(D95="One-time",B95,""))))))))</f>
        <v/>
      </c>
      <c r="K95" s="20">
        <f>IF(C95="","",MONTH(C95))</f>
        <v/>
      </c>
      <c r="L95" s="20">
        <f>IF(C95="","",YEAR(C95))</f>
        <v/>
      </c>
      <c r="M95" s="20">
        <f>IF(C95="","",DAY(C95))</f>
        <v/>
      </c>
    </row>
    <row r="96">
      <c r="A96" s="15" t="n"/>
      <c r="B96" s="19" t="n"/>
      <c r="C96" s="18" t="n"/>
      <c r="D96" s="15" t="n"/>
      <c r="E96" s="15" t="n"/>
      <c r="F96" s="15" t="n"/>
      <c r="G96" s="15" t="n"/>
      <c r="H96" s="15" t="n"/>
      <c r="I96" s="21" t="n"/>
      <c r="J96" s="16">
        <f>IF(C96="","",IF(D96="Monthly",B96*12,IF(D96="Weekly",B96*52,IF(D96="Biweekly",B96*26,IF(D96="Twice Monthly",B96*24,IF(D96="Quarterly",B96*4,IF(D96="Annually",B96,IF(D96="One-time",B96,""))))))))</f>
        <v/>
      </c>
      <c r="K96" s="20">
        <f>IF(C96="","",MONTH(C96))</f>
        <v/>
      </c>
      <c r="L96" s="20">
        <f>IF(C96="","",YEAR(C96))</f>
        <v/>
      </c>
      <c r="M96" s="20">
        <f>IF(C96="","",DAY(C96))</f>
        <v/>
      </c>
    </row>
    <row r="97">
      <c r="A97" s="15" t="n"/>
      <c r="B97" s="19" t="n"/>
      <c r="C97" s="18" t="n"/>
      <c r="D97" s="15" t="n"/>
      <c r="E97" s="15" t="n"/>
      <c r="F97" s="15" t="n"/>
      <c r="G97" s="15" t="n"/>
      <c r="H97" s="15" t="n"/>
      <c r="I97" s="21" t="n"/>
      <c r="J97" s="16">
        <f>IF(C97="","",IF(D97="Monthly",B97*12,IF(D97="Weekly",B97*52,IF(D97="Biweekly",B97*26,IF(D97="Twice Monthly",B97*24,IF(D97="Quarterly",B97*4,IF(D97="Annually",B97,IF(D97="One-time",B97,""))))))))</f>
        <v/>
      </c>
      <c r="K97" s="20">
        <f>IF(C97="","",MONTH(C97))</f>
        <v/>
      </c>
      <c r="L97" s="20">
        <f>IF(C97="","",YEAR(C97))</f>
        <v/>
      </c>
      <c r="M97" s="20">
        <f>IF(C97="","",DAY(C97))</f>
        <v/>
      </c>
    </row>
    <row r="98">
      <c r="A98" s="15" t="n"/>
      <c r="B98" s="19" t="n"/>
      <c r="C98" s="18" t="n"/>
      <c r="D98" s="15" t="n"/>
      <c r="E98" s="15" t="n"/>
      <c r="F98" s="15" t="n"/>
      <c r="G98" s="15" t="n"/>
      <c r="H98" s="15" t="n"/>
      <c r="I98" s="21" t="n"/>
      <c r="J98" s="16">
        <f>IF(C98="","",IF(D98="Monthly",B98*12,IF(D98="Weekly",B98*52,IF(D98="Biweekly",B98*26,IF(D98="Twice Monthly",B98*24,IF(D98="Quarterly",B98*4,IF(D98="Annually",B98,IF(D98="One-time",B98,""))))))))</f>
        <v/>
      </c>
      <c r="K98" s="20">
        <f>IF(C98="","",MONTH(C98))</f>
        <v/>
      </c>
      <c r="L98" s="20">
        <f>IF(C98="","",YEAR(C98))</f>
        <v/>
      </c>
      <c r="M98" s="20">
        <f>IF(C98="","",DAY(C98))</f>
        <v/>
      </c>
    </row>
    <row r="99">
      <c r="A99" s="15" t="n"/>
      <c r="B99" s="19" t="n"/>
      <c r="C99" s="18" t="n"/>
      <c r="D99" s="15" t="n"/>
      <c r="E99" s="15" t="n"/>
      <c r="F99" s="15" t="n"/>
      <c r="G99" s="15" t="n"/>
      <c r="H99" s="15" t="n"/>
      <c r="I99" s="21" t="n"/>
      <c r="J99" s="16">
        <f>IF(C99="","",IF(D99="Monthly",B99*12,IF(D99="Weekly",B99*52,IF(D99="Biweekly",B99*26,IF(D99="Twice Monthly",B99*24,IF(D99="Quarterly",B99*4,IF(D99="Annually",B99,IF(D99="One-time",B99,""))))))))</f>
        <v/>
      </c>
      <c r="K99" s="20">
        <f>IF(C99="","",MONTH(C99))</f>
        <v/>
      </c>
      <c r="L99" s="20">
        <f>IF(C99="","",YEAR(C99))</f>
        <v/>
      </c>
      <c r="M99" s="20">
        <f>IF(C99="","",DAY(C99))</f>
        <v/>
      </c>
    </row>
    <row r="100">
      <c r="A100" s="15" t="n"/>
      <c r="B100" s="19" t="n"/>
      <c r="C100" s="18" t="n"/>
      <c r="D100" s="15" t="n"/>
      <c r="E100" s="15" t="n"/>
      <c r="F100" s="15" t="n"/>
      <c r="G100" s="15" t="n"/>
      <c r="H100" s="15" t="n"/>
      <c r="I100" s="21" t="n"/>
      <c r="J100" s="16">
        <f>IF(C100="","",IF(D100="Monthly",B100*12,IF(D100="Weekly",B100*52,IF(D100="Biweekly",B100*26,IF(D100="Twice Monthly",B100*24,IF(D100="Quarterly",B100*4,IF(D100="Annually",B100,IF(D100="One-time",B100,""))))))))</f>
        <v/>
      </c>
      <c r="K100" s="20">
        <f>IF(C100="","",MONTH(C100))</f>
        <v/>
      </c>
      <c r="L100" s="20">
        <f>IF(C100="","",YEAR(C100))</f>
        <v/>
      </c>
      <c r="M100" s="20">
        <f>IF(C100="","",DAY(C100))</f>
        <v/>
      </c>
    </row>
    <row r="101">
      <c r="A101" s="15" t="n"/>
      <c r="B101" s="19" t="n"/>
      <c r="C101" s="18" t="n"/>
      <c r="D101" s="15" t="n"/>
      <c r="E101" s="15" t="n"/>
      <c r="F101" s="15" t="n"/>
      <c r="G101" s="15" t="n"/>
      <c r="H101" s="15" t="n"/>
      <c r="I101" s="21" t="n"/>
      <c r="J101" s="16">
        <f>IF(C101="","",IF(D101="Monthly",B101*12,IF(D101="Weekly",B101*52,IF(D101="Biweekly",B101*26,IF(D101="Twice Monthly",B101*24,IF(D101="Quarterly",B101*4,IF(D101="Annually",B101,IF(D101="One-time",B101,""))))))))</f>
        <v/>
      </c>
      <c r="K101" s="20">
        <f>IF(C101="","",MONTH(C101))</f>
        <v/>
      </c>
      <c r="L101" s="20">
        <f>IF(C101="","",YEAR(C101))</f>
        <v/>
      </c>
      <c r="M101" s="20">
        <f>IF(C101="","",DAY(C101))</f>
        <v/>
      </c>
    </row>
    <row r="102">
      <c r="A102" s="15" t="n"/>
      <c r="B102" s="19" t="n"/>
      <c r="C102" s="18" t="n"/>
      <c r="D102" s="15" t="n"/>
      <c r="E102" s="15" t="n"/>
      <c r="F102" s="15" t="n"/>
      <c r="G102" s="15" t="n"/>
      <c r="H102" s="15" t="n"/>
      <c r="I102" s="21" t="n"/>
      <c r="J102" s="16">
        <f>IF(C102="","",IF(D102="Monthly",B102*12,IF(D102="Weekly",B102*52,IF(D102="Biweekly",B102*26,IF(D102="Twice Monthly",B102*24,IF(D102="Quarterly",B102*4,IF(D102="Annually",B102,IF(D102="One-time",B102,""))))))))</f>
        <v/>
      </c>
      <c r="K102" s="20">
        <f>IF(C102="","",MONTH(C102))</f>
        <v/>
      </c>
      <c r="L102" s="20">
        <f>IF(C102="","",YEAR(C102))</f>
        <v/>
      </c>
      <c r="M102" s="20">
        <f>IF(C102="","",DAY(C102))</f>
        <v/>
      </c>
    </row>
    <row r="103">
      <c r="A103" s="15" t="n"/>
      <c r="B103" s="19" t="n"/>
      <c r="C103" s="18" t="n"/>
      <c r="D103" s="15" t="n"/>
      <c r="E103" s="15" t="n"/>
      <c r="F103" s="15" t="n"/>
      <c r="G103" s="15" t="n"/>
      <c r="H103" s="15" t="n"/>
      <c r="I103" s="21" t="n"/>
      <c r="J103" s="16">
        <f>IF(C103="","",IF(D103="Monthly",B103*12,IF(D103="Weekly",B103*52,IF(D103="Biweekly",B103*26,IF(D103="Twice Monthly",B103*24,IF(D103="Quarterly",B103*4,IF(D103="Annually",B103,IF(D103="One-time",B103,""))))))))</f>
        <v/>
      </c>
      <c r="K103" s="20">
        <f>IF(C103="","",MONTH(C103))</f>
        <v/>
      </c>
      <c r="L103" s="20">
        <f>IF(C103="","",YEAR(C103))</f>
        <v/>
      </c>
      <c r="M103" s="20">
        <f>IF(C103="","",DAY(C103))</f>
        <v/>
      </c>
    </row>
    <row r="104">
      <c r="A104" s="15" t="n"/>
      <c r="B104" s="19" t="n"/>
      <c r="C104" s="18" t="n"/>
      <c r="D104" s="15" t="n"/>
      <c r="E104" s="15" t="n"/>
      <c r="F104" s="15" t="n"/>
      <c r="G104" s="15" t="n"/>
      <c r="H104" s="15" t="n"/>
      <c r="I104" s="21" t="n"/>
      <c r="J104" s="16">
        <f>IF(C104="","",IF(D104="Monthly",B104*12,IF(D104="Weekly",B104*52,IF(D104="Biweekly",B104*26,IF(D104="Twice Monthly",B104*24,IF(D104="Quarterly",B104*4,IF(D104="Annually",B104,IF(D104="One-time",B104,""))))))))</f>
        <v/>
      </c>
      <c r="K104" s="20">
        <f>IF(C104="","",MONTH(C104))</f>
        <v/>
      </c>
      <c r="L104" s="20">
        <f>IF(C104="","",YEAR(C104))</f>
        <v/>
      </c>
      <c r="M104" s="20">
        <f>IF(C104="","",DAY(C104))</f>
        <v/>
      </c>
    </row>
    <row r="105">
      <c r="A105" s="15" t="n"/>
      <c r="B105" s="19" t="n"/>
      <c r="C105" s="18" t="n"/>
      <c r="D105" s="15" t="n"/>
      <c r="E105" s="15" t="n"/>
      <c r="F105" s="15" t="n"/>
      <c r="G105" s="15" t="n"/>
      <c r="H105" s="15" t="n"/>
      <c r="I105" s="21" t="n"/>
      <c r="J105" s="16">
        <f>IF(C105="","",IF(D105="Monthly",B105*12,IF(D105="Weekly",B105*52,IF(D105="Biweekly",B105*26,IF(D105="Twice Monthly",B105*24,IF(D105="Quarterly",B105*4,IF(D105="Annually",B105,IF(D105="One-time",B105,""))))))))</f>
        <v/>
      </c>
      <c r="K105" s="20">
        <f>IF(C105="","",MONTH(C105))</f>
        <v/>
      </c>
      <c r="L105" s="20">
        <f>IF(C105="","",YEAR(C105))</f>
        <v/>
      </c>
      <c r="M105" s="20">
        <f>IF(C105="","",DAY(C105))</f>
        <v/>
      </c>
    </row>
    <row r="106">
      <c r="A106" s="15" t="n"/>
      <c r="B106" s="19" t="n"/>
      <c r="C106" s="18" t="n"/>
      <c r="D106" s="15" t="n"/>
      <c r="E106" s="15" t="n"/>
      <c r="F106" s="15" t="n"/>
      <c r="G106" s="15" t="n"/>
      <c r="H106" s="15" t="n"/>
      <c r="I106" s="21" t="n"/>
      <c r="J106" s="16">
        <f>IF(C106="","",IF(D106="Monthly",B106*12,IF(D106="Weekly",B106*52,IF(D106="Biweekly",B106*26,IF(D106="Twice Monthly",B106*24,IF(D106="Quarterly",B106*4,IF(D106="Annually",B106,IF(D106="One-time",B106,""))))))))</f>
        <v/>
      </c>
      <c r="K106" s="20">
        <f>IF(C106="","",MONTH(C106))</f>
        <v/>
      </c>
      <c r="L106" s="20">
        <f>IF(C106="","",YEAR(C106))</f>
        <v/>
      </c>
      <c r="M106" s="20">
        <f>IF(C106="","",DAY(C106))</f>
        <v/>
      </c>
    </row>
    <row r="107">
      <c r="A107" s="15" t="n"/>
      <c r="B107" s="19" t="n"/>
      <c r="C107" s="18" t="n"/>
      <c r="D107" s="15" t="n"/>
      <c r="E107" s="15" t="n"/>
      <c r="F107" s="15" t="n"/>
      <c r="G107" s="15" t="n"/>
      <c r="H107" s="15" t="n"/>
      <c r="I107" s="21" t="n"/>
      <c r="J107" s="16">
        <f>IF(C107="","",IF(D107="Monthly",B107*12,IF(D107="Weekly",B107*52,IF(D107="Biweekly",B107*26,IF(D107="Twice Monthly",B107*24,IF(D107="Quarterly",B107*4,IF(D107="Annually",B107,IF(D107="One-time",B107,""))))))))</f>
        <v/>
      </c>
      <c r="K107" s="20">
        <f>IF(C107="","",MONTH(C107))</f>
        <v/>
      </c>
      <c r="L107" s="20">
        <f>IF(C107="","",YEAR(C107))</f>
        <v/>
      </c>
      <c r="M107" s="20">
        <f>IF(C107="","",DAY(C107))</f>
        <v/>
      </c>
    </row>
    <row r="108">
      <c r="A108" s="15" t="n"/>
      <c r="B108" s="19" t="n"/>
      <c r="C108" s="18" t="n"/>
      <c r="D108" s="15" t="n"/>
      <c r="E108" s="15" t="n"/>
      <c r="F108" s="15" t="n"/>
      <c r="G108" s="15" t="n"/>
      <c r="H108" s="15" t="n"/>
      <c r="I108" s="21" t="n"/>
      <c r="J108" s="16">
        <f>IF(C108="","",IF(D108="Monthly",B108*12,IF(D108="Weekly",B108*52,IF(D108="Biweekly",B108*26,IF(D108="Twice Monthly",B108*24,IF(D108="Quarterly",B108*4,IF(D108="Annually",B108,IF(D108="One-time",B108,""))))))))</f>
        <v/>
      </c>
      <c r="K108" s="20">
        <f>IF(C108="","",MONTH(C108))</f>
        <v/>
      </c>
      <c r="L108" s="20">
        <f>IF(C108="","",YEAR(C108))</f>
        <v/>
      </c>
      <c r="M108" s="20">
        <f>IF(C108="","",DAY(C108))</f>
        <v/>
      </c>
    </row>
    <row r="109">
      <c r="A109" s="15" t="n"/>
      <c r="B109" s="19" t="n"/>
      <c r="C109" s="18" t="n"/>
      <c r="D109" s="15" t="n"/>
      <c r="E109" s="15" t="n"/>
      <c r="F109" s="15" t="n"/>
      <c r="G109" s="15" t="n"/>
      <c r="H109" s="15" t="n"/>
      <c r="I109" s="21" t="n"/>
      <c r="J109" s="16">
        <f>IF(C109="","",IF(D109="Monthly",B109*12,IF(D109="Weekly",B109*52,IF(D109="Biweekly",B109*26,IF(D109="Twice Monthly",B109*24,IF(D109="Quarterly",B109*4,IF(D109="Annually",B109,IF(D109="One-time",B109,""))))))))</f>
        <v/>
      </c>
      <c r="K109" s="20">
        <f>IF(C109="","",MONTH(C109))</f>
        <v/>
      </c>
      <c r="L109" s="20">
        <f>IF(C109="","",YEAR(C109))</f>
        <v/>
      </c>
      <c r="M109" s="20">
        <f>IF(C109="","",DAY(C109))</f>
        <v/>
      </c>
    </row>
    <row r="110">
      <c r="A110" s="15" t="n"/>
      <c r="B110" s="19" t="n"/>
      <c r="C110" s="18" t="n"/>
      <c r="D110" s="15" t="n"/>
      <c r="E110" s="15" t="n"/>
      <c r="F110" s="15" t="n"/>
      <c r="G110" s="15" t="n"/>
      <c r="H110" s="15" t="n"/>
      <c r="I110" s="21" t="n"/>
      <c r="J110" s="16">
        <f>IF(C110="","",IF(D110="Monthly",B110*12,IF(D110="Weekly",B110*52,IF(D110="Biweekly",B110*26,IF(D110="Twice Monthly",B110*24,IF(D110="Quarterly",B110*4,IF(D110="Annually",B110,IF(D110="One-time",B110,""))))))))</f>
        <v/>
      </c>
      <c r="K110" s="20">
        <f>IF(C110="","",MONTH(C110))</f>
        <v/>
      </c>
      <c r="L110" s="20">
        <f>IF(C110="","",YEAR(C110))</f>
        <v/>
      </c>
      <c r="M110" s="20">
        <f>IF(C110="","",DAY(C110))</f>
        <v/>
      </c>
    </row>
    <row r="111">
      <c r="A111" s="15" t="n"/>
      <c r="B111" s="19" t="n"/>
      <c r="C111" s="18" t="n"/>
      <c r="D111" s="15" t="n"/>
      <c r="E111" s="15" t="n"/>
      <c r="F111" s="15" t="n"/>
      <c r="G111" s="15" t="n"/>
      <c r="H111" s="15" t="n"/>
      <c r="I111" s="21" t="n"/>
      <c r="J111" s="16">
        <f>IF(C111="","",IF(D111="Monthly",B111*12,IF(D111="Weekly",B111*52,IF(D111="Biweekly",B111*26,IF(D111="Twice Monthly",B111*24,IF(D111="Quarterly",B111*4,IF(D111="Annually",B111,IF(D111="One-time",B111,""))))))))</f>
        <v/>
      </c>
      <c r="K111" s="20">
        <f>IF(C111="","",MONTH(C111))</f>
        <v/>
      </c>
      <c r="L111" s="20">
        <f>IF(C111="","",YEAR(C111))</f>
        <v/>
      </c>
      <c r="M111" s="20">
        <f>IF(C111="","",DAY(C111))</f>
        <v/>
      </c>
    </row>
    <row r="112">
      <c r="A112" s="15" t="n"/>
      <c r="B112" s="19" t="n"/>
      <c r="C112" s="18" t="n"/>
      <c r="D112" s="15" t="n"/>
      <c r="E112" s="15" t="n"/>
      <c r="F112" s="15" t="n"/>
      <c r="G112" s="15" t="n"/>
      <c r="H112" s="15" t="n"/>
      <c r="I112" s="21" t="n"/>
      <c r="J112" s="16">
        <f>IF(C112="","",IF(D112="Monthly",B112*12,IF(D112="Weekly",B112*52,IF(D112="Biweekly",B112*26,IF(D112="Twice Monthly",B112*24,IF(D112="Quarterly",B112*4,IF(D112="Annually",B112,IF(D112="One-time",B112,""))))))))</f>
        <v/>
      </c>
      <c r="K112" s="20">
        <f>IF(C112="","",MONTH(C112))</f>
        <v/>
      </c>
      <c r="L112" s="20">
        <f>IF(C112="","",YEAR(C112))</f>
        <v/>
      </c>
      <c r="M112" s="20">
        <f>IF(C112="","",DAY(C112))</f>
        <v/>
      </c>
    </row>
    <row r="113">
      <c r="A113" s="15" t="n"/>
      <c r="B113" s="19" t="n"/>
      <c r="C113" s="18" t="n"/>
      <c r="D113" s="15" t="n"/>
      <c r="E113" s="15" t="n"/>
      <c r="F113" s="15" t="n"/>
      <c r="G113" s="15" t="n"/>
      <c r="H113" s="15" t="n"/>
      <c r="I113" s="21" t="n"/>
      <c r="J113" s="16">
        <f>IF(C113="","",IF(D113="Monthly",B113*12,IF(D113="Weekly",B113*52,IF(D113="Biweekly",B113*26,IF(D113="Twice Monthly",B113*24,IF(D113="Quarterly",B113*4,IF(D113="Annually",B113,IF(D113="One-time",B113,""))))))))</f>
        <v/>
      </c>
      <c r="K113" s="20">
        <f>IF(C113="","",MONTH(C113))</f>
        <v/>
      </c>
      <c r="L113" s="20">
        <f>IF(C113="","",YEAR(C113))</f>
        <v/>
      </c>
      <c r="M113" s="20">
        <f>IF(C113="","",DAY(C113))</f>
        <v/>
      </c>
    </row>
    <row r="114">
      <c r="A114" s="15" t="n"/>
      <c r="B114" s="19" t="n"/>
      <c r="C114" s="18" t="n"/>
      <c r="D114" s="15" t="n"/>
      <c r="E114" s="15" t="n"/>
      <c r="F114" s="15" t="n"/>
      <c r="G114" s="15" t="n"/>
      <c r="H114" s="15" t="n"/>
      <c r="I114" s="21" t="n"/>
      <c r="J114" s="16">
        <f>IF(C114="","",IF(D114="Monthly",B114*12,IF(D114="Weekly",B114*52,IF(D114="Biweekly",B114*26,IF(D114="Twice Monthly",B114*24,IF(D114="Quarterly",B114*4,IF(D114="Annually",B114,IF(D114="One-time",B114,""))))))))</f>
        <v/>
      </c>
      <c r="K114" s="20">
        <f>IF(C114="","",MONTH(C114))</f>
        <v/>
      </c>
      <c r="L114" s="20">
        <f>IF(C114="","",YEAR(C114))</f>
        <v/>
      </c>
      <c r="M114" s="20">
        <f>IF(C114="","",DAY(C114))</f>
        <v/>
      </c>
    </row>
    <row r="115">
      <c r="A115" s="15" t="n"/>
      <c r="B115" s="19" t="n"/>
      <c r="C115" s="18" t="n"/>
      <c r="D115" s="15" t="n"/>
      <c r="E115" s="15" t="n"/>
      <c r="F115" s="15" t="n"/>
      <c r="G115" s="15" t="n"/>
      <c r="H115" s="15" t="n"/>
      <c r="I115" s="21" t="n"/>
      <c r="J115" s="16">
        <f>IF(C115="","",IF(D115="Monthly",B115*12,IF(D115="Weekly",B115*52,IF(D115="Biweekly",B115*26,IF(D115="Twice Monthly",B115*24,IF(D115="Quarterly",B115*4,IF(D115="Annually",B115,IF(D115="One-time",B115,""))))))))</f>
        <v/>
      </c>
      <c r="K115" s="20">
        <f>IF(C115="","",MONTH(C115))</f>
        <v/>
      </c>
      <c r="L115" s="20">
        <f>IF(C115="","",YEAR(C115))</f>
        <v/>
      </c>
      <c r="M115" s="20">
        <f>IF(C115="","",DAY(C115))</f>
        <v/>
      </c>
    </row>
    <row r="116">
      <c r="A116" s="15" t="n"/>
      <c r="B116" s="19" t="n"/>
      <c r="C116" s="18" t="n"/>
      <c r="D116" s="15" t="n"/>
      <c r="E116" s="15" t="n"/>
      <c r="F116" s="15" t="n"/>
      <c r="G116" s="15" t="n"/>
      <c r="H116" s="15" t="n"/>
      <c r="I116" s="21" t="n"/>
      <c r="J116" s="16">
        <f>IF(C116="","",IF(D116="Monthly",B116*12,IF(D116="Weekly",B116*52,IF(D116="Biweekly",B116*26,IF(D116="Twice Monthly",B116*24,IF(D116="Quarterly",B116*4,IF(D116="Annually",B116,IF(D116="One-time",B116,""))))))))</f>
        <v/>
      </c>
      <c r="K116" s="20">
        <f>IF(C116="","",MONTH(C116))</f>
        <v/>
      </c>
      <c r="L116" s="20">
        <f>IF(C116="","",YEAR(C116))</f>
        <v/>
      </c>
      <c r="M116" s="20">
        <f>IF(C116="","",DAY(C116))</f>
        <v/>
      </c>
    </row>
    <row r="117">
      <c r="A117" s="15" t="n"/>
      <c r="B117" s="19" t="n"/>
      <c r="C117" s="18" t="n"/>
      <c r="D117" s="15" t="n"/>
      <c r="E117" s="15" t="n"/>
      <c r="F117" s="15" t="n"/>
      <c r="G117" s="15" t="n"/>
      <c r="H117" s="15" t="n"/>
      <c r="I117" s="21" t="n"/>
      <c r="J117" s="16">
        <f>IF(C117="","",IF(D117="Monthly",B117*12,IF(D117="Weekly",B117*52,IF(D117="Biweekly",B117*26,IF(D117="Twice Monthly",B117*24,IF(D117="Quarterly",B117*4,IF(D117="Annually",B117,IF(D117="One-time",B117,""))))))))</f>
        <v/>
      </c>
      <c r="K117" s="20">
        <f>IF(C117="","",MONTH(C117))</f>
        <v/>
      </c>
      <c r="L117" s="20">
        <f>IF(C117="","",YEAR(C117))</f>
        <v/>
      </c>
      <c r="M117" s="20">
        <f>IF(C117="","",DAY(C117))</f>
        <v/>
      </c>
    </row>
    <row r="118">
      <c r="A118" s="15" t="n"/>
      <c r="B118" s="19" t="n"/>
      <c r="C118" s="18" t="n"/>
      <c r="D118" s="15" t="n"/>
      <c r="E118" s="15" t="n"/>
      <c r="F118" s="15" t="n"/>
      <c r="G118" s="15" t="n"/>
      <c r="H118" s="15" t="n"/>
      <c r="I118" s="21" t="n"/>
      <c r="J118" s="16">
        <f>IF(C118="","",IF(D118="Monthly",B118*12,IF(D118="Weekly",B118*52,IF(D118="Biweekly",B118*26,IF(D118="Twice Monthly",B118*24,IF(D118="Quarterly",B118*4,IF(D118="Annually",B118,IF(D118="One-time",B118,""))))))))</f>
        <v/>
      </c>
      <c r="K118" s="20">
        <f>IF(C118="","",MONTH(C118))</f>
        <v/>
      </c>
      <c r="L118" s="20">
        <f>IF(C118="","",YEAR(C118))</f>
        <v/>
      </c>
      <c r="M118" s="20">
        <f>IF(C118="","",DAY(C118))</f>
        <v/>
      </c>
    </row>
    <row r="119">
      <c r="A119" s="15" t="n"/>
      <c r="B119" s="19" t="n"/>
      <c r="C119" s="18" t="n"/>
      <c r="D119" s="15" t="n"/>
      <c r="E119" s="15" t="n"/>
      <c r="F119" s="15" t="n"/>
      <c r="G119" s="15" t="n"/>
      <c r="H119" s="15" t="n"/>
      <c r="I119" s="21" t="n"/>
      <c r="J119" s="16">
        <f>IF(C119="","",IF(D119="Monthly",B119*12,IF(D119="Weekly",B119*52,IF(D119="Biweekly",B119*26,IF(D119="Twice Monthly",B119*24,IF(D119="Quarterly",B119*4,IF(D119="Annually",B119,IF(D119="One-time",B119,""))))))))</f>
        <v/>
      </c>
      <c r="K119" s="20">
        <f>IF(C119="","",MONTH(C119))</f>
        <v/>
      </c>
      <c r="L119" s="20">
        <f>IF(C119="","",YEAR(C119))</f>
        <v/>
      </c>
      <c r="M119" s="20">
        <f>IF(C119="","",DAY(C119))</f>
        <v/>
      </c>
    </row>
    <row r="120">
      <c r="A120" s="15" t="n"/>
      <c r="B120" s="19" t="n"/>
      <c r="C120" s="18" t="n"/>
      <c r="D120" s="15" t="n"/>
      <c r="E120" s="15" t="n"/>
      <c r="F120" s="15" t="n"/>
      <c r="G120" s="15" t="n"/>
      <c r="H120" s="15" t="n"/>
      <c r="I120" s="21" t="n"/>
      <c r="J120" s="16">
        <f>IF(C120="","",IF(D120="Monthly",B120*12,IF(D120="Weekly",B120*52,IF(D120="Biweekly",B120*26,IF(D120="Twice Monthly",B120*24,IF(D120="Quarterly",B120*4,IF(D120="Annually",B120,IF(D120="One-time",B120,""))))))))</f>
        <v/>
      </c>
      <c r="K120" s="20">
        <f>IF(C120="","",MONTH(C120))</f>
        <v/>
      </c>
      <c r="L120" s="20">
        <f>IF(C120="","",YEAR(C120))</f>
        <v/>
      </c>
      <c r="M120" s="20">
        <f>IF(C120="","",DAY(C120))</f>
        <v/>
      </c>
    </row>
    <row r="121">
      <c r="A121" s="15" t="n"/>
      <c r="B121" s="19" t="n"/>
      <c r="C121" s="18" t="n"/>
      <c r="D121" s="15" t="n"/>
      <c r="E121" s="15" t="n"/>
      <c r="F121" s="15" t="n"/>
      <c r="G121" s="15" t="n"/>
      <c r="H121" s="15" t="n"/>
      <c r="I121" s="21" t="n"/>
      <c r="J121" s="16">
        <f>IF(C121="","",IF(D121="Monthly",B121*12,IF(D121="Weekly",B121*52,IF(D121="Biweekly",B121*26,IF(D121="Twice Monthly",B121*24,IF(D121="Quarterly",B121*4,IF(D121="Annually",B121,IF(D121="One-time",B121,""))))))))</f>
        <v/>
      </c>
      <c r="K121" s="20">
        <f>IF(C121="","",MONTH(C121))</f>
        <v/>
      </c>
      <c r="L121" s="20">
        <f>IF(C121="","",YEAR(C121))</f>
        <v/>
      </c>
      <c r="M121" s="20">
        <f>IF(C121="","",DAY(C121))</f>
        <v/>
      </c>
    </row>
    <row r="122">
      <c r="A122" s="15" t="n"/>
      <c r="B122" s="19" t="n"/>
      <c r="C122" s="18" t="n"/>
      <c r="D122" s="15" t="n"/>
      <c r="E122" s="15" t="n"/>
      <c r="F122" s="15" t="n"/>
      <c r="G122" s="15" t="n"/>
      <c r="H122" s="15" t="n"/>
      <c r="I122" s="21" t="n"/>
      <c r="J122" s="16">
        <f>IF(C122="","",IF(D122="Monthly",B122*12,IF(D122="Weekly",B122*52,IF(D122="Biweekly",B122*26,IF(D122="Twice Monthly",B122*24,IF(D122="Quarterly",B122*4,IF(D122="Annually",B122,IF(D122="One-time",B122,""))))))))</f>
        <v/>
      </c>
      <c r="K122" s="20">
        <f>IF(C122="","",MONTH(C122))</f>
        <v/>
      </c>
      <c r="L122" s="20">
        <f>IF(C122="","",YEAR(C122))</f>
        <v/>
      </c>
      <c r="M122" s="20">
        <f>IF(C122="","",DAY(C122))</f>
        <v/>
      </c>
    </row>
    <row r="123">
      <c r="A123" s="15" t="n"/>
      <c r="B123" s="19" t="n"/>
      <c r="C123" s="18" t="n"/>
      <c r="D123" s="15" t="n"/>
      <c r="E123" s="15" t="n"/>
      <c r="F123" s="15" t="n"/>
      <c r="G123" s="15" t="n"/>
      <c r="H123" s="15" t="n"/>
      <c r="I123" s="21" t="n"/>
      <c r="J123" s="16">
        <f>IF(C123="","",IF(D123="Monthly",B123*12,IF(D123="Weekly",B123*52,IF(D123="Biweekly",B123*26,IF(D123="Twice Monthly",B123*24,IF(D123="Quarterly",B123*4,IF(D123="Annually",B123,IF(D123="One-time",B123,""))))))))</f>
        <v/>
      </c>
      <c r="K123" s="20">
        <f>IF(C123="","",MONTH(C123))</f>
        <v/>
      </c>
      <c r="L123" s="20">
        <f>IF(C123="","",YEAR(C123))</f>
        <v/>
      </c>
      <c r="M123" s="20">
        <f>IF(C123="","",DAY(C123))</f>
        <v/>
      </c>
    </row>
    <row r="124">
      <c r="A124" s="15" t="n"/>
      <c r="B124" s="19" t="n"/>
      <c r="C124" s="18" t="n"/>
      <c r="D124" s="15" t="n"/>
      <c r="E124" s="15" t="n"/>
      <c r="F124" s="15" t="n"/>
      <c r="G124" s="15" t="n"/>
      <c r="H124" s="15" t="n"/>
      <c r="I124" s="21" t="n"/>
      <c r="J124" s="16">
        <f>IF(C124="","",IF(D124="Monthly",B124*12,IF(D124="Weekly",B124*52,IF(D124="Biweekly",B124*26,IF(D124="Twice Monthly",B124*24,IF(D124="Quarterly",B124*4,IF(D124="Annually",B124,IF(D124="One-time",B124,""))))))))</f>
        <v/>
      </c>
      <c r="K124" s="20">
        <f>IF(C124="","",MONTH(C124))</f>
        <v/>
      </c>
      <c r="L124" s="20">
        <f>IF(C124="","",YEAR(C124))</f>
        <v/>
      </c>
      <c r="M124" s="20">
        <f>IF(C124="","",DAY(C124))</f>
        <v/>
      </c>
    </row>
    <row r="125">
      <c r="A125" s="15" t="n"/>
      <c r="B125" s="19" t="n"/>
      <c r="C125" s="18" t="n"/>
      <c r="D125" s="15" t="n"/>
      <c r="E125" s="15" t="n"/>
      <c r="F125" s="15" t="n"/>
      <c r="G125" s="15" t="n"/>
      <c r="H125" s="15" t="n"/>
      <c r="I125" s="21" t="n"/>
      <c r="J125" s="16">
        <f>IF(C125="","",IF(D125="Monthly",B125*12,IF(D125="Weekly",B125*52,IF(D125="Biweekly",B125*26,IF(D125="Twice Monthly",B125*24,IF(D125="Quarterly",B125*4,IF(D125="Annually",B125,IF(D125="One-time",B125,""))))))))</f>
        <v/>
      </c>
      <c r="K125" s="20">
        <f>IF(C125="","",MONTH(C125))</f>
        <v/>
      </c>
      <c r="L125" s="20">
        <f>IF(C125="","",YEAR(C125))</f>
        <v/>
      </c>
      <c r="M125" s="20">
        <f>IF(C125="","",DAY(C125))</f>
        <v/>
      </c>
    </row>
    <row r="126">
      <c r="A126" s="15" t="n"/>
      <c r="B126" s="19" t="n"/>
      <c r="C126" s="18" t="n"/>
      <c r="D126" s="15" t="n"/>
      <c r="E126" s="15" t="n"/>
      <c r="F126" s="15" t="n"/>
      <c r="G126" s="15" t="n"/>
      <c r="H126" s="15" t="n"/>
      <c r="I126" s="21" t="n"/>
      <c r="J126" s="16">
        <f>IF(C126="","",IF(D126="Monthly",B126*12,IF(D126="Weekly",B126*52,IF(D126="Biweekly",B126*26,IF(D126="Twice Monthly",B126*24,IF(D126="Quarterly",B126*4,IF(D126="Annually",B126,IF(D126="One-time",B126,""))))))))</f>
        <v/>
      </c>
      <c r="K126" s="20">
        <f>IF(C126="","",MONTH(C126))</f>
        <v/>
      </c>
      <c r="L126" s="20">
        <f>IF(C126="","",YEAR(C126))</f>
        <v/>
      </c>
      <c r="M126" s="20">
        <f>IF(C126="","",DAY(C126))</f>
        <v/>
      </c>
    </row>
    <row r="127">
      <c r="A127" s="15" t="n"/>
      <c r="B127" s="19" t="n"/>
      <c r="C127" s="18" t="n"/>
      <c r="D127" s="15" t="n"/>
      <c r="E127" s="15" t="n"/>
      <c r="F127" s="15" t="n"/>
      <c r="G127" s="15" t="n"/>
      <c r="H127" s="15" t="n"/>
      <c r="I127" s="21" t="n"/>
      <c r="J127" s="16">
        <f>IF(C127="","",IF(D127="Monthly",B127*12,IF(D127="Weekly",B127*52,IF(D127="Biweekly",B127*26,IF(D127="Twice Monthly",B127*24,IF(D127="Quarterly",B127*4,IF(D127="Annually",B127,IF(D127="One-time",B127,""))))))))</f>
        <v/>
      </c>
      <c r="K127" s="20">
        <f>IF(C127="","",MONTH(C127))</f>
        <v/>
      </c>
      <c r="L127" s="20">
        <f>IF(C127="","",YEAR(C127))</f>
        <v/>
      </c>
      <c r="M127" s="20">
        <f>IF(C127="","",DAY(C127))</f>
        <v/>
      </c>
    </row>
    <row r="128">
      <c r="A128" s="15" t="n"/>
      <c r="B128" s="19" t="n"/>
      <c r="C128" s="18" t="n"/>
      <c r="D128" s="15" t="n"/>
      <c r="E128" s="15" t="n"/>
      <c r="F128" s="15" t="n"/>
      <c r="G128" s="15" t="n"/>
      <c r="H128" s="15" t="n"/>
      <c r="I128" s="21" t="n"/>
      <c r="J128" s="16">
        <f>IF(C128="","",IF(D128="Monthly",B128*12,IF(D128="Weekly",B128*52,IF(D128="Biweekly",B128*26,IF(D128="Twice Monthly",B128*24,IF(D128="Quarterly",B128*4,IF(D128="Annually",B128,IF(D128="One-time",B128,""))))))))</f>
        <v/>
      </c>
      <c r="K128" s="20">
        <f>IF(C128="","",MONTH(C128))</f>
        <v/>
      </c>
      <c r="L128" s="20">
        <f>IF(C128="","",YEAR(C128))</f>
        <v/>
      </c>
      <c r="M128" s="20">
        <f>IF(C128="","",DAY(C128))</f>
        <v/>
      </c>
    </row>
    <row r="129">
      <c r="A129" s="15" t="n"/>
      <c r="B129" s="19" t="n"/>
      <c r="C129" s="18" t="n"/>
      <c r="D129" s="15" t="n"/>
      <c r="E129" s="15" t="n"/>
      <c r="F129" s="15" t="n"/>
      <c r="G129" s="15" t="n"/>
      <c r="H129" s="15" t="n"/>
      <c r="I129" s="21" t="n"/>
      <c r="J129" s="16">
        <f>IF(C129="","",IF(D129="Monthly",B129*12,IF(D129="Weekly",B129*52,IF(D129="Biweekly",B129*26,IF(D129="Twice Monthly",B129*24,IF(D129="Quarterly",B129*4,IF(D129="Annually",B129,IF(D129="One-time",B129,""))))))))</f>
        <v/>
      </c>
      <c r="K129" s="20">
        <f>IF(C129="","",MONTH(C129))</f>
        <v/>
      </c>
      <c r="L129" s="20">
        <f>IF(C129="","",YEAR(C129))</f>
        <v/>
      </c>
      <c r="M129" s="20">
        <f>IF(C129="","",DAY(C129))</f>
        <v/>
      </c>
    </row>
    <row r="130">
      <c r="A130" s="15" t="n"/>
      <c r="B130" s="19" t="n"/>
      <c r="C130" s="18" t="n"/>
      <c r="D130" s="15" t="n"/>
      <c r="E130" s="15" t="n"/>
      <c r="F130" s="15" t="n"/>
      <c r="G130" s="15" t="n"/>
      <c r="H130" s="15" t="n"/>
      <c r="I130" s="21" t="n"/>
      <c r="J130" s="16">
        <f>IF(C130="","",IF(D130="Monthly",B130*12,IF(D130="Weekly",B130*52,IF(D130="Biweekly",B130*26,IF(D130="Twice Monthly",B130*24,IF(D130="Quarterly",B130*4,IF(D130="Annually",B130,IF(D130="One-time",B130,""))))))))</f>
        <v/>
      </c>
      <c r="K130" s="20">
        <f>IF(C130="","",MONTH(C130))</f>
        <v/>
      </c>
      <c r="L130" s="20">
        <f>IF(C130="","",YEAR(C130))</f>
        <v/>
      </c>
      <c r="M130" s="20">
        <f>IF(C130="","",DAY(C130))</f>
        <v/>
      </c>
    </row>
    <row r="131">
      <c r="A131" s="15" t="n"/>
      <c r="B131" s="19" t="n"/>
      <c r="C131" s="18" t="n"/>
      <c r="D131" s="15" t="n"/>
      <c r="E131" s="15" t="n"/>
      <c r="F131" s="15" t="n"/>
      <c r="G131" s="15" t="n"/>
      <c r="H131" s="15" t="n"/>
      <c r="I131" s="21" t="n"/>
      <c r="J131" s="16">
        <f>IF(C131="","",IF(D131="Monthly",B131*12,IF(D131="Weekly",B131*52,IF(D131="Biweekly",B131*26,IF(D131="Twice Monthly",B131*24,IF(D131="Quarterly",B131*4,IF(D131="Annually",B131,IF(D131="One-time",B131,""))))))))</f>
        <v/>
      </c>
      <c r="K131" s="20">
        <f>IF(C131="","",MONTH(C131))</f>
        <v/>
      </c>
      <c r="L131" s="20">
        <f>IF(C131="","",YEAR(C131))</f>
        <v/>
      </c>
      <c r="M131" s="20">
        <f>IF(C131="","",DAY(C131))</f>
        <v/>
      </c>
    </row>
    <row r="132">
      <c r="A132" s="15" t="n"/>
      <c r="B132" s="19" t="n"/>
      <c r="C132" s="18" t="n"/>
      <c r="D132" s="15" t="n"/>
      <c r="E132" s="15" t="n"/>
      <c r="F132" s="15" t="n"/>
      <c r="G132" s="15" t="n"/>
      <c r="H132" s="15" t="n"/>
      <c r="I132" s="21" t="n"/>
      <c r="J132" s="16">
        <f>IF(C132="","",IF(D132="Monthly",B132*12,IF(D132="Weekly",B132*52,IF(D132="Biweekly",B132*26,IF(D132="Twice Monthly",B132*24,IF(D132="Quarterly",B132*4,IF(D132="Annually",B132,IF(D132="One-time",B132,""))))))))</f>
        <v/>
      </c>
      <c r="K132" s="20">
        <f>IF(C132="","",MONTH(C132))</f>
        <v/>
      </c>
      <c r="L132" s="20">
        <f>IF(C132="","",YEAR(C132))</f>
        <v/>
      </c>
      <c r="M132" s="20">
        <f>IF(C132="","",DAY(C132))</f>
        <v/>
      </c>
    </row>
    <row r="133">
      <c r="A133" s="15" t="n"/>
      <c r="B133" s="19" t="n"/>
      <c r="C133" s="18" t="n"/>
      <c r="D133" s="15" t="n"/>
      <c r="E133" s="15" t="n"/>
      <c r="F133" s="15" t="n"/>
      <c r="G133" s="15" t="n"/>
      <c r="H133" s="15" t="n"/>
      <c r="I133" s="21" t="n"/>
      <c r="J133" s="16">
        <f>IF(C133="","",IF(D133="Monthly",B133*12,IF(D133="Weekly",B133*52,IF(D133="Biweekly",B133*26,IF(D133="Twice Monthly",B133*24,IF(D133="Quarterly",B133*4,IF(D133="Annually",B133,IF(D133="One-time",B133,""))))))))</f>
        <v/>
      </c>
      <c r="K133" s="20">
        <f>IF(C133="","",MONTH(C133))</f>
        <v/>
      </c>
      <c r="L133" s="20">
        <f>IF(C133="","",YEAR(C133))</f>
        <v/>
      </c>
      <c r="M133" s="20">
        <f>IF(C133="","",DAY(C133))</f>
        <v/>
      </c>
    </row>
    <row r="134">
      <c r="A134" s="15" t="n"/>
      <c r="B134" s="19" t="n"/>
      <c r="C134" s="18" t="n"/>
      <c r="D134" s="15" t="n"/>
      <c r="E134" s="15" t="n"/>
      <c r="F134" s="15" t="n"/>
      <c r="G134" s="15" t="n"/>
      <c r="H134" s="15" t="n"/>
      <c r="I134" s="21" t="n"/>
      <c r="J134" s="16">
        <f>IF(C134="","",IF(D134="Monthly",B134*12,IF(D134="Weekly",B134*52,IF(D134="Biweekly",B134*26,IF(D134="Twice Monthly",B134*24,IF(D134="Quarterly",B134*4,IF(D134="Annually",B134,IF(D134="One-time",B134,""))))))))</f>
        <v/>
      </c>
      <c r="K134" s="20">
        <f>IF(C134="","",MONTH(C134))</f>
        <v/>
      </c>
      <c r="L134" s="20">
        <f>IF(C134="","",YEAR(C134))</f>
        <v/>
      </c>
      <c r="M134" s="20">
        <f>IF(C134="","",DAY(C134))</f>
        <v/>
      </c>
    </row>
    <row r="135">
      <c r="A135" s="15" t="n"/>
      <c r="B135" s="19" t="n"/>
      <c r="C135" s="18" t="n"/>
      <c r="D135" s="15" t="n"/>
      <c r="E135" s="15" t="n"/>
      <c r="F135" s="15" t="n"/>
      <c r="G135" s="15" t="n"/>
      <c r="H135" s="15" t="n"/>
      <c r="I135" s="21" t="n"/>
      <c r="J135" s="16">
        <f>IF(C135="","",IF(D135="Monthly",B135*12,IF(D135="Weekly",B135*52,IF(D135="Biweekly",B135*26,IF(D135="Twice Monthly",B135*24,IF(D135="Quarterly",B135*4,IF(D135="Annually",B135,IF(D135="One-time",B135,""))))))))</f>
        <v/>
      </c>
      <c r="K135" s="20">
        <f>IF(C135="","",MONTH(C135))</f>
        <v/>
      </c>
      <c r="L135" s="20">
        <f>IF(C135="","",YEAR(C135))</f>
        <v/>
      </c>
      <c r="M135" s="20">
        <f>IF(C135="","",DAY(C135))</f>
        <v/>
      </c>
    </row>
    <row r="136">
      <c r="A136" s="15" t="n"/>
      <c r="B136" s="19" t="n"/>
      <c r="C136" s="18" t="n"/>
      <c r="D136" s="15" t="n"/>
      <c r="E136" s="15" t="n"/>
      <c r="F136" s="15" t="n"/>
      <c r="G136" s="15" t="n"/>
      <c r="H136" s="15" t="n"/>
      <c r="I136" s="21" t="n"/>
      <c r="J136" s="16">
        <f>IF(C136="","",IF(D136="Monthly",B136*12,IF(D136="Weekly",B136*52,IF(D136="Biweekly",B136*26,IF(D136="Twice Monthly",B136*24,IF(D136="Quarterly",B136*4,IF(D136="Annually",B136,IF(D136="One-time",B136,""))))))))</f>
        <v/>
      </c>
      <c r="K136" s="20">
        <f>IF(C136="","",MONTH(C136))</f>
        <v/>
      </c>
      <c r="L136" s="20">
        <f>IF(C136="","",YEAR(C136))</f>
        <v/>
      </c>
      <c r="M136" s="20">
        <f>IF(C136="","",DAY(C136))</f>
        <v/>
      </c>
    </row>
    <row r="137">
      <c r="A137" s="15" t="n"/>
      <c r="B137" s="19" t="n"/>
      <c r="C137" s="18" t="n"/>
      <c r="D137" s="15" t="n"/>
      <c r="E137" s="15" t="n"/>
      <c r="F137" s="15" t="n"/>
      <c r="G137" s="15" t="n"/>
      <c r="H137" s="15" t="n"/>
      <c r="I137" s="21" t="n"/>
      <c r="J137" s="16">
        <f>IF(C137="","",IF(D137="Monthly",B137*12,IF(D137="Weekly",B137*52,IF(D137="Biweekly",B137*26,IF(D137="Twice Monthly",B137*24,IF(D137="Quarterly",B137*4,IF(D137="Annually",B137,IF(D137="One-time",B137,""))))))))</f>
        <v/>
      </c>
      <c r="K137" s="20">
        <f>IF(C137="","",MONTH(C137))</f>
        <v/>
      </c>
      <c r="L137" s="20">
        <f>IF(C137="","",YEAR(C137))</f>
        <v/>
      </c>
      <c r="M137" s="20">
        <f>IF(C137="","",DAY(C137))</f>
        <v/>
      </c>
    </row>
    <row r="138">
      <c r="A138" s="15" t="n"/>
      <c r="B138" s="19" t="n"/>
      <c r="C138" s="18" t="n"/>
      <c r="D138" s="15" t="n"/>
      <c r="E138" s="15" t="n"/>
      <c r="F138" s="15" t="n"/>
      <c r="G138" s="15" t="n"/>
      <c r="H138" s="15" t="n"/>
      <c r="I138" s="21" t="n"/>
      <c r="J138" s="16">
        <f>IF(C138="","",IF(D138="Monthly",B138*12,IF(D138="Weekly",B138*52,IF(D138="Biweekly",B138*26,IF(D138="Twice Monthly",B138*24,IF(D138="Quarterly",B138*4,IF(D138="Annually",B138,IF(D138="One-time",B138,""))))))))</f>
        <v/>
      </c>
      <c r="K138" s="20">
        <f>IF(C138="","",MONTH(C138))</f>
        <v/>
      </c>
      <c r="L138" s="20">
        <f>IF(C138="","",YEAR(C138))</f>
        <v/>
      </c>
      <c r="M138" s="20">
        <f>IF(C138="","",DAY(C138))</f>
        <v/>
      </c>
    </row>
    <row r="139">
      <c r="A139" s="15" t="n"/>
      <c r="B139" s="19" t="n"/>
      <c r="C139" s="18" t="n"/>
      <c r="D139" s="15" t="n"/>
      <c r="E139" s="15" t="n"/>
      <c r="F139" s="15" t="n"/>
      <c r="G139" s="15" t="n"/>
      <c r="H139" s="15" t="n"/>
      <c r="I139" s="21" t="n"/>
      <c r="J139" s="16">
        <f>IF(C139="","",IF(D139="Monthly",B139*12,IF(D139="Weekly",B139*52,IF(D139="Biweekly",B139*26,IF(D139="Twice Monthly",B139*24,IF(D139="Quarterly",B139*4,IF(D139="Annually",B139,IF(D139="One-time",B139,""))))))))</f>
        <v/>
      </c>
      <c r="K139" s="20">
        <f>IF(C139="","",MONTH(C139))</f>
        <v/>
      </c>
      <c r="L139" s="20">
        <f>IF(C139="","",YEAR(C139))</f>
        <v/>
      </c>
      <c r="M139" s="20">
        <f>IF(C139="","",DAY(C139))</f>
        <v/>
      </c>
    </row>
    <row r="140">
      <c r="A140" s="15" t="n"/>
      <c r="B140" s="19" t="n"/>
      <c r="C140" s="18" t="n"/>
      <c r="D140" s="15" t="n"/>
      <c r="E140" s="15" t="n"/>
      <c r="F140" s="15" t="n"/>
      <c r="G140" s="15" t="n"/>
      <c r="H140" s="15" t="n"/>
      <c r="I140" s="21" t="n"/>
      <c r="J140" s="16">
        <f>IF(C140="","",IF(D140="Monthly",B140*12,IF(D140="Weekly",B140*52,IF(D140="Biweekly",B140*26,IF(D140="Twice Monthly",B140*24,IF(D140="Quarterly",B140*4,IF(D140="Annually",B140,IF(D140="One-time",B140,""))))))))</f>
        <v/>
      </c>
      <c r="K140" s="20">
        <f>IF(C140="","",MONTH(C140))</f>
        <v/>
      </c>
      <c r="L140" s="20">
        <f>IF(C140="","",YEAR(C140))</f>
        <v/>
      </c>
      <c r="M140" s="20">
        <f>IF(C140="","",DAY(C140))</f>
        <v/>
      </c>
    </row>
    <row r="141">
      <c r="A141" s="15" t="n"/>
      <c r="B141" s="19" t="n"/>
      <c r="C141" s="18" t="n"/>
      <c r="D141" s="15" t="n"/>
      <c r="E141" s="15" t="n"/>
      <c r="F141" s="15" t="n"/>
      <c r="G141" s="15" t="n"/>
      <c r="H141" s="15" t="n"/>
      <c r="I141" s="21" t="n"/>
      <c r="J141" s="16">
        <f>IF(C141="","",IF(D141="Monthly",B141*12,IF(D141="Weekly",B141*52,IF(D141="Biweekly",B141*26,IF(D141="Twice Monthly",B141*24,IF(D141="Quarterly",B141*4,IF(D141="Annually",B141,IF(D141="One-time",B141,""))))))))</f>
        <v/>
      </c>
      <c r="K141" s="20">
        <f>IF(C141="","",MONTH(C141))</f>
        <v/>
      </c>
      <c r="L141" s="20">
        <f>IF(C141="","",YEAR(C141))</f>
        <v/>
      </c>
      <c r="M141" s="20">
        <f>IF(C141="","",DAY(C141))</f>
        <v/>
      </c>
    </row>
    <row r="142">
      <c r="A142" s="15" t="n"/>
      <c r="B142" s="19" t="n"/>
      <c r="C142" s="18" t="n"/>
      <c r="D142" s="15" t="n"/>
      <c r="E142" s="15" t="n"/>
      <c r="F142" s="15" t="n"/>
      <c r="G142" s="15" t="n"/>
      <c r="H142" s="15" t="n"/>
      <c r="I142" s="21" t="n"/>
      <c r="J142" s="16">
        <f>IF(C142="","",IF(D142="Monthly",B142*12,IF(D142="Weekly",B142*52,IF(D142="Biweekly",B142*26,IF(D142="Twice Monthly",B142*24,IF(D142="Quarterly",B142*4,IF(D142="Annually",B142,IF(D142="One-time",B142,""))))))))</f>
        <v/>
      </c>
      <c r="K142" s="20">
        <f>IF(C142="","",MONTH(C142))</f>
        <v/>
      </c>
      <c r="L142" s="20">
        <f>IF(C142="","",YEAR(C142))</f>
        <v/>
      </c>
      <c r="M142" s="20">
        <f>IF(C142="","",DAY(C142))</f>
        <v/>
      </c>
    </row>
    <row r="143">
      <c r="A143" s="15" t="n"/>
      <c r="B143" s="19" t="n"/>
      <c r="C143" s="18" t="n"/>
      <c r="D143" s="15" t="n"/>
      <c r="E143" s="15" t="n"/>
      <c r="F143" s="15" t="n"/>
      <c r="G143" s="15" t="n"/>
      <c r="H143" s="15" t="n"/>
      <c r="I143" s="21" t="n"/>
      <c r="J143" s="16">
        <f>IF(C143="","",IF(D143="Monthly",B143*12,IF(D143="Weekly",B143*52,IF(D143="Biweekly",B143*26,IF(D143="Twice Monthly",B143*24,IF(D143="Quarterly",B143*4,IF(D143="Annually",B143,IF(D143="One-time",B143,""))))))))</f>
        <v/>
      </c>
      <c r="K143" s="20">
        <f>IF(C143="","",MONTH(C143))</f>
        <v/>
      </c>
      <c r="L143" s="20">
        <f>IF(C143="","",YEAR(C143))</f>
        <v/>
      </c>
      <c r="M143" s="20">
        <f>IF(C143="","",DAY(C143))</f>
        <v/>
      </c>
    </row>
    <row r="144">
      <c r="A144" s="15" t="n"/>
      <c r="B144" s="19" t="n"/>
      <c r="C144" s="18" t="n"/>
      <c r="D144" s="15" t="n"/>
      <c r="E144" s="15" t="n"/>
      <c r="F144" s="15" t="n"/>
      <c r="G144" s="15" t="n"/>
      <c r="H144" s="15" t="n"/>
      <c r="I144" s="21" t="n"/>
      <c r="J144" s="16">
        <f>IF(C144="","",IF(D144="Monthly",B144*12,IF(D144="Weekly",B144*52,IF(D144="Biweekly",B144*26,IF(D144="Twice Monthly",B144*24,IF(D144="Quarterly",B144*4,IF(D144="Annually",B144,IF(D144="One-time",B144,""))))))))</f>
        <v/>
      </c>
      <c r="K144" s="20">
        <f>IF(C144="","",MONTH(C144))</f>
        <v/>
      </c>
      <c r="L144" s="20">
        <f>IF(C144="","",YEAR(C144))</f>
        <v/>
      </c>
      <c r="M144" s="20">
        <f>IF(C144="","",DAY(C144))</f>
        <v/>
      </c>
    </row>
    <row r="145">
      <c r="A145" s="15" t="n"/>
      <c r="B145" s="19" t="n"/>
      <c r="C145" s="18" t="n"/>
      <c r="D145" s="15" t="n"/>
      <c r="E145" s="15" t="n"/>
      <c r="F145" s="15" t="n"/>
      <c r="G145" s="15" t="n"/>
      <c r="H145" s="15" t="n"/>
      <c r="I145" s="21" t="n"/>
      <c r="J145" s="16">
        <f>IF(C145="","",IF(D145="Monthly",B145*12,IF(D145="Weekly",B145*52,IF(D145="Biweekly",B145*26,IF(D145="Twice Monthly",B145*24,IF(D145="Quarterly",B145*4,IF(D145="Annually",B145,IF(D145="One-time",B145,""))))))))</f>
        <v/>
      </c>
      <c r="K145" s="20">
        <f>IF(C145="","",MONTH(C145))</f>
        <v/>
      </c>
      <c r="L145" s="20">
        <f>IF(C145="","",YEAR(C145))</f>
        <v/>
      </c>
      <c r="M145" s="20">
        <f>IF(C145="","",DAY(C145))</f>
        <v/>
      </c>
    </row>
    <row r="146">
      <c r="A146" s="15" t="n"/>
      <c r="B146" s="19" t="n"/>
      <c r="C146" s="18" t="n"/>
      <c r="D146" s="15" t="n"/>
      <c r="E146" s="15" t="n"/>
      <c r="F146" s="15" t="n"/>
      <c r="G146" s="15" t="n"/>
      <c r="H146" s="15" t="n"/>
      <c r="I146" s="21" t="n"/>
      <c r="J146" s="16">
        <f>IF(C146="","",IF(D146="Monthly",B146*12,IF(D146="Weekly",B146*52,IF(D146="Biweekly",B146*26,IF(D146="Twice Monthly",B146*24,IF(D146="Quarterly",B146*4,IF(D146="Annually",B146,IF(D146="One-time",B146,""))))))))</f>
        <v/>
      </c>
      <c r="K146" s="20">
        <f>IF(C146="","",MONTH(C146))</f>
        <v/>
      </c>
      <c r="L146" s="20">
        <f>IF(C146="","",YEAR(C146))</f>
        <v/>
      </c>
      <c r="M146" s="20">
        <f>IF(C146="","",DAY(C146))</f>
        <v/>
      </c>
    </row>
    <row r="147">
      <c r="A147" s="15" t="n"/>
      <c r="B147" s="19" t="n"/>
      <c r="C147" s="18" t="n"/>
      <c r="D147" s="15" t="n"/>
      <c r="E147" s="15" t="n"/>
      <c r="F147" s="15" t="n"/>
      <c r="G147" s="15" t="n"/>
      <c r="H147" s="15" t="n"/>
      <c r="I147" s="21" t="n"/>
      <c r="J147" s="16">
        <f>IF(C147="","",IF(D147="Monthly",B147*12,IF(D147="Weekly",B147*52,IF(D147="Biweekly",B147*26,IF(D147="Twice Monthly",B147*24,IF(D147="Quarterly",B147*4,IF(D147="Annually",B147,IF(D147="One-time",B147,""))))))))</f>
        <v/>
      </c>
      <c r="K147" s="20">
        <f>IF(C147="","",MONTH(C147))</f>
        <v/>
      </c>
      <c r="L147" s="20">
        <f>IF(C147="","",YEAR(C147))</f>
        <v/>
      </c>
      <c r="M147" s="20">
        <f>IF(C147="","",DAY(C147))</f>
        <v/>
      </c>
    </row>
    <row r="148">
      <c r="A148" s="15" t="n"/>
      <c r="B148" s="19" t="n"/>
      <c r="C148" s="18" t="n"/>
      <c r="D148" s="15" t="n"/>
      <c r="E148" s="15" t="n"/>
      <c r="F148" s="15" t="n"/>
      <c r="G148" s="15" t="n"/>
      <c r="H148" s="15" t="n"/>
      <c r="I148" s="21" t="n"/>
      <c r="J148" s="16">
        <f>IF(C148="","",IF(D148="Monthly",B148*12,IF(D148="Weekly",B148*52,IF(D148="Biweekly",B148*26,IF(D148="Twice Monthly",B148*24,IF(D148="Quarterly",B148*4,IF(D148="Annually",B148,IF(D148="One-time",B148,""))))))))</f>
        <v/>
      </c>
      <c r="K148" s="20">
        <f>IF(C148="","",MONTH(C148))</f>
        <v/>
      </c>
      <c r="L148" s="20">
        <f>IF(C148="","",YEAR(C148))</f>
        <v/>
      </c>
      <c r="M148" s="20">
        <f>IF(C148="","",DAY(C148))</f>
        <v/>
      </c>
    </row>
    <row r="149">
      <c r="A149" s="15" t="n"/>
      <c r="B149" s="19" t="n"/>
      <c r="C149" s="18" t="n"/>
      <c r="D149" s="15" t="n"/>
      <c r="E149" s="15" t="n"/>
      <c r="F149" s="15" t="n"/>
      <c r="G149" s="15" t="n"/>
      <c r="H149" s="15" t="n"/>
      <c r="I149" s="21" t="n"/>
      <c r="J149" s="16">
        <f>IF(C149="","",IF(D149="Monthly",B149*12,IF(D149="Weekly",B149*52,IF(D149="Biweekly",B149*26,IF(D149="Twice Monthly",B149*24,IF(D149="Quarterly",B149*4,IF(D149="Annually",B149,IF(D149="One-time",B149,""))))))))</f>
        <v/>
      </c>
      <c r="K149" s="20">
        <f>IF(C149="","",MONTH(C149))</f>
        <v/>
      </c>
      <c r="L149" s="20">
        <f>IF(C149="","",YEAR(C149))</f>
        <v/>
      </c>
      <c r="M149" s="20">
        <f>IF(C149="","",DAY(C149))</f>
        <v/>
      </c>
    </row>
    <row r="150">
      <c r="A150" s="15" t="n"/>
      <c r="B150" s="19" t="n"/>
      <c r="C150" s="18" t="n"/>
      <c r="D150" s="15" t="n"/>
      <c r="E150" s="15" t="n"/>
      <c r="F150" s="15" t="n"/>
      <c r="G150" s="15" t="n"/>
      <c r="H150" s="15" t="n"/>
      <c r="I150" s="21" t="n"/>
      <c r="J150" s="16">
        <f>IF(C150="","",IF(D150="Monthly",B150*12,IF(D150="Weekly",B150*52,IF(D150="Biweekly",B150*26,IF(D150="Twice Monthly",B150*24,IF(D150="Quarterly",B150*4,IF(D150="Annually",B150,IF(D150="One-time",B150,""))))))))</f>
        <v/>
      </c>
      <c r="K150" s="20">
        <f>IF(C150="","",MONTH(C150))</f>
        <v/>
      </c>
      <c r="L150" s="20">
        <f>IF(C150="","",YEAR(C150))</f>
        <v/>
      </c>
      <c r="M150" s="20">
        <f>IF(C150="","",DAY(C150))</f>
        <v/>
      </c>
    </row>
    <row r="151">
      <c r="A151" s="15" t="n"/>
      <c r="B151" s="19" t="n"/>
      <c r="C151" s="18" t="n"/>
      <c r="D151" s="15" t="n"/>
      <c r="E151" s="15" t="n"/>
      <c r="F151" s="15" t="n"/>
      <c r="G151" s="15" t="n"/>
      <c r="H151" s="15" t="n"/>
      <c r="I151" s="21" t="n"/>
      <c r="J151" s="16">
        <f>IF(C151="","",IF(D151="Monthly",B151*12,IF(D151="Weekly",B151*52,IF(D151="Biweekly",B151*26,IF(D151="Twice Monthly",B151*24,IF(D151="Quarterly",B151*4,IF(D151="Annually",B151,IF(D151="One-time",B151,""))))))))</f>
        <v/>
      </c>
      <c r="K151" s="20">
        <f>IF(C151="","",MONTH(C151))</f>
        <v/>
      </c>
      <c r="L151" s="20">
        <f>IF(C151="","",YEAR(C151))</f>
        <v/>
      </c>
      <c r="M151" s="20">
        <f>IF(C151="","",DAY(C151))</f>
        <v/>
      </c>
    </row>
    <row r="152">
      <c r="A152" s="15" t="n"/>
      <c r="B152" s="19" t="n"/>
      <c r="C152" s="18" t="n"/>
      <c r="D152" s="15" t="n"/>
      <c r="E152" s="15" t="n"/>
      <c r="F152" s="15" t="n"/>
      <c r="G152" s="15" t="n"/>
      <c r="H152" s="15" t="n"/>
      <c r="I152" s="21" t="n"/>
      <c r="J152" s="16">
        <f>IF(C152="","",IF(D152="Monthly",B152*12,IF(D152="Weekly",B152*52,IF(D152="Biweekly",B152*26,IF(D152="Twice Monthly",B152*24,IF(D152="Quarterly",B152*4,IF(D152="Annually",B152,IF(D152="One-time",B152,""))))))))</f>
        <v/>
      </c>
      <c r="K152" s="20">
        <f>IF(C152="","",MONTH(C152))</f>
        <v/>
      </c>
      <c r="L152" s="20">
        <f>IF(C152="","",YEAR(C152))</f>
        <v/>
      </c>
      <c r="M152" s="20">
        <f>IF(C152="","",DAY(C152))</f>
        <v/>
      </c>
    </row>
    <row r="153">
      <c r="A153" s="15" t="n"/>
      <c r="B153" s="19" t="n"/>
      <c r="C153" s="18" t="n"/>
      <c r="D153" s="15" t="n"/>
      <c r="E153" s="15" t="n"/>
      <c r="F153" s="15" t="n"/>
      <c r="G153" s="15" t="n"/>
      <c r="H153" s="15" t="n"/>
      <c r="I153" s="21" t="n"/>
      <c r="J153" s="16">
        <f>IF(C153="","",IF(D153="Monthly",B153*12,IF(D153="Weekly",B153*52,IF(D153="Biweekly",B153*26,IF(D153="Twice Monthly",B153*24,IF(D153="Quarterly",B153*4,IF(D153="Annually",B153,IF(D153="One-time",B153,""))))))))</f>
        <v/>
      </c>
      <c r="K153" s="20">
        <f>IF(C153="","",MONTH(C153))</f>
        <v/>
      </c>
      <c r="L153" s="20">
        <f>IF(C153="","",YEAR(C153))</f>
        <v/>
      </c>
      <c r="M153" s="20">
        <f>IF(C153="","",DAY(C153))</f>
        <v/>
      </c>
    </row>
    <row r="154">
      <c r="A154" s="15" t="n"/>
      <c r="B154" s="19" t="n"/>
      <c r="C154" s="18" t="n"/>
      <c r="D154" s="15" t="n"/>
      <c r="E154" s="15" t="n"/>
      <c r="F154" s="15" t="n"/>
      <c r="G154" s="15" t="n"/>
      <c r="H154" s="15" t="n"/>
      <c r="I154" s="21" t="n"/>
      <c r="J154" s="16">
        <f>IF(C154="","",IF(D154="Monthly",B154*12,IF(D154="Weekly",B154*52,IF(D154="Biweekly",B154*26,IF(D154="Twice Monthly",B154*24,IF(D154="Quarterly",B154*4,IF(D154="Annually",B154,IF(D154="One-time",B154,""))))))))</f>
        <v/>
      </c>
      <c r="K154" s="20">
        <f>IF(C154="","",MONTH(C154))</f>
        <v/>
      </c>
      <c r="L154" s="20">
        <f>IF(C154="","",YEAR(C154))</f>
        <v/>
      </c>
      <c r="M154" s="20">
        <f>IF(C154="","",DAY(C154))</f>
        <v/>
      </c>
    </row>
    <row r="155">
      <c r="A155" s="15" t="n"/>
      <c r="B155" s="19" t="n"/>
      <c r="C155" s="18" t="n"/>
      <c r="D155" s="15" t="n"/>
      <c r="E155" s="15" t="n"/>
      <c r="F155" s="15" t="n"/>
      <c r="G155" s="15" t="n"/>
      <c r="H155" s="15" t="n"/>
      <c r="I155" s="21" t="n"/>
      <c r="J155" s="16">
        <f>IF(C155="","",IF(D155="Monthly",B155*12,IF(D155="Weekly",B155*52,IF(D155="Biweekly",B155*26,IF(D155="Twice Monthly",B155*24,IF(D155="Quarterly",B155*4,IF(D155="Annually",B155,IF(D155="One-time",B155,""))))))))</f>
        <v/>
      </c>
      <c r="K155" s="20">
        <f>IF(C155="","",MONTH(C155))</f>
        <v/>
      </c>
      <c r="L155" s="20">
        <f>IF(C155="","",YEAR(C155))</f>
        <v/>
      </c>
      <c r="M155" s="20">
        <f>IF(C155="","",DAY(C155))</f>
        <v/>
      </c>
    </row>
    <row r="156">
      <c r="A156" s="15" t="n"/>
      <c r="B156" s="19" t="n"/>
      <c r="C156" s="18" t="n"/>
      <c r="D156" s="15" t="n"/>
      <c r="E156" s="15" t="n"/>
      <c r="F156" s="15" t="n"/>
      <c r="G156" s="15" t="n"/>
      <c r="H156" s="15" t="n"/>
      <c r="I156" s="21" t="n"/>
      <c r="J156" s="16">
        <f>IF(C156="","",IF(D156="Monthly",B156*12,IF(D156="Weekly",B156*52,IF(D156="Biweekly",B156*26,IF(D156="Twice Monthly",B156*24,IF(D156="Quarterly",B156*4,IF(D156="Annually",B156,IF(D156="One-time",B156,""))))))))</f>
        <v/>
      </c>
      <c r="K156" s="20">
        <f>IF(C156="","",MONTH(C156))</f>
        <v/>
      </c>
      <c r="L156" s="20">
        <f>IF(C156="","",YEAR(C156))</f>
        <v/>
      </c>
      <c r="M156" s="20">
        <f>IF(C156="","",DAY(C156))</f>
        <v/>
      </c>
    </row>
    <row r="157">
      <c r="A157" s="15" t="n"/>
      <c r="B157" s="19" t="n"/>
      <c r="C157" s="18" t="n"/>
      <c r="D157" s="15" t="n"/>
      <c r="E157" s="15" t="n"/>
      <c r="F157" s="15" t="n"/>
      <c r="G157" s="15" t="n"/>
      <c r="H157" s="15" t="n"/>
      <c r="I157" s="21" t="n"/>
      <c r="J157" s="16">
        <f>IF(C157="","",IF(D157="Monthly",B157*12,IF(D157="Weekly",B157*52,IF(D157="Biweekly",B157*26,IF(D157="Twice Monthly",B157*24,IF(D157="Quarterly",B157*4,IF(D157="Annually",B157,IF(D157="One-time",B157,""))))))))</f>
        <v/>
      </c>
      <c r="K157" s="20">
        <f>IF(C157="","",MONTH(C157))</f>
        <v/>
      </c>
      <c r="L157" s="20">
        <f>IF(C157="","",YEAR(C157))</f>
        <v/>
      </c>
      <c r="M157" s="20">
        <f>IF(C157="","",DAY(C157))</f>
        <v/>
      </c>
    </row>
    <row r="158">
      <c r="A158" s="15" t="n"/>
      <c r="B158" s="19" t="n"/>
      <c r="C158" s="18" t="n"/>
      <c r="D158" s="15" t="n"/>
      <c r="E158" s="15" t="n"/>
      <c r="F158" s="15" t="n"/>
      <c r="G158" s="15" t="n"/>
      <c r="H158" s="15" t="n"/>
      <c r="I158" s="21" t="n"/>
      <c r="J158" s="16">
        <f>IF(C158="","",IF(D158="Monthly",B158*12,IF(D158="Weekly",B158*52,IF(D158="Biweekly",B158*26,IF(D158="Twice Monthly",B158*24,IF(D158="Quarterly",B158*4,IF(D158="Annually",B158,IF(D158="One-time",B158,""))))))))</f>
        <v/>
      </c>
      <c r="K158" s="20">
        <f>IF(C158="","",MONTH(C158))</f>
        <v/>
      </c>
      <c r="L158" s="20">
        <f>IF(C158="","",YEAR(C158))</f>
        <v/>
      </c>
      <c r="M158" s="20">
        <f>IF(C158="","",DAY(C158))</f>
        <v/>
      </c>
    </row>
    <row r="159">
      <c r="A159" s="15" t="n"/>
      <c r="B159" s="19" t="n"/>
      <c r="C159" s="18" t="n"/>
      <c r="D159" s="15" t="n"/>
      <c r="E159" s="15" t="n"/>
      <c r="F159" s="15" t="n"/>
      <c r="G159" s="15" t="n"/>
      <c r="H159" s="15" t="n"/>
      <c r="I159" s="21" t="n"/>
      <c r="J159" s="16">
        <f>IF(C159="","",IF(D159="Monthly",B159*12,IF(D159="Weekly",B159*52,IF(D159="Biweekly",B159*26,IF(D159="Twice Monthly",B159*24,IF(D159="Quarterly",B159*4,IF(D159="Annually",B159,IF(D159="One-time",B159,""))))))))</f>
        <v/>
      </c>
      <c r="K159" s="20">
        <f>IF(C159="","",MONTH(C159))</f>
        <v/>
      </c>
      <c r="L159" s="20">
        <f>IF(C159="","",YEAR(C159))</f>
        <v/>
      </c>
      <c r="M159" s="20">
        <f>IF(C159="","",DAY(C159))</f>
        <v/>
      </c>
    </row>
    <row r="160">
      <c r="A160" s="15" t="n"/>
      <c r="B160" s="19" t="n"/>
      <c r="C160" s="18" t="n"/>
      <c r="D160" s="15" t="n"/>
      <c r="E160" s="15" t="n"/>
      <c r="F160" s="15" t="n"/>
      <c r="G160" s="15" t="n"/>
      <c r="H160" s="15" t="n"/>
      <c r="I160" s="21" t="n"/>
      <c r="J160" s="16">
        <f>IF(C160="","",IF(D160="Monthly",B160*12,IF(D160="Weekly",B160*52,IF(D160="Biweekly",B160*26,IF(D160="Twice Monthly",B160*24,IF(D160="Quarterly",B160*4,IF(D160="Annually",B160,IF(D160="One-time",B160,""))))))))</f>
        <v/>
      </c>
      <c r="K160" s="20">
        <f>IF(C160="","",MONTH(C160))</f>
        <v/>
      </c>
      <c r="L160" s="20">
        <f>IF(C160="","",YEAR(C160))</f>
        <v/>
      </c>
      <c r="M160" s="20">
        <f>IF(C160="","",DAY(C160))</f>
        <v/>
      </c>
    </row>
    <row r="161">
      <c r="A161" s="15" t="n"/>
      <c r="B161" s="19" t="n"/>
      <c r="C161" s="18" t="n"/>
      <c r="D161" s="15" t="n"/>
      <c r="E161" s="15" t="n"/>
      <c r="F161" s="15" t="n"/>
      <c r="G161" s="15" t="n"/>
      <c r="H161" s="15" t="n"/>
      <c r="I161" s="21" t="n"/>
      <c r="J161" s="16">
        <f>IF(C161="","",IF(D161="Monthly",B161*12,IF(D161="Weekly",B161*52,IF(D161="Biweekly",B161*26,IF(D161="Twice Monthly",B161*24,IF(D161="Quarterly",B161*4,IF(D161="Annually",B161,IF(D161="One-time",B161,""))))))))</f>
        <v/>
      </c>
      <c r="K161" s="20">
        <f>IF(C161="","",MONTH(C161))</f>
        <v/>
      </c>
      <c r="L161" s="20">
        <f>IF(C161="","",YEAR(C161))</f>
        <v/>
      </c>
      <c r="M161" s="20">
        <f>IF(C161="","",DAY(C161))</f>
        <v/>
      </c>
    </row>
    <row r="162">
      <c r="A162" s="15" t="n"/>
      <c r="B162" s="19" t="n"/>
      <c r="C162" s="18" t="n"/>
      <c r="D162" s="15" t="n"/>
      <c r="E162" s="15" t="n"/>
      <c r="F162" s="15" t="n"/>
      <c r="G162" s="15" t="n"/>
      <c r="H162" s="15" t="n"/>
      <c r="I162" s="21" t="n"/>
      <c r="J162" s="16">
        <f>IF(C162="","",IF(D162="Monthly",B162*12,IF(D162="Weekly",B162*52,IF(D162="Biweekly",B162*26,IF(D162="Twice Monthly",B162*24,IF(D162="Quarterly",B162*4,IF(D162="Annually",B162,IF(D162="One-time",B162,""))))))))</f>
        <v/>
      </c>
      <c r="K162" s="20">
        <f>IF(C162="","",MONTH(C162))</f>
        <v/>
      </c>
      <c r="L162" s="20">
        <f>IF(C162="","",YEAR(C162))</f>
        <v/>
      </c>
      <c r="M162" s="20">
        <f>IF(C162="","",DAY(C162))</f>
        <v/>
      </c>
    </row>
    <row r="163">
      <c r="A163" s="15" t="n"/>
      <c r="B163" s="19" t="n"/>
      <c r="C163" s="18" t="n"/>
      <c r="D163" s="15" t="n"/>
      <c r="E163" s="15" t="n"/>
      <c r="F163" s="15" t="n"/>
      <c r="G163" s="15" t="n"/>
      <c r="H163" s="15" t="n"/>
      <c r="I163" s="21" t="n"/>
      <c r="J163" s="16">
        <f>IF(C163="","",IF(D163="Monthly",B163*12,IF(D163="Weekly",B163*52,IF(D163="Biweekly",B163*26,IF(D163="Twice Monthly",B163*24,IF(D163="Quarterly",B163*4,IF(D163="Annually",B163,IF(D163="One-time",B163,""))))))))</f>
        <v/>
      </c>
      <c r="K163" s="20">
        <f>IF(C163="","",MONTH(C163))</f>
        <v/>
      </c>
      <c r="L163" s="20">
        <f>IF(C163="","",YEAR(C163))</f>
        <v/>
      </c>
      <c r="M163" s="20">
        <f>IF(C163="","",DAY(C163))</f>
        <v/>
      </c>
    </row>
    <row r="164">
      <c r="A164" s="15" t="n"/>
      <c r="B164" s="19" t="n"/>
      <c r="C164" s="18" t="n"/>
      <c r="D164" s="15" t="n"/>
      <c r="E164" s="15" t="n"/>
      <c r="F164" s="15" t="n"/>
      <c r="G164" s="15" t="n"/>
      <c r="H164" s="15" t="n"/>
      <c r="I164" s="21" t="n"/>
      <c r="J164" s="16">
        <f>IF(C164="","",IF(D164="Monthly",B164*12,IF(D164="Weekly",B164*52,IF(D164="Biweekly",B164*26,IF(D164="Twice Monthly",B164*24,IF(D164="Quarterly",B164*4,IF(D164="Annually",B164,IF(D164="One-time",B164,""))))))))</f>
        <v/>
      </c>
      <c r="K164" s="20">
        <f>IF(C164="","",MONTH(C164))</f>
        <v/>
      </c>
      <c r="L164" s="20">
        <f>IF(C164="","",YEAR(C164))</f>
        <v/>
      </c>
      <c r="M164" s="20">
        <f>IF(C164="","",DAY(C164))</f>
        <v/>
      </c>
    </row>
    <row r="165">
      <c r="A165" s="15" t="n"/>
      <c r="B165" s="19" t="n"/>
      <c r="C165" s="18" t="n"/>
      <c r="D165" s="15" t="n"/>
      <c r="E165" s="15" t="n"/>
      <c r="F165" s="15" t="n"/>
      <c r="G165" s="15" t="n"/>
      <c r="H165" s="15" t="n"/>
      <c r="I165" s="21" t="n"/>
      <c r="J165" s="16">
        <f>IF(C165="","",IF(D165="Monthly",B165*12,IF(D165="Weekly",B165*52,IF(D165="Biweekly",B165*26,IF(D165="Twice Monthly",B165*24,IF(D165="Quarterly",B165*4,IF(D165="Annually",B165,IF(D165="One-time",B165,""))))))))</f>
        <v/>
      </c>
      <c r="K165" s="20">
        <f>IF(C165="","",MONTH(C165))</f>
        <v/>
      </c>
      <c r="L165" s="20">
        <f>IF(C165="","",YEAR(C165))</f>
        <v/>
      </c>
      <c r="M165" s="20">
        <f>IF(C165="","",DAY(C165))</f>
        <v/>
      </c>
    </row>
    <row r="166">
      <c r="A166" s="15" t="n"/>
      <c r="B166" s="19" t="n"/>
      <c r="C166" s="18" t="n"/>
      <c r="D166" s="15" t="n"/>
      <c r="E166" s="15" t="n"/>
      <c r="F166" s="15" t="n"/>
      <c r="G166" s="15" t="n"/>
      <c r="H166" s="15" t="n"/>
      <c r="I166" s="21" t="n"/>
      <c r="J166" s="16">
        <f>IF(C166="","",IF(D166="Monthly",B166*12,IF(D166="Weekly",B166*52,IF(D166="Biweekly",B166*26,IF(D166="Twice Monthly",B166*24,IF(D166="Quarterly",B166*4,IF(D166="Annually",B166,IF(D166="One-time",B166,""))))))))</f>
        <v/>
      </c>
      <c r="K166" s="20">
        <f>IF(C166="","",MONTH(C166))</f>
        <v/>
      </c>
      <c r="L166" s="20">
        <f>IF(C166="","",YEAR(C166))</f>
        <v/>
      </c>
      <c r="M166" s="20">
        <f>IF(C166="","",DAY(C166))</f>
        <v/>
      </c>
    </row>
    <row r="167">
      <c r="A167" s="15" t="n"/>
      <c r="B167" s="19" t="n"/>
      <c r="C167" s="18" t="n"/>
      <c r="D167" s="15" t="n"/>
      <c r="E167" s="15" t="n"/>
      <c r="F167" s="15" t="n"/>
      <c r="G167" s="15" t="n"/>
      <c r="H167" s="15" t="n"/>
      <c r="I167" s="21" t="n"/>
      <c r="J167" s="16">
        <f>IF(C167="","",IF(D167="Monthly",B167*12,IF(D167="Weekly",B167*52,IF(D167="Biweekly",B167*26,IF(D167="Twice Monthly",B167*24,IF(D167="Quarterly",B167*4,IF(D167="Annually",B167,IF(D167="One-time",B167,""))))))))</f>
        <v/>
      </c>
      <c r="K167" s="20">
        <f>IF(C167="","",MONTH(C167))</f>
        <v/>
      </c>
      <c r="L167" s="20">
        <f>IF(C167="","",YEAR(C167))</f>
        <v/>
      </c>
      <c r="M167" s="20">
        <f>IF(C167="","",DAY(C167))</f>
        <v/>
      </c>
    </row>
    <row r="168">
      <c r="A168" s="15" t="n"/>
      <c r="B168" s="19" t="n"/>
      <c r="C168" s="18" t="n"/>
      <c r="D168" s="15" t="n"/>
      <c r="E168" s="15" t="n"/>
      <c r="F168" s="15" t="n"/>
      <c r="G168" s="15" t="n"/>
      <c r="H168" s="15" t="n"/>
      <c r="I168" s="21" t="n"/>
      <c r="J168" s="16">
        <f>IF(C168="","",IF(D168="Monthly",B168*12,IF(D168="Weekly",B168*52,IF(D168="Biweekly",B168*26,IF(D168="Twice Monthly",B168*24,IF(D168="Quarterly",B168*4,IF(D168="Annually",B168,IF(D168="One-time",B168,""))))))))</f>
        <v/>
      </c>
      <c r="K168" s="20">
        <f>IF(C168="","",MONTH(C168))</f>
        <v/>
      </c>
      <c r="L168" s="20">
        <f>IF(C168="","",YEAR(C168))</f>
        <v/>
      </c>
      <c r="M168" s="20">
        <f>IF(C168="","",DAY(C168))</f>
        <v/>
      </c>
    </row>
    <row r="169">
      <c r="A169" s="15" t="n"/>
      <c r="B169" s="19" t="n"/>
      <c r="C169" s="18" t="n"/>
      <c r="D169" s="15" t="n"/>
      <c r="E169" s="15" t="n"/>
      <c r="F169" s="15" t="n"/>
      <c r="G169" s="15" t="n"/>
      <c r="H169" s="15" t="n"/>
      <c r="I169" s="21" t="n"/>
      <c r="J169" s="16">
        <f>IF(C169="","",IF(D169="Monthly",B169*12,IF(D169="Weekly",B169*52,IF(D169="Biweekly",B169*26,IF(D169="Twice Monthly",B169*24,IF(D169="Quarterly",B169*4,IF(D169="Annually",B169,IF(D169="One-time",B169,""))))))))</f>
        <v/>
      </c>
      <c r="K169" s="20">
        <f>IF(C169="","",MONTH(C169))</f>
        <v/>
      </c>
      <c r="L169" s="20">
        <f>IF(C169="","",YEAR(C169))</f>
        <v/>
      </c>
      <c r="M169" s="20">
        <f>IF(C169="","",DAY(C169))</f>
        <v/>
      </c>
    </row>
    <row r="170">
      <c r="A170" s="15" t="n"/>
      <c r="B170" s="19" t="n"/>
      <c r="C170" s="18" t="n"/>
      <c r="D170" s="15" t="n"/>
      <c r="E170" s="15" t="n"/>
      <c r="F170" s="15" t="n"/>
      <c r="G170" s="15" t="n"/>
      <c r="H170" s="15" t="n"/>
      <c r="I170" s="21" t="n"/>
      <c r="J170" s="16">
        <f>IF(C170="","",IF(D170="Monthly",B170*12,IF(D170="Weekly",B170*52,IF(D170="Biweekly",B170*26,IF(D170="Twice Monthly",B170*24,IF(D170="Quarterly",B170*4,IF(D170="Annually",B170,IF(D170="One-time",B170,""))))))))</f>
        <v/>
      </c>
      <c r="K170" s="20">
        <f>IF(C170="","",MONTH(C170))</f>
        <v/>
      </c>
      <c r="L170" s="20">
        <f>IF(C170="","",YEAR(C170))</f>
        <v/>
      </c>
      <c r="M170" s="20">
        <f>IF(C170="","",DAY(C170))</f>
        <v/>
      </c>
    </row>
    <row r="171">
      <c r="A171" s="15" t="n"/>
      <c r="B171" s="19" t="n"/>
      <c r="C171" s="18" t="n"/>
      <c r="D171" s="15" t="n"/>
      <c r="E171" s="15" t="n"/>
      <c r="F171" s="15" t="n"/>
      <c r="G171" s="15" t="n"/>
      <c r="H171" s="15" t="n"/>
      <c r="I171" s="21" t="n"/>
      <c r="J171" s="16">
        <f>IF(C171="","",IF(D171="Monthly",B171*12,IF(D171="Weekly",B171*52,IF(D171="Biweekly",B171*26,IF(D171="Twice Monthly",B171*24,IF(D171="Quarterly",B171*4,IF(D171="Annually",B171,IF(D171="One-time",B171,""))))))))</f>
        <v/>
      </c>
      <c r="K171" s="20">
        <f>IF(C171="","",MONTH(C171))</f>
        <v/>
      </c>
      <c r="L171" s="20">
        <f>IF(C171="","",YEAR(C171))</f>
        <v/>
      </c>
      <c r="M171" s="20">
        <f>IF(C171="","",DAY(C171))</f>
        <v/>
      </c>
    </row>
    <row r="172">
      <c r="A172" s="15" t="n"/>
      <c r="B172" s="19" t="n"/>
      <c r="C172" s="18" t="n"/>
      <c r="D172" s="15" t="n"/>
      <c r="E172" s="15" t="n"/>
      <c r="F172" s="15" t="n"/>
      <c r="G172" s="15" t="n"/>
      <c r="H172" s="15" t="n"/>
      <c r="I172" s="21" t="n"/>
      <c r="J172" s="16">
        <f>IF(C172="","",IF(D172="Monthly",B172*12,IF(D172="Weekly",B172*52,IF(D172="Biweekly",B172*26,IF(D172="Twice Monthly",B172*24,IF(D172="Quarterly",B172*4,IF(D172="Annually",B172,IF(D172="One-time",B172,""))))))))</f>
        <v/>
      </c>
      <c r="K172" s="20">
        <f>IF(C172="","",MONTH(C172))</f>
        <v/>
      </c>
      <c r="L172" s="20">
        <f>IF(C172="","",YEAR(C172))</f>
        <v/>
      </c>
      <c r="M172" s="20">
        <f>IF(C172="","",DAY(C172))</f>
        <v/>
      </c>
    </row>
    <row r="173">
      <c r="A173" s="15" t="n"/>
      <c r="B173" s="19" t="n"/>
      <c r="C173" s="18" t="n"/>
      <c r="D173" s="15" t="n"/>
      <c r="E173" s="15" t="n"/>
      <c r="F173" s="15" t="n"/>
      <c r="G173" s="15" t="n"/>
      <c r="H173" s="15" t="n"/>
      <c r="I173" s="21" t="n"/>
      <c r="J173" s="16">
        <f>IF(C173="","",IF(D173="Monthly",B173*12,IF(D173="Weekly",B173*52,IF(D173="Biweekly",B173*26,IF(D173="Twice Monthly",B173*24,IF(D173="Quarterly",B173*4,IF(D173="Annually",B173,IF(D173="One-time",B173,""))))))))</f>
        <v/>
      </c>
      <c r="K173" s="20">
        <f>IF(C173="","",MONTH(C173))</f>
        <v/>
      </c>
      <c r="L173" s="20">
        <f>IF(C173="","",YEAR(C173))</f>
        <v/>
      </c>
      <c r="M173" s="20">
        <f>IF(C173="","",DAY(C173))</f>
        <v/>
      </c>
    </row>
    <row r="174">
      <c r="A174" s="15" t="n"/>
      <c r="B174" s="19" t="n"/>
      <c r="C174" s="18" t="n"/>
      <c r="D174" s="15" t="n"/>
      <c r="E174" s="15" t="n"/>
      <c r="F174" s="15" t="n"/>
      <c r="G174" s="15" t="n"/>
      <c r="H174" s="15" t="n"/>
      <c r="I174" s="21" t="n"/>
      <c r="J174" s="16">
        <f>IF(C174="","",IF(D174="Monthly",B174*12,IF(D174="Weekly",B174*52,IF(D174="Biweekly",B174*26,IF(D174="Twice Monthly",B174*24,IF(D174="Quarterly",B174*4,IF(D174="Annually",B174,IF(D174="One-time",B174,""))))))))</f>
        <v/>
      </c>
      <c r="K174" s="20">
        <f>IF(C174="","",MONTH(C174))</f>
        <v/>
      </c>
      <c r="L174" s="20">
        <f>IF(C174="","",YEAR(C174))</f>
        <v/>
      </c>
      <c r="M174" s="20">
        <f>IF(C174="","",DAY(C174))</f>
        <v/>
      </c>
    </row>
    <row r="175">
      <c r="A175" s="15" t="n"/>
      <c r="B175" s="19" t="n"/>
      <c r="C175" s="18" t="n"/>
      <c r="D175" s="15" t="n"/>
      <c r="E175" s="15" t="n"/>
      <c r="F175" s="15" t="n"/>
      <c r="G175" s="15" t="n"/>
      <c r="H175" s="15" t="n"/>
      <c r="I175" s="21" t="n"/>
      <c r="J175" s="16">
        <f>IF(C175="","",IF(D175="Monthly",B175*12,IF(D175="Weekly",B175*52,IF(D175="Biweekly",B175*26,IF(D175="Twice Monthly",B175*24,IF(D175="Quarterly",B175*4,IF(D175="Annually",B175,IF(D175="One-time",B175,""))))))))</f>
        <v/>
      </c>
      <c r="K175" s="20">
        <f>IF(C175="","",MONTH(C175))</f>
        <v/>
      </c>
      <c r="L175" s="20">
        <f>IF(C175="","",YEAR(C175))</f>
        <v/>
      </c>
      <c r="M175" s="20">
        <f>IF(C175="","",DAY(C175))</f>
        <v/>
      </c>
    </row>
    <row r="176">
      <c r="A176" s="15" t="n"/>
      <c r="B176" s="19" t="n"/>
      <c r="C176" s="18" t="n"/>
      <c r="D176" s="15" t="n"/>
      <c r="E176" s="15" t="n"/>
      <c r="F176" s="15" t="n"/>
      <c r="G176" s="15" t="n"/>
      <c r="H176" s="15" t="n"/>
      <c r="I176" s="21" t="n"/>
      <c r="J176" s="16">
        <f>IF(C176="","",IF(D176="Monthly",B176*12,IF(D176="Weekly",B176*52,IF(D176="Biweekly",B176*26,IF(D176="Twice Monthly",B176*24,IF(D176="Quarterly",B176*4,IF(D176="Annually",B176,IF(D176="One-time",B176,""))))))))</f>
        <v/>
      </c>
      <c r="K176" s="20">
        <f>IF(C176="","",MONTH(C176))</f>
        <v/>
      </c>
      <c r="L176" s="20">
        <f>IF(C176="","",YEAR(C176))</f>
        <v/>
      </c>
      <c r="M176" s="20">
        <f>IF(C176="","",DAY(C176))</f>
        <v/>
      </c>
    </row>
    <row r="177">
      <c r="A177" s="15" t="n"/>
      <c r="B177" s="19" t="n"/>
      <c r="C177" s="18" t="n"/>
      <c r="D177" s="15" t="n"/>
      <c r="E177" s="15" t="n"/>
      <c r="F177" s="15" t="n"/>
      <c r="G177" s="15" t="n"/>
      <c r="H177" s="15" t="n"/>
      <c r="I177" s="21" t="n"/>
      <c r="J177" s="16">
        <f>IF(C177="","",IF(D177="Monthly",B177*12,IF(D177="Weekly",B177*52,IF(D177="Biweekly",B177*26,IF(D177="Twice Monthly",B177*24,IF(D177="Quarterly",B177*4,IF(D177="Annually",B177,IF(D177="One-time",B177,""))))))))</f>
        <v/>
      </c>
      <c r="K177" s="20">
        <f>IF(C177="","",MONTH(C177))</f>
        <v/>
      </c>
      <c r="L177" s="20">
        <f>IF(C177="","",YEAR(C177))</f>
        <v/>
      </c>
      <c r="M177" s="20">
        <f>IF(C177="","",DAY(C177))</f>
        <v/>
      </c>
    </row>
    <row r="178">
      <c r="A178" s="15" t="n"/>
      <c r="B178" s="19" t="n"/>
      <c r="C178" s="18" t="n"/>
      <c r="D178" s="15" t="n"/>
      <c r="E178" s="15" t="n"/>
      <c r="F178" s="15" t="n"/>
      <c r="G178" s="15" t="n"/>
      <c r="H178" s="15" t="n"/>
      <c r="I178" s="21" t="n"/>
      <c r="J178" s="16">
        <f>IF(C178="","",IF(D178="Monthly",B178*12,IF(D178="Weekly",B178*52,IF(D178="Biweekly",B178*26,IF(D178="Twice Monthly",B178*24,IF(D178="Quarterly",B178*4,IF(D178="Annually",B178,IF(D178="One-time",B178,""))))))))</f>
        <v/>
      </c>
      <c r="K178" s="20">
        <f>IF(C178="","",MONTH(C178))</f>
        <v/>
      </c>
      <c r="L178" s="20">
        <f>IF(C178="","",YEAR(C178))</f>
        <v/>
      </c>
      <c r="M178" s="20">
        <f>IF(C178="","",DAY(C178))</f>
        <v/>
      </c>
    </row>
    <row r="179">
      <c r="A179" s="15" t="n"/>
      <c r="B179" s="19" t="n"/>
      <c r="C179" s="18" t="n"/>
      <c r="D179" s="15" t="n"/>
      <c r="E179" s="15" t="n"/>
      <c r="F179" s="15" t="n"/>
      <c r="G179" s="15" t="n"/>
      <c r="H179" s="15" t="n"/>
      <c r="I179" s="21" t="n"/>
      <c r="J179" s="16">
        <f>IF(C179="","",IF(D179="Monthly",B179*12,IF(D179="Weekly",B179*52,IF(D179="Biweekly",B179*26,IF(D179="Twice Monthly",B179*24,IF(D179="Quarterly",B179*4,IF(D179="Annually",B179,IF(D179="One-time",B179,""))))))))</f>
        <v/>
      </c>
      <c r="K179" s="20">
        <f>IF(C179="","",MONTH(C179))</f>
        <v/>
      </c>
      <c r="L179" s="20">
        <f>IF(C179="","",YEAR(C179))</f>
        <v/>
      </c>
      <c r="M179" s="20">
        <f>IF(C179="","",DAY(C179))</f>
        <v/>
      </c>
    </row>
    <row r="180">
      <c r="A180" s="15" t="n"/>
      <c r="B180" s="19" t="n"/>
      <c r="C180" s="18" t="n"/>
      <c r="D180" s="15" t="n"/>
      <c r="E180" s="15" t="n"/>
      <c r="F180" s="15" t="n"/>
      <c r="G180" s="15" t="n"/>
      <c r="H180" s="15" t="n"/>
      <c r="I180" s="21" t="n"/>
      <c r="J180" s="16">
        <f>IF(C180="","",IF(D180="Monthly",B180*12,IF(D180="Weekly",B180*52,IF(D180="Biweekly",B180*26,IF(D180="Twice Monthly",B180*24,IF(D180="Quarterly",B180*4,IF(D180="Annually",B180,IF(D180="One-time",B180,""))))))))</f>
        <v/>
      </c>
      <c r="K180" s="20">
        <f>IF(C180="","",MONTH(C180))</f>
        <v/>
      </c>
      <c r="L180" s="20">
        <f>IF(C180="","",YEAR(C180))</f>
        <v/>
      </c>
      <c r="M180" s="20">
        <f>IF(C180="","",DAY(C180))</f>
        <v/>
      </c>
    </row>
    <row r="181">
      <c r="A181" s="15" t="n"/>
      <c r="B181" s="19" t="n"/>
      <c r="C181" s="18" t="n"/>
      <c r="D181" s="15" t="n"/>
      <c r="E181" s="15" t="n"/>
      <c r="F181" s="15" t="n"/>
      <c r="G181" s="15" t="n"/>
      <c r="H181" s="15" t="n"/>
      <c r="I181" s="21" t="n"/>
      <c r="J181" s="16">
        <f>IF(C181="","",IF(D181="Monthly",B181*12,IF(D181="Weekly",B181*52,IF(D181="Biweekly",B181*26,IF(D181="Twice Monthly",B181*24,IF(D181="Quarterly",B181*4,IF(D181="Annually",B181,IF(D181="One-time",B181,""))))))))</f>
        <v/>
      </c>
      <c r="K181" s="20">
        <f>IF(C181="","",MONTH(C181))</f>
        <v/>
      </c>
      <c r="L181" s="20">
        <f>IF(C181="","",YEAR(C181))</f>
        <v/>
      </c>
      <c r="M181" s="20">
        <f>IF(C181="","",DAY(C181))</f>
        <v/>
      </c>
    </row>
    <row r="182">
      <c r="A182" s="15" t="n"/>
      <c r="B182" s="19" t="n"/>
      <c r="C182" s="18" t="n"/>
      <c r="D182" s="15" t="n"/>
      <c r="E182" s="15" t="n"/>
      <c r="F182" s="15" t="n"/>
      <c r="G182" s="15" t="n"/>
      <c r="H182" s="15" t="n"/>
      <c r="I182" s="21" t="n"/>
      <c r="J182" s="16">
        <f>IF(C182="","",IF(D182="Monthly",B182*12,IF(D182="Weekly",B182*52,IF(D182="Biweekly",B182*26,IF(D182="Twice Monthly",B182*24,IF(D182="Quarterly",B182*4,IF(D182="Annually",B182,IF(D182="One-time",B182,""))))))))</f>
        <v/>
      </c>
      <c r="K182" s="20">
        <f>IF(C182="","",MONTH(C182))</f>
        <v/>
      </c>
      <c r="L182" s="20">
        <f>IF(C182="","",YEAR(C182))</f>
        <v/>
      </c>
      <c r="M182" s="20">
        <f>IF(C182="","",DAY(C182))</f>
        <v/>
      </c>
    </row>
    <row r="183">
      <c r="A183" s="15" t="n"/>
      <c r="B183" s="19" t="n"/>
      <c r="C183" s="18" t="n"/>
      <c r="D183" s="15" t="n"/>
      <c r="E183" s="15" t="n"/>
      <c r="F183" s="15" t="n"/>
      <c r="G183" s="15" t="n"/>
      <c r="H183" s="15" t="n"/>
      <c r="I183" s="21" t="n"/>
      <c r="J183" s="16">
        <f>IF(C183="","",IF(D183="Monthly",B183*12,IF(D183="Weekly",B183*52,IF(D183="Biweekly",B183*26,IF(D183="Twice Monthly",B183*24,IF(D183="Quarterly",B183*4,IF(D183="Annually",B183,IF(D183="One-time",B183,""))))))))</f>
        <v/>
      </c>
      <c r="K183" s="20">
        <f>IF(C183="","",MONTH(C183))</f>
        <v/>
      </c>
      <c r="L183" s="20">
        <f>IF(C183="","",YEAR(C183))</f>
        <v/>
      </c>
      <c r="M183" s="20">
        <f>IF(C183="","",DAY(C183))</f>
        <v/>
      </c>
    </row>
    <row r="184">
      <c r="A184" s="15" t="n"/>
      <c r="B184" s="19" t="n"/>
      <c r="C184" s="18" t="n"/>
      <c r="D184" s="15" t="n"/>
      <c r="E184" s="15" t="n"/>
      <c r="F184" s="15" t="n"/>
      <c r="G184" s="15" t="n"/>
      <c r="H184" s="15" t="n"/>
      <c r="I184" s="21" t="n"/>
      <c r="J184" s="16">
        <f>IF(C184="","",IF(D184="Monthly",B184*12,IF(D184="Weekly",B184*52,IF(D184="Biweekly",B184*26,IF(D184="Twice Monthly",B184*24,IF(D184="Quarterly",B184*4,IF(D184="Annually",B184,IF(D184="One-time",B184,""))))))))</f>
        <v/>
      </c>
      <c r="K184" s="20">
        <f>IF(C184="","",MONTH(C184))</f>
        <v/>
      </c>
      <c r="L184" s="20">
        <f>IF(C184="","",YEAR(C184))</f>
        <v/>
      </c>
      <c r="M184" s="20">
        <f>IF(C184="","",DAY(C184))</f>
        <v/>
      </c>
    </row>
    <row r="185">
      <c r="A185" s="15" t="n"/>
      <c r="B185" s="19" t="n"/>
      <c r="C185" s="18" t="n"/>
      <c r="D185" s="15" t="n"/>
      <c r="E185" s="15" t="n"/>
      <c r="F185" s="15" t="n"/>
      <c r="G185" s="15" t="n"/>
      <c r="H185" s="15" t="n"/>
      <c r="I185" s="21" t="n"/>
      <c r="J185" s="16">
        <f>IF(C185="","",IF(D185="Monthly",B185*12,IF(D185="Weekly",B185*52,IF(D185="Biweekly",B185*26,IF(D185="Twice Monthly",B185*24,IF(D185="Quarterly",B185*4,IF(D185="Annually",B185,IF(D185="One-time",B185,""))))))))</f>
        <v/>
      </c>
      <c r="K185" s="20">
        <f>IF(C185="","",MONTH(C185))</f>
        <v/>
      </c>
      <c r="L185" s="20">
        <f>IF(C185="","",YEAR(C185))</f>
        <v/>
      </c>
      <c r="M185" s="20">
        <f>IF(C185="","",DAY(C185))</f>
        <v/>
      </c>
    </row>
    <row r="186">
      <c r="A186" s="15" t="n"/>
      <c r="B186" s="19" t="n"/>
      <c r="C186" s="18" t="n"/>
      <c r="D186" s="15" t="n"/>
      <c r="E186" s="15" t="n"/>
      <c r="F186" s="15" t="n"/>
      <c r="G186" s="15" t="n"/>
      <c r="H186" s="15" t="n"/>
      <c r="I186" s="21" t="n"/>
      <c r="J186" s="16">
        <f>IF(C186="","",IF(D186="Monthly",B186*12,IF(D186="Weekly",B186*52,IF(D186="Biweekly",B186*26,IF(D186="Twice Monthly",B186*24,IF(D186="Quarterly",B186*4,IF(D186="Annually",B186,IF(D186="One-time",B186,""))))))))</f>
        <v/>
      </c>
      <c r="K186" s="20">
        <f>IF(C186="","",MONTH(C186))</f>
        <v/>
      </c>
      <c r="L186" s="20">
        <f>IF(C186="","",YEAR(C186))</f>
        <v/>
      </c>
      <c r="M186" s="20">
        <f>IF(C186="","",DAY(C186))</f>
        <v/>
      </c>
    </row>
    <row r="187">
      <c r="A187" s="15" t="n"/>
      <c r="B187" s="19" t="n"/>
      <c r="C187" s="18" t="n"/>
      <c r="D187" s="15" t="n"/>
      <c r="E187" s="15" t="n"/>
      <c r="F187" s="15" t="n"/>
      <c r="G187" s="15" t="n"/>
      <c r="H187" s="15" t="n"/>
      <c r="I187" s="21" t="n"/>
      <c r="J187" s="16">
        <f>IF(C187="","",IF(D187="Monthly",B187*12,IF(D187="Weekly",B187*52,IF(D187="Biweekly",B187*26,IF(D187="Twice Monthly",B187*24,IF(D187="Quarterly",B187*4,IF(D187="Annually",B187,IF(D187="One-time",B187,""))))))))</f>
        <v/>
      </c>
      <c r="K187" s="20">
        <f>IF(C187="","",MONTH(C187))</f>
        <v/>
      </c>
      <c r="L187" s="20">
        <f>IF(C187="","",YEAR(C187))</f>
        <v/>
      </c>
      <c r="M187" s="20">
        <f>IF(C187="","",DAY(C187))</f>
        <v/>
      </c>
    </row>
    <row r="188">
      <c r="A188" s="15" t="n"/>
      <c r="B188" s="19" t="n"/>
      <c r="C188" s="18" t="n"/>
      <c r="D188" s="15" t="n"/>
      <c r="E188" s="15" t="n"/>
      <c r="F188" s="15" t="n"/>
      <c r="G188" s="15" t="n"/>
      <c r="H188" s="15" t="n"/>
      <c r="I188" s="21" t="n"/>
      <c r="J188" s="16">
        <f>IF(C188="","",IF(D188="Monthly",B188*12,IF(D188="Weekly",B188*52,IF(D188="Biweekly",B188*26,IF(D188="Twice Monthly",B188*24,IF(D188="Quarterly",B188*4,IF(D188="Annually",B188,IF(D188="One-time",B188,""))))))))</f>
        <v/>
      </c>
      <c r="K188" s="20">
        <f>IF(C188="","",MONTH(C188))</f>
        <v/>
      </c>
      <c r="L188" s="20">
        <f>IF(C188="","",YEAR(C188))</f>
        <v/>
      </c>
      <c r="M188" s="20">
        <f>IF(C188="","",DAY(C188))</f>
        <v/>
      </c>
    </row>
    <row r="189">
      <c r="A189" s="15" t="n"/>
      <c r="B189" s="19" t="n"/>
      <c r="C189" s="18" t="n"/>
      <c r="D189" s="15" t="n"/>
      <c r="E189" s="15" t="n"/>
      <c r="F189" s="15" t="n"/>
      <c r="G189" s="15" t="n"/>
      <c r="H189" s="15" t="n"/>
      <c r="I189" s="21" t="n"/>
      <c r="J189" s="16">
        <f>IF(C189="","",IF(D189="Monthly",B189*12,IF(D189="Weekly",B189*52,IF(D189="Biweekly",B189*26,IF(D189="Twice Monthly",B189*24,IF(D189="Quarterly",B189*4,IF(D189="Annually",B189,IF(D189="One-time",B189,""))))))))</f>
        <v/>
      </c>
      <c r="K189" s="20">
        <f>IF(C189="","",MONTH(C189))</f>
        <v/>
      </c>
      <c r="L189" s="20">
        <f>IF(C189="","",YEAR(C189))</f>
        <v/>
      </c>
      <c r="M189" s="20">
        <f>IF(C189="","",DAY(C189))</f>
        <v/>
      </c>
    </row>
    <row r="190">
      <c r="A190" s="15" t="n"/>
      <c r="B190" s="19" t="n"/>
      <c r="C190" s="18" t="n"/>
      <c r="D190" s="15" t="n"/>
      <c r="E190" s="15" t="n"/>
      <c r="F190" s="15" t="n"/>
      <c r="G190" s="15" t="n"/>
      <c r="H190" s="15" t="n"/>
      <c r="I190" s="21" t="n"/>
      <c r="J190" s="16">
        <f>IF(C190="","",IF(D190="Monthly",B190*12,IF(D190="Weekly",B190*52,IF(D190="Biweekly",B190*26,IF(D190="Twice Monthly",B190*24,IF(D190="Quarterly",B190*4,IF(D190="Annually",B190,IF(D190="One-time",B190,""))))))))</f>
        <v/>
      </c>
      <c r="K190" s="20">
        <f>IF(C190="","",MONTH(C190))</f>
        <v/>
      </c>
      <c r="L190" s="20">
        <f>IF(C190="","",YEAR(C190))</f>
        <v/>
      </c>
      <c r="M190" s="20">
        <f>IF(C190="","",DAY(C190))</f>
        <v/>
      </c>
    </row>
    <row r="191">
      <c r="A191" s="15" t="n"/>
      <c r="B191" s="19" t="n"/>
      <c r="C191" s="18" t="n"/>
      <c r="D191" s="15" t="n"/>
      <c r="E191" s="15" t="n"/>
      <c r="F191" s="15" t="n"/>
      <c r="G191" s="15" t="n"/>
      <c r="H191" s="15" t="n"/>
      <c r="I191" s="21" t="n"/>
      <c r="J191" s="16">
        <f>IF(C191="","",IF(D191="Monthly",B191*12,IF(D191="Weekly",B191*52,IF(D191="Biweekly",B191*26,IF(D191="Twice Monthly",B191*24,IF(D191="Quarterly",B191*4,IF(D191="Annually",B191,IF(D191="One-time",B191,""))))))))</f>
        <v/>
      </c>
      <c r="K191" s="20">
        <f>IF(C191="","",MONTH(C191))</f>
        <v/>
      </c>
      <c r="L191" s="20">
        <f>IF(C191="","",YEAR(C191))</f>
        <v/>
      </c>
      <c r="M191" s="20">
        <f>IF(C191="","",DAY(C191))</f>
        <v/>
      </c>
    </row>
    <row r="192">
      <c r="A192" s="15" t="n"/>
      <c r="B192" s="19" t="n"/>
      <c r="C192" s="18" t="n"/>
      <c r="D192" s="15" t="n"/>
      <c r="E192" s="15" t="n"/>
      <c r="F192" s="15" t="n"/>
      <c r="G192" s="15" t="n"/>
      <c r="H192" s="15" t="n"/>
      <c r="I192" s="21" t="n"/>
      <c r="J192" s="16">
        <f>IF(C192="","",IF(D192="Monthly",B192*12,IF(D192="Weekly",B192*52,IF(D192="Biweekly",B192*26,IF(D192="Twice Monthly",B192*24,IF(D192="Quarterly",B192*4,IF(D192="Annually",B192,IF(D192="One-time",B192,""))))))))</f>
        <v/>
      </c>
      <c r="K192" s="20">
        <f>IF(C192="","",MONTH(C192))</f>
        <v/>
      </c>
      <c r="L192" s="20">
        <f>IF(C192="","",YEAR(C192))</f>
        <v/>
      </c>
      <c r="M192" s="20">
        <f>IF(C192="","",DAY(C192))</f>
        <v/>
      </c>
    </row>
    <row r="193">
      <c r="A193" s="15" t="n"/>
      <c r="B193" s="19" t="n"/>
      <c r="C193" s="18" t="n"/>
      <c r="D193" s="15" t="n"/>
      <c r="E193" s="15" t="n"/>
      <c r="F193" s="15" t="n"/>
      <c r="G193" s="15" t="n"/>
      <c r="H193" s="15" t="n"/>
      <c r="I193" s="21" t="n"/>
      <c r="J193" s="16">
        <f>IF(C193="","",IF(D193="Monthly",B193*12,IF(D193="Weekly",B193*52,IF(D193="Biweekly",B193*26,IF(D193="Twice Monthly",B193*24,IF(D193="Quarterly",B193*4,IF(D193="Annually",B193,IF(D193="One-time",B193,""))))))))</f>
        <v/>
      </c>
      <c r="K193" s="20">
        <f>IF(C193="","",MONTH(C193))</f>
        <v/>
      </c>
      <c r="L193" s="20">
        <f>IF(C193="","",YEAR(C193))</f>
        <v/>
      </c>
      <c r="M193" s="20">
        <f>IF(C193="","",DAY(C193))</f>
        <v/>
      </c>
    </row>
    <row r="194">
      <c r="A194" s="15" t="n"/>
      <c r="B194" s="19" t="n"/>
      <c r="C194" s="18" t="n"/>
      <c r="D194" s="15" t="n"/>
      <c r="E194" s="15" t="n"/>
      <c r="F194" s="15" t="n"/>
      <c r="G194" s="15" t="n"/>
      <c r="H194" s="15" t="n"/>
      <c r="I194" s="21" t="n"/>
      <c r="J194" s="16">
        <f>IF(C194="","",IF(D194="Monthly",B194*12,IF(D194="Weekly",B194*52,IF(D194="Biweekly",B194*26,IF(D194="Twice Monthly",B194*24,IF(D194="Quarterly",B194*4,IF(D194="Annually",B194,IF(D194="One-time",B194,""))))))))</f>
        <v/>
      </c>
      <c r="K194" s="20">
        <f>IF(C194="","",MONTH(C194))</f>
        <v/>
      </c>
      <c r="L194" s="20">
        <f>IF(C194="","",YEAR(C194))</f>
        <v/>
      </c>
      <c r="M194" s="20">
        <f>IF(C194="","",DAY(C194))</f>
        <v/>
      </c>
    </row>
    <row r="195">
      <c r="A195" s="15" t="n"/>
      <c r="B195" s="19" t="n"/>
      <c r="C195" s="18" t="n"/>
      <c r="D195" s="15" t="n"/>
      <c r="E195" s="15" t="n"/>
      <c r="F195" s="15" t="n"/>
      <c r="G195" s="15" t="n"/>
      <c r="H195" s="15" t="n"/>
      <c r="I195" s="21" t="n"/>
      <c r="J195" s="16">
        <f>IF(C195="","",IF(D195="Monthly",B195*12,IF(D195="Weekly",B195*52,IF(D195="Biweekly",B195*26,IF(D195="Twice Monthly",B195*24,IF(D195="Quarterly",B195*4,IF(D195="Annually",B195,IF(D195="One-time",B195,""))))))))</f>
        <v/>
      </c>
      <c r="K195" s="20">
        <f>IF(C195="","",MONTH(C195))</f>
        <v/>
      </c>
      <c r="L195" s="20">
        <f>IF(C195="","",YEAR(C195))</f>
        <v/>
      </c>
      <c r="M195" s="20">
        <f>IF(C195="","",DAY(C195))</f>
        <v/>
      </c>
    </row>
    <row r="196">
      <c r="A196" s="15" t="n"/>
      <c r="B196" s="19" t="n"/>
      <c r="C196" s="18" t="n"/>
      <c r="D196" s="15" t="n"/>
      <c r="E196" s="15" t="n"/>
      <c r="F196" s="15" t="n"/>
      <c r="G196" s="15" t="n"/>
      <c r="H196" s="15" t="n"/>
      <c r="I196" s="21" t="n"/>
      <c r="J196" s="16">
        <f>IF(C196="","",IF(D196="Monthly",B196*12,IF(D196="Weekly",B196*52,IF(D196="Biweekly",B196*26,IF(D196="Twice Monthly",B196*24,IF(D196="Quarterly",B196*4,IF(D196="Annually",B196,IF(D196="One-time",B196,""))))))))</f>
        <v/>
      </c>
      <c r="K196" s="20">
        <f>IF(C196="","",MONTH(C196))</f>
        <v/>
      </c>
      <c r="L196" s="20">
        <f>IF(C196="","",YEAR(C196))</f>
        <v/>
      </c>
      <c r="M196" s="20">
        <f>IF(C196="","",DAY(C196))</f>
        <v/>
      </c>
    </row>
    <row r="197">
      <c r="A197" s="15" t="n"/>
      <c r="B197" s="19" t="n"/>
      <c r="C197" s="18" t="n"/>
      <c r="D197" s="15" t="n"/>
      <c r="E197" s="15" t="n"/>
      <c r="F197" s="15" t="n"/>
      <c r="G197" s="15" t="n"/>
      <c r="H197" s="15" t="n"/>
      <c r="I197" s="21" t="n"/>
      <c r="J197" s="16">
        <f>IF(C197="","",IF(D197="Monthly",B197*12,IF(D197="Weekly",B197*52,IF(D197="Biweekly",B197*26,IF(D197="Twice Monthly",B197*24,IF(D197="Quarterly",B197*4,IF(D197="Annually",B197,IF(D197="One-time",B197,""))))))))</f>
        <v/>
      </c>
      <c r="K197" s="20">
        <f>IF(C197="","",MONTH(C197))</f>
        <v/>
      </c>
      <c r="L197" s="20">
        <f>IF(C197="","",YEAR(C197))</f>
        <v/>
      </c>
      <c r="M197" s="20">
        <f>IF(C197="","",DAY(C197))</f>
        <v/>
      </c>
    </row>
    <row r="198">
      <c r="A198" s="15" t="n"/>
      <c r="B198" s="19" t="n"/>
      <c r="C198" s="18" t="n"/>
      <c r="D198" s="15" t="n"/>
      <c r="E198" s="15" t="n"/>
      <c r="F198" s="15" t="n"/>
      <c r="G198" s="15" t="n"/>
      <c r="H198" s="15" t="n"/>
      <c r="I198" s="21" t="n"/>
      <c r="J198" s="16">
        <f>IF(C198="","",IF(D198="Monthly",B198*12,IF(D198="Weekly",B198*52,IF(D198="Biweekly",B198*26,IF(D198="Twice Monthly",B198*24,IF(D198="Quarterly",B198*4,IF(D198="Annually",B198,IF(D198="One-time",B198,""))))))))</f>
        <v/>
      </c>
      <c r="K198" s="20">
        <f>IF(C198="","",MONTH(C198))</f>
        <v/>
      </c>
      <c r="L198" s="20">
        <f>IF(C198="","",YEAR(C198))</f>
        <v/>
      </c>
      <c r="M198" s="20">
        <f>IF(C198="","",DAY(C198))</f>
        <v/>
      </c>
    </row>
    <row r="199">
      <c r="A199" s="15" t="n"/>
      <c r="B199" s="19" t="n"/>
      <c r="C199" s="18" t="n"/>
      <c r="D199" s="15" t="n"/>
      <c r="E199" s="15" t="n"/>
      <c r="F199" s="15" t="n"/>
      <c r="G199" s="15" t="n"/>
      <c r="H199" s="15" t="n"/>
      <c r="I199" s="21" t="n"/>
      <c r="J199" s="16">
        <f>IF(C199="","",IF(D199="Monthly",B199*12,IF(D199="Weekly",B199*52,IF(D199="Biweekly",B199*26,IF(D199="Twice Monthly",B199*24,IF(D199="Quarterly",B199*4,IF(D199="Annually",B199,IF(D199="One-time",B199,""))))))))</f>
        <v/>
      </c>
      <c r="K199" s="20">
        <f>IF(C199="","",MONTH(C199))</f>
        <v/>
      </c>
      <c r="L199" s="20">
        <f>IF(C199="","",YEAR(C199))</f>
        <v/>
      </c>
      <c r="M199" s="20">
        <f>IF(C199="","",DAY(C199))</f>
        <v/>
      </c>
    </row>
    <row r="200">
      <c r="A200" s="15" t="n"/>
      <c r="B200" s="19" t="n"/>
      <c r="C200" s="18" t="n"/>
      <c r="D200" s="15" t="n"/>
      <c r="E200" s="15" t="n"/>
      <c r="F200" s="15" t="n"/>
      <c r="G200" s="15" t="n"/>
      <c r="H200" s="15" t="n"/>
      <c r="I200" s="21" t="n"/>
      <c r="J200" s="16">
        <f>IF(C200="","",IF(D200="Monthly",B200*12,IF(D200="Weekly",B200*52,IF(D200="Biweekly",B200*26,IF(D200="Twice Monthly",B200*24,IF(D200="Quarterly",B200*4,IF(D200="Annually",B200,IF(D200="One-time",B200,""))))))))</f>
        <v/>
      </c>
      <c r="K200" s="20">
        <f>IF(C200="","",MONTH(C200))</f>
        <v/>
      </c>
      <c r="L200" s="20">
        <f>IF(C200="","",YEAR(C200))</f>
        <v/>
      </c>
      <c r="M200" s="20">
        <f>IF(C200="","",DAY(C200))</f>
        <v/>
      </c>
    </row>
    <row r="201">
      <c r="A201" s="15" t="n"/>
      <c r="B201" s="19" t="n"/>
      <c r="C201" s="18" t="n"/>
      <c r="D201" s="15" t="n"/>
      <c r="E201" s="15" t="n"/>
      <c r="F201" s="15" t="n"/>
      <c r="G201" s="15" t="n"/>
      <c r="H201" s="15" t="n"/>
      <c r="I201" s="21" t="n"/>
      <c r="J201" s="16">
        <f>IF(C201="","",IF(D201="Monthly",B201*12,IF(D201="Weekly",B201*52,IF(D201="Biweekly",B201*26,IF(D201="Twice Monthly",B201*24,IF(D201="Quarterly",B201*4,IF(D201="Annually",B201,IF(D201="One-time",B201,""))))))))</f>
        <v/>
      </c>
      <c r="K201" s="20">
        <f>IF(C201="","",MONTH(C201))</f>
        <v/>
      </c>
      <c r="L201" s="20">
        <f>IF(C201="","",YEAR(C201))</f>
        <v/>
      </c>
      <c r="M201" s="20">
        <f>IF(C201="","",DAY(C201))</f>
        <v/>
      </c>
    </row>
    <row r="202">
      <c r="A202" s="15" t="n"/>
      <c r="B202" s="19" t="n"/>
      <c r="C202" s="18" t="n"/>
      <c r="D202" s="15" t="n"/>
      <c r="E202" s="15" t="n"/>
      <c r="F202" s="15" t="n"/>
      <c r="G202" s="15" t="n"/>
      <c r="H202" s="15" t="n"/>
      <c r="I202" s="21" t="n"/>
      <c r="J202" s="16">
        <f>IF(C202="","",IF(D202="Monthly",B202*12,IF(D202="Weekly",B202*52,IF(D202="Biweekly",B202*26,IF(D202="Twice Monthly",B202*24,IF(D202="Quarterly",B202*4,IF(D202="Annually",B202,IF(D202="One-time",B202,""))))))))</f>
        <v/>
      </c>
      <c r="K202" s="20">
        <f>IF(C202="","",MONTH(C202))</f>
        <v/>
      </c>
      <c r="L202" s="20">
        <f>IF(C202="","",YEAR(C202))</f>
        <v/>
      </c>
      <c r="M202" s="20">
        <f>IF(C202="","",DAY(C202))</f>
        <v/>
      </c>
    </row>
    <row r="203">
      <c r="A203" s="15" t="n"/>
      <c r="B203" s="19" t="n"/>
      <c r="C203" s="18" t="n"/>
      <c r="D203" s="15" t="n"/>
      <c r="E203" s="15" t="n"/>
      <c r="F203" s="15" t="n"/>
      <c r="G203" s="15" t="n"/>
      <c r="H203" s="15" t="n"/>
      <c r="I203" s="21" t="n"/>
      <c r="J203" s="16">
        <f>IF(C203="","",IF(D203="Monthly",B203*12,IF(D203="Weekly",B203*52,IF(D203="Biweekly",B203*26,IF(D203="Twice Monthly",B203*24,IF(D203="Quarterly",B203*4,IF(D203="Annually",B203,IF(D203="One-time",B203,""))))))))</f>
        <v/>
      </c>
      <c r="K203" s="20">
        <f>IF(C203="","",MONTH(C203))</f>
        <v/>
      </c>
      <c r="L203" s="20">
        <f>IF(C203="","",YEAR(C203))</f>
        <v/>
      </c>
      <c r="M203" s="20">
        <f>IF(C203="","",DAY(C203))</f>
        <v/>
      </c>
    </row>
    <row r="204">
      <c r="A204" s="15" t="n"/>
      <c r="B204" s="19" t="n"/>
      <c r="C204" s="18" t="n"/>
      <c r="D204" s="15" t="n"/>
      <c r="E204" s="15" t="n"/>
      <c r="F204" s="15" t="n"/>
      <c r="G204" s="15" t="n"/>
      <c r="H204" s="15" t="n"/>
      <c r="I204" s="21" t="n"/>
      <c r="J204" s="16">
        <f>IF(C204="","",IF(D204="Monthly",B204*12,IF(D204="Weekly",B204*52,IF(D204="Biweekly",B204*26,IF(D204="Twice Monthly",B204*24,IF(D204="Quarterly",B204*4,IF(D204="Annually",B204,IF(D204="One-time",B204,""))))))))</f>
        <v/>
      </c>
      <c r="K204" s="20">
        <f>IF(C204="","",MONTH(C204))</f>
        <v/>
      </c>
      <c r="L204" s="20">
        <f>IF(C204="","",YEAR(C204))</f>
        <v/>
      </c>
      <c r="M204" s="20">
        <f>IF(C204="","",DAY(C204))</f>
        <v/>
      </c>
    </row>
    <row r="205">
      <c r="A205" s="15" t="n"/>
      <c r="B205" s="19" t="n"/>
      <c r="C205" s="18" t="n"/>
      <c r="D205" s="15" t="n"/>
      <c r="E205" s="15" t="n"/>
      <c r="F205" s="15" t="n"/>
      <c r="G205" s="15" t="n"/>
      <c r="H205" s="15" t="n"/>
      <c r="I205" s="21" t="n"/>
      <c r="J205" s="16">
        <f>IF(C205="","",IF(D205="Monthly",B205*12,IF(D205="Weekly",B205*52,IF(D205="Biweekly",B205*26,IF(D205="Twice Monthly",B205*24,IF(D205="Quarterly",B205*4,IF(D205="Annually",B205,IF(D205="One-time",B205,""))))))))</f>
        <v/>
      </c>
      <c r="K205" s="20">
        <f>IF(C205="","",MONTH(C205))</f>
        <v/>
      </c>
      <c r="L205" s="20">
        <f>IF(C205="","",YEAR(C205))</f>
        <v/>
      </c>
      <c r="M205" s="20">
        <f>IF(C205="","",DAY(C205))</f>
        <v/>
      </c>
    </row>
    <row r="206">
      <c r="A206" s="15" t="n"/>
      <c r="B206" s="19" t="n"/>
      <c r="C206" s="18" t="n"/>
      <c r="D206" s="15" t="n"/>
      <c r="E206" s="15" t="n"/>
      <c r="F206" s="15" t="n"/>
      <c r="G206" s="15" t="n"/>
      <c r="H206" s="15" t="n"/>
      <c r="I206" s="21" t="n"/>
      <c r="J206" s="16">
        <f>IF(C206="","",IF(D206="Monthly",B206*12,IF(D206="Weekly",B206*52,IF(D206="Biweekly",B206*26,IF(D206="Twice Monthly",B206*24,IF(D206="Quarterly",B206*4,IF(D206="Annually",B206,IF(D206="One-time",B206,""))))))))</f>
        <v/>
      </c>
      <c r="K206" s="20">
        <f>IF(C206="","",MONTH(C206))</f>
        <v/>
      </c>
      <c r="L206" s="20">
        <f>IF(C206="","",YEAR(C206))</f>
        <v/>
      </c>
      <c r="M206" s="20">
        <f>IF(C206="","",DAY(C206))</f>
        <v/>
      </c>
    </row>
    <row r="207">
      <c r="A207" s="15" t="n"/>
      <c r="B207" s="19" t="n"/>
      <c r="C207" s="18" t="n"/>
      <c r="D207" s="15" t="n"/>
      <c r="E207" s="15" t="n"/>
      <c r="F207" s="15" t="n"/>
      <c r="G207" s="15" t="n"/>
      <c r="H207" s="15" t="n"/>
      <c r="I207" s="21" t="n"/>
      <c r="J207" s="16">
        <f>IF(C207="","",IF(D207="Monthly",B207*12,IF(D207="Weekly",B207*52,IF(D207="Biweekly",B207*26,IF(D207="Twice Monthly",B207*24,IF(D207="Quarterly",B207*4,IF(D207="Annually",B207,IF(D207="One-time",B207,""))))))))</f>
        <v/>
      </c>
      <c r="K207" s="20">
        <f>IF(C207="","",MONTH(C207))</f>
        <v/>
      </c>
      <c r="L207" s="20">
        <f>IF(C207="","",YEAR(C207))</f>
        <v/>
      </c>
      <c r="M207" s="20">
        <f>IF(C207="","",DAY(C207))</f>
        <v/>
      </c>
    </row>
    <row r="208">
      <c r="A208" s="15" t="n"/>
      <c r="B208" s="19" t="n"/>
      <c r="C208" s="18" t="n"/>
      <c r="D208" s="15" t="n"/>
      <c r="E208" s="15" t="n"/>
      <c r="F208" s="15" t="n"/>
      <c r="G208" s="15" t="n"/>
      <c r="H208" s="15" t="n"/>
      <c r="I208" s="21" t="n"/>
      <c r="J208" s="16">
        <f>IF(C208="","",IF(D208="Monthly",B208*12,IF(D208="Weekly",B208*52,IF(D208="Biweekly",B208*26,IF(D208="Twice Monthly",B208*24,IF(D208="Quarterly",B208*4,IF(D208="Annually",B208,IF(D208="One-time",B208,""))))))))</f>
        <v/>
      </c>
      <c r="K208" s="20">
        <f>IF(C208="","",MONTH(C208))</f>
        <v/>
      </c>
      <c r="L208" s="20">
        <f>IF(C208="","",YEAR(C208))</f>
        <v/>
      </c>
      <c r="M208" s="20">
        <f>IF(C208="","",DAY(C208))</f>
        <v/>
      </c>
    </row>
    <row r="209">
      <c r="A209" s="15" t="n"/>
      <c r="B209" s="19" t="n"/>
      <c r="C209" s="18" t="n"/>
      <c r="D209" s="15" t="n"/>
      <c r="E209" s="15" t="n"/>
      <c r="F209" s="15" t="n"/>
      <c r="G209" s="15" t="n"/>
      <c r="H209" s="15" t="n"/>
      <c r="I209" s="21" t="n"/>
      <c r="J209" s="16">
        <f>IF(C209="","",IF(D209="Monthly",B209*12,IF(D209="Weekly",B209*52,IF(D209="Biweekly",B209*26,IF(D209="Twice Monthly",B209*24,IF(D209="Quarterly",B209*4,IF(D209="Annually",B209,IF(D209="One-time",B209,""))))))))</f>
        <v/>
      </c>
      <c r="K209" s="20">
        <f>IF(C209="","",MONTH(C209))</f>
        <v/>
      </c>
      <c r="L209" s="20">
        <f>IF(C209="","",YEAR(C209))</f>
        <v/>
      </c>
      <c r="M209" s="20">
        <f>IF(C209="","",DAY(C209))</f>
        <v/>
      </c>
    </row>
    <row r="210">
      <c r="A210" s="15" t="n"/>
      <c r="B210" s="19" t="n"/>
      <c r="C210" s="18" t="n"/>
      <c r="D210" s="15" t="n"/>
      <c r="E210" s="15" t="n"/>
      <c r="F210" s="15" t="n"/>
      <c r="G210" s="15" t="n"/>
      <c r="H210" s="15" t="n"/>
      <c r="I210" s="21" t="n"/>
      <c r="J210" s="16">
        <f>IF(C210="","",IF(D210="Monthly",B210*12,IF(D210="Weekly",B210*52,IF(D210="Biweekly",B210*26,IF(D210="Twice Monthly",B210*24,IF(D210="Quarterly",B210*4,IF(D210="Annually",B210,IF(D210="One-time",B210,""))))))))</f>
        <v/>
      </c>
      <c r="K210" s="20">
        <f>IF(C210="","",MONTH(C210))</f>
        <v/>
      </c>
      <c r="L210" s="20">
        <f>IF(C210="","",YEAR(C210))</f>
        <v/>
      </c>
      <c r="M210" s="20">
        <f>IF(C210="","",DAY(C210))</f>
        <v/>
      </c>
    </row>
    <row r="211">
      <c r="A211" s="15" t="n"/>
      <c r="B211" s="19" t="n"/>
      <c r="C211" s="18" t="n"/>
      <c r="D211" s="15" t="n"/>
      <c r="E211" s="15" t="n"/>
      <c r="F211" s="15" t="n"/>
      <c r="G211" s="15" t="n"/>
      <c r="H211" s="15" t="n"/>
      <c r="I211" s="21" t="n"/>
      <c r="J211" s="16">
        <f>IF(C211="","",IF(D211="Monthly",B211*12,IF(D211="Weekly",B211*52,IF(D211="Biweekly",B211*26,IF(D211="Twice Monthly",B211*24,IF(D211="Quarterly",B211*4,IF(D211="Annually",B211,IF(D211="One-time",B211,""))))))))</f>
        <v/>
      </c>
      <c r="K211" s="20">
        <f>IF(C211="","",MONTH(C211))</f>
        <v/>
      </c>
      <c r="L211" s="20">
        <f>IF(C211="","",YEAR(C211))</f>
        <v/>
      </c>
      <c r="M211" s="20">
        <f>IF(C211="","",DAY(C211))</f>
        <v/>
      </c>
    </row>
    <row r="212">
      <c r="A212" s="15" t="n"/>
      <c r="B212" s="19" t="n"/>
      <c r="C212" s="18" t="n"/>
      <c r="D212" s="15" t="n"/>
      <c r="E212" s="15" t="n"/>
      <c r="F212" s="15" t="n"/>
      <c r="G212" s="15" t="n"/>
      <c r="H212" s="15" t="n"/>
      <c r="I212" s="21" t="n"/>
      <c r="J212" s="16">
        <f>IF(C212="","",IF(D212="Monthly",B212*12,IF(D212="Weekly",B212*52,IF(D212="Biweekly",B212*26,IF(D212="Twice Monthly",B212*24,IF(D212="Quarterly",B212*4,IF(D212="Annually",B212,IF(D212="One-time",B212,""))))))))</f>
        <v/>
      </c>
      <c r="K212" s="20">
        <f>IF(C212="","",MONTH(C212))</f>
        <v/>
      </c>
      <c r="L212" s="20">
        <f>IF(C212="","",YEAR(C212))</f>
        <v/>
      </c>
      <c r="M212" s="20">
        <f>IF(C212="","",DAY(C212))</f>
        <v/>
      </c>
    </row>
    <row r="213">
      <c r="A213" s="15" t="n"/>
      <c r="B213" s="19" t="n"/>
      <c r="C213" s="18" t="n"/>
      <c r="D213" s="15" t="n"/>
      <c r="E213" s="15" t="n"/>
      <c r="F213" s="15" t="n"/>
      <c r="G213" s="15" t="n"/>
      <c r="H213" s="15" t="n"/>
      <c r="I213" s="21" t="n"/>
      <c r="J213" s="16">
        <f>IF(C213="","",IF(D213="Monthly",B213*12,IF(D213="Weekly",B213*52,IF(D213="Biweekly",B213*26,IF(D213="Twice Monthly",B213*24,IF(D213="Quarterly",B213*4,IF(D213="Annually",B213,IF(D213="One-time",B213,""))))))))</f>
        <v/>
      </c>
      <c r="K213" s="20">
        <f>IF(C213="","",MONTH(C213))</f>
        <v/>
      </c>
      <c r="L213" s="20">
        <f>IF(C213="","",YEAR(C213))</f>
        <v/>
      </c>
      <c r="M213" s="20">
        <f>IF(C213="","",DAY(C213))</f>
        <v/>
      </c>
    </row>
    <row r="214">
      <c r="A214" s="15" t="n"/>
      <c r="B214" s="19" t="n"/>
      <c r="C214" s="18" t="n"/>
      <c r="D214" s="15" t="n"/>
      <c r="E214" s="15" t="n"/>
      <c r="F214" s="15" t="n"/>
      <c r="G214" s="15" t="n"/>
      <c r="H214" s="15" t="n"/>
      <c r="I214" s="21" t="n"/>
      <c r="J214" s="16">
        <f>IF(C214="","",IF(D214="Monthly",B214*12,IF(D214="Weekly",B214*52,IF(D214="Biweekly",B214*26,IF(D214="Twice Monthly",B214*24,IF(D214="Quarterly",B214*4,IF(D214="Annually",B214,IF(D214="One-time",B214,""))))))))</f>
        <v/>
      </c>
      <c r="K214" s="20">
        <f>IF(C214="","",MONTH(C214))</f>
        <v/>
      </c>
      <c r="L214" s="20">
        <f>IF(C214="","",YEAR(C214))</f>
        <v/>
      </c>
      <c r="M214" s="20">
        <f>IF(C214="","",DAY(C214))</f>
        <v/>
      </c>
    </row>
    <row r="215">
      <c r="A215" s="15" t="n"/>
      <c r="B215" s="19" t="n"/>
      <c r="C215" s="18" t="n"/>
      <c r="D215" s="15" t="n"/>
      <c r="E215" s="15" t="n"/>
      <c r="F215" s="15" t="n"/>
      <c r="G215" s="15" t="n"/>
      <c r="H215" s="15" t="n"/>
      <c r="I215" s="21" t="n"/>
      <c r="J215" s="16">
        <f>IF(C215="","",IF(D215="Monthly",B215*12,IF(D215="Weekly",B215*52,IF(D215="Biweekly",B215*26,IF(D215="Twice Monthly",B215*24,IF(D215="Quarterly",B215*4,IF(D215="Annually",B215,IF(D215="One-time",B215,""))))))))</f>
        <v/>
      </c>
      <c r="K215" s="20">
        <f>IF(C215="","",MONTH(C215))</f>
        <v/>
      </c>
      <c r="L215" s="20">
        <f>IF(C215="","",YEAR(C215))</f>
        <v/>
      </c>
      <c r="M215" s="20">
        <f>IF(C215="","",DAY(C215))</f>
        <v/>
      </c>
    </row>
    <row r="216">
      <c r="A216" s="15" t="n"/>
      <c r="B216" s="19" t="n"/>
      <c r="C216" s="18" t="n"/>
      <c r="D216" s="15" t="n"/>
      <c r="E216" s="15" t="n"/>
      <c r="F216" s="15" t="n"/>
      <c r="G216" s="15" t="n"/>
      <c r="H216" s="15" t="n"/>
      <c r="I216" s="21" t="n"/>
      <c r="J216" s="16">
        <f>IF(C216="","",IF(D216="Monthly",B216*12,IF(D216="Weekly",B216*52,IF(D216="Biweekly",B216*26,IF(D216="Twice Monthly",B216*24,IF(D216="Quarterly",B216*4,IF(D216="Annually",B216,IF(D216="One-time",B216,""))))))))</f>
        <v/>
      </c>
      <c r="K216" s="20">
        <f>IF(C216="","",MONTH(C216))</f>
        <v/>
      </c>
      <c r="L216" s="20">
        <f>IF(C216="","",YEAR(C216))</f>
        <v/>
      </c>
      <c r="M216" s="20">
        <f>IF(C216="","",DAY(C216))</f>
        <v/>
      </c>
    </row>
    <row r="217">
      <c r="A217" s="15" t="n"/>
      <c r="B217" s="19" t="n"/>
      <c r="C217" s="18" t="n"/>
      <c r="D217" s="15" t="n"/>
      <c r="E217" s="15" t="n"/>
      <c r="F217" s="15" t="n"/>
      <c r="G217" s="15" t="n"/>
      <c r="H217" s="15" t="n"/>
      <c r="I217" s="21" t="n"/>
      <c r="J217" s="16">
        <f>IF(C217="","",IF(D217="Monthly",B217*12,IF(D217="Weekly",B217*52,IF(D217="Biweekly",B217*26,IF(D217="Twice Monthly",B217*24,IF(D217="Quarterly",B217*4,IF(D217="Annually",B217,IF(D217="One-time",B217,""))))))))</f>
        <v/>
      </c>
      <c r="K217" s="20">
        <f>IF(C217="","",MONTH(C217))</f>
        <v/>
      </c>
      <c r="L217" s="20">
        <f>IF(C217="","",YEAR(C217))</f>
        <v/>
      </c>
      <c r="M217" s="20">
        <f>IF(C217="","",DAY(C217))</f>
        <v/>
      </c>
    </row>
    <row r="218">
      <c r="A218" s="15" t="n"/>
      <c r="B218" s="19" t="n"/>
      <c r="C218" s="18" t="n"/>
      <c r="D218" s="15" t="n"/>
      <c r="E218" s="15" t="n"/>
      <c r="F218" s="15" t="n"/>
      <c r="G218" s="15" t="n"/>
      <c r="H218" s="15" t="n"/>
      <c r="I218" s="21" t="n"/>
      <c r="J218" s="16">
        <f>IF(C218="","",IF(D218="Monthly",B218*12,IF(D218="Weekly",B218*52,IF(D218="Biweekly",B218*26,IF(D218="Twice Monthly",B218*24,IF(D218="Quarterly",B218*4,IF(D218="Annually",B218,IF(D218="One-time",B218,""))))))))</f>
        <v/>
      </c>
      <c r="K218" s="20">
        <f>IF(C218="","",MONTH(C218))</f>
        <v/>
      </c>
      <c r="L218" s="20">
        <f>IF(C218="","",YEAR(C218))</f>
        <v/>
      </c>
      <c r="M218" s="20">
        <f>IF(C218="","",DAY(C218))</f>
        <v/>
      </c>
    </row>
    <row r="219">
      <c r="A219" s="15" t="n"/>
      <c r="B219" s="19" t="n"/>
      <c r="C219" s="18" t="n"/>
      <c r="D219" s="15" t="n"/>
      <c r="E219" s="15" t="n"/>
      <c r="F219" s="15" t="n"/>
      <c r="G219" s="15" t="n"/>
      <c r="H219" s="15" t="n"/>
      <c r="I219" s="21" t="n"/>
      <c r="J219" s="16">
        <f>IF(C219="","",IF(D219="Monthly",B219*12,IF(D219="Weekly",B219*52,IF(D219="Biweekly",B219*26,IF(D219="Twice Monthly",B219*24,IF(D219="Quarterly",B219*4,IF(D219="Annually",B219,IF(D219="One-time",B219,""))))))))</f>
        <v/>
      </c>
      <c r="K219" s="20">
        <f>IF(C219="","",MONTH(C219))</f>
        <v/>
      </c>
      <c r="L219" s="20">
        <f>IF(C219="","",YEAR(C219))</f>
        <v/>
      </c>
      <c r="M219" s="20">
        <f>IF(C219="","",DAY(C219))</f>
        <v/>
      </c>
    </row>
    <row r="220">
      <c r="A220" s="15" t="n"/>
      <c r="B220" s="19" t="n"/>
      <c r="C220" s="18" t="n"/>
      <c r="D220" s="15" t="n"/>
      <c r="E220" s="15" t="n"/>
      <c r="F220" s="15" t="n"/>
      <c r="G220" s="15" t="n"/>
      <c r="H220" s="15" t="n"/>
      <c r="I220" s="21" t="n"/>
      <c r="J220" s="16">
        <f>IF(C220="","",IF(D220="Monthly",B220*12,IF(D220="Weekly",B220*52,IF(D220="Biweekly",B220*26,IF(D220="Twice Monthly",B220*24,IF(D220="Quarterly",B220*4,IF(D220="Annually",B220,IF(D220="One-time",B220,""))))))))</f>
        <v/>
      </c>
      <c r="K220" s="20">
        <f>IF(C220="","",MONTH(C220))</f>
        <v/>
      </c>
      <c r="L220" s="20">
        <f>IF(C220="","",YEAR(C220))</f>
        <v/>
      </c>
      <c r="M220" s="20">
        <f>IF(C220="","",DAY(C220))</f>
        <v/>
      </c>
    </row>
    <row r="221">
      <c r="A221" s="15" t="n"/>
      <c r="B221" s="19" t="n"/>
      <c r="C221" s="18" t="n"/>
      <c r="D221" s="15" t="n"/>
      <c r="E221" s="15" t="n"/>
      <c r="F221" s="15" t="n"/>
      <c r="G221" s="15" t="n"/>
      <c r="H221" s="15" t="n"/>
      <c r="I221" s="21" t="n"/>
      <c r="J221" s="16">
        <f>IF(C221="","",IF(D221="Monthly",B221*12,IF(D221="Weekly",B221*52,IF(D221="Biweekly",B221*26,IF(D221="Twice Monthly",B221*24,IF(D221="Quarterly",B221*4,IF(D221="Annually",B221,IF(D221="One-time",B221,""))))))))</f>
        <v/>
      </c>
      <c r="K221" s="20">
        <f>IF(C221="","",MONTH(C221))</f>
        <v/>
      </c>
      <c r="L221" s="20">
        <f>IF(C221="","",YEAR(C221))</f>
        <v/>
      </c>
      <c r="M221" s="20">
        <f>IF(C221="","",DAY(C221))</f>
        <v/>
      </c>
    </row>
    <row r="222">
      <c r="A222" s="15" t="n"/>
      <c r="B222" s="19" t="n"/>
      <c r="C222" s="18" t="n"/>
      <c r="D222" s="15" t="n"/>
      <c r="E222" s="15" t="n"/>
      <c r="F222" s="15" t="n"/>
      <c r="G222" s="15" t="n"/>
      <c r="H222" s="15" t="n"/>
      <c r="I222" s="21" t="n"/>
      <c r="J222" s="16">
        <f>IF(C222="","",IF(D222="Monthly",B222*12,IF(D222="Weekly",B222*52,IF(D222="Biweekly",B222*26,IF(D222="Twice Monthly",B222*24,IF(D222="Quarterly",B222*4,IF(D222="Annually",B222,IF(D222="One-time",B222,""))))))))</f>
        <v/>
      </c>
      <c r="K222" s="20">
        <f>IF(C222="","",MONTH(C222))</f>
        <v/>
      </c>
      <c r="L222" s="20">
        <f>IF(C222="","",YEAR(C222))</f>
        <v/>
      </c>
      <c r="M222" s="20">
        <f>IF(C222="","",DAY(C222))</f>
        <v/>
      </c>
    </row>
    <row r="223">
      <c r="A223" s="15" t="n"/>
      <c r="B223" s="19" t="n"/>
      <c r="C223" s="18" t="n"/>
      <c r="D223" s="15" t="n"/>
      <c r="E223" s="15" t="n"/>
      <c r="F223" s="15" t="n"/>
      <c r="G223" s="15" t="n"/>
      <c r="H223" s="15" t="n"/>
      <c r="I223" s="21" t="n"/>
      <c r="J223" s="16">
        <f>IF(C223="","",IF(D223="Monthly",B223*12,IF(D223="Weekly",B223*52,IF(D223="Biweekly",B223*26,IF(D223="Twice Monthly",B223*24,IF(D223="Quarterly",B223*4,IF(D223="Annually",B223,IF(D223="One-time",B223,""))))))))</f>
        <v/>
      </c>
      <c r="K223" s="20">
        <f>IF(C223="","",MONTH(C223))</f>
        <v/>
      </c>
      <c r="L223" s="20">
        <f>IF(C223="","",YEAR(C223))</f>
        <v/>
      </c>
      <c r="M223" s="20">
        <f>IF(C223="","",DAY(C223))</f>
        <v/>
      </c>
    </row>
    <row r="224">
      <c r="A224" s="15" t="n"/>
      <c r="B224" s="19" t="n"/>
      <c r="C224" s="18" t="n"/>
      <c r="D224" s="15" t="n"/>
      <c r="E224" s="15" t="n"/>
      <c r="F224" s="15" t="n"/>
      <c r="G224" s="15" t="n"/>
      <c r="H224" s="15" t="n"/>
      <c r="I224" s="21" t="n"/>
      <c r="J224" s="16">
        <f>IF(C224="","",IF(D224="Monthly",B224*12,IF(D224="Weekly",B224*52,IF(D224="Biweekly",B224*26,IF(D224="Twice Monthly",B224*24,IF(D224="Quarterly",B224*4,IF(D224="Annually",B224,IF(D224="One-time",B224,""))))))))</f>
        <v/>
      </c>
      <c r="K224" s="20">
        <f>IF(C224="","",MONTH(C224))</f>
        <v/>
      </c>
      <c r="L224" s="20">
        <f>IF(C224="","",YEAR(C224))</f>
        <v/>
      </c>
      <c r="M224" s="20">
        <f>IF(C224="","",DAY(C224))</f>
        <v/>
      </c>
    </row>
    <row r="225">
      <c r="A225" s="15" t="n"/>
      <c r="B225" s="19" t="n"/>
      <c r="C225" s="18" t="n"/>
      <c r="D225" s="15" t="n"/>
      <c r="E225" s="15" t="n"/>
      <c r="F225" s="15" t="n"/>
      <c r="G225" s="15" t="n"/>
      <c r="H225" s="15" t="n"/>
      <c r="I225" s="21" t="n"/>
      <c r="J225" s="16">
        <f>IF(C225="","",IF(D225="Monthly",B225*12,IF(D225="Weekly",B225*52,IF(D225="Biweekly",B225*26,IF(D225="Twice Monthly",B225*24,IF(D225="Quarterly",B225*4,IF(D225="Annually",B225,IF(D225="One-time",B225,""))))))))</f>
        <v/>
      </c>
      <c r="K225" s="20">
        <f>IF(C225="","",MONTH(C225))</f>
        <v/>
      </c>
      <c r="L225" s="20">
        <f>IF(C225="","",YEAR(C225))</f>
        <v/>
      </c>
      <c r="M225" s="20">
        <f>IF(C225="","",DAY(C225))</f>
        <v/>
      </c>
    </row>
    <row r="226">
      <c r="A226" s="15" t="n"/>
      <c r="B226" s="19" t="n"/>
      <c r="C226" s="18" t="n"/>
      <c r="D226" s="15" t="n"/>
      <c r="E226" s="15" t="n"/>
      <c r="F226" s="15" t="n"/>
      <c r="G226" s="15" t="n"/>
      <c r="H226" s="15" t="n"/>
      <c r="I226" s="21" t="n"/>
      <c r="J226" s="16">
        <f>IF(C226="","",IF(D226="Monthly",B226*12,IF(D226="Weekly",B226*52,IF(D226="Biweekly",B226*26,IF(D226="Twice Monthly",B226*24,IF(D226="Quarterly",B226*4,IF(D226="Annually",B226,IF(D226="One-time",B226,""))))))))</f>
        <v/>
      </c>
      <c r="K226" s="20">
        <f>IF(C226="","",MONTH(C226))</f>
        <v/>
      </c>
      <c r="L226" s="20">
        <f>IF(C226="","",YEAR(C226))</f>
        <v/>
      </c>
      <c r="M226" s="20">
        <f>IF(C226="","",DAY(C226))</f>
        <v/>
      </c>
    </row>
    <row r="227">
      <c r="A227" s="15" t="n"/>
      <c r="B227" s="19" t="n"/>
      <c r="C227" s="18" t="n"/>
      <c r="D227" s="15" t="n"/>
      <c r="E227" s="15" t="n"/>
      <c r="F227" s="15" t="n"/>
      <c r="G227" s="15" t="n"/>
      <c r="H227" s="15" t="n"/>
      <c r="I227" s="21" t="n"/>
      <c r="J227" s="16">
        <f>IF(C227="","",IF(D227="Monthly",B227*12,IF(D227="Weekly",B227*52,IF(D227="Biweekly",B227*26,IF(D227="Twice Monthly",B227*24,IF(D227="Quarterly",B227*4,IF(D227="Annually",B227,IF(D227="One-time",B227,""))))))))</f>
        <v/>
      </c>
      <c r="K227" s="20">
        <f>IF(C227="","",MONTH(C227))</f>
        <v/>
      </c>
      <c r="L227" s="20">
        <f>IF(C227="","",YEAR(C227))</f>
        <v/>
      </c>
      <c r="M227" s="20">
        <f>IF(C227="","",DAY(C227))</f>
        <v/>
      </c>
    </row>
    <row r="228">
      <c r="A228" s="15" t="n"/>
      <c r="B228" s="19" t="n"/>
      <c r="C228" s="18" t="n"/>
      <c r="D228" s="15" t="n"/>
      <c r="E228" s="15" t="n"/>
      <c r="F228" s="15" t="n"/>
      <c r="G228" s="15" t="n"/>
      <c r="H228" s="15" t="n"/>
      <c r="I228" s="21" t="n"/>
      <c r="J228" s="16">
        <f>IF(C228="","",IF(D228="Monthly",B228*12,IF(D228="Weekly",B228*52,IF(D228="Biweekly",B228*26,IF(D228="Twice Monthly",B228*24,IF(D228="Quarterly",B228*4,IF(D228="Annually",B228,IF(D228="One-time",B228,""))))))))</f>
        <v/>
      </c>
      <c r="K228" s="20">
        <f>IF(C228="","",MONTH(C228))</f>
        <v/>
      </c>
      <c r="L228" s="20">
        <f>IF(C228="","",YEAR(C228))</f>
        <v/>
      </c>
      <c r="M228" s="20">
        <f>IF(C228="","",DAY(C228))</f>
        <v/>
      </c>
    </row>
    <row r="229">
      <c r="A229" s="15" t="n"/>
      <c r="B229" s="19" t="n"/>
      <c r="C229" s="18" t="n"/>
      <c r="D229" s="15" t="n"/>
      <c r="E229" s="15" t="n"/>
      <c r="F229" s="15" t="n"/>
      <c r="G229" s="15" t="n"/>
      <c r="H229" s="15" t="n"/>
      <c r="I229" s="21" t="n"/>
      <c r="J229" s="16">
        <f>IF(C229="","",IF(D229="Monthly",B229*12,IF(D229="Weekly",B229*52,IF(D229="Biweekly",B229*26,IF(D229="Twice Monthly",B229*24,IF(D229="Quarterly",B229*4,IF(D229="Annually",B229,IF(D229="One-time",B229,""))))))))</f>
        <v/>
      </c>
      <c r="K229" s="20">
        <f>IF(C229="","",MONTH(C229))</f>
        <v/>
      </c>
      <c r="L229" s="20">
        <f>IF(C229="","",YEAR(C229))</f>
        <v/>
      </c>
      <c r="M229" s="20">
        <f>IF(C229="","",DAY(C229))</f>
        <v/>
      </c>
    </row>
    <row r="230">
      <c r="A230" s="15" t="n"/>
      <c r="B230" s="19" t="n"/>
      <c r="C230" s="18" t="n"/>
      <c r="D230" s="15" t="n"/>
      <c r="E230" s="15" t="n"/>
      <c r="F230" s="15" t="n"/>
      <c r="G230" s="15" t="n"/>
      <c r="H230" s="15" t="n"/>
      <c r="I230" s="21" t="n"/>
      <c r="J230" s="16">
        <f>IF(C230="","",IF(D230="Monthly",B230*12,IF(D230="Weekly",B230*52,IF(D230="Biweekly",B230*26,IF(D230="Twice Monthly",B230*24,IF(D230="Quarterly",B230*4,IF(D230="Annually",B230,IF(D230="One-time",B230,""))))))))</f>
        <v/>
      </c>
      <c r="K230" s="20">
        <f>IF(C230="","",MONTH(C230))</f>
        <v/>
      </c>
      <c r="L230" s="20">
        <f>IF(C230="","",YEAR(C230))</f>
        <v/>
      </c>
      <c r="M230" s="20">
        <f>IF(C230="","",DAY(C230))</f>
        <v/>
      </c>
    </row>
    <row r="231">
      <c r="A231" s="15" t="n"/>
      <c r="B231" s="19" t="n"/>
      <c r="C231" s="18" t="n"/>
      <c r="D231" s="15" t="n"/>
      <c r="E231" s="15" t="n"/>
      <c r="F231" s="15" t="n"/>
      <c r="G231" s="15" t="n"/>
      <c r="H231" s="15" t="n"/>
      <c r="I231" s="21" t="n"/>
      <c r="J231" s="16">
        <f>IF(C231="","",IF(D231="Monthly",B231*12,IF(D231="Weekly",B231*52,IF(D231="Biweekly",B231*26,IF(D231="Twice Monthly",B231*24,IF(D231="Quarterly",B231*4,IF(D231="Annually",B231,IF(D231="One-time",B231,""))))))))</f>
        <v/>
      </c>
      <c r="K231" s="20">
        <f>IF(C231="","",MONTH(C231))</f>
        <v/>
      </c>
      <c r="L231" s="20">
        <f>IF(C231="","",YEAR(C231))</f>
        <v/>
      </c>
      <c r="M231" s="20">
        <f>IF(C231="","",DAY(C231))</f>
        <v/>
      </c>
    </row>
    <row r="232">
      <c r="A232" s="15" t="n"/>
      <c r="B232" s="19" t="n"/>
      <c r="C232" s="18" t="n"/>
      <c r="D232" s="15" t="n"/>
      <c r="E232" s="15" t="n"/>
      <c r="F232" s="15" t="n"/>
      <c r="G232" s="15" t="n"/>
      <c r="H232" s="15" t="n"/>
      <c r="I232" s="21" t="n"/>
      <c r="J232" s="16">
        <f>IF(C232="","",IF(D232="Monthly",B232*12,IF(D232="Weekly",B232*52,IF(D232="Biweekly",B232*26,IF(D232="Twice Monthly",B232*24,IF(D232="Quarterly",B232*4,IF(D232="Annually",B232,IF(D232="One-time",B232,""))))))))</f>
        <v/>
      </c>
      <c r="K232" s="20">
        <f>IF(C232="","",MONTH(C232))</f>
        <v/>
      </c>
      <c r="L232" s="20">
        <f>IF(C232="","",YEAR(C232))</f>
        <v/>
      </c>
      <c r="M232" s="20">
        <f>IF(C232="","",DAY(C232))</f>
        <v/>
      </c>
    </row>
    <row r="233">
      <c r="A233" s="15" t="n"/>
      <c r="B233" s="19" t="n"/>
      <c r="C233" s="18" t="n"/>
      <c r="D233" s="15" t="n"/>
      <c r="E233" s="15" t="n"/>
      <c r="F233" s="15" t="n"/>
      <c r="G233" s="15" t="n"/>
      <c r="H233" s="15" t="n"/>
      <c r="I233" s="21" t="n"/>
      <c r="J233" s="16">
        <f>IF(C233="","",IF(D233="Monthly",B233*12,IF(D233="Weekly",B233*52,IF(D233="Biweekly",B233*26,IF(D233="Twice Monthly",B233*24,IF(D233="Quarterly",B233*4,IF(D233="Annually",B233,IF(D233="One-time",B233,""))))))))</f>
        <v/>
      </c>
      <c r="K233" s="20">
        <f>IF(C233="","",MONTH(C233))</f>
        <v/>
      </c>
      <c r="L233" s="20">
        <f>IF(C233="","",YEAR(C233))</f>
        <v/>
      </c>
      <c r="M233" s="20">
        <f>IF(C233="","",DAY(C233))</f>
        <v/>
      </c>
    </row>
    <row r="234">
      <c r="A234" s="15" t="n"/>
      <c r="B234" s="19" t="n"/>
      <c r="C234" s="18" t="n"/>
      <c r="D234" s="15" t="n"/>
      <c r="E234" s="15" t="n"/>
      <c r="F234" s="15" t="n"/>
      <c r="G234" s="15" t="n"/>
      <c r="H234" s="15" t="n"/>
      <c r="I234" s="21" t="n"/>
      <c r="J234" s="16">
        <f>IF(C234="","",IF(D234="Monthly",B234*12,IF(D234="Weekly",B234*52,IF(D234="Biweekly",B234*26,IF(D234="Twice Monthly",B234*24,IF(D234="Quarterly",B234*4,IF(D234="Annually",B234,IF(D234="One-time",B234,""))))))))</f>
        <v/>
      </c>
      <c r="K234" s="20">
        <f>IF(C234="","",MONTH(C234))</f>
        <v/>
      </c>
      <c r="L234" s="20">
        <f>IF(C234="","",YEAR(C234))</f>
        <v/>
      </c>
      <c r="M234" s="20">
        <f>IF(C234="","",DAY(C234))</f>
        <v/>
      </c>
    </row>
    <row r="235">
      <c r="A235" s="15" t="n"/>
      <c r="B235" s="19" t="n"/>
      <c r="C235" s="18" t="n"/>
      <c r="D235" s="15" t="n"/>
      <c r="E235" s="15" t="n"/>
      <c r="F235" s="15" t="n"/>
      <c r="G235" s="15" t="n"/>
      <c r="H235" s="15" t="n"/>
      <c r="I235" s="21" t="n"/>
      <c r="J235" s="16">
        <f>IF(C235="","",IF(D235="Monthly",B235*12,IF(D235="Weekly",B235*52,IF(D235="Biweekly",B235*26,IF(D235="Twice Monthly",B235*24,IF(D235="Quarterly",B235*4,IF(D235="Annually",B235,IF(D235="One-time",B235,""))))))))</f>
        <v/>
      </c>
      <c r="K235" s="20">
        <f>IF(C235="","",MONTH(C235))</f>
        <v/>
      </c>
      <c r="L235" s="20">
        <f>IF(C235="","",YEAR(C235))</f>
        <v/>
      </c>
      <c r="M235" s="20">
        <f>IF(C235="","",DAY(C235))</f>
        <v/>
      </c>
    </row>
    <row r="236">
      <c r="A236" s="15" t="n"/>
      <c r="B236" s="19" t="n"/>
      <c r="C236" s="18" t="n"/>
      <c r="D236" s="15" t="n"/>
      <c r="E236" s="15" t="n"/>
      <c r="F236" s="15" t="n"/>
      <c r="G236" s="15" t="n"/>
      <c r="H236" s="15" t="n"/>
      <c r="I236" s="21" t="n"/>
      <c r="J236" s="16">
        <f>IF(C236="","",IF(D236="Monthly",B236*12,IF(D236="Weekly",B236*52,IF(D236="Biweekly",B236*26,IF(D236="Twice Monthly",B236*24,IF(D236="Quarterly",B236*4,IF(D236="Annually",B236,IF(D236="One-time",B236,""))))))))</f>
        <v/>
      </c>
      <c r="K236" s="20">
        <f>IF(C236="","",MONTH(C236))</f>
        <v/>
      </c>
      <c r="L236" s="20">
        <f>IF(C236="","",YEAR(C236))</f>
        <v/>
      </c>
      <c r="M236" s="20">
        <f>IF(C236="","",DAY(C236))</f>
        <v/>
      </c>
    </row>
    <row r="237">
      <c r="A237" s="15" t="n"/>
      <c r="B237" s="19" t="n"/>
      <c r="C237" s="18" t="n"/>
      <c r="D237" s="15" t="n"/>
      <c r="E237" s="15" t="n"/>
      <c r="F237" s="15" t="n"/>
      <c r="G237" s="15" t="n"/>
      <c r="H237" s="15" t="n"/>
      <c r="I237" s="21" t="n"/>
      <c r="J237" s="16">
        <f>IF(C237="","",IF(D237="Monthly",B237*12,IF(D237="Weekly",B237*52,IF(D237="Biweekly",B237*26,IF(D237="Twice Monthly",B237*24,IF(D237="Quarterly",B237*4,IF(D237="Annually",B237,IF(D237="One-time",B237,""))))))))</f>
        <v/>
      </c>
      <c r="K237" s="20">
        <f>IF(C237="","",MONTH(C237))</f>
        <v/>
      </c>
      <c r="L237" s="20">
        <f>IF(C237="","",YEAR(C237))</f>
        <v/>
      </c>
      <c r="M237" s="20">
        <f>IF(C237="","",DAY(C237))</f>
        <v/>
      </c>
    </row>
    <row r="238">
      <c r="A238" s="15" t="n"/>
      <c r="B238" s="19" t="n"/>
      <c r="C238" s="18" t="n"/>
      <c r="D238" s="15" t="n"/>
      <c r="E238" s="15" t="n"/>
      <c r="F238" s="15" t="n"/>
      <c r="G238" s="15" t="n"/>
      <c r="H238" s="15" t="n"/>
      <c r="I238" s="21" t="n"/>
      <c r="J238" s="16">
        <f>IF(C238="","",IF(D238="Monthly",B238*12,IF(D238="Weekly",B238*52,IF(D238="Biweekly",B238*26,IF(D238="Twice Monthly",B238*24,IF(D238="Quarterly",B238*4,IF(D238="Annually",B238,IF(D238="One-time",B238,""))))))))</f>
        <v/>
      </c>
      <c r="K238" s="20">
        <f>IF(C238="","",MONTH(C238))</f>
        <v/>
      </c>
      <c r="L238" s="20">
        <f>IF(C238="","",YEAR(C238))</f>
        <v/>
      </c>
      <c r="M238" s="20">
        <f>IF(C238="","",DAY(C238))</f>
        <v/>
      </c>
    </row>
    <row r="239">
      <c r="A239" s="15" t="n"/>
      <c r="B239" s="19" t="n"/>
      <c r="C239" s="18" t="n"/>
      <c r="D239" s="15" t="n"/>
      <c r="E239" s="15" t="n"/>
      <c r="F239" s="15" t="n"/>
      <c r="G239" s="15" t="n"/>
      <c r="H239" s="15" t="n"/>
      <c r="I239" s="21" t="n"/>
      <c r="J239" s="16">
        <f>IF(C239="","",IF(D239="Monthly",B239*12,IF(D239="Weekly",B239*52,IF(D239="Biweekly",B239*26,IF(D239="Twice Monthly",B239*24,IF(D239="Quarterly",B239*4,IF(D239="Annually",B239,IF(D239="One-time",B239,""))))))))</f>
        <v/>
      </c>
      <c r="K239" s="20">
        <f>IF(C239="","",MONTH(C239))</f>
        <v/>
      </c>
      <c r="L239" s="20">
        <f>IF(C239="","",YEAR(C239))</f>
        <v/>
      </c>
      <c r="M239" s="20">
        <f>IF(C239="","",DAY(C239))</f>
        <v/>
      </c>
    </row>
    <row r="240">
      <c r="A240" s="15" t="n"/>
      <c r="B240" s="19" t="n"/>
      <c r="C240" s="18" t="n"/>
      <c r="D240" s="15" t="n"/>
      <c r="E240" s="15" t="n"/>
      <c r="F240" s="15" t="n"/>
      <c r="G240" s="15" t="n"/>
      <c r="H240" s="15" t="n"/>
      <c r="I240" s="21" t="n"/>
      <c r="J240" s="16">
        <f>IF(C240="","",IF(D240="Monthly",B240*12,IF(D240="Weekly",B240*52,IF(D240="Biweekly",B240*26,IF(D240="Twice Monthly",B240*24,IF(D240="Quarterly",B240*4,IF(D240="Annually",B240,IF(D240="One-time",B240,""))))))))</f>
        <v/>
      </c>
      <c r="K240" s="20">
        <f>IF(C240="","",MONTH(C240))</f>
        <v/>
      </c>
      <c r="L240" s="20">
        <f>IF(C240="","",YEAR(C240))</f>
        <v/>
      </c>
      <c r="M240" s="20">
        <f>IF(C240="","",DAY(C240))</f>
        <v/>
      </c>
    </row>
    <row r="241">
      <c r="A241" s="15" t="n"/>
      <c r="B241" s="19" t="n"/>
      <c r="C241" s="18" t="n"/>
      <c r="D241" s="15" t="n"/>
      <c r="E241" s="15" t="n"/>
      <c r="F241" s="15" t="n"/>
      <c r="G241" s="15" t="n"/>
      <c r="H241" s="15" t="n"/>
      <c r="I241" s="21" t="n"/>
      <c r="J241" s="16">
        <f>IF(C241="","",IF(D241="Monthly",B241*12,IF(D241="Weekly",B241*52,IF(D241="Biweekly",B241*26,IF(D241="Twice Monthly",B241*24,IF(D241="Quarterly",B241*4,IF(D241="Annually",B241,IF(D241="One-time",B241,""))))))))</f>
        <v/>
      </c>
      <c r="K241" s="20">
        <f>IF(C241="","",MONTH(C241))</f>
        <v/>
      </c>
      <c r="L241" s="20">
        <f>IF(C241="","",YEAR(C241))</f>
        <v/>
      </c>
      <c r="M241" s="20">
        <f>IF(C241="","",DAY(C241))</f>
        <v/>
      </c>
    </row>
    <row r="242">
      <c r="A242" s="15" t="n"/>
      <c r="B242" s="19" t="n"/>
      <c r="C242" s="18" t="n"/>
      <c r="D242" s="15" t="n"/>
      <c r="E242" s="15" t="n"/>
      <c r="F242" s="15" t="n"/>
      <c r="G242" s="15" t="n"/>
      <c r="H242" s="15" t="n"/>
      <c r="I242" s="21" t="n"/>
      <c r="J242" s="16">
        <f>IF(C242="","",IF(D242="Monthly",B242*12,IF(D242="Weekly",B242*52,IF(D242="Biweekly",B242*26,IF(D242="Twice Monthly",B242*24,IF(D242="Quarterly",B242*4,IF(D242="Annually",B242,IF(D242="One-time",B242,""))))))))</f>
        <v/>
      </c>
      <c r="K242" s="20">
        <f>IF(C242="","",MONTH(C242))</f>
        <v/>
      </c>
      <c r="L242" s="20">
        <f>IF(C242="","",YEAR(C242))</f>
        <v/>
      </c>
      <c r="M242" s="20">
        <f>IF(C242="","",DAY(C242))</f>
        <v/>
      </c>
    </row>
    <row r="243">
      <c r="A243" s="15" t="n"/>
      <c r="B243" s="19" t="n"/>
      <c r="C243" s="18" t="n"/>
      <c r="D243" s="15" t="n"/>
      <c r="E243" s="15" t="n"/>
      <c r="F243" s="15" t="n"/>
      <c r="G243" s="15" t="n"/>
      <c r="H243" s="15" t="n"/>
      <c r="I243" s="21" t="n"/>
      <c r="J243" s="16">
        <f>IF(C243="","",IF(D243="Monthly",B243*12,IF(D243="Weekly",B243*52,IF(D243="Biweekly",B243*26,IF(D243="Twice Monthly",B243*24,IF(D243="Quarterly",B243*4,IF(D243="Annually",B243,IF(D243="One-time",B243,""))))))))</f>
        <v/>
      </c>
      <c r="K243" s="20">
        <f>IF(C243="","",MONTH(C243))</f>
        <v/>
      </c>
      <c r="L243" s="20">
        <f>IF(C243="","",YEAR(C243))</f>
        <v/>
      </c>
      <c r="M243" s="20">
        <f>IF(C243="","",DAY(C243))</f>
        <v/>
      </c>
    </row>
    <row r="244">
      <c r="A244" s="15" t="n"/>
      <c r="B244" s="19" t="n"/>
      <c r="C244" s="18" t="n"/>
      <c r="D244" s="15" t="n"/>
      <c r="E244" s="15" t="n"/>
      <c r="F244" s="15" t="n"/>
      <c r="G244" s="15" t="n"/>
      <c r="H244" s="15" t="n"/>
      <c r="I244" s="21" t="n"/>
      <c r="J244" s="16">
        <f>IF(C244="","",IF(D244="Monthly",B244*12,IF(D244="Weekly",B244*52,IF(D244="Biweekly",B244*26,IF(D244="Twice Monthly",B244*24,IF(D244="Quarterly",B244*4,IF(D244="Annually",B244,IF(D244="One-time",B244,""))))))))</f>
        <v/>
      </c>
      <c r="K244" s="20">
        <f>IF(C244="","",MONTH(C244))</f>
        <v/>
      </c>
      <c r="L244" s="20">
        <f>IF(C244="","",YEAR(C244))</f>
        <v/>
      </c>
      <c r="M244" s="20">
        <f>IF(C244="","",DAY(C244))</f>
        <v/>
      </c>
    </row>
    <row r="245">
      <c r="A245" s="15" t="n"/>
      <c r="B245" s="19" t="n"/>
      <c r="C245" s="18" t="n"/>
      <c r="D245" s="15" t="n"/>
      <c r="E245" s="15" t="n"/>
      <c r="F245" s="15" t="n"/>
      <c r="G245" s="15" t="n"/>
      <c r="H245" s="15" t="n"/>
      <c r="I245" s="21" t="n"/>
      <c r="J245" s="16">
        <f>IF(C245="","",IF(D245="Monthly",B245*12,IF(D245="Weekly",B245*52,IF(D245="Biweekly",B245*26,IF(D245="Twice Monthly",B245*24,IF(D245="Quarterly",B245*4,IF(D245="Annually",B245,IF(D245="One-time",B245,""))))))))</f>
        <v/>
      </c>
      <c r="K245" s="20">
        <f>IF(C245="","",MONTH(C245))</f>
        <v/>
      </c>
      <c r="L245" s="20">
        <f>IF(C245="","",YEAR(C245))</f>
        <v/>
      </c>
      <c r="M245" s="20">
        <f>IF(C245="","",DAY(C245))</f>
        <v/>
      </c>
    </row>
    <row r="246">
      <c r="A246" s="15" t="n"/>
      <c r="B246" s="19" t="n"/>
      <c r="C246" s="18" t="n"/>
      <c r="D246" s="15" t="n"/>
      <c r="E246" s="15" t="n"/>
      <c r="F246" s="15" t="n"/>
      <c r="G246" s="15" t="n"/>
      <c r="H246" s="15" t="n"/>
      <c r="I246" s="21" t="n"/>
      <c r="J246" s="16">
        <f>IF(C246="","",IF(D246="Monthly",B246*12,IF(D246="Weekly",B246*52,IF(D246="Biweekly",B246*26,IF(D246="Twice Monthly",B246*24,IF(D246="Quarterly",B246*4,IF(D246="Annually",B246,IF(D246="One-time",B246,""))))))))</f>
        <v/>
      </c>
      <c r="K246" s="20">
        <f>IF(C246="","",MONTH(C246))</f>
        <v/>
      </c>
      <c r="L246" s="20">
        <f>IF(C246="","",YEAR(C246))</f>
        <v/>
      </c>
      <c r="M246" s="20">
        <f>IF(C246="","",DAY(C246))</f>
        <v/>
      </c>
    </row>
    <row r="247">
      <c r="A247" s="15" t="n"/>
      <c r="B247" s="19" t="n"/>
      <c r="C247" s="18" t="n"/>
      <c r="D247" s="15" t="n"/>
      <c r="E247" s="15" t="n"/>
      <c r="F247" s="15" t="n"/>
      <c r="G247" s="15" t="n"/>
      <c r="H247" s="15" t="n"/>
      <c r="I247" s="21" t="n"/>
      <c r="J247" s="16">
        <f>IF(C247="","",IF(D247="Monthly",B247*12,IF(D247="Weekly",B247*52,IF(D247="Biweekly",B247*26,IF(D247="Twice Monthly",B247*24,IF(D247="Quarterly",B247*4,IF(D247="Annually",B247,IF(D247="One-time",B247,""))))))))</f>
        <v/>
      </c>
      <c r="K247" s="20">
        <f>IF(C247="","",MONTH(C247))</f>
        <v/>
      </c>
      <c r="L247" s="20">
        <f>IF(C247="","",YEAR(C247))</f>
        <v/>
      </c>
      <c r="M247" s="20">
        <f>IF(C247="","",DAY(C247))</f>
        <v/>
      </c>
    </row>
    <row r="248">
      <c r="A248" s="15" t="n"/>
      <c r="B248" s="19" t="n"/>
      <c r="C248" s="18" t="n"/>
      <c r="D248" s="15" t="n"/>
      <c r="E248" s="15" t="n"/>
      <c r="F248" s="15" t="n"/>
      <c r="G248" s="15" t="n"/>
      <c r="H248" s="15" t="n"/>
      <c r="I248" s="21" t="n"/>
      <c r="J248" s="16">
        <f>IF(C248="","",IF(D248="Monthly",B248*12,IF(D248="Weekly",B248*52,IF(D248="Biweekly",B248*26,IF(D248="Twice Monthly",B248*24,IF(D248="Quarterly",B248*4,IF(D248="Annually",B248,IF(D248="One-time",B248,""))))))))</f>
        <v/>
      </c>
      <c r="K248" s="20">
        <f>IF(C248="","",MONTH(C248))</f>
        <v/>
      </c>
      <c r="L248" s="20">
        <f>IF(C248="","",YEAR(C248))</f>
        <v/>
      </c>
      <c r="M248" s="20">
        <f>IF(C248="","",DAY(C248))</f>
        <v/>
      </c>
    </row>
    <row r="249">
      <c r="A249" s="15" t="n"/>
      <c r="B249" s="19" t="n"/>
      <c r="C249" s="18" t="n"/>
      <c r="D249" s="15" t="n"/>
      <c r="E249" s="15" t="n"/>
      <c r="F249" s="15" t="n"/>
      <c r="G249" s="15" t="n"/>
      <c r="H249" s="15" t="n"/>
      <c r="I249" s="21" t="n"/>
      <c r="J249" s="16">
        <f>IF(C249="","",IF(D249="Monthly",B249*12,IF(D249="Weekly",B249*52,IF(D249="Biweekly",B249*26,IF(D249="Twice Monthly",B249*24,IF(D249="Quarterly",B249*4,IF(D249="Annually",B249,IF(D249="One-time",B249,""))))))))</f>
        <v/>
      </c>
      <c r="K249" s="20">
        <f>IF(C249="","",MONTH(C249))</f>
        <v/>
      </c>
      <c r="L249" s="20">
        <f>IF(C249="","",YEAR(C249))</f>
        <v/>
      </c>
      <c r="M249" s="20">
        <f>IF(C249="","",DAY(C249))</f>
        <v/>
      </c>
    </row>
    <row r="250">
      <c r="A250" s="15" t="n"/>
      <c r="B250" s="19" t="n"/>
      <c r="C250" s="18" t="n"/>
      <c r="D250" s="15" t="n"/>
      <c r="E250" s="15" t="n"/>
      <c r="F250" s="15" t="n"/>
      <c r="G250" s="15" t="n"/>
      <c r="H250" s="15" t="n"/>
      <c r="I250" s="21" t="n"/>
      <c r="J250" s="16">
        <f>IF(C250="","",IF(D250="Monthly",B250*12,IF(D250="Weekly",B250*52,IF(D250="Biweekly",B250*26,IF(D250="Twice Monthly",B250*24,IF(D250="Quarterly",B250*4,IF(D250="Annually",B250,IF(D250="One-time",B250,""))))))))</f>
        <v/>
      </c>
      <c r="K250" s="20">
        <f>IF(C250="","",MONTH(C250))</f>
        <v/>
      </c>
      <c r="L250" s="20">
        <f>IF(C250="","",YEAR(C250))</f>
        <v/>
      </c>
      <c r="M250" s="20">
        <f>IF(C250="","",DAY(C250))</f>
        <v/>
      </c>
    </row>
    <row r="251">
      <c r="A251" s="15" t="n"/>
      <c r="B251" s="19" t="n"/>
      <c r="C251" s="18" t="n"/>
      <c r="D251" s="15" t="n"/>
      <c r="E251" s="15" t="n"/>
      <c r="F251" s="15" t="n"/>
      <c r="G251" s="15" t="n"/>
      <c r="H251" s="15" t="n"/>
      <c r="I251" s="21" t="n"/>
      <c r="J251" s="16">
        <f>IF(C251="","",IF(D251="Monthly",B251*12,IF(D251="Weekly",B251*52,IF(D251="Biweekly",B251*26,IF(D251="Twice Monthly",B251*24,IF(D251="Quarterly",B251*4,IF(D251="Annually",B251,IF(D251="One-time",B251,""))))))))</f>
        <v/>
      </c>
      <c r="K251" s="20">
        <f>IF(C251="","",MONTH(C251))</f>
        <v/>
      </c>
      <c r="L251" s="20">
        <f>IF(C251="","",YEAR(C251))</f>
        <v/>
      </c>
      <c r="M251" s="20">
        <f>IF(C251="","",DAY(C251))</f>
        <v/>
      </c>
    </row>
    <row r="252">
      <c r="A252" s="15" t="n"/>
      <c r="B252" s="19" t="n"/>
      <c r="C252" s="18" t="n"/>
      <c r="D252" s="15" t="n"/>
      <c r="E252" s="15" t="n"/>
      <c r="F252" s="15" t="n"/>
      <c r="G252" s="15" t="n"/>
      <c r="H252" s="15" t="n"/>
      <c r="I252" s="21" t="n"/>
      <c r="J252" s="16">
        <f>IF(C252="","",IF(D252="Monthly",B252*12,IF(D252="Weekly",B252*52,IF(D252="Biweekly",B252*26,IF(D252="Twice Monthly",B252*24,IF(D252="Quarterly",B252*4,IF(D252="Annually",B252,IF(D252="One-time",B252,""))))))))</f>
        <v/>
      </c>
      <c r="K252" s="20">
        <f>IF(C252="","",MONTH(C252))</f>
        <v/>
      </c>
      <c r="L252" s="20">
        <f>IF(C252="","",YEAR(C252))</f>
        <v/>
      </c>
      <c r="M252" s="20">
        <f>IF(C252="","",DAY(C252))</f>
        <v/>
      </c>
    </row>
    <row r="253">
      <c r="A253" s="15" t="n"/>
      <c r="B253" s="19" t="n"/>
      <c r="C253" s="18" t="n"/>
      <c r="D253" s="15" t="n"/>
      <c r="E253" s="15" t="n"/>
      <c r="F253" s="15" t="n"/>
      <c r="G253" s="15" t="n"/>
      <c r="H253" s="15" t="n"/>
      <c r="I253" s="21" t="n"/>
      <c r="J253" s="16">
        <f>IF(C253="","",IF(D253="Monthly",B253*12,IF(D253="Weekly",B253*52,IF(D253="Biweekly",B253*26,IF(D253="Twice Monthly",B253*24,IF(D253="Quarterly",B253*4,IF(D253="Annually",B253,IF(D253="One-time",B253,""))))))))</f>
        <v/>
      </c>
      <c r="K253" s="20">
        <f>IF(C253="","",MONTH(C253))</f>
        <v/>
      </c>
      <c r="L253" s="20">
        <f>IF(C253="","",YEAR(C253))</f>
        <v/>
      </c>
      <c r="M253" s="20">
        <f>IF(C253="","",DAY(C253))</f>
        <v/>
      </c>
    </row>
    <row r="254">
      <c r="A254" s="15" t="n"/>
      <c r="B254" s="19" t="n"/>
      <c r="C254" s="18" t="n"/>
      <c r="D254" s="15" t="n"/>
      <c r="E254" s="15" t="n"/>
      <c r="F254" s="15" t="n"/>
      <c r="G254" s="15" t="n"/>
      <c r="H254" s="15" t="n"/>
      <c r="I254" s="21" t="n"/>
      <c r="J254" s="16">
        <f>IF(C254="","",IF(D254="Monthly",B254*12,IF(D254="Weekly",B254*52,IF(D254="Biweekly",B254*26,IF(D254="Twice Monthly",B254*24,IF(D254="Quarterly",B254*4,IF(D254="Annually",B254,IF(D254="One-time",B254,""))))))))</f>
        <v/>
      </c>
      <c r="K254" s="20">
        <f>IF(C254="","",MONTH(C254))</f>
        <v/>
      </c>
      <c r="L254" s="20">
        <f>IF(C254="","",YEAR(C254))</f>
        <v/>
      </c>
      <c r="M254" s="20">
        <f>IF(C254="","",DAY(C254))</f>
        <v/>
      </c>
    </row>
    <row r="255">
      <c r="A255" s="15" t="n"/>
      <c r="B255" s="19" t="n"/>
      <c r="C255" s="18" t="n"/>
      <c r="D255" s="15" t="n"/>
      <c r="E255" s="15" t="n"/>
      <c r="F255" s="15" t="n"/>
      <c r="G255" s="15" t="n"/>
      <c r="H255" s="15" t="n"/>
      <c r="I255" s="21" t="n"/>
      <c r="J255" s="16">
        <f>IF(C255="","",IF(D255="Monthly",B255*12,IF(D255="Weekly",B255*52,IF(D255="Biweekly",B255*26,IF(D255="Twice Monthly",B255*24,IF(D255="Quarterly",B255*4,IF(D255="Annually",B255,IF(D255="One-time",B255,""))))))))</f>
        <v/>
      </c>
      <c r="K255" s="20">
        <f>IF(C255="","",MONTH(C255))</f>
        <v/>
      </c>
      <c r="L255" s="20">
        <f>IF(C255="","",YEAR(C255))</f>
        <v/>
      </c>
      <c r="M255" s="20">
        <f>IF(C255="","",DAY(C255))</f>
        <v/>
      </c>
    </row>
    <row r="256">
      <c r="A256" s="15" t="n"/>
      <c r="B256" s="19" t="n"/>
      <c r="C256" s="18" t="n"/>
      <c r="D256" s="15" t="n"/>
      <c r="E256" s="15" t="n"/>
      <c r="F256" s="15" t="n"/>
      <c r="G256" s="15" t="n"/>
      <c r="H256" s="15" t="n"/>
      <c r="I256" s="21" t="n"/>
      <c r="J256" s="16">
        <f>IF(C256="","",IF(D256="Monthly",B256*12,IF(D256="Weekly",B256*52,IF(D256="Biweekly",B256*26,IF(D256="Twice Monthly",B256*24,IF(D256="Quarterly",B256*4,IF(D256="Annually",B256,IF(D256="One-time",B256,""))))))))</f>
        <v/>
      </c>
      <c r="K256" s="20">
        <f>IF(C256="","",MONTH(C256))</f>
        <v/>
      </c>
      <c r="L256" s="20">
        <f>IF(C256="","",YEAR(C256))</f>
        <v/>
      </c>
      <c r="M256" s="20">
        <f>IF(C256="","",DAY(C256))</f>
        <v/>
      </c>
    </row>
    <row r="257">
      <c r="A257" s="15" t="n"/>
      <c r="B257" s="19" t="n"/>
      <c r="C257" s="18" t="n"/>
      <c r="D257" s="15" t="n"/>
      <c r="E257" s="15" t="n"/>
      <c r="F257" s="15" t="n"/>
      <c r="G257" s="15" t="n"/>
      <c r="H257" s="15" t="n"/>
      <c r="I257" s="21" t="n"/>
      <c r="J257" s="16">
        <f>IF(C257="","",IF(D257="Monthly",B257*12,IF(D257="Weekly",B257*52,IF(D257="Biweekly",B257*26,IF(D257="Twice Monthly",B257*24,IF(D257="Quarterly",B257*4,IF(D257="Annually",B257,IF(D257="One-time",B257,""))))))))</f>
        <v/>
      </c>
      <c r="K257" s="20">
        <f>IF(C257="","",MONTH(C257))</f>
        <v/>
      </c>
      <c r="L257" s="20">
        <f>IF(C257="","",YEAR(C257))</f>
        <v/>
      </c>
      <c r="M257" s="20">
        <f>IF(C257="","",DAY(C257))</f>
        <v/>
      </c>
    </row>
    <row r="258">
      <c r="A258" s="15" t="n"/>
      <c r="B258" s="19" t="n"/>
      <c r="C258" s="18" t="n"/>
      <c r="D258" s="15" t="n"/>
      <c r="E258" s="15" t="n"/>
      <c r="F258" s="15" t="n"/>
      <c r="G258" s="15" t="n"/>
      <c r="H258" s="15" t="n"/>
      <c r="I258" s="21" t="n"/>
      <c r="J258" s="16">
        <f>IF(C258="","",IF(D258="Monthly",B258*12,IF(D258="Weekly",B258*52,IF(D258="Biweekly",B258*26,IF(D258="Twice Monthly",B258*24,IF(D258="Quarterly",B258*4,IF(D258="Annually",B258,IF(D258="One-time",B258,""))))))))</f>
        <v/>
      </c>
      <c r="K258" s="20">
        <f>IF(C258="","",MONTH(C258))</f>
        <v/>
      </c>
      <c r="L258" s="20">
        <f>IF(C258="","",YEAR(C258))</f>
        <v/>
      </c>
      <c r="M258" s="20">
        <f>IF(C258="","",DAY(C258))</f>
        <v/>
      </c>
    </row>
    <row r="259">
      <c r="A259" s="15" t="n"/>
      <c r="B259" s="19" t="n"/>
      <c r="C259" s="18" t="n"/>
      <c r="D259" s="15" t="n"/>
      <c r="E259" s="15" t="n"/>
      <c r="F259" s="15" t="n"/>
      <c r="G259" s="15" t="n"/>
      <c r="H259" s="15" t="n"/>
      <c r="I259" s="21" t="n"/>
      <c r="J259" s="16">
        <f>IF(C259="","",IF(D259="Monthly",B259*12,IF(D259="Weekly",B259*52,IF(D259="Biweekly",B259*26,IF(D259="Twice Monthly",B259*24,IF(D259="Quarterly",B259*4,IF(D259="Annually",B259,IF(D259="One-time",B259,""))))))))</f>
        <v/>
      </c>
      <c r="K259" s="20">
        <f>IF(C259="","",MONTH(C259))</f>
        <v/>
      </c>
      <c r="L259" s="20">
        <f>IF(C259="","",YEAR(C259))</f>
        <v/>
      </c>
      <c r="M259" s="20">
        <f>IF(C259="","",DAY(C259))</f>
        <v/>
      </c>
    </row>
    <row r="260">
      <c r="A260" s="15" t="n"/>
      <c r="B260" s="19" t="n"/>
      <c r="C260" s="18" t="n"/>
      <c r="D260" s="15" t="n"/>
      <c r="E260" s="15" t="n"/>
      <c r="F260" s="15" t="n"/>
      <c r="G260" s="15" t="n"/>
      <c r="H260" s="15" t="n"/>
      <c r="I260" s="21" t="n"/>
      <c r="J260" s="16">
        <f>IF(C260="","",IF(D260="Monthly",B260*12,IF(D260="Weekly",B260*52,IF(D260="Biweekly",B260*26,IF(D260="Twice Monthly",B260*24,IF(D260="Quarterly",B260*4,IF(D260="Annually",B260,IF(D260="One-time",B260,""))))))))</f>
        <v/>
      </c>
      <c r="K260" s="20">
        <f>IF(C260="","",MONTH(C260))</f>
        <v/>
      </c>
      <c r="L260" s="20">
        <f>IF(C260="","",YEAR(C260))</f>
        <v/>
      </c>
      <c r="M260" s="20">
        <f>IF(C260="","",DAY(C260))</f>
        <v/>
      </c>
    </row>
    <row r="261">
      <c r="A261" s="15" t="n"/>
      <c r="B261" s="19" t="n"/>
      <c r="C261" s="18" t="n"/>
      <c r="D261" s="15" t="n"/>
      <c r="E261" s="15" t="n"/>
      <c r="F261" s="15" t="n"/>
      <c r="G261" s="15" t="n"/>
      <c r="H261" s="15" t="n"/>
      <c r="I261" s="21" t="n"/>
      <c r="J261" s="16">
        <f>IF(C261="","",IF(D261="Monthly",B261*12,IF(D261="Weekly",B261*52,IF(D261="Biweekly",B261*26,IF(D261="Twice Monthly",B261*24,IF(D261="Quarterly",B261*4,IF(D261="Annually",B261,IF(D261="One-time",B261,""))))))))</f>
        <v/>
      </c>
      <c r="K261" s="20">
        <f>IF(C261="","",MONTH(C261))</f>
        <v/>
      </c>
      <c r="L261" s="20">
        <f>IF(C261="","",YEAR(C261))</f>
        <v/>
      </c>
      <c r="M261" s="20">
        <f>IF(C261="","",DAY(C261))</f>
        <v/>
      </c>
    </row>
    <row r="262">
      <c r="A262" s="15" t="n"/>
      <c r="B262" s="19" t="n"/>
      <c r="C262" s="18" t="n"/>
      <c r="D262" s="15" t="n"/>
      <c r="E262" s="15" t="n"/>
      <c r="F262" s="15" t="n"/>
      <c r="G262" s="15" t="n"/>
      <c r="H262" s="15" t="n"/>
      <c r="I262" s="21" t="n"/>
      <c r="J262" s="16">
        <f>IF(C262="","",IF(D262="Monthly",B262*12,IF(D262="Weekly",B262*52,IF(D262="Biweekly",B262*26,IF(D262="Twice Monthly",B262*24,IF(D262="Quarterly",B262*4,IF(D262="Annually",B262,IF(D262="One-time",B262,""))))))))</f>
        <v/>
      </c>
      <c r="K262" s="20">
        <f>IF(C262="","",MONTH(C262))</f>
        <v/>
      </c>
      <c r="L262" s="20">
        <f>IF(C262="","",YEAR(C262))</f>
        <v/>
      </c>
      <c r="M262" s="20">
        <f>IF(C262="","",DAY(C262))</f>
        <v/>
      </c>
    </row>
    <row r="263">
      <c r="A263" s="15" t="n"/>
      <c r="B263" s="19" t="n"/>
      <c r="C263" s="18" t="n"/>
      <c r="D263" s="15" t="n"/>
      <c r="E263" s="15" t="n"/>
      <c r="F263" s="15" t="n"/>
      <c r="G263" s="15" t="n"/>
      <c r="H263" s="15" t="n"/>
      <c r="I263" s="21" t="n"/>
      <c r="J263" s="16">
        <f>IF(C263="","",IF(D263="Monthly",B263*12,IF(D263="Weekly",B263*52,IF(D263="Biweekly",B263*26,IF(D263="Twice Monthly",B263*24,IF(D263="Quarterly",B263*4,IF(D263="Annually",B263,IF(D263="One-time",B263,""))))))))</f>
        <v/>
      </c>
      <c r="K263" s="20">
        <f>IF(C263="","",MONTH(C263))</f>
        <v/>
      </c>
      <c r="L263" s="20">
        <f>IF(C263="","",YEAR(C263))</f>
        <v/>
      </c>
      <c r="M263" s="20">
        <f>IF(C263="","",DAY(C263))</f>
        <v/>
      </c>
    </row>
    <row r="264">
      <c r="A264" s="15" t="n"/>
      <c r="B264" s="19" t="n"/>
      <c r="C264" s="18" t="n"/>
      <c r="D264" s="15" t="n"/>
      <c r="E264" s="15" t="n"/>
      <c r="F264" s="15" t="n"/>
      <c r="G264" s="15" t="n"/>
      <c r="H264" s="15" t="n"/>
      <c r="I264" s="21" t="n"/>
      <c r="J264" s="16">
        <f>IF(C264="","",IF(D264="Monthly",B264*12,IF(D264="Weekly",B264*52,IF(D264="Biweekly",B264*26,IF(D264="Twice Monthly",B264*24,IF(D264="Quarterly",B264*4,IF(D264="Annually",B264,IF(D264="One-time",B264,""))))))))</f>
        <v/>
      </c>
      <c r="K264" s="20">
        <f>IF(C264="","",MONTH(C264))</f>
        <v/>
      </c>
      <c r="L264" s="20">
        <f>IF(C264="","",YEAR(C264))</f>
        <v/>
      </c>
      <c r="M264" s="20">
        <f>IF(C264="","",DAY(C264))</f>
        <v/>
      </c>
    </row>
    <row r="265">
      <c r="A265" s="15" t="n"/>
      <c r="B265" s="19" t="n"/>
      <c r="C265" s="18" t="n"/>
      <c r="D265" s="15" t="n"/>
      <c r="E265" s="15" t="n"/>
      <c r="F265" s="15" t="n"/>
      <c r="G265" s="15" t="n"/>
      <c r="H265" s="15" t="n"/>
      <c r="I265" s="21" t="n"/>
      <c r="J265" s="16">
        <f>IF(C265="","",IF(D265="Monthly",B265*12,IF(D265="Weekly",B265*52,IF(D265="Biweekly",B265*26,IF(D265="Twice Monthly",B265*24,IF(D265="Quarterly",B265*4,IF(D265="Annually",B265,IF(D265="One-time",B265,""))))))))</f>
        <v/>
      </c>
      <c r="K265" s="20">
        <f>IF(C265="","",MONTH(C265))</f>
        <v/>
      </c>
      <c r="L265" s="20">
        <f>IF(C265="","",YEAR(C265))</f>
        <v/>
      </c>
      <c r="M265" s="20">
        <f>IF(C265="","",DAY(C265))</f>
        <v/>
      </c>
    </row>
    <row r="266">
      <c r="A266" s="15" t="n"/>
      <c r="B266" s="19" t="n"/>
      <c r="C266" s="18" t="n"/>
      <c r="D266" s="15" t="n"/>
      <c r="E266" s="15" t="n"/>
      <c r="F266" s="15" t="n"/>
      <c r="G266" s="15" t="n"/>
      <c r="H266" s="15" t="n"/>
      <c r="I266" s="21" t="n"/>
      <c r="J266" s="16">
        <f>IF(C266="","",IF(D266="Monthly",B266*12,IF(D266="Weekly",B266*52,IF(D266="Biweekly",B266*26,IF(D266="Twice Monthly",B266*24,IF(D266="Quarterly",B266*4,IF(D266="Annually",B266,IF(D266="One-time",B266,""))))))))</f>
        <v/>
      </c>
      <c r="K266" s="20">
        <f>IF(C266="","",MONTH(C266))</f>
        <v/>
      </c>
      <c r="L266" s="20">
        <f>IF(C266="","",YEAR(C266))</f>
        <v/>
      </c>
      <c r="M266" s="20">
        <f>IF(C266="","",DAY(C266))</f>
        <v/>
      </c>
    </row>
    <row r="267">
      <c r="A267" s="15" t="n"/>
      <c r="B267" s="19" t="n"/>
      <c r="C267" s="18" t="n"/>
      <c r="D267" s="15" t="n"/>
      <c r="E267" s="15" t="n"/>
      <c r="F267" s="15" t="n"/>
      <c r="G267" s="15" t="n"/>
      <c r="H267" s="15" t="n"/>
      <c r="I267" s="21" t="n"/>
      <c r="J267" s="16">
        <f>IF(C267="","",IF(D267="Monthly",B267*12,IF(D267="Weekly",B267*52,IF(D267="Biweekly",B267*26,IF(D267="Twice Monthly",B267*24,IF(D267="Quarterly",B267*4,IF(D267="Annually",B267,IF(D267="One-time",B267,""))))))))</f>
        <v/>
      </c>
      <c r="K267" s="20">
        <f>IF(C267="","",MONTH(C267))</f>
        <v/>
      </c>
      <c r="L267" s="20">
        <f>IF(C267="","",YEAR(C267))</f>
        <v/>
      </c>
      <c r="M267" s="20">
        <f>IF(C267="","",DAY(C267))</f>
        <v/>
      </c>
    </row>
    <row r="268">
      <c r="A268" s="15" t="n"/>
      <c r="B268" s="19" t="n"/>
      <c r="C268" s="18" t="n"/>
      <c r="D268" s="15" t="n"/>
      <c r="E268" s="15" t="n"/>
      <c r="F268" s="15" t="n"/>
      <c r="G268" s="15" t="n"/>
      <c r="H268" s="15" t="n"/>
      <c r="I268" s="21" t="n"/>
      <c r="J268" s="16">
        <f>IF(C268="","",IF(D268="Monthly",B268*12,IF(D268="Weekly",B268*52,IF(D268="Biweekly",B268*26,IF(D268="Twice Monthly",B268*24,IF(D268="Quarterly",B268*4,IF(D268="Annually",B268,IF(D268="One-time",B268,""))))))))</f>
        <v/>
      </c>
      <c r="K268" s="20">
        <f>IF(C268="","",MONTH(C268))</f>
        <v/>
      </c>
      <c r="L268" s="20">
        <f>IF(C268="","",YEAR(C268))</f>
        <v/>
      </c>
      <c r="M268" s="20">
        <f>IF(C268="","",DAY(C268))</f>
        <v/>
      </c>
    </row>
    <row r="269">
      <c r="A269" s="15" t="n"/>
      <c r="B269" s="19" t="n"/>
      <c r="C269" s="18" t="n"/>
      <c r="D269" s="15" t="n"/>
      <c r="E269" s="15" t="n"/>
      <c r="F269" s="15" t="n"/>
      <c r="G269" s="15" t="n"/>
      <c r="H269" s="15" t="n"/>
      <c r="I269" s="21" t="n"/>
      <c r="J269" s="16">
        <f>IF(C269="","",IF(D269="Monthly",B269*12,IF(D269="Weekly",B269*52,IF(D269="Biweekly",B269*26,IF(D269="Twice Monthly",B269*24,IF(D269="Quarterly",B269*4,IF(D269="Annually",B269,IF(D269="One-time",B269,""))))))))</f>
        <v/>
      </c>
      <c r="K269" s="20">
        <f>IF(C269="","",MONTH(C269))</f>
        <v/>
      </c>
      <c r="L269" s="20">
        <f>IF(C269="","",YEAR(C269))</f>
        <v/>
      </c>
      <c r="M269" s="20">
        <f>IF(C269="","",DAY(C269))</f>
        <v/>
      </c>
    </row>
    <row r="270">
      <c r="A270" s="15" t="n"/>
      <c r="B270" s="19" t="n"/>
      <c r="C270" s="18" t="n"/>
      <c r="D270" s="15" t="n"/>
      <c r="E270" s="15" t="n"/>
      <c r="F270" s="15" t="n"/>
      <c r="G270" s="15" t="n"/>
      <c r="H270" s="15" t="n"/>
      <c r="I270" s="21" t="n"/>
      <c r="J270" s="16">
        <f>IF(C270="","",IF(D270="Monthly",B270*12,IF(D270="Weekly",B270*52,IF(D270="Biweekly",B270*26,IF(D270="Twice Monthly",B270*24,IF(D270="Quarterly",B270*4,IF(D270="Annually",B270,IF(D270="One-time",B270,""))))))))</f>
        <v/>
      </c>
      <c r="K270" s="20">
        <f>IF(C270="","",MONTH(C270))</f>
        <v/>
      </c>
      <c r="L270" s="20">
        <f>IF(C270="","",YEAR(C270))</f>
        <v/>
      </c>
      <c r="M270" s="20">
        <f>IF(C270="","",DAY(C270))</f>
        <v/>
      </c>
    </row>
    <row r="271">
      <c r="A271" s="15" t="n"/>
      <c r="B271" s="19" t="n"/>
      <c r="C271" s="18" t="n"/>
      <c r="D271" s="15" t="n"/>
      <c r="E271" s="15" t="n"/>
      <c r="F271" s="15" t="n"/>
      <c r="G271" s="15" t="n"/>
      <c r="H271" s="15" t="n"/>
      <c r="I271" s="21" t="n"/>
      <c r="J271" s="16">
        <f>IF(C271="","",IF(D271="Monthly",B271*12,IF(D271="Weekly",B271*52,IF(D271="Biweekly",B271*26,IF(D271="Twice Monthly",B271*24,IF(D271="Quarterly",B271*4,IF(D271="Annually",B271,IF(D271="One-time",B271,""))))))))</f>
        <v/>
      </c>
      <c r="K271" s="20">
        <f>IF(C271="","",MONTH(C271))</f>
        <v/>
      </c>
      <c r="L271" s="20">
        <f>IF(C271="","",YEAR(C271))</f>
        <v/>
      </c>
      <c r="M271" s="20">
        <f>IF(C271="","",DAY(C271))</f>
        <v/>
      </c>
    </row>
    <row r="272">
      <c r="A272" s="15" t="n"/>
      <c r="B272" s="19" t="n"/>
      <c r="C272" s="18" t="n"/>
      <c r="D272" s="15" t="n"/>
      <c r="E272" s="15" t="n"/>
      <c r="F272" s="15" t="n"/>
      <c r="G272" s="15" t="n"/>
      <c r="H272" s="15" t="n"/>
      <c r="I272" s="21" t="n"/>
      <c r="J272" s="16">
        <f>IF(C272="","",IF(D272="Monthly",B272*12,IF(D272="Weekly",B272*52,IF(D272="Biweekly",B272*26,IF(D272="Twice Monthly",B272*24,IF(D272="Quarterly",B272*4,IF(D272="Annually",B272,IF(D272="One-time",B272,""))))))))</f>
        <v/>
      </c>
      <c r="K272" s="20">
        <f>IF(C272="","",MONTH(C272))</f>
        <v/>
      </c>
      <c r="L272" s="20">
        <f>IF(C272="","",YEAR(C272))</f>
        <v/>
      </c>
      <c r="M272" s="20">
        <f>IF(C272="","",DAY(C272))</f>
        <v/>
      </c>
    </row>
    <row r="273">
      <c r="A273" s="15" t="n"/>
      <c r="B273" s="19" t="n"/>
      <c r="C273" s="18" t="n"/>
      <c r="D273" s="15" t="n"/>
      <c r="E273" s="15" t="n"/>
      <c r="F273" s="15" t="n"/>
      <c r="G273" s="15" t="n"/>
      <c r="H273" s="15" t="n"/>
      <c r="I273" s="21" t="n"/>
      <c r="J273" s="16">
        <f>IF(C273="","",IF(D273="Monthly",B273*12,IF(D273="Weekly",B273*52,IF(D273="Biweekly",B273*26,IF(D273="Twice Monthly",B273*24,IF(D273="Quarterly",B273*4,IF(D273="Annually",B273,IF(D273="One-time",B273,""))))))))</f>
        <v/>
      </c>
      <c r="K273" s="20">
        <f>IF(C273="","",MONTH(C273))</f>
        <v/>
      </c>
      <c r="L273" s="20">
        <f>IF(C273="","",YEAR(C273))</f>
        <v/>
      </c>
      <c r="M273" s="20">
        <f>IF(C273="","",DAY(C273))</f>
        <v/>
      </c>
    </row>
    <row r="274">
      <c r="A274" s="15" t="n"/>
      <c r="B274" s="19" t="n"/>
      <c r="C274" s="18" t="n"/>
      <c r="D274" s="15" t="n"/>
      <c r="E274" s="15" t="n"/>
      <c r="F274" s="15" t="n"/>
      <c r="G274" s="15" t="n"/>
      <c r="H274" s="15" t="n"/>
      <c r="I274" s="21" t="n"/>
      <c r="J274" s="16">
        <f>IF(C274="","",IF(D274="Monthly",B274*12,IF(D274="Weekly",B274*52,IF(D274="Biweekly",B274*26,IF(D274="Twice Monthly",B274*24,IF(D274="Quarterly",B274*4,IF(D274="Annually",B274,IF(D274="One-time",B274,""))))))))</f>
        <v/>
      </c>
      <c r="K274" s="20">
        <f>IF(C274="","",MONTH(C274))</f>
        <v/>
      </c>
      <c r="L274" s="20">
        <f>IF(C274="","",YEAR(C274))</f>
        <v/>
      </c>
      <c r="M274" s="20">
        <f>IF(C274="","",DAY(C274))</f>
        <v/>
      </c>
    </row>
    <row r="275">
      <c r="A275" s="15" t="n"/>
      <c r="B275" s="19" t="n"/>
      <c r="C275" s="18" t="n"/>
      <c r="D275" s="15" t="n"/>
      <c r="E275" s="15" t="n"/>
      <c r="F275" s="15" t="n"/>
      <c r="G275" s="15" t="n"/>
      <c r="H275" s="15" t="n"/>
      <c r="I275" s="21" t="n"/>
      <c r="J275" s="16">
        <f>IF(C275="","",IF(D275="Monthly",B275*12,IF(D275="Weekly",B275*52,IF(D275="Biweekly",B275*26,IF(D275="Twice Monthly",B275*24,IF(D275="Quarterly",B275*4,IF(D275="Annually",B275,IF(D275="One-time",B275,""))))))))</f>
        <v/>
      </c>
      <c r="K275" s="20">
        <f>IF(C275="","",MONTH(C275))</f>
        <v/>
      </c>
      <c r="L275" s="20">
        <f>IF(C275="","",YEAR(C275))</f>
        <v/>
      </c>
      <c r="M275" s="20">
        <f>IF(C275="","",DAY(C275))</f>
        <v/>
      </c>
    </row>
    <row r="276">
      <c r="A276" s="15" t="n"/>
      <c r="B276" s="19" t="n"/>
      <c r="C276" s="18" t="n"/>
      <c r="D276" s="15" t="n"/>
      <c r="E276" s="15" t="n"/>
      <c r="F276" s="15" t="n"/>
      <c r="G276" s="15" t="n"/>
      <c r="H276" s="15" t="n"/>
      <c r="I276" s="21" t="n"/>
      <c r="J276" s="16">
        <f>IF(C276="","",IF(D276="Monthly",B276*12,IF(D276="Weekly",B276*52,IF(D276="Biweekly",B276*26,IF(D276="Twice Monthly",B276*24,IF(D276="Quarterly",B276*4,IF(D276="Annually",B276,IF(D276="One-time",B276,""))))))))</f>
        <v/>
      </c>
      <c r="K276" s="20">
        <f>IF(C276="","",MONTH(C276))</f>
        <v/>
      </c>
      <c r="L276" s="20">
        <f>IF(C276="","",YEAR(C276))</f>
        <v/>
      </c>
      <c r="M276" s="20">
        <f>IF(C276="","",DAY(C276))</f>
        <v/>
      </c>
    </row>
    <row r="277">
      <c r="A277" s="15" t="n"/>
      <c r="B277" s="19" t="n"/>
      <c r="C277" s="18" t="n"/>
      <c r="D277" s="15" t="n"/>
      <c r="E277" s="15" t="n"/>
      <c r="F277" s="15" t="n"/>
      <c r="G277" s="15" t="n"/>
      <c r="H277" s="15" t="n"/>
      <c r="I277" s="21" t="n"/>
      <c r="J277" s="16">
        <f>IF(C277="","",IF(D277="Monthly",B277*12,IF(D277="Weekly",B277*52,IF(D277="Biweekly",B277*26,IF(D277="Twice Monthly",B277*24,IF(D277="Quarterly",B277*4,IF(D277="Annually",B277,IF(D277="One-time",B277,""))))))))</f>
        <v/>
      </c>
      <c r="K277" s="20">
        <f>IF(C277="","",MONTH(C277))</f>
        <v/>
      </c>
      <c r="L277" s="20">
        <f>IF(C277="","",YEAR(C277))</f>
        <v/>
      </c>
      <c r="M277" s="20">
        <f>IF(C277="","",DAY(C277))</f>
        <v/>
      </c>
    </row>
    <row r="278">
      <c r="A278" s="15" t="n"/>
      <c r="B278" s="19" t="n"/>
      <c r="C278" s="18" t="n"/>
      <c r="D278" s="15" t="n"/>
      <c r="E278" s="15" t="n"/>
      <c r="F278" s="15" t="n"/>
      <c r="G278" s="15" t="n"/>
      <c r="H278" s="15" t="n"/>
      <c r="I278" s="21" t="n"/>
      <c r="J278" s="16">
        <f>IF(C278="","",IF(D278="Monthly",B278*12,IF(D278="Weekly",B278*52,IF(D278="Biweekly",B278*26,IF(D278="Twice Monthly",B278*24,IF(D278="Quarterly",B278*4,IF(D278="Annually",B278,IF(D278="One-time",B278,""))))))))</f>
        <v/>
      </c>
      <c r="K278" s="20">
        <f>IF(C278="","",MONTH(C278))</f>
        <v/>
      </c>
      <c r="L278" s="20">
        <f>IF(C278="","",YEAR(C278))</f>
        <v/>
      </c>
      <c r="M278" s="20">
        <f>IF(C278="","",DAY(C278))</f>
        <v/>
      </c>
    </row>
    <row r="279">
      <c r="A279" s="15" t="n"/>
      <c r="B279" s="19" t="n"/>
      <c r="C279" s="18" t="n"/>
      <c r="D279" s="15" t="n"/>
      <c r="E279" s="15" t="n"/>
      <c r="F279" s="15" t="n"/>
      <c r="G279" s="15" t="n"/>
      <c r="H279" s="15" t="n"/>
      <c r="I279" s="21" t="n"/>
      <c r="J279" s="16">
        <f>IF(C279="","",IF(D279="Monthly",B279*12,IF(D279="Weekly",B279*52,IF(D279="Biweekly",B279*26,IF(D279="Twice Monthly",B279*24,IF(D279="Quarterly",B279*4,IF(D279="Annually",B279,IF(D279="One-time",B279,""))))))))</f>
        <v/>
      </c>
      <c r="K279" s="20">
        <f>IF(C279="","",MONTH(C279))</f>
        <v/>
      </c>
      <c r="L279" s="20">
        <f>IF(C279="","",YEAR(C279))</f>
        <v/>
      </c>
      <c r="M279" s="20">
        <f>IF(C279="","",DAY(C279))</f>
        <v/>
      </c>
    </row>
    <row r="280">
      <c r="A280" s="15" t="n"/>
      <c r="B280" s="19" t="n"/>
      <c r="C280" s="18" t="n"/>
      <c r="D280" s="15" t="n"/>
      <c r="E280" s="15" t="n"/>
      <c r="F280" s="15" t="n"/>
      <c r="G280" s="15" t="n"/>
      <c r="H280" s="15" t="n"/>
      <c r="I280" s="21" t="n"/>
      <c r="J280" s="16">
        <f>IF(C280="","",IF(D280="Monthly",B280*12,IF(D280="Weekly",B280*52,IF(D280="Biweekly",B280*26,IF(D280="Twice Monthly",B280*24,IF(D280="Quarterly",B280*4,IF(D280="Annually",B280,IF(D280="One-time",B280,""))))))))</f>
        <v/>
      </c>
      <c r="K280" s="20">
        <f>IF(C280="","",MONTH(C280))</f>
        <v/>
      </c>
      <c r="L280" s="20">
        <f>IF(C280="","",YEAR(C280))</f>
        <v/>
      </c>
      <c r="M280" s="20">
        <f>IF(C280="","",DAY(C280))</f>
        <v/>
      </c>
    </row>
    <row r="281">
      <c r="A281" s="15" t="n"/>
      <c r="B281" s="19" t="n"/>
      <c r="C281" s="18" t="n"/>
      <c r="D281" s="15" t="n"/>
      <c r="E281" s="15" t="n"/>
      <c r="F281" s="15" t="n"/>
      <c r="G281" s="15" t="n"/>
      <c r="H281" s="15" t="n"/>
      <c r="I281" s="21" t="n"/>
      <c r="J281" s="16">
        <f>IF(C281="","",IF(D281="Monthly",B281*12,IF(D281="Weekly",B281*52,IF(D281="Biweekly",B281*26,IF(D281="Twice Monthly",B281*24,IF(D281="Quarterly",B281*4,IF(D281="Annually",B281,IF(D281="One-time",B281,""))))))))</f>
        <v/>
      </c>
      <c r="K281" s="20">
        <f>IF(C281="","",MONTH(C281))</f>
        <v/>
      </c>
      <c r="L281" s="20">
        <f>IF(C281="","",YEAR(C281))</f>
        <v/>
      </c>
      <c r="M281" s="20">
        <f>IF(C281="","",DAY(C281))</f>
        <v/>
      </c>
    </row>
    <row r="282">
      <c r="A282" s="15" t="n"/>
      <c r="B282" s="19" t="n"/>
      <c r="C282" s="18" t="n"/>
      <c r="D282" s="15" t="n"/>
      <c r="E282" s="15" t="n"/>
      <c r="F282" s="15" t="n"/>
      <c r="G282" s="15" t="n"/>
      <c r="H282" s="15" t="n"/>
      <c r="I282" s="21" t="n"/>
      <c r="J282" s="16">
        <f>IF(C282="","",IF(D282="Monthly",B282*12,IF(D282="Weekly",B282*52,IF(D282="Biweekly",B282*26,IF(D282="Twice Monthly",B282*24,IF(D282="Quarterly",B282*4,IF(D282="Annually",B282,IF(D282="One-time",B282,""))))))))</f>
        <v/>
      </c>
      <c r="K282" s="20">
        <f>IF(C282="","",MONTH(C282))</f>
        <v/>
      </c>
      <c r="L282" s="20">
        <f>IF(C282="","",YEAR(C282))</f>
        <v/>
      </c>
      <c r="M282" s="20">
        <f>IF(C282="","",DAY(C282))</f>
        <v/>
      </c>
    </row>
    <row r="283">
      <c r="A283" s="15" t="n"/>
      <c r="B283" s="19" t="n"/>
      <c r="C283" s="18" t="n"/>
      <c r="D283" s="15" t="n"/>
      <c r="E283" s="15" t="n"/>
      <c r="F283" s="15" t="n"/>
      <c r="G283" s="15" t="n"/>
      <c r="H283" s="15" t="n"/>
      <c r="I283" s="21" t="n"/>
      <c r="J283" s="16">
        <f>IF(C283="","",IF(D283="Monthly",B283*12,IF(D283="Weekly",B283*52,IF(D283="Biweekly",B283*26,IF(D283="Twice Monthly",B283*24,IF(D283="Quarterly",B283*4,IF(D283="Annually",B283,IF(D283="One-time",B283,""))))))))</f>
        <v/>
      </c>
      <c r="K283" s="20">
        <f>IF(C283="","",MONTH(C283))</f>
        <v/>
      </c>
      <c r="L283" s="20">
        <f>IF(C283="","",YEAR(C283))</f>
        <v/>
      </c>
      <c r="M283" s="20">
        <f>IF(C283="","",DAY(C283))</f>
        <v/>
      </c>
    </row>
    <row r="284">
      <c r="A284" s="15" t="n"/>
      <c r="B284" s="19" t="n"/>
      <c r="C284" s="18" t="n"/>
      <c r="D284" s="15" t="n"/>
      <c r="E284" s="15" t="n"/>
      <c r="F284" s="15" t="n"/>
      <c r="G284" s="15" t="n"/>
      <c r="H284" s="15" t="n"/>
      <c r="I284" s="21" t="n"/>
      <c r="J284" s="16">
        <f>IF(C284="","",IF(D284="Monthly",B284*12,IF(D284="Weekly",B284*52,IF(D284="Biweekly",B284*26,IF(D284="Twice Monthly",B284*24,IF(D284="Quarterly",B284*4,IF(D284="Annually",B284,IF(D284="One-time",B284,""))))))))</f>
        <v/>
      </c>
      <c r="K284" s="20">
        <f>IF(C284="","",MONTH(C284))</f>
        <v/>
      </c>
      <c r="L284" s="20">
        <f>IF(C284="","",YEAR(C284))</f>
        <v/>
      </c>
      <c r="M284" s="20">
        <f>IF(C284="","",DAY(C284))</f>
        <v/>
      </c>
    </row>
    <row r="285">
      <c r="A285" s="15" t="n"/>
      <c r="B285" s="19" t="n"/>
      <c r="C285" s="18" t="n"/>
      <c r="D285" s="15" t="n"/>
      <c r="E285" s="15" t="n"/>
      <c r="F285" s="15" t="n"/>
      <c r="G285" s="15" t="n"/>
      <c r="H285" s="15" t="n"/>
      <c r="I285" s="21" t="n"/>
      <c r="J285" s="16">
        <f>IF(C285="","",IF(D285="Monthly",B285*12,IF(D285="Weekly",B285*52,IF(D285="Biweekly",B285*26,IF(D285="Twice Monthly",B285*24,IF(D285="Quarterly",B285*4,IF(D285="Annually",B285,IF(D285="One-time",B285,""))))))))</f>
        <v/>
      </c>
      <c r="K285" s="20">
        <f>IF(C285="","",MONTH(C285))</f>
        <v/>
      </c>
      <c r="L285" s="20">
        <f>IF(C285="","",YEAR(C285))</f>
        <v/>
      </c>
      <c r="M285" s="20">
        <f>IF(C285="","",DAY(C285))</f>
        <v/>
      </c>
    </row>
    <row r="286">
      <c r="A286" s="15" t="n"/>
      <c r="B286" s="19" t="n"/>
      <c r="C286" s="18" t="n"/>
      <c r="D286" s="15" t="n"/>
      <c r="E286" s="15" t="n"/>
      <c r="F286" s="15" t="n"/>
      <c r="G286" s="15" t="n"/>
      <c r="H286" s="15" t="n"/>
      <c r="I286" s="21" t="n"/>
      <c r="J286" s="16">
        <f>IF(C286="","",IF(D286="Monthly",B286*12,IF(D286="Weekly",B286*52,IF(D286="Biweekly",B286*26,IF(D286="Twice Monthly",B286*24,IF(D286="Quarterly",B286*4,IF(D286="Annually",B286,IF(D286="One-time",B286,""))))))))</f>
        <v/>
      </c>
      <c r="K286" s="20">
        <f>IF(C286="","",MONTH(C286))</f>
        <v/>
      </c>
      <c r="L286" s="20">
        <f>IF(C286="","",YEAR(C286))</f>
        <v/>
      </c>
      <c r="M286" s="20">
        <f>IF(C286="","",DAY(C286))</f>
        <v/>
      </c>
    </row>
    <row r="287">
      <c r="A287" s="15" t="n"/>
      <c r="B287" s="19" t="n"/>
      <c r="C287" s="18" t="n"/>
      <c r="D287" s="15" t="n"/>
      <c r="E287" s="15" t="n"/>
      <c r="F287" s="15" t="n"/>
      <c r="G287" s="15" t="n"/>
      <c r="H287" s="15" t="n"/>
      <c r="I287" s="21" t="n"/>
      <c r="J287" s="16">
        <f>IF(C287="","",IF(D287="Monthly",B287*12,IF(D287="Weekly",B287*52,IF(D287="Biweekly",B287*26,IF(D287="Twice Monthly",B287*24,IF(D287="Quarterly",B287*4,IF(D287="Annually",B287,IF(D287="One-time",B287,""))))))))</f>
        <v/>
      </c>
      <c r="K287" s="20">
        <f>IF(C287="","",MONTH(C287))</f>
        <v/>
      </c>
      <c r="L287" s="20">
        <f>IF(C287="","",YEAR(C287))</f>
        <v/>
      </c>
      <c r="M287" s="20">
        <f>IF(C287="","",DAY(C287))</f>
        <v/>
      </c>
    </row>
    <row r="288">
      <c r="A288" s="15" t="n"/>
      <c r="B288" s="19" t="n"/>
      <c r="C288" s="18" t="n"/>
      <c r="D288" s="15" t="n"/>
      <c r="E288" s="15" t="n"/>
      <c r="F288" s="15" t="n"/>
      <c r="G288" s="15" t="n"/>
      <c r="H288" s="15" t="n"/>
      <c r="I288" s="21" t="n"/>
      <c r="J288" s="16">
        <f>IF(C288="","",IF(D288="Monthly",B288*12,IF(D288="Weekly",B288*52,IF(D288="Biweekly",B288*26,IF(D288="Twice Monthly",B288*24,IF(D288="Quarterly",B288*4,IF(D288="Annually",B288,IF(D288="One-time",B288,""))))))))</f>
        <v/>
      </c>
      <c r="K288" s="20">
        <f>IF(C288="","",MONTH(C288))</f>
        <v/>
      </c>
      <c r="L288" s="20">
        <f>IF(C288="","",YEAR(C288))</f>
        <v/>
      </c>
      <c r="M288" s="20">
        <f>IF(C288="","",DAY(C288))</f>
        <v/>
      </c>
    </row>
    <row r="289">
      <c r="A289" s="15" t="n"/>
      <c r="B289" s="19" t="n"/>
      <c r="C289" s="18" t="n"/>
      <c r="D289" s="15" t="n"/>
      <c r="E289" s="15" t="n"/>
      <c r="F289" s="15" t="n"/>
      <c r="G289" s="15" t="n"/>
      <c r="H289" s="15" t="n"/>
      <c r="I289" s="21" t="n"/>
      <c r="J289" s="16">
        <f>IF(C289="","",IF(D289="Monthly",B289*12,IF(D289="Weekly",B289*52,IF(D289="Biweekly",B289*26,IF(D289="Twice Monthly",B289*24,IF(D289="Quarterly",B289*4,IF(D289="Annually",B289,IF(D289="One-time",B289,""))))))))</f>
        <v/>
      </c>
      <c r="K289" s="20">
        <f>IF(C289="","",MONTH(C289))</f>
        <v/>
      </c>
      <c r="L289" s="20">
        <f>IF(C289="","",YEAR(C289))</f>
        <v/>
      </c>
      <c r="M289" s="20">
        <f>IF(C289="","",DAY(C289))</f>
        <v/>
      </c>
    </row>
    <row r="290">
      <c r="A290" s="15" t="n"/>
      <c r="B290" s="19" t="n"/>
      <c r="C290" s="18" t="n"/>
      <c r="D290" s="15" t="n"/>
      <c r="E290" s="15" t="n"/>
      <c r="F290" s="15" t="n"/>
      <c r="G290" s="15" t="n"/>
      <c r="H290" s="15" t="n"/>
      <c r="I290" s="21" t="n"/>
      <c r="J290" s="16">
        <f>IF(C290="","",IF(D290="Monthly",B290*12,IF(D290="Weekly",B290*52,IF(D290="Biweekly",B290*26,IF(D290="Twice Monthly",B290*24,IF(D290="Quarterly",B290*4,IF(D290="Annually",B290,IF(D290="One-time",B290,""))))))))</f>
        <v/>
      </c>
      <c r="K290" s="20">
        <f>IF(C290="","",MONTH(C290))</f>
        <v/>
      </c>
      <c r="L290" s="20">
        <f>IF(C290="","",YEAR(C290))</f>
        <v/>
      </c>
      <c r="M290" s="20">
        <f>IF(C290="","",DAY(C290))</f>
        <v/>
      </c>
    </row>
    <row r="291">
      <c r="A291" s="15" t="n"/>
      <c r="B291" s="19" t="n"/>
      <c r="C291" s="18" t="n"/>
      <c r="D291" s="15" t="n"/>
      <c r="E291" s="15" t="n"/>
      <c r="F291" s="15" t="n"/>
      <c r="G291" s="15" t="n"/>
      <c r="H291" s="15" t="n"/>
      <c r="I291" s="21" t="n"/>
      <c r="J291" s="16">
        <f>IF(C291="","",IF(D291="Monthly",B291*12,IF(D291="Weekly",B291*52,IF(D291="Biweekly",B291*26,IF(D291="Twice Monthly",B291*24,IF(D291="Quarterly",B291*4,IF(D291="Annually",B291,IF(D291="One-time",B291,""))))))))</f>
        <v/>
      </c>
      <c r="K291" s="20">
        <f>IF(C291="","",MONTH(C291))</f>
        <v/>
      </c>
      <c r="L291" s="20">
        <f>IF(C291="","",YEAR(C291))</f>
        <v/>
      </c>
      <c r="M291" s="20">
        <f>IF(C291="","",DAY(C291))</f>
        <v/>
      </c>
    </row>
    <row r="292">
      <c r="A292" s="15" t="n"/>
      <c r="B292" s="19" t="n"/>
      <c r="C292" s="18" t="n"/>
      <c r="D292" s="15" t="n"/>
      <c r="E292" s="15" t="n"/>
      <c r="F292" s="15" t="n"/>
      <c r="G292" s="15" t="n"/>
      <c r="H292" s="15" t="n"/>
      <c r="I292" s="21" t="n"/>
      <c r="J292" s="16">
        <f>IF(C292="","",IF(D292="Monthly",B292*12,IF(D292="Weekly",B292*52,IF(D292="Biweekly",B292*26,IF(D292="Twice Monthly",B292*24,IF(D292="Quarterly",B292*4,IF(D292="Annually",B292,IF(D292="One-time",B292,""))))))))</f>
        <v/>
      </c>
      <c r="K292" s="20">
        <f>IF(C292="","",MONTH(C292))</f>
        <v/>
      </c>
      <c r="L292" s="20">
        <f>IF(C292="","",YEAR(C292))</f>
        <v/>
      </c>
      <c r="M292" s="20">
        <f>IF(C292="","",DAY(C292))</f>
        <v/>
      </c>
    </row>
    <row r="293">
      <c r="A293" s="15" t="n"/>
      <c r="B293" s="19" t="n"/>
      <c r="C293" s="18" t="n"/>
      <c r="D293" s="15" t="n"/>
      <c r="E293" s="15" t="n"/>
      <c r="F293" s="15" t="n"/>
      <c r="G293" s="15" t="n"/>
      <c r="H293" s="15" t="n"/>
      <c r="I293" s="21" t="n"/>
      <c r="J293" s="16">
        <f>IF(C293="","",IF(D293="Monthly",B293*12,IF(D293="Weekly",B293*52,IF(D293="Biweekly",B293*26,IF(D293="Twice Monthly",B293*24,IF(D293="Quarterly",B293*4,IF(D293="Annually",B293,IF(D293="One-time",B293,""))))))))</f>
        <v/>
      </c>
      <c r="K293" s="20">
        <f>IF(C293="","",MONTH(C293))</f>
        <v/>
      </c>
      <c r="L293" s="20">
        <f>IF(C293="","",YEAR(C293))</f>
        <v/>
      </c>
      <c r="M293" s="20">
        <f>IF(C293="","",DAY(C293))</f>
        <v/>
      </c>
    </row>
    <row r="294">
      <c r="A294" s="15" t="n"/>
      <c r="B294" s="19" t="n"/>
      <c r="C294" s="18" t="n"/>
      <c r="D294" s="15" t="n"/>
      <c r="E294" s="15" t="n"/>
      <c r="F294" s="15" t="n"/>
      <c r="G294" s="15" t="n"/>
      <c r="H294" s="15" t="n"/>
      <c r="I294" s="21" t="n"/>
      <c r="J294" s="16">
        <f>IF(C294="","",IF(D294="Monthly",B294*12,IF(D294="Weekly",B294*52,IF(D294="Biweekly",B294*26,IF(D294="Twice Monthly",B294*24,IF(D294="Quarterly",B294*4,IF(D294="Annually",B294,IF(D294="One-time",B294,""))))))))</f>
        <v/>
      </c>
      <c r="K294" s="20">
        <f>IF(C294="","",MONTH(C294))</f>
        <v/>
      </c>
      <c r="L294" s="20">
        <f>IF(C294="","",YEAR(C294))</f>
        <v/>
      </c>
      <c r="M294" s="20">
        <f>IF(C294="","",DAY(C294))</f>
        <v/>
      </c>
    </row>
    <row r="295">
      <c r="A295" s="15" t="n"/>
      <c r="B295" s="19" t="n"/>
      <c r="C295" s="18" t="n"/>
      <c r="D295" s="15" t="n"/>
      <c r="E295" s="15" t="n"/>
      <c r="F295" s="15" t="n"/>
      <c r="G295" s="15" t="n"/>
      <c r="H295" s="15" t="n"/>
      <c r="I295" s="21" t="n"/>
      <c r="J295" s="16">
        <f>IF(C295="","",IF(D295="Monthly",B295*12,IF(D295="Weekly",B295*52,IF(D295="Biweekly",B295*26,IF(D295="Twice Monthly",B295*24,IF(D295="Quarterly",B295*4,IF(D295="Annually",B295,IF(D295="One-time",B295,""))))))))</f>
        <v/>
      </c>
      <c r="K295" s="20">
        <f>IF(C295="","",MONTH(C295))</f>
        <v/>
      </c>
      <c r="L295" s="20">
        <f>IF(C295="","",YEAR(C295))</f>
        <v/>
      </c>
      <c r="M295" s="20">
        <f>IF(C295="","",DAY(C295))</f>
        <v/>
      </c>
    </row>
    <row r="296">
      <c r="A296" s="15" t="n"/>
      <c r="B296" s="19" t="n"/>
      <c r="C296" s="18" t="n"/>
      <c r="D296" s="15" t="n"/>
      <c r="E296" s="15" t="n"/>
      <c r="F296" s="15" t="n"/>
      <c r="G296" s="15" t="n"/>
      <c r="H296" s="15" t="n"/>
      <c r="I296" s="21" t="n"/>
      <c r="J296" s="16">
        <f>IF(C296="","",IF(D296="Monthly",B296*12,IF(D296="Weekly",B296*52,IF(D296="Biweekly",B296*26,IF(D296="Twice Monthly",B296*24,IF(D296="Quarterly",B296*4,IF(D296="Annually",B296,IF(D296="One-time",B296,""))))))))</f>
        <v/>
      </c>
      <c r="K296" s="20">
        <f>IF(C296="","",MONTH(C296))</f>
        <v/>
      </c>
      <c r="L296" s="20">
        <f>IF(C296="","",YEAR(C296))</f>
        <v/>
      </c>
      <c r="M296" s="20">
        <f>IF(C296="","",DAY(C296))</f>
        <v/>
      </c>
    </row>
    <row r="297">
      <c r="A297" s="15" t="n"/>
      <c r="B297" s="19" t="n"/>
      <c r="C297" s="18" t="n"/>
      <c r="D297" s="15" t="n"/>
      <c r="E297" s="15" t="n"/>
      <c r="F297" s="15" t="n"/>
      <c r="G297" s="15" t="n"/>
      <c r="H297" s="15" t="n"/>
      <c r="I297" s="21" t="n"/>
      <c r="J297" s="16">
        <f>IF(C297="","",IF(D297="Monthly",B297*12,IF(D297="Weekly",B297*52,IF(D297="Biweekly",B297*26,IF(D297="Twice Monthly",B297*24,IF(D297="Quarterly",B297*4,IF(D297="Annually",B297,IF(D297="One-time",B297,""))))))))</f>
        <v/>
      </c>
      <c r="K297" s="20">
        <f>IF(C297="","",MONTH(C297))</f>
        <v/>
      </c>
      <c r="L297" s="20">
        <f>IF(C297="","",YEAR(C297))</f>
        <v/>
      </c>
      <c r="M297" s="20">
        <f>IF(C297="","",DAY(C297))</f>
        <v/>
      </c>
    </row>
    <row r="298">
      <c r="A298" s="15" t="n"/>
      <c r="B298" s="19" t="n"/>
      <c r="C298" s="18" t="n"/>
      <c r="D298" s="15" t="n"/>
      <c r="E298" s="15" t="n"/>
      <c r="F298" s="15" t="n"/>
      <c r="G298" s="15" t="n"/>
      <c r="H298" s="15" t="n"/>
      <c r="I298" s="21" t="n"/>
      <c r="J298" s="16">
        <f>IF(C298="","",IF(D298="Monthly",B298*12,IF(D298="Weekly",B298*52,IF(D298="Biweekly",B298*26,IF(D298="Twice Monthly",B298*24,IF(D298="Quarterly",B298*4,IF(D298="Annually",B298,IF(D298="One-time",B298,""))))))))</f>
        <v/>
      </c>
      <c r="K298" s="20">
        <f>IF(C298="","",MONTH(C298))</f>
        <v/>
      </c>
      <c r="L298" s="20">
        <f>IF(C298="","",YEAR(C298))</f>
        <v/>
      </c>
      <c r="M298" s="20">
        <f>IF(C298="","",DAY(C298))</f>
        <v/>
      </c>
    </row>
    <row r="299">
      <c r="A299" s="15" t="n"/>
      <c r="B299" s="19" t="n"/>
      <c r="C299" s="18" t="n"/>
      <c r="D299" s="15" t="n"/>
      <c r="E299" s="15" t="n"/>
      <c r="F299" s="15" t="n"/>
      <c r="G299" s="15" t="n"/>
      <c r="H299" s="15" t="n"/>
      <c r="I299" s="21" t="n"/>
      <c r="J299" s="16">
        <f>IF(C299="","",IF(D299="Monthly",B299*12,IF(D299="Weekly",B299*52,IF(D299="Biweekly",B299*26,IF(D299="Twice Monthly",B299*24,IF(D299="Quarterly",B299*4,IF(D299="Annually",B299,IF(D299="One-time",B299,""))))))))</f>
        <v/>
      </c>
      <c r="K299" s="20">
        <f>IF(C299="","",MONTH(C299))</f>
        <v/>
      </c>
      <c r="L299" s="20">
        <f>IF(C299="","",YEAR(C299))</f>
        <v/>
      </c>
      <c r="M299" s="20">
        <f>IF(C299="","",DAY(C299))</f>
        <v/>
      </c>
    </row>
    <row r="300">
      <c r="A300" s="15" t="n"/>
      <c r="B300" s="19" t="n"/>
      <c r="C300" s="18" t="n"/>
      <c r="D300" s="15" t="n"/>
      <c r="E300" s="15" t="n"/>
      <c r="F300" s="15" t="n"/>
      <c r="G300" s="15" t="n"/>
      <c r="H300" s="15" t="n"/>
      <c r="I300" s="21" t="n"/>
      <c r="J300" s="16">
        <f>IF(C300="","",IF(D300="Monthly",B300*12,IF(D300="Weekly",B300*52,IF(D300="Biweekly",B300*26,IF(D300="Twice Monthly",B300*24,IF(D300="Quarterly",B300*4,IF(D300="Annually",B300,IF(D300="One-time",B300,""))))))))</f>
        <v/>
      </c>
      <c r="K300" s="20">
        <f>IF(C300="","",MONTH(C300))</f>
        <v/>
      </c>
      <c r="L300" s="20">
        <f>IF(C300="","",YEAR(C300))</f>
        <v/>
      </c>
      <c r="M300" s="20">
        <f>IF(C300="","",DAY(C300))</f>
        <v/>
      </c>
    </row>
    <row r="301">
      <c r="A301" s="15" t="n"/>
      <c r="B301" s="19" t="n"/>
      <c r="C301" s="18" t="n"/>
      <c r="D301" s="15" t="n"/>
      <c r="E301" s="15" t="n"/>
      <c r="F301" s="15" t="n"/>
      <c r="G301" s="15" t="n"/>
      <c r="H301" s="15" t="n"/>
      <c r="I301" s="21" t="n"/>
      <c r="J301" s="16">
        <f>IF(C301="","",IF(D301="Monthly",B301*12,IF(D301="Weekly",B301*52,IF(D301="Biweekly",B301*26,IF(D301="Twice Monthly",B301*24,IF(D301="Quarterly",B301*4,IF(D301="Annually",B301,IF(D301="One-time",B301,""))))))))</f>
        <v/>
      </c>
      <c r="K301" s="20">
        <f>IF(C301="","",MONTH(C301))</f>
        <v/>
      </c>
      <c r="L301" s="20">
        <f>IF(C301="","",YEAR(C301))</f>
        <v/>
      </c>
      <c r="M301" s="20">
        <f>IF(C301="","",DAY(C301))</f>
        <v/>
      </c>
    </row>
    <row r="302">
      <c r="A302" s="15" t="n"/>
      <c r="B302" s="19" t="n"/>
      <c r="C302" s="18" t="n"/>
      <c r="D302" s="15" t="n"/>
      <c r="E302" s="15" t="n"/>
      <c r="F302" s="15" t="n"/>
      <c r="G302" s="15" t="n"/>
      <c r="H302" s="15" t="n"/>
      <c r="I302" s="21" t="n"/>
      <c r="J302" s="16">
        <f>IF(C302="","",IF(D302="Monthly",B302*12,IF(D302="Weekly",B302*52,IF(D302="Biweekly",B302*26,IF(D302="Twice Monthly",B302*24,IF(D302="Quarterly",B302*4,IF(D302="Annually",B302,IF(D302="One-time",B302,""))))))))</f>
        <v/>
      </c>
      <c r="K302" s="20">
        <f>IF(C302="","",MONTH(C302))</f>
        <v/>
      </c>
      <c r="L302" s="20">
        <f>IF(C302="","",YEAR(C302))</f>
        <v/>
      </c>
      <c r="M302" s="20">
        <f>IF(C302="","",DAY(C302))</f>
        <v/>
      </c>
    </row>
    <row r="303">
      <c r="A303" s="15" t="n"/>
      <c r="B303" s="19" t="n"/>
      <c r="C303" s="18" t="n"/>
      <c r="D303" s="15" t="n"/>
      <c r="E303" s="15" t="n"/>
      <c r="F303" s="15" t="n"/>
      <c r="G303" s="15" t="n"/>
      <c r="H303" s="15" t="n"/>
      <c r="I303" s="21" t="n"/>
      <c r="J303" s="16">
        <f>IF(C303="","",IF(D303="Monthly",B303*12,IF(D303="Weekly",B303*52,IF(D303="Biweekly",B303*26,IF(D303="Twice Monthly",B303*24,IF(D303="Quarterly",B303*4,IF(D303="Annually",B303,IF(D303="One-time",B303,""))))))))</f>
        <v/>
      </c>
      <c r="K303" s="20">
        <f>IF(C303="","",MONTH(C303))</f>
        <v/>
      </c>
      <c r="L303" s="20">
        <f>IF(C303="","",YEAR(C303))</f>
        <v/>
      </c>
      <c r="M303" s="20">
        <f>IF(C303="","",DAY(C303))</f>
        <v/>
      </c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3:M303"/>
  <mergeCells count="2">
    <mergeCell ref="A2:M2"/>
    <mergeCell ref="A1:M1"/>
  </mergeCells>
  <dataValidations count="4">
    <dataValidation sqref="D4:D303" showDropDown="0" showInputMessage="0" showErrorMessage="1" allowBlank="1" type="list">
      <formula1>L_Bill_Frequencies</formula1>
    </dataValidation>
    <dataValidation sqref="E4:E303" showDropDown="0" showInputMessage="0" showErrorMessage="1" allowBlank="1" type="list">
      <formula1>L_Categories</formula1>
    </dataValidation>
    <dataValidation sqref="F4:F303" showDropDown="0" showInputMessage="0" showErrorMessage="1" allowBlank="1" type="list">
      <formula1>L_Account_Types</formula1>
    </dataValidation>
    <dataValidation sqref="G4:G303 H4:H303" showDropDown="0" showInputMessage="0" showErrorMessage="1" allowBlank="1" type="list">
      <formula1>L_Yes_No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7" customWidth="1" min="9" max="9"/>
    <col width="7" customWidth="1" min="10" max="10"/>
    <col width="24" customWidth="1" min="11" max="11"/>
  </cols>
  <sheetData>
    <row r="1" ht="30" customHeight="1">
      <c r="A1" s="1" t="inlineStr">
        <is>
          <t>🏦 Account Tracker</t>
        </is>
      </c>
    </row>
    <row r="2" ht="28" customHeight="1">
      <c r="A2" s="2" t="inlineStr">
        <is>
          <t>Every household account with current balance, limits and rates. Available credit is auto-computed.</t>
        </is>
      </c>
    </row>
    <row r="3">
      <c r="A3" s="14" t="inlineStr">
        <is>
          <t>Account Name</t>
        </is>
      </c>
      <c r="B3" s="14" t="inlineStr">
        <is>
          <t>Account Type</t>
        </is>
      </c>
      <c r="C3" s="14" t="inlineStr">
        <is>
          <t>Owner</t>
        </is>
      </c>
      <c r="D3" s="14" t="inlineStr">
        <is>
          <t>Current Balance</t>
        </is>
      </c>
      <c r="E3" s="14" t="inlineStr">
        <is>
          <t>Credit Limit</t>
        </is>
      </c>
      <c r="F3" s="14" t="inlineStr">
        <is>
          <t>Available Credit</t>
        </is>
      </c>
      <c r="G3" s="14" t="inlineStr">
        <is>
          <t>Rate / APY</t>
        </is>
      </c>
      <c r="H3" s="14" t="inlineStr">
        <is>
          <t>Last Updated</t>
        </is>
      </c>
      <c r="I3" s="14" t="inlineStr">
        <is>
          <t>Month</t>
        </is>
      </c>
      <c r="J3" s="14" t="inlineStr">
        <is>
          <t>Year</t>
        </is>
      </c>
      <c r="K3" s="14" t="inlineStr">
        <is>
          <t>Notes</t>
        </is>
      </c>
    </row>
    <row r="4">
      <c r="A4" s="15" t="inlineStr">
        <is>
          <t>Chase Checking</t>
        </is>
      </c>
      <c r="B4" s="15" t="inlineStr">
        <is>
          <t>Checking</t>
        </is>
      </c>
      <c r="C4" s="15" t="inlineStr">
        <is>
          <t>Parent 1</t>
        </is>
      </c>
      <c r="D4" s="19" t="n">
        <v>9200</v>
      </c>
      <c r="E4" s="19" t="n"/>
      <c r="F4" s="16">
        <f>IF(E4="","",IF(E4=0,"",E4-ABS(D4)))</f>
        <v/>
      </c>
      <c r="G4" s="31" t="n"/>
      <c r="H4" s="18" t="n">
        <v>46244</v>
      </c>
      <c r="I4" s="20">
        <f>IF(H4="","",MONTH(H4))</f>
        <v/>
      </c>
      <c r="J4" s="20">
        <f>IF(H4="","",YEAR(H4))</f>
        <v/>
      </c>
      <c r="K4" s="15" t="inlineStr">
        <is>
          <t>Checking</t>
        </is>
      </c>
    </row>
    <row r="5">
      <c r="A5" s="15" t="inlineStr">
        <is>
          <t>Wells Fargo Checking</t>
        </is>
      </c>
      <c r="B5" s="15" t="inlineStr">
        <is>
          <t>Checking</t>
        </is>
      </c>
      <c r="C5" s="15" t="inlineStr">
        <is>
          <t>Parent 2</t>
        </is>
      </c>
      <c r="D5" s="19" t="n">
        <v>4300</v>
      </c>
      <c r="E5" s="19" t="n"/>
      <c r="F5" s="16">
        <f>IF(E5="","",IF(E5=0,"",E5-ABS(D5)))</f>
        <v/>
      </c>
      <c r="G5" s="31" t="n"/>
      <c r="H5" s="18" t="n">
        <v>46244</v>
      </c>
      <c r="I5" s="20">
        <f>IF(H5="","",MONTH(H5))</f>
        <v/>
      </c>
      <c r="J5" s="20">
        <f>IF(H5="","",YEAR(H5))</f>
        <v/>
      </c>
      <c r="K5" s="15" t="inlineStr">
        <is>
          <t>Checking</t>
        </is>
      </c>
    </row>
    <row r="6">
      <c r="A6" s="15" t="inlineStr">
        <is>
          <t>Ally Savings</t>
        </is>
      </c>
      <c r="B6" s="15" t="inlineStr">
        <is>
          <t>Savings</t>
        </is>
      </c>
      <c r="C6" s="15" t="inlineStr">
        <is>
          <t>Household</t>
        </is>
      </c>
      <c r="D6" s="19" t="n">
        <v>14500</v>
      </c>
      <c r="E6" s="19" t="n"/>
      <c r="F6" s="16">
        <f>IF(E6="","",IF(E6=0,"",E6-ABS(D6)))</f>
        <v/>
      </c>
      <c r="G6" s="31" t="n">
        <v>0.042</v>
      </c>
      <c r="H6" s="18" t="n">
        <v>46254</v>
      </c>
      <c r="I6" s="20">
        <f>IF(H6="","",MONTH(H6))</f>
        <v/>
      </c>
      <c r="J6" s="20">
        <f>IF(H6="","",YEAR(H6))</f>
        <v/>
      </c>
      <c r="K6" s="15" t="inlineStr">
        <is>
          <t>Savings</t>
        </is>
      </c>
    </row>
    <row r="7">
      <c r="A7" s="15" t="inlineStr">
        <is>
          <t>Ally HYSA</t>
        </is>
      </c>
      <c r="B7" s="15" t="inlineStr">
        <is>
          <t>HYSA</t>
        </is>
      </c>
      <c r="C7" s="15" t="inlineStr">
        <is>
          <t>Household</t>
        </is>
      </c>
      <c r="D7" s="19" t="n">
        <v>28000</v>
      </c>
      <c r="E7" s="19" t="n"/>
      <c r="F7" s="16">
        <f>IF(E7="","",IF(E7=0,"",E7-ABS(D7)))</f>
        <v/>
      </c>
      <c r="G7" s="31" t="n">
        <v>0.047</v>
      </c>
      <c r="H7" s="18" t="n">
        <v>46255</v>
      </c>
      <c r="I7" s="20">
        <f>IF(H7="","",MONTH(H7))</f>
        <v/>
      </c>
      <c r="J7" s="20">
        <f>IF(H7="","",YEAR(H7))</f>
        <v/>
      </c>
      <c r="K7" s="15" t="inlineStr">
        <is>
          <t>Savings</t>
        </is>
      </c>
    </row>
    <row r="8">
      <c r="A8" s="15" t="inlineStr">
        <is>
          <t>Cash</t>
        </is>
      </c>
      <c r="B8" s="15" t="inlineStr">
        <is>
          <t>Cash</t>
        </is>
      </c>
      <c r="C8" s="15" t="inlineStr">
        <is>
          <t>Household</t>
        </is>
      </c>
      <c r="D8" s="19" t="n">
        <v>450</v>
      </c>
      <c r="E8" s="19" t="n"/>
      <c r="F8" s="16">
        <f>IF(E8="","",IF(E8=0,"",E8-ABS(D8)))</f>
        <v/>
      </c>
      <c r="G8" s="31" t="n"/>
      <c r="H8" s="18" t="n">
        <v>46260</v>
      </c>
      <c r="I8" s="20">
        <f>IF(H8="","",MONTH(H8))</f>
        <v/>
      </c>
      <c r="J8" s="20">
        <f>IF(H8="","",YEAR(H8))</f>
        <v/>
      </c>
      <c r="K8" s="15" t="inlineStr">
        <is>
          <t>Cash</t>
        </is>
      </c>
    </row>
    <row r="9">
      <c r="A9" s="15" t="inlineStr">
        <is>
          <t>Capital One Credit</t>
        </is>
      </c>
      <c r="B9" s="15" t="inlineStr">
        <is>
          <t>Credit Card</t>
        </is>
      </c>
      <c r="C9" s="15" t="inlineStr">
        <is>
          <t>Parent 1</t>
        </is>
      </c>
      <c r="D9" s="19" t="n">
        <v>2100</v>
      </c>
      <c r="E9" s="19" t="n">
        <v>12000</v>
      </c>
      <c r="F9" s="16">
        <f>IF(E9="","",IF(E9=0,"",E9-ABS(D9)))</f>
        <v/>
      </c>
      <c r="G9" s="31" t="n">
        <v>0.2499</v>
      </c>
      <c r="H9" s="18" t="n">
        <v>46249</v>
      </c>
      <c r="I9" s="20">
        <f>IF(H9="","",MONTH(H9))</f>
        <v/>
      </c>
      <c r="J9" s="20">
        <f>IF(H9="","",YEAR(H9))</f>
        <v/>
      </c>
      <c r="K9" s="15" t="inlineStr">
        <is>
          <t>Credit Card</t>
        </is>
      </c>
    </row>
    <row r="10">
      <c r="A10" s="15" t="inlineStr">
        <is>
          <t>Visa Credit</t>
        </is>
      </c>
      <c r="B10" s="15" t="inlineStr">
        <is>
          <t>Credit Card</t>
        </is>
      </c>
      <c r="C10" s="15" t="inlineStr">
        <is>
          <t>Parent 2</t>
        </is>
      </c>
      <c r="D10" s="19" t="n">
        <v>830</v>
      </c>
      <c r="E10" s="19" t="n">
        <v>6000</v>
      </c>
      <c r="F10" s="16">
        <f>IF(E10="","",IF(E10=0,"",E10-ABS(D10)))</f>
        <v/>
      </c>
      <c r="G10" s="31" t="n">
        <v>0.2299</v>
      </c>
      <c r="H10" s="18" t="n">
        <v>46252</v>
      </c>
      <c r="I10" s="20">
        <f>IF(H10="","",MONTH(H10))</f>
        <v/>
      </c>
      <c r="J10" s="20">
        <f>IF(H10="","",YEAR(H10))</f>
        <v/>
      </c>
      <c r="K10" s="15" t="inlineStr">
        <is>
          <t>Credit Card</t>
        </is>
      </c>
    </row>
    <row r="11">
      <c r="A11" s="15" t="inlineStr">
        <is>
          <t>401(k) - Fidelity</t>
        </is>
      </c>
      <c r="B11" s="15" t="inlineStr">
        <is>
          <t>401(k)</t>
        </is>
      </c>
      <c r="C11" s="15" t="inlineStr">
        <is>
          <t>Parent 1</t>
        </is>
      </c>
      <c r="D11" s="19" t="n">
        <v>128000</v>
      </c>
      <c r="E11" s="19" t="n"/>
      <c r="F11" s="16">
        <f>IF(E11="","",IF(E11=0,"",E11-ABS(D11)))</f>
        <v/>
      </c>
      <c r="G11" s="31" t="n">
        <v>0.07000000000000001</v>
      </c>
      <c r="H11" s="18" t="n">
        <v>46262</v>
      </c>
      <c r="I11" s="20">
        <f>IF(H11="","",MONTH(H11))</f>
        <v/>
      </c>
      <c r="J11" s="20">
        <f>IF(H11="","",YEAR(H11))</f>
        <v/>
      </c>
      <c r="K11" s="15" t="inlineStr">
        <is>
          <t>Retirement</t>
        </is>
      </c>
    </row>
    <row r="12">
      <c r="A12" s="15" t="inlineStr">
        <is>
          <t>403(b) - TIAA</t>
        </is>
      </c>
      <c r="B12" s="15" t="inlineStr">
        <is>
          <t>403(b)</t>
        </is>
      </c>
      <c r="C12" s="15" t="inlineStr">
        <is>
          <t>Parent 2</t>
        </is>
      </c>
      <c r="D12" s="19" t="n">
        <v>76000</v>
      </c>
      <c r="E12" s="19" t="n"/>
      <c r="F12" s="16">
        <f>IF(E12="","",IF(E12=0,"",E12-ABS(D12)))</f>
        <v/>
      </c>
      <c r="G12" s="31" t="n">
        <v>0.065</v>
      </c>
      <c r="H12" s="18" t="n">
        <v>46262</v>
      </c>
      <c r="I12" s="20">
        <f>IF(H12="","",MONTH(H12))</f>
        <v/>
      </c>
      <c r="J12" s="20">
        <f>IF(H12="","",YEAR(H12))</f>
        <v/>
      </c>
      <c r="K12" s="15" t="inlineStr">
        <is>
          <t>Retirement</t>
        </is>
      </c>
    </row>
    <row r="13">
      <c r="A13" s="15" t="inlineStr">
        <is>
          <t>Roth IRA</t>
        </is>
      </c>
      <c r="B13" s="15" t="inlineStr">
        <is>
          <t>Roth IRA</t>
        </is>
      </c>
      <c r="C13" s="15" t="inlineStr">
        <is>
          <t>Parent 1</t>
        </is>
      </c>
      <c r="D13" s="19" t="n">
        <v>24000</v>
      </c>
      <c r="E13" s="19" t="n"/>
      <c r="F13" s="16">
        <f>IF(E13="","",IF(E13=0,"",E13-ABS(D13)))</f>
        <v/>
      </c>
      <c r="G13" s="31" t="n">
        <v>0.06</v>
      </c>
      <c r="H13" s="18" t="n">
        <v>46262</v>
      </c>
      <c r="I13" s="20">
        <f>IF(H13="","",MONTH(H13))</f>
        <v/>
      </c>
      <c r="J13" s="20">
        <f>IF(H13="","",YEAR(H13))</f>
        <v/>
      </c>
      <c r="K13" s="15" t="inlineStr">
        <is>
          <t>Retirement</t>
        </is>
      </c>
    </row>
    <row r="14">
      <c r="A14" s="15" t="inlineStr">
        <is>
          <t>Brokerage - Vanguard</t>
        </is>
      </c>
      <c r="B14" s="15" t="inlineStr">
        <is>
          <t>Brokerage</t>
        </is>
      </c>
      <c r="C14" s="15" t="inlineStr">
        <is>
          <t>Parent 1</t>
        </is>
      </c>
      <c r="D14" s="19" t="n">
        <v>54000</v>
      </c>
      <c r="E14" s="19" t="n"/>
      <c r="F14" s="16">
        <f>IF(E14="","",IF(E14=0,"",E14-ABS(D14)))</f>
        <v/>
      </c>
      <c r="G14" s="31" t="n"/>
      <c r="H14" s="18" t="n">
        <v>46262</v>
      </c>
      <c r="I14" s="20">
        <f>IF(H14="","",MONTH(H14))</f>
        <v/>
      </c>
      <c r="J14" s="20">
        <f>IF(H14="","",YEAR(H14))</f>
        <v/>
      </c>
      <c r="K14" s="15" t="inlineStr">
        <is>
          <t>Investment</t>
        </is>
      </c>
    </row>
    <row r="15">
      <c r="A15" s="15" t="inlineStr">
        <is>
          <t>529 - College</t>
        </is>
      </c>
      <c r="B15" s="15" t="inlineStr">
        <is>
          <t>529</t>
        </is>
      </c>
      <c r="C15" s="15" t="inlineStr">
        <is>
          <t>Child 1</t>
        </is>
      </c>
      <c r="D15" s="19" t="n">
        <v>21000</v>
      </c>
      <c r="E15" s="19" t="n"/>
      <c r="F15" s="16">
        <f>IF(E15="","",IF(E15=0,"",E15-ABS(D15)))</f>
        <v/>
      </c>
      <c r="G15" s="31" t="n">
        <v>0.05</v>
      </c>
      <c r="H15" s="18" t="n">
        <v>46262</v>
      </c>
      <c r="I15" s="20">
        <f>IF(H15="","",MONTH(H15))</f>
        <v/>
      </c>
      <c r="J15" s="20">
        <f>IF(H15="","",YEAR(H15))</f>
        <v/>
      </c>
      <c r="K15" s="15" t="inlineStr">
        <is>
          <t>Education</t>
        </is>
      </c>
    </row>
    <row r="16">
      <c r="A16" s="15" t="inlineStr">
        <is>
          <t>HSA - Fidelity</t>
        </is>
      </c>
      <c r="B16" s="15" t="inlineStr">
        <is>
          <t>HSA</t>
        </is>
      </c>
      <c r="C16" s="15" t="inlineStr">
        <is>
          <t>Parent 1</t>
        </is>
      </c>
      <c r="D16" s="19" t="n">
        <v>9800</v>
      </c>
      <c r="E16" s="19" t="n"/>
      <c r="F16" s="16">
        <f>IF(E16="","",IF(E16=0,"",E16-ABS(D16)))</f>
        <v/>
      </c>
      <c r="G16" s="31" t="n">
        <v>0.03</v>
      </c>
      <c r="H16" s="18" t="n">
        <v>46262</v>
      </c>
      <c r="I16" s="20">
        <f>IF(H16="","",MONTH(H16))</f>
        <v/>
      </c>
      <c r="J16" s="20">
        <f>IF(H16="","",YEAR(H16))</f>
        <v/>
      </c>
      <c r="K16" s="15" t="inlineStr">
        <is>
          <t>Retirement</t>
        </is>
      </c>
    </row>
    <row r="17">
      <c r="A17" s="15" t="inlineStr">
        <is>
          <t>CD - 12 mo</t>
        </is>
      </c>
      <c r="B17" s="15" t="inlineStr">
        <is>
          <t>CD</t>
        </is>
      </c>
      <c r="C17" s="15" t="inlineStr">
        <is>
          <t>Household</t>
        </is>
      </c>
      <c r="D17" s="19" t="n">
        <v>10000</v>
      </c>
      <c r="E17" s="19" t="n"/>
      <c r="F17" s="16">
        <f>IF(E17="","",IF(E17=0,"",E17-ABS(D17)))</f>
        <v/>
      </c>
      <c r="G17" s="31" t="n">
        <v>0.048</v>
      </c>
      <c r="H17" s="18" t="n">
        <v>46262</v>
      </c>
      <c r="I17" s="20">
        <f>IF(H17="","",MONTH(H17))</f>
        <v/>
      </c>
      <c r="J17" s="20">
        <f>IF(H17="","",YEAR(H17))</f>
        <v/>
      </c>
      <c r="K17" s="15" t="inlineStr">
        <is>
          <t>Savings</t>
        </is>
      </c>
    </row>
    <row r="18">
      <c r="A18" s="15" t="n"/>
      <c r="B18" s="15" t="n"/>
      <c r="C18" s="15" t="n"/>
      <c r="D18" s="19" t="n"/>
      <c r="E18" s="19" t="n"/>
      <c r="F18" s="16">
        <f>IF(E18="","",IF(E18=0,"",E18-ABS(D18)))</f>
        <v/>
      </c>
      <c r="G18" s="31" t="n"/>
      <c r="H18" s="18" t="n"/>
      <c r="I18" s="20">
        <f>IF(H18="","",MONTH(H18))</f>
        <v/>
      </c>
      <c r="J18" s="20">
        <f>IF(H18="","",YEAR(H18))</f>
        <v/>
      </c>
      <c r="K18" s="21" t="n"/>
    </row>
    <row r="19">
      <c r="A19" s="15" t="n"/>
      <c r="B19" s="15" t="n"/>
      <c r="C19" s="15" t="n"/>
      <c r="D19" s="19" t="n"/>
      <c r="E19" s="19" t="n"/>
      <c r="F19" s="16">
        <f>IF(E19="","",IF(E19=0,"",E19-ABS(D19)))</f>
        <v/>
      </c>
      <c r="G19" s="31" t="n"/>
      <c r="H19" s="18" t="n"/>
      <c r="I19" s="20">
        <f>IF(H19="","",MONTH(H19))</f>
        <v/>
      </c>
      <c r="J19" s="20">
        <f>IF(H19="","",YEAR(H19))</f>
        <v/>
      </c>
      <c r="K19" s="21" t="n"/>
    </row>
    <row r="20">
      <c r="A20" s="15" t="n"/>
      <c r="B20" s="15" t="n"/>
      <c r="C20" s="15" t="n"/>
      <c r="D20" s="19" t="n"/>
      <c r="E20" s="19" t="n"/>
      <c r="F20" s="16">
        <f>IF(E20="","",IF(E20=0,"",E20-ABS(D20)))</f>
        <v/>
      </c>
      <c r="G20" s="31" t="n"/>
      <c r="H20" s="18" t="n"/>
      <c r="I20" s="20">
        <f>IF(H20="","",MONTH(H20))</f>
        <v/>
      </c>
      <c r="J20" s="20">
        <f>IF(H20="","",YEAR(H20))</f>
        <v/>
      </c>
      <c r="K20" s="21" t="n"/>
    </row>
    <row r="21">
      <c r="A21" s="15" t="n"/>
      <c r="B21" s="15" t="n"/>
      <c r="C21" s="15" t="n"/>
      <c r="D21" s="19" t="n"/>
      <c r="E21" s="19" t="n"/>
      <c r="F21" s="16">
        <f>IF(E21="","",IF(E21=0,"",E21-ABS(D21)))</f>
        <v/>
      </c>
      <c r="G21" s="31" t="n"/>
      <c r="H21" s="18" t="n"/>
      <c r="I21" s="20">
        <f>IF(H21="","",MONTH(H21))</f>
        <v/>
      </c>
      <c r="J21" s="20">
        <f>IF(H21="","",YEAR(H21))</f>
        <v/>
      </c>
      <c r="K21" s="21" t="n"/>
    </row>
    <row r="22">
      <c r="A22" s="15" t="n"/>
      <c r="B22" s="15" t="n"/>
      <c r="C22" s="15" t="n"/>
      <c r="D22" s="19" t="n"/>
      <c r="E22" s="19" t="n"/>
      <c r="F22" s="16">
        <f>IF(E22="","",IF(E22=0,"",E22-ABS(D22)))</f>
        <v/>
      </c>
      <c r="G22" s="31" t="n"/>
      <c r="H22" s="18" t="n"/>
      <c r="I22" s="20">
        <f>IF(H22="","",MONTH(H22))</f>
        <v/>
      </c>
      <c r="J22" s="20">
        <f>IF(H22="","",YEAR(H22))</f>
        <v/>
      </c>
      <c r="K22" s="21" t="n"/>
    </row>
    <row r="23">
      <c r="A23" s="15" t="n"/>
      <c r="B23" s="15" t="n"/>
      <c r="C23" s="15" t="n"/>
      <c r="D23" s="19" t="n"/>
      <c r="E23" s="19" t="n"/>
      <c r="F23" s="16">
        <f>IF(E23="","",IF(E23=0,"",E23-ABS(D23)))</f>
        <v/>
      </c>
      <c r="G23" s="31" t="n"/>
      <c r="H23" s="18" t="n"/>
      <c r="I23" s="20">
        <f>IF(H23="","",MONTH(H23))</f>
        <v/>
      </c>
      <c r="J23" s="20">
        <f>IF(H23="","",YEAR(H23))</f>
        <v/>
      </c>
      <c r="K23" s="21" t="n"/>
    </row>
    <row r="24">
      <c r="A24" s="15" t="n"/>
      <c r="B24" s="15" t="n"/>
      <c r="C24" s="15" t="n"/>
      <c r="D24" s="19" t="n"/>
      <c r="E24" s="19" t="n"/>
      <c r="F24" s="16">
        <f>IF(E24="","",IF(E24=0,"",E24-ABS(D24)))</f>
        <v/>
      </c>
      <c r="G24" s="31" t="n"/>
      <c r="H24" s="18" t="n"/>
      <c r="I24" s="20">
        <f>IF(H24="","",MONTH(H24))</f>
        <v/>
      </c>
      <c r="J24" s="20">
        <f>IF(H24="","",YEAR(H24))</f>
        <v/>
      </c>
      <c r="K24" s="21" t="n"/>
    </row>
    <row r="25">
      <c r="A25" s="15" t="n"/>
      <c r="B25" s="15" t="n"/>
      <c r="C25" s="15" t="n"/>
      <c r="D25" s="19" t="n"/>
      <c r="E25" s="19" t="n"/>
      <c r="F25" s="16">
        <f>IF(E25="","",IF(E25=0,"",E25-ABS(D25)))</f>
        <v/>
      </c>
      <c r="G25" s="31" t="n"/>
      <c r="H25" s="18" t="n"/>
      <c r="I25" s="20">
        <f>IF(H25="","",MONTH(H25))</f>
        <v/>
      </c>
      <c r="J25" s="20">
        <f>IF(H25="","",YEAR(H25))</f>
        <v/>
      </c>
      <c r="K25" s="21" t="n"/>
    </row>
    <row r="26">
      <c r="A26" s="15" t="n"/>
      <c r="B26" s="15" t="n"/>
      <c r="C26" s="15" t="n"/>
      <c r="D26" s="19" t="n"/>
      <c r="E26" s="19" t="n"/>
      <c r="F26" s="16">
        <f>IF(E26="","",IF(E26=0,"",E26-ABS(D26)))</f>
        <v/>
      </c>
      <c r="G26" s="31" t="n"/>
      <c r="H26" s="18" t="n"/>
      <c r="I26" s="20">
        <f>IF(H26="","",MONTH(H26))</f>
        <v/>
      </c>
      <c r="J26" s="20">
        <f>IF(H26="","",YEAR(H26))</f>
        <v/>
      </c>
      <c r="K26" s="21" t="n"/>
    </row>
    <row r="27">
      <c r="A27" s="15" t="n"/>
      <c r="B27" s="15" t="n"/>
      <c r="C27" s="15" t="n"/>
      <c r="D27" s="19" t="n"/>
      <c r="E27" s="19" t="n"/>
      <c r="F27" s="16">
        <f>IF(E27="","",IF(E27=0,"",E27-ABS(D27)))</f>
        <v/>
      </c>
      <c r="G27" s="31" t="n"/>
      <c r="H27" s="18" t="n"/>
      <c r="I27" s="20">
        <f>IF(H27="","",MONTH(H27))</f>
        <v/>
      </c>
      <c r="J27" s="20">
        <f>IF(H27="","",YEAR(H27))</f>
        <v/>
      </c>
      <c r="K27" s="21" t="n"/>
    </row>
    <row r="28">
      <c r="A28" s="15" t="n"/>
      <c r="B28" s="15" t="n"/>
      <c r="C28" s="15" t="n"/>
      <c r="D28" s="19" t="n"/>
      <c r="E28" s="19" t="n"/>
      <c r="F28" s="16">
        <f>IF(E28="","",IF(E28=0,"",E28-ABS(D28)))</f>
        <v/>
      </c>
      <c r="G28" s="31" t="n"/>
      <c r="H28" s="18" t="n"/>
      <c r="I28" s="20">
        <f>IF(H28="","",MONTH(H28))</f>
        <v/>
      </c>
      <c r="J28" s="20">
        <f>IF(H28="","",YEAR(H28))</f>
        <v/>
      </c>
      <c r="K28" s="21" t="n"/>
    </row>
    <row r="29">
      <c r="A29" s="15" t="n"/>
      <c r="B29" s="15" t="n"/>
      <c r="C29" s="15" t="n"/>
      <c r="D29" s="19" t="n"/>
      <c r="E29" s="19" t="n"/>
      <c r="F29" s="16">
        <f>IF(E29="","",IF(E29=0,"",E29-ABS(D29)))</f>
        <v/>
      </c>
      <c r="G29" s="31" t="n"/>
      <c r="H29" s="18" t="n"/>
      <c r="I29" s="20">
        <f>IF(H29="","",MONTH(H29))</f>
        <v/>
      </c>
      <c r="J29" s="20">
        <f>IF(H29="","",YEAR(H29))</f>
        <v/>
      </c>
      <c r="K29" s="21" t="n"/>
    </row>
    <row r="30">
      <c r="A30" s="15" t="n"/>
      <c r="B30" s="15" t="n"/>
      <c r="C30" s="15" t="n"/>
      <c r="D30" s="19" t="n"/>
      <c r="E30" s="19" t="n"/>
      <c r="F30" s="16">
        <f>IF(E30="","",IF(E30=0,"",E30-ABS(D30)))</f>
        <v/>
      </c>
      <c r="G30" s="31" t="n"/>
      <c r="H30" s="18" t="n"/>
      <c r="I30" s="20">
        <f>IF(H30="","",MONTH(H30))</f>
        <v/>
      </c>
      <c r="J30" s="20">
        <f>IF(H30="","",YEAR(H30))</f>
        <v/>
      </c>
      <c r="K30" s="21" t="n"/>
    </row>
    <row r="31">
      <c r="A31" s="15" t="n"/>
      <c r="B31" s="15" t="n"/>
      <c r="C31" s="15" t="n"/>
      <c r="D31" s="19" t="n"/>
      <c r="E31" s="19" t="n"/>
      <c r="F31" s="16">
        <f>IF(E31="","",IF(E31=0,"",E31-ABS(D31)))</f>
        <v/>
      </c>
      <c r="G31" s="31" t="n"/>
      <c r="H31" s="18" t="n"/>
      <c r="I31" s="20">
        <f>IF(H31="","",MONTH(H31))</f>
        <v/>
      </c>
      <c r="J31" s="20">
        <f>IF(H31="","",YEAR(H31))</f>
        <v/>
      </c>
      <c r="K31" s="21" t="n"/>
    </row>
    <row r="32">
      <c r="A32" s="15" t="n"/>
      <c r="B32" s="15" t="n"/>
      <c r="C32" s="15" t="n"/>
      <c r="D32" s="19" t="n"/>
      <c r="E32" s="19" t="n"/>
      <c r="F32" s="16">
        <f>IF(E32="","",IF(E32=0,"",E32-ABS(D32)))</f>
        <v/>
      </c>
      <c r="G32" s="31" t="n"/>
      <c r="H32" s="18" t="n"/>
      <c r="I32" s="20">
        <f>IF(H32="","",MONTH(H32))</f>
        <v/>
      </c>
      <c r="J32" s="20">
        <f>IF(H32="","",YEAR(H32))</f>
        <v/>
      </c>
      <c r="K32" s="21" t="n"/>
    </row>
    <row r="33">
      <c r="A33" s="15" t="n"/>
      <c r="B33" s="15" t="n"/>
      <c r="C33" s="15" t="n"/>
      <c r="D33" s="19" t="n"/>
      <c r="E33" s="19" t="n"/>
      <c r="F33" s="16">
        <f>IF(E33="","",IF(E33=0,"",E33-ABS(D33)))</f>
        <v/>
      </c>
      <c r="G33" s="31" t="n"/>
      <c r="H33" s="18" t="n"/>
      <c r="I33" s="20">
        <f>IF(H33="","",MONTH(H33))</f>
        <v/>
      </c>
      <c r="J33" s="20">
        <f>IF(H33="","",YEAR(H33))</f>
        <v/>
      </c>
      <c r="K33" s="21" t="n"/>
    </row>
    <row r="34">
      <c r="A34" s="15" t="n"/>
      <c r="B34" s="15" t="n"/>
      <c r="C34" s="15" t="n"/>
      <c r="D34" s="19" t="n"/>
      <c r="E34" s="19" t="n"/>
      <c r="F34" s="16">
        <f>IF(E34="","",IF(E34=0,"",E34-ABS(D34)))</f>
        <v/>
      </c>
      <c r="G34" s="31" t="n"/>
      <c r="H34" s="18" t="n"/>
      <c r="I34" s="20">
        <f>IF(H34="","",MONTH(H34))</f>
        <v/>
      </c>
      <c r="J34" s="20">
        <f>IF(H34="","",YEAR(H34))</f>
        <v/>
      </c>
      <c r="K34" s="21" t="n"/>
    </row>
    <row r="35">
      <c r="A35" s="15" t="n"/>
      <c r="B35" s="15" t="n"/>
      <c r="C35" s="15" t="n"/>
      <c r="D35" s="19" t="n"/>
      <c r="E35" s="19" t="n"/>
      <c r="F35" s="16">
        <f>IF(E35="","",IF(E35=0,"",E35-ABS(D35)))</f>
        <v/>
      </c>
      <c r="G35" s="31" t="n"/>
      <c r="H35" s="18" t="n"/>
      <c r="I35" s="20">
        <f>IF(H35="","",MONTH(H35))</f>
        <v/>
      </c>
      <c r="J35" s="20">
        <f>IF(H35="","",YEAR(H35))</f>
        <v/>
      </c>
      <c r="K35" s="21" t="n"/>
    </row>
    <row r="36">
      <c r="A36" s="15" t="n"/>
      <c r="B36" s="15" t="n"/>
      <c r="C36" s="15" t="n"/>
      <c r="D36" s="19" t="n"/>
      <c r="E36" s="19" t="n"/>
      <c r="F36" s="16">
        <f>IF(E36="","",IF(E36=0,"",E36-ABS(D36)))</f>
        <v/>
      </c>
      <c r="G36" s="31" t="n"/>
      <c r="H36" s="18" t="n"/>
      <c r="I36" s="20">
        <f>IF(H36="","",MONTH(H36))</f>
        <v/>
      </c>
      <c r="J36" s="20">
        <f>IF(H36="","",YEAR(H36))</f>
        <v/>
      </c>
      <c r="K36" s="21" t="n"/>
    </row>
    <row r="37">
      <c r="A37" s="15" t="n"/>
      <c r="B37" s="15" t="n"/>
      <c r="C37" s="15" t="n"/>
      <c r="D37" s="19" t="n"/>
      <c r="E37" s="19" t="n"/>
      <c r="F37" s="16">
        <f>IF(E37="","",IF(E37=0,"",E37-ABS(D37)))</f>
        <v/>
      </c>
      <c r="G37" s="31" t="n"/>
      <c r="H37" s="18" t="n"/>
      <c r="I37" s="20">
        <f>IF(H37="","",MONTH(H37))</f>
        <v/>
      </c>
      <c r="J37" s="20">
        <f>IF(H37="","",YEAR(H37))</f>
        <v/>
      </c>
      <c r="K37" s="21" t="n"/>
    </row>
    <row r="38">
      <c r="A38" s="15" t="n"/>
      <c r="B38" s="15" t="n"/>
      <c r="C38" s="15" t="n"/>
      <c r="D38" s="19" t="n"/>
      <c r="E38" s="19" t="n"/>
      <c r="F38" s="16">
        <f>IF(E38="","",IF(E38=0,"",E38-ABS(D38)))</f>
        <v/>
      </c>
      <c r="G38" s="31" t="n"/>
      <c r="H38" s="18" t="n"/>
      <c r="I38" s="20">
        <f>IF(H38="","",MONTH(H38))</f>
        <v/>
      </c>
      <c r="J38" s="20">
        <f>IF(H38="","",YEAR(H38))</f>
        <v/>
      </c>
      <c r="K38" s="21" t="n"/>
    </row>
    <row r="39">
      <c r="A39" s="15" t="n"/>
      <c r="B39" s="15" t="n"/>
      <c r="C39" s="15" t="n"/>
      <c r="D39" s="19" t="n"/>
      <c r="E39" s="19" t="n"/>
      <c r="F39" s="16">
        <f>IF(E39="","",IF(E39=0,"",E39-ABS(D39)))</f>
        <v/>
      </c>
      <c r="G39" s="31" t="n"/>
      <c r="H39" s="18" t="n"/>
      <c r="I39" s="20">
        <f>IF(H39="","",MONTH(H39))</f>
        <v/>
      </c>
      <c r="J39" s="20">
        <f>IF(H39="","",YEAR(H39))</f>
        <v/>
      </c>
      <c r="K39" s="21" t="n"/>
    </row>
    <row r="40">
      <c r="A40" s="15" t="n"/>
      <c r="B40" s="15" t="n"/>
      <c r="C40" s="15" t="n"/>
      <c r="D40" s="19" t="n"/>
      <c r="E40" s="19" t="n"/>
      <c r="F40" s="16">
        <f>IF(E40="","",IF(E40=0,"",E40-ABS(D40)))</f>
        <v/>
      </c>
      <c r="G40" s="31" t="n"/>
      <c r="H40" s="18" t="n"/>
      <c r="I40" s="20">
        <f>IF(H40="","",MONTH(H40))</f>
        <v/>
      </c>
      <c r="J40" s="20">
        <f>IF(H40="","",YEAR(H40))</f>
        <v/>
      </c>
      <c r="K40" s="21" t="n"/>
    </row>
    <row r="41">
      <c r="A41" s="15" t="n"/>
      <c r="B41" s="15" t="n"/>
      <c r="C41" s="15" t="n"/>
      <c r="D41" s="19" t="n"/>
      <c r="E41" s="19" t="n"/>
      <c r="F41" s="16">
        <f>IF(E41="","",IF(E41=0,"",E41-ABS(D41)))</f>
        <v/>
      </c>
      <c r="G41" s="31" t="n"/>
      <c r="H41" s="18" t="n"/>
      <c r="I41" s="20">
        <f>IF(H41="","",MONTH(H41))</f>
        <v/>
      </c>
      <c r="J41" s="20">
        <f>IF(H41="","",YEAR(H41))</f>
        <v/>
      </c>
      <c r="K41" s="21" t="n"/>
    </row>
    <row r="42">
      <c r="A42" s="15" t="n"/>
      <c r="B42" s="15" t="n"/>
      <c r="C42" s="15" t="n"/>
      <c r="D42" s="19" t="n"/>
      <c r="E42" s="19" t="n"/>
      <c r="F42" s="16">
        <f>IF(E42="","",IF(E42=0,"",E42-ABS(D42)))</f>
        <v/>
      </c>
      <c r="G42" s="31" t="n"/>
      <c r="H42" s="18" t="n"/>
      <c r="I42" s="20">
        <f>IF(H42="","",MONTH(H42))</f>
        <v/>
      </c>
      <c r="J42" s="20">
        <f>IF(H42="","",YEAR(H42))</f>
        <v/>
      </c>
      <c r="K42" s="21" t="n"/>
    </row>
    <row r="43">
      <c r="A43" s="15" t="n"/>
      <c r="B43" s="15" t="n"/>
      <c r="C43" s="15" t="n"/>
      <c r="D43" s="19" t="n"/>
      <c r="E43" s="19" t="n"/>
      <c r="F43" s="16">
        <f>IF(E43="","",IF(E43=0,"",E43-ABS(D43)))</f>
        <v/>
      </c>
      <c r="G43" s="31" t="n"/>
      <c r="H43" s="18" t="n"/>
      <c r="I43" s="20">
        <f>IF(H43="","",MONTH(H43))</f>
        <v/>
      </c>
      <c r="J43" s="20">
        <f>IF(H43="","",YEAR(H43))</f>
        <v/>
      </c>
      <c r="K43" s="21" t="n"/>
    </row>
    <row r="44">
      <c r="A44" s="15" t="n"/>
      <c r="B44" s="15" t="n"/>
      <c r="C44" s="15" t="n"/>
      <c r="D44" s="19" t="n"/>
      <c r="E44" s="19" t="n"/>
      <c r="F44" s="16">
        <f>IF(E44="","",IF(E44=0,"",E44-ABS(D44)))</f>
        <v/>
      </c>
      <c r="G44" s="31" t="n"/>
      <c r="H44" s="18" t="n"/>
      <c r="I44" s="20">
        <f>IF(H44="","",MONTH(H44))</f>
        <v/>
      </c>
      <c r="J44" s="20">
        <f>IF(H44="","",YEAR(H44))</f>
        <v/>
      </c>
      <c r="K44" s="21" t="n"/>
    </row>
    <row r="45">
      <c r="A45" s="15" t="n"/>
      <c r="B45" s="15" t="n"/>
      <c r="C45" s="15" t="n"/>
      <c r="D45" s="19" t="n"/>
      <c r="E45" s="19" t="n"/>
      <c r="F45" s="16">
        <f>IF(E45="","",IF(E45=0,"",E45-ABS(D45)))</f>
        <v/>
      </c>
      <c r="G45" s="31" t="n"/>
      <c r="H45" s="18" t="n"/>
      <c r="I45" s="20">
        <f>IF(H45="","",MONTH(H45))</f>
        <v/>
      </c>
      <c r="J45" s="20">
        <f>IF(H45="","",YEAR(H45))</f>
        <v/>
      </c>
      <c r="K45" s="21" t="n"/>
    </row>
    <row r="46">
      <c r="A46" s="15" t="n"/>
      <c r="B46" s="15" t="n"/>
      <c r="C46" s="15" t="n"/>
      <c r="D46" s="19" t="n"/>
      <c r="E46" s="19" t="n"/>
      <c r="F46" s="16">
        <f>IF(E46="","",IF(E46=0,"",E46-ABS(D46)))</f>
        <v/>
      </c>
      <c r="G46" s="31" t="n"/>
      <c r="H46" s="18" t="n"/>
      <c r="I46" s="20">
        <f>IF(H46="","",MONTH(H46))</f>
        <v/>
      </c>
      <c r="J46" s="20">
        <f>IF(H46="","",YEAR(H46))</f>
        <v/>
      </c>
      <c r="K46" s="21" t="n"/>
    </row>
    <row r="47">
      <c r="A47" s="15" t="n"/>
      <c r="B47" s="15" t="n"/>
      <c r="C47" s="15" t="n"/>
      <c r="D47" s="19" t="n"/>
      <c r="E47" s="19" t="n"/>
      <c r="F47" s="16">
        <f>IF(E47="","",IF(E47=0,"",E47-ABS(D47)))</f>
        <v/>
      </c>
      <c r="G47" s="31" t="n"/>
      <c r="H47" s="18" t="n"/>
      <c r="I47" s="20">
        <f>IF(H47="","",MONTH(H47))</f>
        <v/>
      </c>
      <c r="J47" s="20">
        <f>IF(H47="","",YEAR(H47))</f>
        <v/>
      </c>
      <c r="K47" s="21" t="n"/>
    </row>
    <row r="48">
      <c r="A48" s="15" t="n"/>
      <c r="B48" s="15" t="n"/>
      <c r="C48" s="15" t="n"/>
      <c r="D48" s="19" t="n"/>
      <c r="E48" s="19" t="n"/>
      <c r="F48" s="16">
        <f>IF(E48="","",IF(E48=0,"",E48-ABS(D48)))</f>
        <v/>
      </c>
      <c r="G48" s="31" t="n"/>
      <c r="H48" s="18" t="n"/>
      <c r="I48" s="20">
        <f>IF(H48="","",MONTH(H48))</f>
        <v/>
      </c>
      <c r="J48" s="20">
        <f>IF(H48="","",YEAR(H48))</f>
        <v/>
      </c>
      <c r="K48" s="21" t="n"/>
    </row>
    <row r="49">
      <c r="A49" s="15" t="n"/>
      <c r="B49" s="15" t="n"/>
      <c r="C49" s="15" t="n"/>
      <c r="D49" s="19" t="n"/>
      <c r="E49" s="19" t="n"/>
      <c r="F49" s="16">
        <f>IF(E49="","",IF(E49=0,"",E49-ABS(D49)))</f>
        <v/>
      </c>
      <c r="G49" s="31" t="n"/>
      <c r="H49" s="18" t="n"/>
      <c r="I49" s="20">
        <f>IF(H49="","",MONTH(H49))</f>
        <v/>
      </c>
      <c r="J49" s="20">
        <f>IF(H49="","",YEAR(H49))</f>
        <v/>
      </c>
      <c r="K49" s="21" t="n"/>
    </row>
    <row r="50">
      <c r="A50" s="15" t="n"/>
      <c r="B50" s="15" t="n"/>
      <c r="C50" s="15" t="n"/>
      <c r="D50" s="19" t="n"/>
      <c r="E50" s="19" t="n"/>
      <c r="F50" s="16">
        <f>IF(E50="","",IF(E50=0,"",E50-ABS(D50)))</f>
        <v/>
      </c>
      <c r="G50" s="31" t="n"/>
      <c r="H50" s="18" t="n"/>
      <c r="I50" s="20">
        <f>IF(H50="","",MONTH(H50))</f>
        <v/>
      </c>
      <c r="J50" s="20">
        <f>IF(H50="","",YEAR(H50))</f>
        <v/>
      </c>
      <c r="K50" s="21" t="n"/>
    </row>
    <row r="51">
      <c r="A51" s="15" t="n"/>
      <c r="B51" s="15" t="n"/>
      <c r="C51" s="15" t="n"/>
      <c r="D51" s="19" t="n"/>
      <c r="E51" s="19" t="n"/>
      <c r="F51" s="16">
        <f>IF(E51="","",IF(E51=0,"",E51-ABS(D51)))</f>
        <v/>
      </c>
      <c r="G51" s="31" t="n"/>
      <c r="H51" s="18" t="n"/>
      <c r="I51" s="20">
        <f>IF(H51="","",MONTH(H51))</f>
        <v/>
      </c>
      <c r="J51" s="20">
        <f>IF(H51="","",YEAR(H51))</f>
        <v/>
      </c>
      <c r="K51" s="21" t="n"/>
    </row>
    <row r="52">
      <c r="A52" s="15" t="n"/>
      <c r="B52" s="15" t="n"/>
      <c r="C52" s="15" t="n"/>
      <c r="D52" s="19" t="n"/>
      <c r="E52" s="19" t="n"/>
      <c r="F52" s="16">
        <f>IF(E52="","",IF(E52=0,"",E52-ABS(D52)))</f>
        <v/>
      </c>
      <c r="G52" s="31" t="n"/>
      <c r="H52" s="18" t="n"/>
      <c r="I52" s="20">
        <f>IF(H52="","",MONTH(H52))</f>
        <v/>
      </c>
      <c r="J52" s="20">
        <f>IF(H52="","",YEAR(H52))</f>
        <v/>
      </c>
      <c r="K52" s="21" t="n"/>
    </row>
    <row r="53">
      <c r="A53" s="15" t="n"/>
      <c r="B53" s="15" t="n"/>
      <c r="C53" s="15" t="n"/>
      <c r="D53" s="19" t="n"/>
      <c r="E53" s="19" t="n"/>
      <c r="F53" s="16">
        <f>IF(E53="","",IF(E53=0,"",E53-ABS(D53)))</f>
        <v/>
      </c>
      <c r="G53" s="31" t="n"/>
      <c r="H53" s="18" t="n"/>
      <c r="I53" s="20">
        <f>IF(H53="","",MONTH(H53))</f>
        <v/>
      </c>
      <c r="J53" s="20">
        <f>IF(H53="","",YEAR(H53))</f>
        <v/>
      </c>
      <c r="K53" s="21" t="n"/>
    </row>
    <row r="54">
      <c r="A54" s="15" t="n"/>
      <c r="B54" s="15" t="n"/>
      <c r="C54" s="15" t="n"/>
      <c r="D54" s="19" t="n"/>
      <c r="E54" s="19" t="n"/>
      <c r="F54" s="16">
        <f>IF(E54="","",IF(E54=0,"",E54-ABS(D54)))</f>
        <v/>
      </c>
      <c r="G54" s="31" t="n"/>
      <c r="H54" s="18" t="n"/>
      <c r="I54" s="20">
        <f>IF(H54="","",MONTH(H54))</f>
        <v/>
      </c>
      <c r="J54" s="20">
        <f>IF(H54="","",YEAR(H54))</f>
        <v/>
      </c>
      <c r="K54" s="21" t="n"/>
    </row>
    <row r="55">
      <c r="A55" s="15" t="n"/>
      <c r="B55" s="15" t="n"/>
      <c r="C55" s="15" t="n"/>
      <c r="D55" s="19" t="n"/>
      <c r="E55" s="19" t="n"/>
      <c r="F55" s="16">
        <f>IF(E55="","",IF(E55=0,"",E55-ABS(D55)))</f>
        <v/>
      </c>
      <c r="G55" s="31" t="n"/>
      <c r="H55" s="18" t="n"/>
      <c r="I55" s="20">
        <f>IF(H55="","",MONTH(H55))</f>
        <v/>
      </c>
      <c r="J55" s="20">
        <f>IF(H55="","",YEAR(H55))</f>
        <v/>
      </c>
      <c r="K55" s="21" t="n"/>
    </row>
    <row r="56">
      <c r="A56" s="15" t="n"/>
      <c r="B56" s="15" t="n"/>
      <c r="C56" s="15" t="n"/>
      <c r="D56" s="19" t="n"/>
      <c r="E56" s="19" t="n"/>
      <c r="F56" s="16">
        <f>IF(E56="","",IF(E56=0,"",E56-ABS(D56)))</f>
        <v/>
      </c>
      <c r="G56" s="31" t="n"/>
      <c r="H56" s="18" t="n"/>
      <c r="I56" s="20">
        <f>IF(H56="","",MONTH(H56))</f>
        <v/>
      </c>
      <c r="J56" s="20">
        <f>IF(H56="","",YEAR(H56))</f>
        <v/>
      </c>
      <c r="K56" s="21" t="n"/>
    </row>
    <row r="57">
      <c r="A57" s="15" t="n"/>
      <c r="B57" s="15" t="n"/>
      <c r="C57" s="15" t="n"/>
      <c r="D57" s="19" t="n"/>
      <c r="E57" s="19" t="n"/>
      <c r="F57" s="16">
        <f>IF(E57="","",IF(E57=0,"",E57-ABS(D57)))</f>
        <v/>
      </c>
      <c r="G57" s="31" t="n"/>
      <c r="H57" s="18" t="n"/>
      <c r="I57" s="20">
        <f>IF(H57="","",MONTH(H57))</f>
        <v/>
      </c>
      <c r="J57" s="20">
        <f>IF(H57="","",YEAR(H57))</f>
        <v/>
      </c>
      <c r="K57" s="21" t="n"/>
    </row>
    <row r="58">
      <c r="A58" s="15" t="n"/>
      <c r="B58" s="15" t="n"/>
      <c r="C58" s="15" t="n"/>
      <c r="D58" s="19" t="n"/>
      <c r="E58" s="19" t="n"/>
      <c r="F58" s="16">
        <f>IF(E58="","",IF(E58=0,"",E58-ABS(D58)))</f>
        <v/>
      </c>
      <c r="G58" s="31" t="n"/>
      <c r="H58" s="18" t="n"/>
      <c r="I58" s="20">
        <f>IF(H58="","",MONTH(H58))</f>
        <v/>
      </c>
      <c r="J58" s="20">
        <f>IF(H58="","",YEAR(H58))</f>
        <v/>
      </c>
      <c r="K58" s="21" t="n"/>
    </row>
    <row r="59">
      <c r="A59" s="15" t="n"/>
      <c r="B59" s="15" t="n"/>
      <c r="C59" s="15" t="n"/>
      <c r="D59" s="19" t="n"/>
      <c r="E59" s="19" t="n"/>
      <c r="F59" s="16">
        <f>IF(E59="","",IF(E59=0,"",E59-ABS(D59)))</f>
        <v/>
      </c>
      <c r="G59" s="31" t="n"/>
      <c r="H59" s="18" t="n"/>
      <c r="I59" s="20">
        <f>IF(H59="","",MONTH(H59))</f>
        <v/>
      </c>
      <c r="J59" s="20">
        <f>IF(H59="","",YEAR(H59))</f>
        <v/>
      </c>
      <c r="K59" s="21" t="n"/>
    </row>
    <row r="60">
      <c r="A60" s="15" t="n"/>
      <c r="B60" s="15" t="n"/>
      <c r="C60" s="15" t="n"/>
      <c r="D60" s="19" t="n"/>
      <c r="E60" s="19" t="n"/>
      <c r="F60" s="16">
        <f>IF(E60="","",IF(E60=0,"",E60-ABS(D60)))</f>
        <v/>
      </c>
      <c r="G60" s="31" t="n"/>
      <c r="H60" s="18" t="n"/>
      <c r="I60" s="20">
        <f>IF(H60="","",MONTH(H60))</f>
        <v/>
      </c>
      <c r="J60" s="20">
        <f>IF(H60="","",YEAR(H60))</f>
        <v/>
      </c>
      <c r="K60" s="21" t="n"/>
    </row>
    <row r="61">
      <c r="A61" s="15" t="n"/>
      <c r="B61" s="15" t="n"/>
      <c r="C61" s="15" t="n"/>
      <c r="D61" s="19" t="n"/>
      <c r="E61" s="19" t="n"/>
      <c r="F61" s="16">
        <f>IF(E61="","",IF(E61=0,"",E61-ABS(D61)))</f>
        <v/>
      </c>
      <c r="G61" s="31" t="n"/>
      <c r="H61" s="18" t="n"/>
      <c r="I61" s="20">
        <f>IF(H61="","",MONTH(H61))</f>
        <v/>
      </c>
      <c r="J61" s="20">
        <f>IF(H61="","",YEAR(H61))</f>
        <v/>
      </c>
      <c r="K61" s="21" t="n"/>
    </row>
    <row r="62">
      <c r="A62" s="15" t="n"/>
      <c r="B62" s="15" t="n"/>
      <c r="C62" s="15" t="n"/>
      <c r="D62" s="19" t="n"/>
      <c r="E62" s="19" t="n"/>
      <c r="F62" s="16">
        <f>IF(E62="","",IF(E62=0,"",E62-ABS(D62)))</f>
        <v/>
      </c>
      <c r="G62" s="31" t="n"/>
      <c r="H62" s="18" t="n"/>
      <c r="I62" s="20">
        <f>IF(H62="","",MONTH(H62))</f>
        <v/>
      </c>
      <c r="J62" s="20">
        <f>IF(H62="","",YEAR(H62))</f>
        <v/>
      </c>
      <c r="K62" s="21" t="n"/>
    </row>
    <row r="63">
      <c r="A63" s="15" t="n"/>
      <c r="B63" s="15" t="n"/>
      <c r="C63" s="15" t="n"/>
      <c r="D63" s="19" t="n"/>
      <c r="E63" s="19" t="n"/>
      <c r="F63" s="16">
        <f>IF(E63="","",IF(E63=0,"",E63-ABS(D63)))</f>
        <v/>
      </c>
      <c r="G63" s="31" t="n"/>
      <c r="H63" s="18" t="n"/>
      <c r="I63" s="20">
        <f>IF(H63="","",MONTH(H63))</f>
        <v/>
      </c>
      <c r="J63" s="20">
        <f>IF(H63="","",YEAR(H63))</f>
        <v/>
      </c>
      <c r="K63" s="21" t="n"/>
    </row>
    <row r="64">
      <c r="A64" s="15" t="n"/>
      <c r="B64" s="15" t="n"/>
      <c r="C64" s="15" t="n"/>
      <c r="D64" s="19" t="n"/>
      <c r="E64" s="19" t="n"/>
      <c r="F64" s="16">
        <f>IF(E64="","",IF(E64=0,"",E64-ABS(D64)))</f>
        <v/>
      </c>
      <c r="G64" s="31" t="n"/>
      <c r="H64" s="18" t="n"/>
      <c r="I64" s="20">
        <f>IF(H64="","",MONTH(H64))</f>
        <v/>
      </c>
      <c r="J64" s="20">
        <f>IF(H64="","",YEAR(H64))</f>
        <v/>
      </c>
      <c r="K64" s="21" t="n"/>
    </row>
    <row r="65">
      <c r="A65" s="15" t="n"/>
      <c r="B65" s="15" t="n"/>
      <c r="C65" s="15" t="n"/>
      <c r="D65" s="19" t="n"/>
      <c r="E65" s="19" t="n"/>
      <c r="F65" s="16">
        <f>IF(E65="","",IF(E65=0,"",E65-ABS(D65)))</f>
        <v/>
      </c>
      <c r="G65" s="31" t="n"/>
      <c r="H65" s="18" t="n"/>
      <c r="I65" s="20">
        <f>IF(H65="","",MONTH(H65))</f>
        <v/>
      </c>
      <c r="J65" s="20">
        <f>IF(H65="","",YEAR(H65))</f>
        <v/>
      </c>
      <c r="K65" s="21" t="n"/>
    </row>
    <row r="66">
      <c r="A66" s="15" t="n"/>
      <c r="B66" s="15" t="n"/>
      <c r="C66" s="15" t="n"/>
      <c r="D66" s="19" t="n"/>
      <c r="E66" s="19" t="n"/>
      <c r="F66" s="16">
        <f>IF(E66="","",IF(E66=0,"",E66-ABS(D66)))</f>
        <v/>
      </c>
      <c r="G66" s="31" t="n"/>
      <c r="H66" s="18" t="n"/>
      <c r="I66" s="20">
        <f>IF(H66="","",MONTH(H66))</f>
        <v/>
      </c>
      <c r="J66" s="20">
        <f>IF(H66="","",YEAR(H66))</f>
        <v/>
      </c>
      <c r="K66" s="21" t="n"/>
    </row>
    <row r="67">
      <c r="A67" s="15" t="n"/>
      <c r="B67" s="15" t="n"/>
      <c r="C67" s="15" t="n"/>
      <c r="D67" s="19" t="n"/>
      <c r="E67" s="19" t="n"/>
      <c r="F67" s="16">
        <f>IF(E67="","",IF(E67=0,"",E67-ABS(D67)))</f>
        <v/>
      </c>
      <c r="G67" s="31" t="n"/>
      <c r="H67" s="18" t="n"/>
      <c r="I67" s="20">
        <f>IF(H67="","",MONTH(H67))</f>
        <v/>
      </c>
      <c r="J67" s="20">
        <f>IF(H67="","",YEAR(H67))</f>
        <v/>
      </c>
      <c r="K67" s="21" t="n"/>
    </row>
    <row r="68">
      <c r="A68" s="15" t="n"/>
      <c r="B68" s="15" t="n"/>
      <c r="C68" s="15" t="n"/>
      <c r="D68" s="19" t="n"/>
      <c r="E68" s="19" t="n"/>
      <c r="F68" s="16">
        <f>IF(E68="","",IF(E68=0,"",E68-ABS(D68)))</f>
        <v/>
      </c>
      <c r="G68" s="31" t="n"/>
      <c r="H68" s="18" t="n"/>
      <c r="I68" s="20">
        <f>IF(H68="","",MONTH(H68))</f>
        <v/>
      </c>
      <c r="J68" s="20">
        <f>IF(H68="","",YEAR(H68))</f>
        <v/>
      </c>
      <c r="K68" s="21" t="n"/>
    </row>
    <row r="69">
      <c r="A69" s="15" t="n"/>
      <c r="B69" s="15" t="n"/>
      <c r="C69" s="15" t="n"/>
      <c r="D69" s="19" t="n"/>
      <c r="E69" s="19" t="n"/>
      <c r="F69" s="16">
        <f>IF(E69="","",IF(E69=0,"",E69-ABS(D69)))</f>
        <v/>
      </c>
      <c r="G69" s="31" t="n"/>
      <c r="H69" s="18" t="n"/>
      <c r="I69" s="20">
        <f>IF(H69="","",MONTH(H69))</f>
        <v/>
      </c>
      <c r="J69" s="20">
        <f>IF(H69="","",YEAR(H69))</f>
        <v/>
      </c>
      <c r="K69" s="21" t="n"/>
    </row>
    <row r="70">
      <c r="A70" s="15" t="n"/>
      <c r="B70" s="15" t="n"/>
      <c r="C70" s="15" t="n"/>
      <c r="D70" s="19" t="n"/>
      <c r="E70" s="19" t="n"/>
      <c r="F70" s="16">
        <f>IF(E70="","",IF(E70=0,"",E70-ABS(D70)))</f>
        <v/>
      </c>
      <c r="G70" s="31" t="n"/>
      <c r="H70" s="18" t="n"/>
      <c r="I70" s="20">
        <f>IF(H70="","",MONTH(H70))</f>
        <v/>
      </c>
      <c r="J70" s="20">
        <f>IF(H70="","",YEAR(H70))</f>
        <v/>
      </c>
      <c r="K70" s="21" t="n"/>
    </row>
    <row r="71">
      <c r="A71" s="15" t="n"/>
      <c r="B71" s="15" t="n"/>
      <c r="C71" s="15" t="n"/>
      <c r="D71" s="19" t="n"/>
      <c r="E71" s="19" t="n"/>
      <c r="F71" s="16">
        <f>IF(E71="","",IF(E71=0,"",E71-ABS(D71)))</f>
        <v/>
      </c>
      <c r="G71" s="31" t="n"/>
      <c r="H71" s="18" t="n"/>
      <c r="I71" s="20">
        <f>IF(H71="","",MONTH(H71))</f>
        <v/>
      </c>
      <c r="J71" s="20">
        <f>IF(H71="","",YEAR(H71))</f>
        <v/>
      </c>
      <c r="K71" s="21" t="n"/>
    </row>
    <row r="72">
      <c r="A72" s="15" t="n"/>
      <c r="B72" s="15" t="n"/>
      <c r="C72" s="15" t="n"/>
      <c r="D72" s="19" t="n"/>
      <c r="E72" s="19" t="n"/>
      <c r="F72" s="16">
        <f>IF(E72="","",IF(E72=0,"",E72-ABS(D72)))</f>
        <v/>
      </c>
      <c r="G72" s="31" t="n"/>
      <c r="H72" s="18" t="n"/>
      <c r="I72" s="20">
        <f>IF(H72="","",MONTH(H72))</f>
        <v/>
      </c>
      <c r="J72" s="20">
        <f>IF(H72="","",YEAR(H72))</f>
        <v/>
      </c>
      <c r="K72" s="21" t="n"/>
    </row>
    <row r="73">
      <c r="A73" s="15" t="n"/>
      <c r="B73" s="15" t="n"/>
      <c r="C73" s="15" t="n"/>
      <c r="D73" s="19" t="n"/>
      <c r="E73" s="19" t="n"/>
      <c r="F73" s="16">
        <f>IF(E73="","",IF(E73=0,"",E73-ABS(D73)))</f>
        <v/>
      </c>
      <c r="G73" s="31" t="n"/>
      <c r="H73" s="18" t="n"/>
      <c r="I73" s="20">
        <f>IF(H73="","",MONTH(H73))</f>
        <v/>
      </c>
      <c r="J73" s="20">
        <f>IF(H73="","",YEAR(H73))</f>
        <v/>
      </c>
      <c r="K73" s="21" t="n"/>
    </row>
    <row r="74">
      <c r="A74" s="15" t="n"/>
      <c r="B74" s="15" t="n"/>
      <c r="C74" s="15" t="n"/>
      <c r="D74" s="19" t="n"/>
      <c r="E74" s="19" t="n"/>
      <c r="F74" s="16">
        <f>IF(E74="","",IF(E74=0,"",E74-ABS(D74)))</f>
        <v/>
      </c>
      <c r="G74" s="31" t="n"/>
      <c r="H74" s="18" t="n"/>
      <c r="I74" s="20">
        <f>IF(H74="","",MONTH(H74))</f>
        <v/>
      </c>
      <c r="J74" s="20">
        <f>IF(H74="","",YEAR(H74))</f>
        <v/>
      </c>
      <c r="K74" s="21" t="n"/>
    </row>
    <row r="75">
      <c r="A75" s="15" t="n"/>
      <c r="B75" s="15" t="n"/>
      <c r="C75" s="15" t="n"/>
      <c r="D75" s="19" t="n"/>
      <c r="E75" s="19" t="n"/>
      <c r="F75" s="16">
        <f>IF(E75="","",IF(E75=0,"",E75-ABS(D75)))</f>
        <v/>
      </c>
      <c r="G75" s="31" t="n"/>
      <c r="H75" s="18" t="n"/>
      <c r="I75" s="20">
        <f>IF(H75="","",MONTH(H75))</f>
        <v/>
      </c>
      <c r="J75" s="20">
        <f>IF(H75="","",YEAR(H75))</f>
        <v/>
      </c>
      <c r="K75" s="21" t="n"/>
    </row>
    <row r="76">
      <c r="A76" s="15" t="n"/>
      <c r="B76" s="15" t="n"/>
      <c r="C76" s="15" t="n"/>
      <c r="D76" s="19" t="n"/>
      <c r="E76" s="19" t="n"/>
      <c r="F76" s="16">
        <f>IF(E76="","",IF(E76=0,"",E76-ABS(D76)))</f>
        <v/>
      </c>
      <c r="G76" s="31" t="n"/>
      <c r="H76" s="18" t="n"/>
      <c r="I76" s="20">
        <f>IF(H76="","",MONTH(H76))</f>
        <v/>
      </c>
      <c r="J76" s="20">
        <f>IF(H76="","",YEAR(H76))</f>
        <v/>
      </c>
      <c r="K76" s="21" t="n"/>
    </row>
    <row r="77">
      <c r="A77" s="15" t="n"/>
      <c r="B77" s="15" t="n"/>
      <c r="C77" s="15" t="n"/>
      <c r="D77" s="19" t="n"/>
      <c r="E77" s="19" t="n"/>
      <c r="F77" s="16">
        <f>IF(E77="","",IF(E77=0,"",E77-ABS(D77)))</f>
        <v/>
      </c>
      <c r="G77" s="31" t="n"/>
      <c r="H77" s="18" t="n"/>
      <c r="I77" s="20">
        <f>IF(H77="","",MONTH(H77))</f>
        <v/>
      </c>
      <c r="J77" s="20">
        <f>IF(H77="","",YEAR(H77))</f>
        <v/>
      </c>
      <c r="K77" s="21" t="n"/>
    </row>
    <row r="78">
      <c r="A78" s="15" t="n"/>
      <c r="B78" s="15" t="n"/>
      <c r="C78" s="15" t="n"/>
      <c r="D78" s="19" t="n"/>
      <c r="E78" s="19" t="n"/>
      <c r="F78" s="16">
        <f>IF(E78="","",IF(E78=0,"",E78-ABS(D78)))</f>
        <v/>
      </c>
      <c r="G78" s="31" t="n"/>
      <c r="H78" s="18" t="n"/>
      <c r="I78" s="20">
        <f>IF(H78="","",MONTH(H78))</f>
        <v/>
      </c>
      <c r="J78" s="20">
        <f>IF(H78="","",YEAR(H78))</f>
        <v/>
      </c>
      <c r="K78" s="21" t="n"/>
    </row>
    <row r="79">
      <c r="A79" s="15" t="n"/>
      <c r="B79" s="15" t="n"/>
      <c r="C79" s="15" t="n"/>
      <c r="D79" s="19" t="n"/>
      <c r="E79" s="19" t="n"/>
      <c r="F79" s="16">
        <f>IF(E79="","",IF(E79=0,"",E79-ABS(D79)))</f>
        <v/>
      </c>
      <c r="G79" s="31" t="n"/>
      <c r="H79" s="18" t="n"/>
      <c r="I79" s="20">
        <f>IF(H79="","",MONTH(H79))</f>
        <v/>
      </c>
      <c r="J79" s="20">
        <f>IF(H79="","",YEAR(H79))</f>
        <v/>
      </c>
      <c r="K79" s="21" t="n"/>
    </row>
    <row r="80">
      <c r="A80" s="15" t="n"/>
      <c r="B80" s="15" t="n"/>
      <c r="C80" s="15" t="n"/>
      <c r="D80" s="19" t="n"/>
      <c r="E80" s="19" t="n"/>
      <c r="F80" s="16">
        <f>IF(E80="","",IF(E80=0,"",E80-ABS(D80)))</f>
        <v/>
      </c>
      <c r="G80" s="31" t="n"/>
      <c r="H80" s="18" t="n"/>
      <c r="I80" s="20">
        <f>IF(H80="","",MONTH(H80))</f>
        <v/>
      </c>
      <c r="J80" s="20">
        <f>IF(H80="","",YEAR(H80))</f>
        <v/>
      </c>
      <c r="K80" s="21" t="n"/>
    </row>
    <row r="81">
      <c r="A81" s="15" t="n"/>
      <c r="B81" s="15" t="n"/>
      <c r="C81" s="15" t="n"/>
      <c r="D81" s="19" t="n"/>
      <c r="E81" s="19" t="n"/>
      <c r="F81" s="16">
        <f>IF(E81="","",IF(E81=0,"",E81-ABS(D81)))</f>
        <v/>
      </c>
      <c r="G81" s="31" t="n"/>
      <c r="H81" s="18" t="n"/>
      <c r="I81" s="20">
        <f>IF(H81="","",MONTH(H81))</f>
        <v/>
      </c>
      <c r="J81" s="20">
        <f>IF(H81="","",YEAR(H81))</f>
        <v/>
      </c>
      <c r="K81" s="21" t="n"/>
    </row>
    <row r="82">
      <c r="A82" s="15" t="n"/>
      <c r="B82" s="15" t="n"/>
      <c r="C82" s="15" t="n"/>
      <c r="D82" s="19" t="n"/>
      <c r="E82" s="19" t="n"/>
      <c r="F82" s="16">
        <f>IF(E82="","",IF(E82=0,"",E82-ABS(D82)))</f>
        <v/>
      </c>
      <c r="G82" s="31" t="n"/>
      <c r="H82" s="18" t="n"/>
      <c r="I82" s="20">
        <f>IF(H82="","",MONTH(H82))</f>
        <v/>
      </c>
      <c r="J82" s="20">
        <f>IF(H82="","",YEAR(H82))</f>
        <v/>
      </c>
      <c r="K82" s="21" t="n"/>
    </row>
    <row r="83">
      <c r="A83" s="15" t="n"/>
      <c r="B83" s="15" t="n"/>
      <c r="C83" s="15" t="n"/>
      <c r="D83" s="19" t="n"/>
      <c r="E83" s="19" t="n"/>
      <c r="F83" s="16">
        <f>IF(E83="","",IF(E83=0,"",E83-ABS(D83)))</f>
        <v/>
      </c>
      <c r="G83" s="31" t="n"/>
      <c r="H83" s="18" t="n"/>
      <c r="I83" s="20">
        <f>IF(H83="","",MONTH(H83))</f>
        <v/>
      </c>
      <c r="J83" s="20">
        <f>IF(H83="","",YEAR(H83))</f>
        <v/>
      </c>
      <c r="K83" s="21" t="n"/>
    </row>
    <row r="84">
      <c r="A84" s="15" t="n"/>
      <c r="B84" s="15" t="n"/>
      <c r="C84" s="15" t="n"/>
      <c r="D84" s="19" t="n"/>
      <c r="E84" s="19" t="n"/>
      <c r="F84" s="16">
        <f>IF(E84="","",IF(E84=0,"",E84-ABS(D84)))</f>
        <v/>
      </c>
      <c r="G84" s="31" t="n"/>
      <c r="H84" s="18" t="n"/>
      <c r="I84" s="20">
        <f>IF(H84="","",MONTH(H84))</f>
        <v/>
      </c>
      <c r="J84" s="20">
        <f>IF(H84="","",YEAR(H84))</f>
        <v/>
      </c>
      <c r="K84" s="21" t="n"/>
    </row>
    <row r="85">
      <c r="A85" s="15" t="n"/>
      <c r="B85" s="15" t="n"/>
      <c r="C85" s="15" t="n"/>
      <c r="D85" s="19" t="n"/>
      <c r="E85" s="19" t="n"/>
      <c r="F85" s="16">
        <f>IF(E85="","",IF(E85=0,"",E85-ABS(D85)))</f>
        <v/>
      </c>
      <c r="G85" s="31" t="n"/>
      <c r="H85" s="18" t="n"/>
      <c r="I85" s="20">
        <f>IF(H85="","",MONTH(H85))</f>
        <v/>
      </c>
      <c r="J85" s="20">
        <f>IF(H85="","",YEAR(H85))</f>
        <v/>
      </c>
      <c r="K85" s="21" t="n"/>
    </row>
    <row r="86">
      <c r="A86" s="15" t="n"/>
      <c r="B86" s="15" t="n"/>
      <c r="C86" s="15" t="n"/>
      <c r="D86" s="19" t="n"/>
      <c r="E86" s="19" t="n"/>
      <c r="F86" s="16">
        <f>IF(E86="","",IF(E86=0,"",E86-ABS(D86)))</f>
        <v/>
      </c>
      <c r="G86" s="31" t="n"/>
      <c r="H86" s="18" t="n"/>
      <c r="I86" s="20">
        <f>IF(H86="","",MONTH(H86))</f>
        <v/>
      </c>
      <c r="J86" s="20">
        <f>IF(H86="","",YEAR(H86))</f>
        <v/>
      </c>
      <c r="K86" s="21" t="n"/>
    </row>
    <row r="87">
      <c r="A87" s="15" t="n"/>
      <c r="B87" s="15" t="n"/>
      <c r="C87" s="15" t="n"/>
      <c r="D87" s="19" t="n"/>
      <c r="E87" s="19" t="n"/>
      <c r="F87" s="16">
        <f>IF(E87="","",IF(E87=0,"",E87-ABS(D87)))</f>
        <v/>
      </c>
      <c r="G87" s="31" t="n"/>
      <c r="H87" s="18" t="n"/>
      <c r="I87" s="20">
        <f>IF(H87="","",MONTH(H87))</f>
        <v/>
      </c>
      <c r="J87" s="20">
        <f>IF(H87="","",YEAR(H87))</f>
        <v/>
      </c>
      <c r="K87" s="21" t="n"/>
    </row>
    <row r="88">
      <c r="A88" s="15" t="n"/>
      <c r="B88" s="15" t="n"/>
      <c r="C88" s="15" t="n"/>
      <c r="D88" s="19" t="n"/>
      <c r="E88" s="19" t="n"/>
      <c r="F88" s="16">
        <f>IF(E88="","",IF(E88=0,"",E88-ABS(D88)))</f>
        <v/>
      </c>
      <c r="G88" s="31" t="n"/>
      <c r="H88" s="18" t="n"/>
      <c r="I88" s="20">
        <f>IF(H88="","",MONTH(H88))</f>
        <v/>
      </c>
      <c r="J88" s="20">
        <f>IF(H88="","",YEAR(H88))</f>
        <v/>
      </c>
      <c r="K88" s="21" t="n"/>
    </row>
    <row r="89">
      <c r="A89" s="15" t="n"/>
      <c r="B89" s="15" t="n"/>
      <c r="C89" s="15" t="n"/>
      <c r="D89" s="19" t="n"/>
      <c r="E89" s="19" t="n"/>
      <c r="F89" s="16">
        <f>IF(E89="","",IF(E89=0,"",E89-ABS(D89)))</f>
        <v/>
      </c>
      <c r="G89" s="31" t="n"/>
      <c r="H89" s="18" t="n"/>
      <c r="I89" s="20">
        <f>IF(H89="","",MONTH(H89))</f>
        <v/>
      </c>
      <c r="J89" s="20">
        <f>IF(H89="","",YEAR(H89))</f>
        <v/>
      </c>
      <c r="K89" s="21" t="n"/>
    </row>
    <row r="90">
      <c r="A90" s="15" t="n"/>
      <c r="B90" s="15" t="n"/>
      <c r="C90" s="15" t="n"/>
      <c r="D90" s="19" t="n"/>
      <c r="E90" s="19" t="n"/>
      <c r="F90" s="16">
        <f>IF(E90="","",IF(E90=0,"",E90-ABS(D90)))</f>
        <v/>
      </c>
      <c r="G90" s="31" t="n"/>
      <c r="H90" s="18" t="n"/>
      <c r="I90" s="20">
        <f>IF(H90="","",MONTH(H90))</f>
        <v/>
      </c>
      <c r="J90" s="20">
        <f>IF(H90="","",YEAR(H90))</f>
        <v/>
      </c>
      <c r="K90" s="21" t="n"/>
    </row>
    <row r="91">
      <c r="A91" s="15" t="n"/>
      <c r="B91" s="15" t="n"/>
      <c r="C91" s="15" t="n"/>
      <c r="D91" s="19" t="n"/>
      <c r="E91" s="19" t="n"/>
      <c r="F91" s="16">
        <f>IF(E91="","",IF(E91=0,"",E91-ABS(D91)))</f>
        <v/>
      </c>
      <c r="G91" s="31" t="n"/>
      <c r="H91" s="18" t="n"/>
      <c r="I91" s="20">
        <f>IF(H91="","",MONTH(H91))</f>
        <v/>
      </c>
      <c r="J91" s="20">
        <f>IF(H91="","",YEAR(H91))</f>
        <v/>
      </c>
      <c r="K91" s="21" t="n"/>
    </row>
    <row r="92">
      <c r="A92" s="15" t="n"/>
      <c r="B92" s="15" t="n"/>
      <c r="C92" s="15" t="n"/>
      <c r="D92" s="19" t="n"/>
      <c r="E92" s="19" t="n"/>
      <c r="F92" s="16">
        <f>IF(E92="","",IF(E92=0,"",E92-ABS(D92)))</f>
        <v/>
      </c>
      <c r="G92" s="31" t="n"/>
      <c r="H92" s="18" t="n"/>
      <c r="I92" s="20">
        <f>IF(H92="","",MONTH(H92))</f>
        <v/>
      </c>
      <c r="J92" s="20">
        <f>IF(H92="","",YEAR(H92))</f>
        <v/>
      </c>
      <c r="K92" s="21" t="n"/>
    </row>
    <row r="93">
      <c r="A93" s="15" t="n"/>
      <c r="B93" s="15" t="n"/>
      <c r="C93" s="15" t="n"/>
      <c r="D93" s="19" t="n"/>
      <c r="E93" s="19" t="n"/>
      <c r="F93" s="16">
        <f>IF(E93="","",IF(E93=0,"",E93-ABS(D93)))</f>
        <v/>
      </c>
      <c r="G93" s="31" t="n"/>
      <c r="H93" s="18" t="n"/>
      <c r="I93" s="20">
        <f>IF(H93="","",MONTH(H93))</f>
        <v/>
      </c>
      <c r="J93" s="20">
        <f>IF(H93="","",YEAR(H93))</f>
        <v/>
      </c>
      <c r="K93" s="21" t="n"/>
    </row>
    <row r="94">
      <c r="A94" s="15" t="n"/>
      <c r="B94" s="15" t="n"/>
      <c r="C94" s="15" t="n"/>
      <c r="D94" s="19" t="n"/>
      <c r="E94" s="19" t="n"/>
      <c r="F94" s="16">
        <f>IF(E94="","",IF(E94=0,"",E94-ABS(D94)))</f>
        <v/>
      </c>
      <c r="G94" s="31" t="n"/>
      <c r="H94" s="18" t="n"/>
      <c r="I94" s="20">
        <f>IF(H94="","",MONTH(H94))</f>
        <v/>
      </c>
      <c r="J94" s="20">
        <f>IF(H94="","",YEAR(H94))</f>
        <v/>
      </c>
      <c r="K94" s="21" t="n"/>
    </row>
    <row r="95">
      <c r="A95" s="15" t="n"/>
      <c r="B95" s="15" t="n"/>
      <c r="C95" s="15" t="n"/>
      <c r="D95" s="19" t="n"/>
      <c r="E95" s="19" t="n"/>
      <c r="F95" s="16">
        <f>IF(E95="","",IF(E95=0,"",E95-ABS(D95)))</f>
        <v/>
      </c>
      <c r="G95" s="31" t="n"/>
      <c r="H95" s="18" t="n"/>
      <c r="I95" s="20">
        <f>IF(H95="","",MONTH(H95))</f>
        <v/>
      </c>
      <c r="J95" s="20">
        <f>IF(H95="","",YEAR(H95))</f>
        <v/>
      </c>
      <c r="K95" s="21" t="n"/>
    </row>
    <row r="96">
      <c r="A96" s="15" t="n"/>
      <c r="B96" s="15" t="n"/>
      <c r="C96" s="15" t="n"/>
      <c r="D96" s="19" t="n"/>
      <c r="E96" s="19" t="n"/>
      <c r="F96" s="16">
        <f>IF(E96="","",IF(E96=0,"",E96-ABS(D96)))</f>
        <v/>
      </c>
      <c r="G96" s="31" t="n"/>
      <c r="H96" s="18" t="n"/>
      <c r="I96" s="20">
        <f>IF(H96="","",MONTH(H96))</f>
        <v/>
      </c>
      <c r="J96" s="20">
        <f>IF(H96="","",YEAR(H96))</f>
        <v/>
      </c>
      <c r="K96" s="21" t="n"/>
    </row>
    <row r="97">
      <c r="A97" s="15" t="n"/>
      <c r="B97" s="15" t="n"/>
      <c r="C97" s="15" t="n"/>
      <c r="D97" s="19" t="n"/>
      <c r="E97" s="19" t="n"/>
      <c r="F97" s="16">
        <f>IF(E97="","",IF(E97=0,"",E97-ABS(D97)))</f>
        <v/>
      </c>
      <c r="G97" s="31" t="n"/>
      <c r="H97" s="18" t="n"/>
      <c r="I97" s="20">
        <f>IF(H97="","",MONTH(H97))</f>
        <v/>
      </c>
      <c r="J97" s="20">
        <f>IF(H97="","",YEAR(H97))</f>
        <v/>
      </c>
      <c r="K97" s="21" t="n"/>
    </row>
    <row r="98">
      <c r="A98" s="15" t="n"/>
      <c r="B98" s="15" t="n"/>
      <c r="C98" s="15" t="n"/>
      <c r="D98" s="19" t="n"/>
      <c r="E98" s="19" t="n"/>
      <c r="F98" s="16">
        <f>IF(E98="","",IF(E98=0,"",E98-ABS(D98)))</f>
        <v/>
      </c>
      <c r="G98" s="31" t="n"/>
      <c r="H98" s="18" t="n"/>
      <c r="I98" s="20">
        <f>IF(H98="","",MONTH(H98))</f>
        <v/>
      </c>
      <c r="J98" s="20">
        <f>IF(H98="","",YEAR(H98))</f>
        <v/>
      </c>
      <c r="K98" s="21" t="n"/>
    </row>
    <row r="99">
      <c r="A99" s="15" t="n"/>
      <c r="B99" s="15" t="n"/>
      <c r="C99" s="15" t="n"/>
      <c r="D99" s="19" t="n"/>
      <c r="E99" s="19" t="n"/>
      <c r="F99" s="16">
        <f>IF(E99="","",IF(E99=0,"",E99-ABS(D99)))</f>
        <v/>
      </c>
      <c r="G99" s="31" t="n"/>
      <c r="H99" s="18" t="n"/>
      <c r="I99" s="20">
        <f>IF(H99="","",MONTH(H99))</f>
        <v/>
      </c>
      <c r="J99" s="20">
        <f>IF(H99="","",YEAR(H99))</f>
        <v/>
      </c>
      <c r="K99" s="21" t="n"/>
    </row>
    <row r="100">
      <c r="A100" s="15" t="n"/>
      <c r="B100" s="15" t="n"/>
      <c r="C100" s="15" t="n"/>
      <c r="D100" s="19" t="n"/>
      <c r="E100" s="19" t="n"/>
      <c r="F100" s="16">
        <f>IF(E100="","",IF(E100=0,"",E100-ABS(D100)))</f>
        <v/>
      </c>
      <c r="G100" s="31" t="n"/>
      <c r="H100" s="18" t="n"/>
      <c r="I100" s="20">
        <f>IF(H100="","",MONTH(H100))</f>
        <v/>
      </c>
      <c r="J100" s="20">
        <f>IF(H100="","",YEAR(H100))</f>
        <v/>
      </c>
      <c r="K100" s="21" t="n"/>
    </row>
    <row r="101">
      <c r="A101" s="15" t="n"/>
      <c r="B101" s="15" t="n"/>
      <c r="C101" s="15" t="n"/>
      <c r="D101" s="19" t="n"/>
      <c r="E101" s="19" t="n"/>
      <c r="F101" s="16">
        <f>IF(E101="","",IF(E101=0,"",E101-ABS(D101)))</f>
        <v/>
      </c>
      <c r="G101" s="31" t="n"/>
      <c r="H101" s="18" t="n"/>
      <c r="I101" s="20">
        <f>IF(H101="","",MONTH(H101))</f>
        <v/>
      </c>
      <c r="J101" s="20">
        <f>IF(H101="","",YEAR(H101))</f>
        <v/>
      </c>
      <c r="K101" s="21" t="n"/>
    </row>
    <row r="102">
      <c r="A102" s="15" t="n"/>
      <c r="B102" s="15" t="n"/>
      <c r="C102" s="15" t="n"/>
      <c r="D102" s="19" t="n"/>
      <c r="E102" s="19" t="n"/>
      <c r="F102" s="16">
        <f>IF(E102="","",IF(E102=0,"",E102-ABS(D102)))</f>
        <v/>
      </c>
      <c r="G102" s="31" t="n"/>
      <c r="H102" s="18" t="n"/>
      <c r="I102" s="20">
        <f>IF(H102="","",MONTH(H102))</f>
        <v/>
      </c>
      <c r="J102" s="20">
        <f>IF(H102="","",YEAR(H102))</f>
        <v/>
      </c>
      <c r="K102" s="21" t="n"/>
    </row>
    <row r="103">
      <c r="A103" s="15" t="n"/>
      <c r="B103" s="15" t="n"/>
      <c r="C103" s="15" t="n"/>
      <c r="D103" s="19" t="n"/>
      <c r="E103" s="19" t="n"/>
      <c r="F103" s="16">
        <f>IF(E103="","",IF(E103=0,"",E103-ABS(D103)))</f>
        <v/>
      </c>
      <c r="G103" s="31" t="n"/>
      <c r="H103" s="18" t="n"/>
      <c r="I103" s="20">
        <f>IF(H103="","",MONTH(H103))</f>
        <v/>
      </c>
      <c r="J103" s="20">
        <f>IF(H103="","",YEAR(H103))</f>
        <v/>
      </c>
      <c r="K103" s="21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3:K103"/>
  <mergeCells count="2">
    <mergeCell ref="A2:K2"/>
    <mergeCell ref="A1:K1"/>
  </mergeCells>
  <dataValidations count="2">
    <dataValidation sqref="B4:B103" showDropDown="0" showInputMessage="0" showErrorMessage="1" allowBlank="1" type="list">
      <formula1>L_Account_Types</formula1>
    </dataValidation>
    <dataValidation sqref="C4:C103" showDropDown="0" showInputMessage="0" showErrorMessage="1" allowBlank="1" type="list">
      <formula1>L_Family_Members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1" customWidth="1" min="9" max="9"/>
    <col width="7" customWidth="1" min="10" max="10"/>
    <col width="7" customWidth="1" min="11" max="11"/>
    <col width="7" customWidth="1" min="12" max="12"/>
    <col width="12" customWidth="1" min="13" max="13"/>
    <col width="12" customWidth="1" min="14" max="14"/>
    <col width="14" customWidth="1" min="15" max="15"/>
    <col width="22" customWidth="1" min="16" max="16"/>
    <col width="10" customWidth="1" min="17" max="17"/>
    <col width="10" customWidth="1" min="18" max="18"/>
  </cols>
  <sheetData>
    <row r="1" ht="30" customHeight="1">
      <c r="A1" s="1" t="inlineStr">
        <is>
          <t>💸 Debt Payoff Planner</t>
        </is>
      </c>
    </row>
    <row r="2" ht="28" customHeight="1">
      <c r="A2" s="2" t="inlineStr">
        <is>
          <t>Snowball &amp; avalanche strategies built in. Interest saved and debt-free date are auto-estimated.</t>
        </is>
      </c>
    </row>
    <row r="4">
      <c r="A4" s="3" t="inlineStr">
        <is>
          <t>DEBT SUMMARY</t>
        </is>
      </c>
    </row>
    <row r="5">
      <c r="A5" s="6" t="inlineStr">
        <is>
          <t>Total Debt</t>
        </is>
      </c>
      <c r="B5" s="16">
        <f>SUM(D8:D107)</f>
        <v/>
      </c>
    </row>
    <row r="6">
      <c r="A6" s="6" t="inlineStr">
        <is>
          <t>Total Minimum Payment</t>
        </is>
      </c>
      <c r="B6" s="16">
        <f>SUM(G8:G107)</f>
        <v/>
      </c>
    </row>
    <row r="7">
      <c r="A7" s="6" t="inlineStr">
        <is>
          <t>Total Extra Payment</t>
        </is>
      </c>
      <c r="B7" s="16">
        <f>SUM(H8:H107)</f>
        <v/>
      </c>
    </row>
    <row r="8">
      <c r="A8" s="15" t="inlineStr">
        <is>
          <t>Visa Credit</t>
        </is>
      </c>
      <c r="B8" s="19" t="inlineStr">
        <is>
          <t>Capital One</t>
        </is>
      </c>
      <c r="C8" s="15" t="inlineStr">
        <is>
          <t>Credit Card</t>
        </is>
      </c>
      <c r="D8" s="19" t="n">
        <v>2100</v>
      </c>
      <c r="E8" s="19" t="n">
        <v>2500</v>
      </c>
      <c r="F8" s="31" t="n">
        <v>0.2499</v>
      </c>
      <c r="G8" s="19" t="n">
        <v>63</v>
      </c>
      <c r="H8" s="19" t="n">
        <v>150</v>
      </c>
      <c r="I8" s="18" t="n">
        <v>46249</v>
      </c>
      <c r="J8" s="20">
        <f>IF(I8="","",MONTH(I8))</f>
        <v/>
      </c>
      <c r="K8" s="20">
        <f>IF(I8="","",YEAR(I8))</f>
        <v/>
      </c>
      <c r="L8" s="20">
        <f>IF(I8="","",DAY(I8))</f>
        <v/>
      </c>
      <c r="M8" s="32">
        <f>IF(N8="","",EDATE(TODAY(),ROUNDUP(N8,0)))</f>
        <v/>
      </c>
      <c r="N8" s="20">
        <f>IF(D8="","",IFERROR(NPER(F8/12,-(G8+H8),D8),""))</f>
        <v/>
      </c>
      <c r="O8" s="16">
        <f>IF(N8="","",(G8+H8)*N8-D8)</f>
        <v/>
      </c>
      <c r="P8" s="15" t="inlineStr"/>
      <c r="Q8" s="20">
        <f>IF(D8="","",RANK(D8,$D$8:$D$107,1))</f>
        <v/>
      </c>
      <c r="R8" s="20">
        <f>IF(F8="","",RANK(F8,$F$8:$F$107,0))</f>
        <v/>
      </c>
    </row>
    <row r="9">
      <c r="A9" s="15" t="inlineStr">
        <is>
          <t>Mastercard</t>
        </is>
      </c>
      <c r="B9" s="15" t="inlineStr">
        <is>
          <t>Bank of America</t>
        </is>
      </c>
      <c r="C9" s="15" t="inlineStr">
        <is>
          <t>Credit Card</t>
        </is>
      </c>
      <c r="D9" s="19" t="n">
        <v>830</v>
      </c>
      <c r="E9" s="19" t="n">
        <v>2000</v>
      </c>
      <c r="F9" s="31" t="n">
        <v>0.2299</v>
      </c>
      <c r="G9" s="19" t="n">
        <v>28</v>
      </c>
      <c r="H9" s="19" t="n">
        <v>50</v>
      </c>
      <c r="I9" s="18" t="n">
        <v>46252</v>
      </c>
      <c r="J9" s="20">
        <f>IF(I9="","",MONTH(I9))</f>
        <v/>
      </c>
      <c r="K9" s="20">
        <f>IF(I9="","",YEAR(I9))</f>
        <v/>
      </c>
      <c r="L9" s="20">
        <f>IF(I9="","",DAY(I9))</f>
        <v/>
      </c>
      <c r="M9" s="32">
        <f>IF(N9="","",EDATE(TODAY(),ROUNDUP(N9,0)))</f>
        <v/>
      </c>
      <c r="N9" s="20">
        <f>IF(D9="","",IFERROR(NPER(F9/12,-(G9+H9),D9),""))</f>
        <v/>
      </c>
      <c r="O9" s="16">
        <f>IF(N9="","",(G9+H9)*N9-D9)</f>
        <v/>
      </c>
      <c r="P9" s="15" t="inlineStr"/>
      <c r="Q9" s="20">
        <f>IF(D9="","",RANK(D9,$D$8:$D$107,1))</f>
        <v/>
      </c>
      <c r="R9" s="20">
        <f>IF(F9="","",RANK(F9,$F$8:$F$107,0))</f>
        <v/>
      </c>
    </row>
    <row r="10">
      <c r="A10" s="15" t="inlineStr">
        <is>
          <t>Student Loan</t>
        </is>
      </c>
      <c r="B10" s="15" t="inlineStr">
        <is>
          <t>Navient</t>
        </is>
      </c>
      <c r="C10" s="15" t="inlineStr">
        <is>
          <t>Student Loan</t>
        </is>
      </c>
      <c r="D10" s="19" t="n">
        <v>14500</v>
      </c>
      <c r="E10" s="19" t="n">
        <v>25000</v>
      </c>
      <c r="F10" s="31" t="n">
        <v>0.045</v>
      </c>
      <c r="G10" s="19" t="n">
        <v>220</v>
      </c>
      <c r="H10" s="19" t="n">
        <v>100</v>
      </c>
      <c r="I10" s="18" t="n">
        <v>46239</v>
      </c>
      <c r="J10" s="20">
        <f>IF(I10="","",MONTH(I10))</f>
        <v/>
      </c>
      <c r="K10" s="20">
        <f>IF(I10="","",YEAR(I10))</f>
        <v/>
      </c>
      <c r="L10" s="20">
        <f>IF(I10="","",DAY(I10))</f>
        <v/>
      </c>
      <c r="M10" s="32">
        <f>IF(N10="","",EDATE(TODAY(),ROUNDUP(N10,0)))</f>
        <v/>
      </c>
      <c r="N10" s="20">
        <f>IF(D10="","",IFERROR(NPER(F10/12,-(G10+H10),D10),""))</f>
        <v/>
      </c>
      <c r="O10" s="16">
        <f>IF(N10="","",(G10+H10)*N10-D10)</f>
        <v/>
      </c>
      <c r="P10" s="15" t="inlineStr"/>
      <c r="Q10" s="20">
        <f>IF(D10="","",RANK(D10,$D$8:$D$107,1))</f>
        <v/>
      </c>
      <c r="R10" s="20">
        <f>IF(F10="","",RANK(F10,$F$8:$F$107,0))</f>
        <v/>
      </c>
    </row>
    <row r="11">
      <c r="A11" s="15" t="inlineStr">
        <is>
          <t>Auto Loan</t>
        </is>
      </c>
      <c r="B11" s="15" t="inlineStr">
        <is>
          <t>Toyota Finance</t>
        </is>
      </c>
      <c r="C11" s="15" t="inlineStr">
        <is>
          <t>Auto Loan</t>
        </is>
      </c>
      <c r="D11" s="19" t="n">
        <v>14800</v>
      </c>
      <c r="E11" s="19" t="n">
        <v>26000</v>
      </c>
      <c r="F11" s="31" t="n">
        <v>0.055</v>
      </c>
      <c r="G11" s="19" t="n">
        <v>420</v>
      </c>
      <c r="H11" s="19" t="n">
        <v>100</v>
      </c>
      <c r="I11" s="18" t="n">
        <v>46246</v>
      </c>
      <c r="J11" s="20">
        <f>IF(I11="","",MONTH(I11))</f>
        <v/>
      </c>
      <c r="K11" s="20">
        <f>IF(I11="","",YEAR(I11))</f>
        <v/>
      </c>
      <c r="L11" s="20">
        <f>IF(I11="","",DAY(I11))</f>
        <v/>
      </c>
      <c r="M11" s="32">
        <f>IF(N11="","",EDATE(TODAY(),ROUNDUP(N11,0)))</f>
        <v/>
      </c>
      <c r="N11" s="20">
        <f>IF(D11="","",IFERROR(NPER(F11/12,-(G11+H11),D11),""))</f>
        <v/>
      </c>
      <c r="O11" s="16">
        <f>IF(N11="","",(G11+H11)*N11-D11)</f>
        <v/>
      </c>
      <c r="P11" s="15" t="inlineStr"/>
      <c r="Q11" s="20">
        <f>IF(D11="","",RANK(D11,$D$8:$D$107,1))</f>
        <v/>
      </c>
      <c r="R11" s="20">
        <f>IF(F11="","",RANK(F11,$F$8:$F$107,0))</f>
        <v/>
      </c>
    </row>
    <row r="12">
      <c r="A12" s="15" t="inlineStr">
        <is>
          <t>Personal Loan</t>
        </is>
      </c>
      <c r="B12" s="15" t="inlineStr">
        <is>
          <t>SoFi</t>
        </is>
      </c>
      <c r="C12" s="15" t="inlineStr">
        <is>
          <t>Personal Loan</t>
        </is>
      </c>
      <c r="D12" s="19" t="n">
        <v>5800</v>
      </c>
      <c r="E12" s="19" t="n">
        <v>8000</v>
      </c>
      <c r="F12" s="31" t="n">
        <v>0.089</v>
      </c>
      <c r="G12" s="19" t="n">
        <v>145</v>
      </c>
      <c r="H12" s="19" t="n">
        <v>50</v>
      </c>
      <c r="I12" s="18" t="n">
        <v>46244</v>
      </c>
      <c r="J12" s="20">
        <f>IF(I12="","",MONTH(I12))</f>
        <v/>
      </c>
      <c r="K12" s="20">
        <f>IF(I12="","",YEAR(I12))</f>
        <v/>
      </c>
      <c r="L12" s="20">
        <f>IF(I12="","",DAY(I12))</f>
        <v/>
      </c>
      <c r="M12" s="32">
        <f>IF(N12="","",EDATE(TODAY(),ROUNDUP(N12,0)))</f>
        <v/>
      </c>
      <c r="N12" s="20">
        <f>IF(D12="","",IFERROR(NPER(F12/12,-(G12+H12),D12),""))</f>
        <v/>
      </c>
      <c r="O12" s="16">
        <f>IF(N12="","",(G12+H12)*N12-D12)</f>
        <v/>
      </c>
      <c r="P12" s="15" t="inlineStr"/>
      <c r="Q12" s="20">
        <f>IF(D12="","",RANK(D12,$D$8:$D$107,1))</f>
        <v/>
      </c>
      <c r="R12" s="20">
        <f>IF(F12="","",RANK(F12,$F$8:$F$107,0))</f>
        <v/>
      </c>
    </row>
    <row r="13">
      <c r="A13" s="15" t="n"/>
      <c r="B13" s="15" t="n"/>
      <c r="C13" s="15" t="n"/>
      <c r="D13" s="19" t="n"/>
      <c r="E13" s="19" t="n"/>
      <c r="F13" s="31" t="n"/>
      <c r="G13" s="19" t="n"/>
      <c r="H13" s="19" t="n"/>
      <c r="I13" s="18" t="n"/>
      <c r="J13" s="20">
        <f>IF(I13="","",MONTH(I13))</f>
        <v/>
      </c>
      <c r="K13" s="20">
        <f>IF(I13="","",YEAR(I13))</f>
        <v/>
      </c>
      <c r="L13" s="20">
        <f>IF(I13="","",DAY(I13))</f>
        <v/>
      </c>
      <c r="M13" s="32">
        <f>IF(N13="","",EDATE(TODAY(),ROUNDUP(N13,0)))</f>
        <v/>
      </c>
      <c r="N13" s="20">
        <f>IF(D13="","",IFERROR(NPER(F13/12,-(G13+H13),D13),""))</f>
        <v/>
      </c>
      <c r="O13" s="16">
        <f>IF(N13="","",(G13+H13)*N13-D13)</f>
        <v/>
      </c>
      <c r="Q13" s="20">
        <f>IF(D13="","",RANK(D13,$D$8:$D$107,1))</f>
        <v/>
      </c>
      <c r="R13" s="20">
        <f>IF(F13="","",RANK(F13,$F$8:$F$107,0))</f>
        <v/>
      </c>
    </row>
    <row r="14">
      <c r="A14" s="15" t="n"/>
      <c r="B14" s="15" t="n"/>
      <c r="C14" s="15" t="n"/>
      <c r="D14" s="19" t="n"/>
      <c r="E14" s="19" t="n"/>
      <c r="F14" s="31" t="n"/>
      <c r="G14" s="19" t="n"/>
      <c r="H14" s="19" t="n"/>
      <c r="I14" s="18" t="n"/>
      <c r="J14" s="20">
        <f>IF(I14="","",MONTH(I14))</f>
        <v/>
      </c>
      <c r="K14" s="20">
        <f>IF(I14="","",YEAR(I14))</f>
        <v/>
      </c>
      <c r="L14" s="20">
        <f>IF(I14="","",DAY(I14))</f>
        <v/>
      </c>
      <c r="M14" s="32">
        <f>IF(N14="","",EDATE(TODAY(),ROUNDUP(N14,0)))</f>
        <v/>
      </c>
      <c r="N14" s="20">
        <f>IF(D14="","",IFERROR(NPER(F14/12,-(G14+H14),D14),""))</f>
        <v/>
      </c>
      <c r="O14" s="16">
        <f>IF(N14="","",(G14+H14)*N14-D14)</f>
        <v/>
      </c>
      <c r="Q14" s="20">
        <f>IF(D14="","",RANK(D14,$D$8:$D$107,1))</f>
        <v/>
      </c>
      <c r="R14" s="20">
        <f>IF(F14="","",RANK(F14,$F$8:$F$107,0))</f>
        <v/>
      </c>
    </row>
    <row r="15">
      <c r="A15" s="15" t="n"/>
      <c r="B15" s="15" t="n"/>
      <c r="C15" s="15" t="n"/>
      <c r="D15" s="19" t="n"/>
      <c r="E15" s="19" t="n"/>
      <c r="F15" s="31" t="n"/>
      <c r="G15" s="19" t="n"/>
      <c r="H15" s="19" t="n"/>
      <c r="I15" s="18" t="n"/>
      <c r="J15" s="20">
        <f>IF(I15="","",MONTH(I15))</f>
        <v/>
      </c>
      <c r="K15" s="20">
        <f>IF(I15="","",YEAR(I15))</f>
        <v/>
      </c>
      <c r="L15" s="20">
        <f>IF(I15="","",DAY(I15))</f>
        <v/>
      </c>
      <c r="M15" s="32">
        <f>IF(N15="","",EDATE(TODAY(),ROUNDUP(N15,0)))</f>
        <v/>
      </c>
      <c r="N15" s="20">
        <f>IF(D15="","",IFERROR(NPER(F15/12,-(G15+H15),D15),""))</f>
        <v/>
      </c>
      <c r="O15" s="16">
        <f>IF(N15="","",(G15+H15)*N15-D15)</f>
        <v/>
      </c>
      <c r="Q15" s="20">
        <f>IF(D15="","",RANK(D15,$D$8:$D$107,1))</f>
        <v/>
      </c>
      <c r="R15" s="20">
        <f>IF(F15="","",RANK(F15,$F$8:$F$107,0))</f>
        <v/>
      </c>
    </row>
    <row r="16">
      <c r="A16" s="15" t="n"/>
      <c r="B16" s="15" t="n"/>
      <c r="C16" s="15" t="n"/>
      <c r="D16" s="19" t="n"/>
      <c r="E16" s="19" t="n"/>
      <c r="F16" s="31" t="n"/>
      <c r="G16" s="19" t="n"/>
      <c r="H16" s="19" t="n"/>
      <c r="I16" s="18" t="n"/>
      <c r="J16" s="20">
        <f>IF(I16="","",MONTH(I16))</f>
        <v/>
      </c>
      <c r="K16" s="20">
        <f>IF(I16="","",YEAR(I16))</f>
        <v/>
      </c>
      <c r="L16" s="20">
        <f>IF(I16="","",DAY(I16))</f>
        <v/>
      </c>
      <c r="M16" s="32">
        <f>IF(N16="","",EDATE(TODAY(),ROUNDUP(N16,0)))</f>
        <v/>
      </c>
      <c r="N16" s="20">
        <f>IF(D16="","",IFERROR(NPER(F16/12,-(G16+H16),D16),""))</f>
        <v/>
      </c>
      <c r="O16" s="16">
        <f>IF(N16="","",(G16+H16)*N16-D16)</f>
        <v/>
      </c>
      <c r="Q16" s="20">
        <f>IF(D16="","",RANK(D16,$D$8:$D$107,1))</f>
        <v/>
      </c>
      <c r="R16" s="20">
        <f>IF(F16="","",RANK(F16,$F$8:$F$107,0))</f>
        <v/>
      </c>
    </row>
    <row r="17">
      <c r="A17" s="15" t="n"/>
      <c r="B17" s="15" t="n"/>
      <c r="C17" s="15" t="n"/>
      <c r="D17" s="19" t="n"/>
      <c r="E17" s="19" t="n"/>
      <c r="F17" s="31" t="n"/>
      <c r="G17" s="19" t="n"/>
      <c r="H17" s="19" t="n"/>
      <c r="I17" s="18" t="n"/>
      <c r="J17" s="20">
        <f>IF(I17="","",MONTH(I17))</f>
        <v/>
      </c>
      <c r="K17" s="20">
        <f>IF(I17="","",YEAR(I17))</f>
        <v/>
      </c>
      <c r="L17" s="20">
        <f>IF(I17="","",DAY(I17))</f>
        <v/>
      </c>
      <c r="M17" s="32">
        <f>IF(N17="","",EDATE(TODAY(),ROUNDUP(N17,0)))</f>
        <v/>
      </c>
      <c r="N17" s="20">
        <f>IF(D17="","",IFERROR(NPER(F17/12,-(G17+H17),D17),""))</f>
        <v/>
      </c>
      <c r="O17" s="16">
        <f>IF(N17="","",(G17+H17)*N17-D17)</f>
        <v/>
      </c>
      <c r="Q17" s="20">
        <f>IF(D17="","",RANK(D17,$D$8:$D$107,1))</f>
        <v/>
      </c>
      <c r="R17" s="20">
        <f>IF(F17="","",RANK(F17,$F$8:$F$107,0))</f>
        <v/>
      </c>
    </row>
    <row r="18">
      <c r="A18" s="15" t="n"/>
      <c r="B18" s="15" t="n"/>
      <c r="C18" s="15" t="n"/>
      <c r="D18" s="19" t="n"/>
      <c r="E18" s="19" t="n"/>
      <c r="F18" s="31" t="n"/>
      <c r="G18" s="19" t="n"/>
      <c r="H18" s="19" t="n"/>
      <c r="I18" s="18" t="n"/>
      <c r="J18" s="20">
        <f>IF(I18="","",MONTH(I18))</f>
        <v/>
      </c>
      <c r="K18" s="20">
        <f>IF(I18="","",YEAR(I18))</f>
        <v/>
      </c>
      <c r="L18" s="20">
        <f>IF(I18="","",DAY(I18))</f>
        <v/>
      </c>
      <c r="M18" s="32">
        <f>IF(N18="","",EDATE(TODAY(),ROUNDUP(N18,0)))</f>
        <v/>
      </c>
      <c r="N18" s="20">
        <f>IF(D18="","",IFERROR(NPER(F18/12,-(G18+H18),D18),""))</f>
        <v/>
      </c>
      <c r="O18" s="16">
        <f>IF(N18="","",(G18+H18)*N18-D18)</f>
        <v/>
      </c>
      <c r="Q18" s="20">
        <f>IF(D18="","",RANK(D18,$D$8:$D$107,1))</f>
        <v/>
      </c>
      <c r="R18" s="20">
        <f>IF(F18="","",RANK(F18,$F$8:$F$107,0))</f>
        <v/>
      </c>
    </row>
    <row r="19">
      <c r="A19" s="15" t="n"/>
      <c r="B19" s="15" t="n"/>
      <c r="C19" s="15" t="n"/>
      <c r="D19" s="19" t="n"/>
      <c r="E19" s="19" t="n"/>
      <c r="F19" s="31" t="n"/>
      <c r="G19" s="19" t="n"/>
      <c r="H19" s="19" t="n"/>
      <c r="I19" s="18" t="n"/>
      <c r="J19" s="20">
        <f>IF(I19="","",MONTH(I19))</f>
        <v/>
      </c>
      <c r="K19" s="20">
        <f>IF(I19="","",YEAR(I19))</f>
        <v/>
      </c>
      <c r="L19" s="20">
        <f>IF(I19="","",DAY(I19))</f>
        <v/>
      </c>
      <c r="M19" s="32">
        <f>IF(N19="","",EDATE(TODAY(),ROUNDUP(N19,0)))</f>
        <v/>
      </c>
      <c r="N19" s="20">
        <f>IF(D19="","",IFERROR(NPER(F19/12,-(G19+H19),D19),""))</f>
        <v/>
      </c>
      <c r="O19" s="16">
        <f>IF(N19="","",(G19+H19)*N19-D19)</f>
        <v/>
      </c>
      <c r="Q19" s="20">
        <f>IF(D19="","",RANK(D19,$D$8:$D$107,1))</f>
        <v/>
      </c>
      <c r="R19" s="20">
        <f>IF(F19="","",RANK(F19,$F$8:$F$107,0))</f>
        <v/>
      </c>
    </row>
    <row r="20">
      <c r="A20" s="15" t="n"/>
      <c r="B20" s="15" t="n"/>
      <c r="C20" s="15" t="n"/>
      <c r="D20" s="19" t="n"/>
      <c r="E20" s="19" t="n"/>
      <c r="F20" s="31" t="n"/>
      <c r="G20" s="19" t="n"/>
      <c r="H20" s="19" t="n"/>
      <c r="I20" s="18" t="n"/>
      <c r="J20" s="20">
        <f>IF(I20="","",MONTH(I20))</f>
        <v/>
      </c>
      <c r="K20" s="20">
        <f>IF(I20="","",YEAR(I20))</f>
        <v/>
      </c>
      <c r="L20" s="20">
        <f>IF(I20="","",DAY(I20))</f>
        <v/>
      </c>
      <c r="M20" s="32">
        <f>IF(N20="","",EDATE(TODAY(),ROUNDUP(N20,0)))</f>
        <v/>
      </c>
      <c r="N20" s="20">
        <f>IF(D20="","",IFERROR(NPER(F20/12,-(G20+H20),D20),""))</f>
        <v/>
      </c>
      <c r="O20" s="16">
        <f>IF(N20="","",(G20+H20)*N20-D20)</f>
        <v/>
      </c>
      <c r="Q20" s="20">
        <f>IF(D20="","",RANK(D20,$D$8:$D$107,1))</f>
        <v/>
      </c>
      <c r="R20" s="20">
        <f>IF(F20="","",RANK(F20,$F$8:$F$107,0))</f>
        <v/>
      </c>
    </row>
    <row r="21">
      <c r="A21" s="15" t="n"/>
      <c r="B21" s="15" t="n"/>
      <c r="C21" s="15" t="n"/>
      <c r="D21" s="19" t="n"/>
      <c r="E21" s="19" t="n"/>
      <c r="F21" s="31" t="n"/>
      <c r="G21" s="19" t="n"/>
      <c r="H21" s="19" t="n"/>
      <c r="I21" s="18" t="n"/>
      <c r="J21" s="20">
        <f>IF(I21="","",MONTH(I21))</f>
        <v/>
      </c>
      <c r="K21" s="20">
        <f>IF(I21="","",YEAR(I21))</f>
        <v/>
      </c>
      <c r="L21" s="20">
        <f>IF(I21="","",DAY(I21))</f>
        <v/>
      </c>
      <c r="M21" s="32">
        <f>IF(N21="","",EDATE(TODAY(),ROUNDUP(N21,0)))</f>
        <v/>
      </c>
      <c r="N21" s="20">
        <f>IF(D21="","",IFERROR(NPER(F21/12,-(G21+H21),D21),""))</f>
        <v/>
      </c>
      <c r="O21" s="16">
        <f>IF(N21="","",(G21+H21)*N21-D21)</f>
        <v/>
      </c>
      <c r="Q21" s="20">
        <f>IF(D21="","",RANK(D21,$D$8:$D$107,1))</f>
        <v/>
      </c>
      <c r="R21" s="20">
        <f>IF(F21="","",RANK(F21,$F$8:$F$107,0))</f>
        <v/>
      </c>
    </row>
    <row r="22">
      <c r="A22" s="15" t="n"/>
      <c r="B22" s="15" t="n"/>
      <c r="C22" s="15" t="n"/>
      <c r="D22" s="19" t="n"/>
      <c r="E22" s="19" t="n"/>
      <c r="F22" s="31" t="n"/>
      <c r="G22" s="19" t="n"/>
      <c r="H22" s="19" t="n"/>
      <c r="I22" s="18" t="n"/>
      <c r="J22" s="20">
        <f>IF(I22="","",MONTH(I22))</f>
        <v/>
      </c>
      <c r="K22" s="20">
        <f>IF(I22="","",YEAR(I22))</f>
        <v/>
      </c>
      <c r="L22" s="20">
        <f>IF(I22="","",DAY(I22))</f>
        <v/>
      </c>
      <c r="M22" s="32">
        <f>IF(N22="","",EDATE(TODAY(),ROUNDUP(N22,0)))</f>
        <v/>
      </c>
      <c r="N22" s="20">
        <f>IF(D22="","",IFERROR(NPER(F22/12,-(G22+H22),D22),""))</f>
        <v/>
      </c>
      <c r="O22" s="16">
        <f>IF(N22="","",(G22+H22)*N22-D22)</f>
        <v/>
      </c>
      <c r="Q22" s="20">
        <f>IF(D22="","",RANK(D22,$D$8:$D$107,1))</f>
        <v/>
      </c>
      <c r="R22" s="20">
        <f>IF(F22="","",RANK(F22,$F$8:$F$107,0))</f>
        <v/>
      </c>
    </row>
    <row r="23">
      <c r="A23" s="15" t="n"/>
      <c r="B23" s="15" t="n"/>
      <c r="C23" s="15" t="n"/>
      <c r="D23" s="19" t="n"/>
      <c r="E23" s="19" t="n"/>
      <c r="F23" s="31" t="n"/>
      <c r="G23" s="19" t="n"/>
      <c r="H23" s="19" t="n"/>
      <c r="I23" s="18" t="n"/>
      <c r="J23" s="20">
        <f>IF(I23="","",MONTH(I23))</f>
        <v/>
      </c>
      <c r="K23" s="20">
        <f>IF(I23="","",YEAR(I23))</f>
        <v/>
      </c>
      <c r="L23" s="20">
        <f>IF(I23="","",DAY(I23))</f>
        <v/>
      </c>
      <c r="M23" s="32">
        <f>IF(N23="","",EDATE(TODAY(),ROUNDUP(N23,0)))</f>
        <v/>
      </c>
      <c r="N23" s="20">
        <f>IF(D23="","",IFERROR(NPER(F23/12,-(G23+H23),D23),""))</f>
        <v/>
      </c>
      <c r="O23" s="16">
        <f>IF(N23="","",(G23+H23)*N23-D23)</f>
        <v/>
      </c>
      <c r="Q23" s="20">
        <f>IF(D23="","",RANK(D23,$D$8:$D$107,1))</f>
        <v/>
      </c>
      <c r="R23" s="20">
        <f>IF(F23="","",RANK(F23,$F$8:$F$107,0))</f>
        <v/>
      </c>
    </row>
    <row r="24">
      <c r="A24" s="15" t="n"/>
      <c r="B24" s="15" t="n"/>
      <c r="C24" s="15" t="n"/>
      <c r="D24" s="19" t="n"/>
      <c r="E24" s="19" t="n"/>
      <c r="F24" s="31" t="n"/>
      <c r="G24" s="19" t="n"/>
      <c r="H24" s="19" t="n"/>
      <c r="I24" s="18" t="n"/>
      <c r="J24" s="20">
        <f>IF(I24="","",MONTH(I24))</f>
        <v/>
      </c>
      <c r="K24" s="20">
        <f>IF(I24="","",YEAR(I24))</f>
        <v/>
      </c>
      <c r="L24" s="20">
        <f>IF(I24="","",DAY(I24))</f>
        <v/>
      </c>
      <c r="M24" s="32">
        <f>IF(N24="","",EDATE(TODAY(),ROUNDUP(N24,0)))</f>
        <v/>
      </c>
      <c r="N24" s="20">
        <f>IF(D24="","",IFERROR(NPER(F24/12,-(G24+H24),D24),""))</f>
        <v/>
      </c>
      <c r="O24" s="16">
        <f>IF(N24="","",(G24+H24)*N24-D24)</f>
        <v/>
      </c>
      <c r="Q24" s="20">
        <f>IF(D24="","",RANK(D24,$D$8:$D$107,1))</f>
        <v/>
      </c>
      <c r="R24" s="20">
        <f>IF(F24="","",RANK(F24,$F$8:$F$107,0))</f>
        <v/>
      </c>
    </row>
    <row r="25">
      <c r="A25" s="15" t="n"/>
      <c r="B25" s="15" t="n"/>
      <c r="C25" s="15" t="n"/>
      <c r="D25" s="19" t="n"/>
      <c r="E25" s="19" t="n"/>
      <c r="F25" s="31" t="n"/>
      <c r="G25" s="19" t="n"/>
      <c r="H25" s="19" t="n"/>
      <c r="I25" s="18" t="n"/>
      <c r="J25" s="20">
        <f>IF(I25="","",MONTH(I25))</f>
        <v/>
      </c>
      <c r="K25" s="20">
        <f>IF(I25="","",YEAR(I25))</f>
        <v/>
      </c>
      <c r="L25" s="20">
        <f>IF(I25="","",DAY(I25))</f>
        <v/>
      </c>
      <c r="M25" s="32">
        <f>IF(N25="","",EDATE(TODAY(),ROUNDUP(N25,0)))</f>
        <v/>
      </c>
      <c r="N25" s="20">
        <f>IF(D25="","",IFERROR(NPER(F25/12,-(G25+H25),D25),""))</f>
        <v/>
      </c>
      <c r="O25" s="16">
        <f>IF(N25="","",(G25+H25)*N25-D25)</f>
        <v/>
      </c>
      <c r="Q25" s="20">
        <f>IF(D25="","",RANK(D25,$D$8:$D$107,1))</f>
        <v/>
      </c>
      <c r="R25" s="20">
        <f>IF(F25="","",RANK(F25,$F$8:$F$107,0))</f>
        <v/>
      </c>
    </row>
    <row r="26">
      <c r="A26" s="15" t="n"/>
      <c r="B26" s="15" t="n"/>
      <c r="C26" s="15" t="n"/>
      <c r="D26" s="19" t="n"/>
      <c r="E26" s="19" t="n"/>
      <c r="F26" s="31" t="n"/>
      <c r="G26" s="19" t="n"/>
      <c r="H26" s="19" t="n"/>
      <c r="I26" s="18" t="n"/>
      <c r="J26" s="20">
        <f>IF(I26="","",MONTH(I26))</f>
        <v/>
      </c>
      <c r="K26" s="20">
        <f>IF(I26="","",YEAR(I26))</f>
        <v/>
      </c>
      <c r="L26" s="20">
        <f>IF(I26="","",DAY(I26))</f>
        <v/>
      </c>
      <c r="M26" s="32">
        <f>IF(N26="","",EDATE(TODAY(),ROUNDUP(N26,0)))</f>
        <v/>
      </c>
      <c r="N26" s="20">
        <f>IF(D26="","",IFERROR(NPER(F26/12,-(G26+H26),D26),""))</f>
        <v/>
      </c>
      <c r="O26" s="16">
        <f>IF(N26="","",(G26+H26)*N26-D26)</f>
        <v/>
      </c>
      <c r="Q26" s="20">
        <f>IF(D26="","",RANK(D26,$D$8:$D$107,1))</f>
        <v/>
      </c>
      <c r="R26" s="20">
        <f>IF(F26="","",RANK(F26,$F$8:$F$107,0))</f>
        <v/>
      </c>
    </row>
    <row r="27">
      <c r="A27" s="15" t="n"/>
      <c r="B27" s="15" t="n"/>
      <c r="C27" s="15" t="n"/>
      <c r="D27" s="19" t="n"/>
      <c r="E27" s="19" t="n"/>
      <c r="F27" s="31" t="n"/>
      <c r="G27" s="19" t="n"/>
      <c r="H27" s="19" t="n"/>
      <c r="I27" s="18" t="n"/>
      <c r="J27" s="20">
        <f>IF(I27="","",MONTH(I27))</f>
        <v/>
      </c>
      <c r="K27" s="20">
        <f>IF(I27="","",YEAR(I27))</f>
        <v/>
      </c>
      <c r="L27" s="20">
        <f>IF(I27="","",DAY(I27))</f>
        <v/>
      </c>
      <c r="M27" s="32">
        <f>IF(N27="","",EDATE(TODAY(),ROUNDUP(N27,0)))</f>
        <v/>
      </c>
      <c r="N27" s="20">
        <f>IF(D27="","",IFERROR(NPER(F27/12,-(G27+H27),D27),""))</f>
        <v/>
      </c>
      <c r="O27" s="16">
        <f>IF(N27="","",(G27+H27)*N27-D27)</f>
        <v/>
      </c>
      <c r="Q27" s="20">
        <f>IF(D27="","",RANK(D27,$D$8:$D$107,1))</f>
        <v/>
      </c>
      <c r="R27" s="20">
        <f>IF(F27="","",RANK(F27,$F$8:$F$107,0))</f>
        <v/>
      </c>
    </row>
    <row r="28">
      <c r="A28" s="15" t="n"/>
      <c r="B28" s="15" t="n"/>
      <c r="C28" s="15" t="n"/>
      <c r="D28" s="19" t="n"/>
      <c r="E28" s="19" t="n"/>
      <c r="F28" s="31" t="n"/>
      <c r="G28" s="19" t="n"/>
      <c r="H28" s="19" t="n"/>
      <c r="I28" s="18" t="n"/>
      <c r="J28" s="20">
        <f>IF(I28="","",MONTH(I28))</f>
        <v/>
      </c>
      <c r="K28" s="20">
        <f>IF(I28="","",YEAR(I28))</f>
        <v/>
      </c>
      <c r="L28" s="20">
        <f>IF(I28="","",DAY(I28))</f>
        <v/>
      </c>
      <c r="M28" s="32">
        <f>IF(N28="","",EDATE(TODAY(),ROUNDUP(N28,0)))</f>
        <v/>
      </c>
      <c r="N28" s="20">
        <f>IF(D28="","",IFERROR(NPER(F28/12,-(G28+H28),D28),""))</f>
        <v/>
      </c>
      <c r="O28" s="16">
        <f>IF(N28="","",(G28+H28)*N28-D28)</f>
        <v/>
      </c>
      <c r="Q28" s="20">
        <f>IF(D28="","",RANK(D28,$D$8:$D$107,1))</f>
        <v/>
      </c>
      <c r="R28" s="20">
        <f>IF(F28="","",RANK(F28,$F$8:$F$107,0))</f>
        <v/>
      </c>
    </row>
    <row r="29">
      <c r="A29" s="15" t="n"/>
      <c r="B29" s="15" t="n"/>
      <c r="C29" s="15" t="n"/>
      <c r="D29" s="19" t="n"/>
      <c r="E29" s="19" t="n"/>
      <c r="F29" s="31" t="n"/>
      <c r="G29" s="19" t="n"/>
      <c r="H29" s="19" t="n"/>
      <c r="I29" s="18" t="n"/>
      <c r="J29" s="20">
        <f>IF(I29="","",MONTH(I29))</f>
        <v/>
      </c>
      <c r="K29" s="20">
        <f>IF(I29="","",YEAR(I29))</f>
        <v/>
      </c>
      <c r="L29" s="20">
        <f>IF(I29="","",DAY(I29))</f>
        <v/>
      </c>
      <c r="M29" s="32">
        <f>IF(N29="","",EDATE(TODAY(),ROUNDUP(N29,0)))</f>
        <v/>
      </c>
      <c r="N29" s="20">
        <f>IF(D29="","",IFERROR(NPER(F29/12,-(G29+H29),D29),""))</f>
        <v/>
      </c>
      <c r="O29" s="16">
        <f>IF(N29="","",(G29+H29)*N29-D29)</f>
        <v/>
      </c>
      <c r="Q29" s="20">
        <f>IF(D29="","",RANK(D29,$D$8:$D$107,1))</f>
        <v/>
      </c>
      <c r="R29" s="20">
        <f>IF(F29="","",RANK(F29,$F$8:$F$107,0))</f>
        <v/>
      </c>
    </row>
    <row r="30">
      <c r="A30" s="15" t="n"/>
      <c r="B30" s="15" t="n"/>
      <c r="C30" s="15" t="n"/>
      <c r="D30" s="19" t="n"/>
      <c r="E30" s="19" t="n"/>
      <c r="F30" s="31" t="n"/>
      <c r="G30" s="19" t="n"/>
      <c r="H30" s="19" t="n"/>
      <c r="I30" s="18" t="n"/>
      <c r="J30" s="20">
        <f>IF(I30="","",MONTH(I30))</f>
        <v/>
      </c>
      <c r="K30" s="20">
        <f>IF(I30="","",YEAR(I30))</f>
        <v/>
      </c>
      <c r="L30" s="20">
        <f>IF(I30="","",DAY(I30))</f>
        <v/>
      </c>
      <c r="M30" s="32">
        <f>IF(N30="","",EDATE(TODAY(),ROUNDUP(N30,0)))</f>
        <v/>
      </c>
      <c r="N30" s="20">
        <f>IF(D30="","",IFERROR(NPER(F30/12,-(G30+H30),D30),""))</f>
        <v/>
      </c>
      <c r="O30" s="16">
        <f>IF(N30="","",(G30+H30)*N30-D30)</f>
        <v/>
      </c>
      <c r="Q30" s="20">
        <f>IF(D30="","",RANK(D30,$D$8:$D$107,1))</f>
        <v/>
      </c>
      <c r="R30" s="20">
        <f>IF(F30="","",RANK(F30,$F$8:$F$107,0))</f>
        <v/>
      </c>
    </row>
    <row r="31">
      <c r="A31" s="15" t="n"/>
      <c r="B31" s="15" t="n"/>
      <c r="C31" s="15" t="n"/>
      <c r="D31" s="19" t="n"/>
      <c r="E31" s="19" t="n"/>
      <c r="F31" s="31" t="n"/>
      <c r="G31" s="19" t="n"/>
      <c r="H31" s="19" t="n"/>
      <c r="I31" s="18" t="n"/>
      <c r="J31" s="20">
        <f>IF(I31="","",MONTH(I31))</f>
        <v/>
      </c>
      <c r="K31" s="20">
        <f>IF(I31="","",YEAR(I31))</f>
        <v/>
      </c>
      <c r="L31" s="20">
        <f>IF(I31="","",DAY(I31))</f>
        <v/>
      </c>
      <c r="M31" s="32">
        <f>IF(N31="","",EDATE(TODAY(),ROUNDUP(N31,0)))</f>
        <v/>
      </c>
      <c r="N31" s="20">
        <f>IF(D31="","",IFERROR(NPER(F31/12,-(G31+H31),D31),""))</f>
        <v/>
      </c>
      <c r="O31" s="16">
        <f>IF(N31="","",(G31+H31)*N31-D31)</f>
        <v/>
      </c>
      <c r="Q31" s="20">
        <f>IF(D31="","",RANK(D31,$D$8:$D$107,1))</f>
        <v/>
      </c>
      <c r="R31" s="20">
        <f>IF(F31="","",RANK(F31,$F$8:$F$107,0))</f>
        <v/>
      </c>
    </row>
    <row r="32">
      <c r="A32" s="15" t="n"/>
      <c r="B32" s="15" t="n"/>
      <c r="C32" s="15" t="n"/>
      <c r="D32" s="19" t="n"/>
      <c r="E32" s="19" t="n"/>
      <c r="F32" s="31" t="n"/>
      <c r="G32" s="19" t="n"/>
      <c r="H32" s="19" t="n"/>
      <c r="I32" s="18" t="n"/>
      <c r="J32" s="20">
        <f>IF(I32="","",MONTH(I32))</f>
        <v/>
      </c>
      <c r="K32" s="20">
        <f>IF(I32="","",YEAR(I32))</f>
        <v/>
      </c>
      <c r="L32" s="20">
        <f>IF(I32="","",DAY(I32))</f>
        <v/>
      </c>
      <c r="M32" s="32">
        <f>IF(N32="","",EDATE(TODAY(),ROUNDUP(N32,0)))</f>
        <v/>
      </c>
      <c r="N32" s="20">
        <f>IF(D32="","",IFERROR(NPER(F32/12,-(G32+H32),D32),""))</f>
        <v/>
      </c>
      <c r="O32" s="16">
        <f>IF(N32="","",(G32+H32)*N32-D32)</f>
        <v/>
      </c>
      <c r="Q32" s="20">
        <f>IF(D32="","",RANK(D32,$D$8:$D$107,1))</f>
        <v/>
      </c>
      <c r="R32" s="20">
        <f>IF(F32="","",RANK(F32,$F$8:$F$107,0))</f>
        <v/>
      </c>
    </row>
    <row r="33">
      <c r="A33" s="15" t="n"/>
      <c r="B33" s="15" t="n"/>
      <c r="C33" s="15" t="n"/>
      <c r="D33" s="19" t="n"/>
      <c r="E33" s="19" t="n"/>
      <c r="F33" s="31" t="n"/>
      <c r="G33" s="19" t="n"/>
      <c r="H33" s="19" t="n"/>
      <c r="I33" s="18" t="n"/>
      <c r="J33" s="20">
        <f>IF(I33="","",MONTH(I33))</f>
        <v/>
      </c>
      <c r="K33" s="20">
        <f>IF(I33="","",YEAR(I33))</f>
        <v/>
      </c>
      <c r="L33" s="20">
        <f>IF(I33="","",DAY(I33))</f>
        <v/>
      </c>
      <c r="M33" s="32">
        <f>IF(N33="","",EDATE(TODAY(),ROUNDUP(N33,0)))</f>
        <v/>
      </c>
      <c r="N33" s="20">
        <f>IF(D33="","",IFERROR(NPER(F33/12,-(G33+H33),D33),""))</f>
        <v/>
      </c>
      <c r="O33" s="16">
        <f>IF(N33="","",(G33+H33)*N33-D33)</f>
        <v/>
      </c>
      <c r="Q33" s="20">
        <f>IF(D33="","",RANK(D33,$D$8:$D$107,1))</f>
        <v/>
      </c>
      <c r="R33" s="20">
        <f>IF(F33="","",RANK(F33,$F$8:$F$107,0))</f>
        <v/>
      </c>
    </row>
    <row r="34">
      <c r="A34" s="15" t="n"/>
      <c r="B34" s="15" t="n"/>
      <c r="C34" s="15" t="n"/>
      <c r="D34" s="19" t="n"/>
      <c r="E34" s="19" t="n"/>
      <c r="F34" s="31" t="n"/>
      <c r="G34" s="19" t="n"/>
      <c r="H34" s="19" t="n"/>
      <c r="I34" s="18" t="n"/>
      <c r="J34" s="20">
        <f>IF(I34="","",MONTH(I34))</f>
        <v/>
      </c>
      <c r="K34" s="20">
        <f>IF(I34="","",YEAR(I34))</f>
        <v/>
      </c>
      <c r="L34" s="20">
        <f>IF(I34="","",DAY(I34))</f>
        <v/>
      </c>
      <c r="M34" s="32">
        <f>IF(N34="","",EDATE(TODAY(),ROUNDUP(N34,0)))</f>
        <v/>
      </c>
      <c r="N34" s="20">
        <f>IF(D34="","",IFERROR(NPER(F34/12,-(G34+H34),D34),""))</f>
        <v/>
      </c>
      <c r="O34" s="16">
        <f>IF(N34="","",(G34+H34)*N34-D34)</f>
        <v/>
      </c>
      <c r="Q34" s="20">
        <f>IF(D34="","",RANK(D34,$D$8:$D$107,1))</f>
        <v/>
      </c>
      <c r="R34" s="20">
        <f>IF(F34="","",RANK(F34,$F$8:$F$107,0))</f>
        <v/>
      </c>
    </row>
    <row r="35">
      <c r="A35" s="15" t="n"/>
      <c r="B35" s="15" t="n"/>
      <c r="C35" s="15" t="n"/>
      <c r="D35" s="19" t="n"/>
      <c r="E35" s="19" t="n"/>
      <c r="F35" s="31" t="n"/>
      <c r="G35" s="19" t="n"/>
      <c r="H35" s="19" t="n"/>
      <c r="I35" s="18" t="n"/>
      <c r="J35" s="20">
        <f>IF(I35="","",MONTH(I35))</f>
        <v/>
      </c>
      <c r="K35" s="20">
        <f>IF(I35="","",YEAR(I35))</f>
        <v/>
      </c>
      <c r="L35" s="20">
        <f>IF(I35="","",DAY(I35))</f>
        <v/>
      </c>
      <c r="M35" s="32">
        <f>IF(N35="","",EDATE(TODAY(),ROUNDUP(N35,0)))</f>
        <v/>
      </c>
      <c r="N35" s="20">
        <f>IF(D35="","",IFERROR(NPER(F35/12,-(G35+H35),D35),""))</f>
        <v/>
      </c>
      <c r="O35" s="16">
        <f>IF(N35="","",(G35+H35)*N35-D35)</f>
        <v/>
      </c>
      <c r="Q35" s="20">
        <f>IF(D35="","",RANK(D35,$D$8:$D$107,1))</f>
        <v/>
      </c>
      <c r="R35" s="20">
        <f>IF(F35="","",RANK(F35,$F$8:$F$107,0))</f>
        <v/>
      </c>
    </row>
    <row r="36">
      <c r="A36" s="15" t="n"/>
      <c r="B36" s="15" t="n"/>
      <c r="C36" s="15" t="n"/>
      <c r="D36" s="19" t="n"/>
      <c r="E36" s="19" t="n"/>
      <c r="F36" s="31" t="n"/>
      <c r="G36" s="19" t="n"/>
      <c r="H36" s="19" t="n"/>
      <c r="I36" s="18" t="n"/>
      <c r="J36" s="20">
        <f>IF(I36="","",MONTH(I36))</f>
        <v/>
      </c>
      <c r="K36" s="20">
        <f>IF(I36="","",YEAR(I36))</f>
        <v/>
      </c>
      <c r="L36" s="20">
        <f>IF(I36="","",DAY(I36))</f>
        <v/>
      </c>
      <c r="M36" s="32">
        <f>IF(N36="","",EDATE(TODAY(),ROUNDUP(N36,0)))</f>
        <v/>
      </c>
      <c r="N36" s="20">
        <f>IF(D36="","",IFERROR(NPER(F36/12,-(G36+H36),D36),""))</f>
        <v/>
      </c>
      <c r="O36" s="16">
        <f>IF(N36="","",(G36+H36)*N36-D36)</f>
        <v/>
      </c>
      <c r="Q36" s="20">
        <f>IF(D36="","",RANK(D36,$D$8:$D$107,1))</f>
        <v/>
      </c>
      <c r="R36" s="20">
        <f>IF(F36="","",RANK(F36,$F$8:$F$107,0))</f>
        <v/>
      </c>
    </row>
    <row r="37">
      <c r="A37" s="15" t="n"/>
      <c r="B37" s="15" t="n"/>
      <c r="C37" s="15" t="n"/>
      <c r="D37" s="19" t="n"/>
      <c r="E37" s="19" t="n"/>
      <c r="F37" s="31" t="n"/>
      <c r="G37" s="19" t="n"/>
      <c r="H37" s="19" t="n"/>
      <c r="I37" s="18" t="n"/>
      <c r="J37" s="20">
        <f>IF(I37="","",MONTH(I37))</f>
        <v/>
      </c>
      <c r="K37" s="20">
        <f>IF(I37="","",YEAR(I37))</f>
        <v/>
      </c>
      <c r="L37" s="20">
        <f>IF(I37="","",DAY(I37))</f>
        <v/>
      </c>
      <c r="M37" s="32">
        <f>IF(N37="","",EDATE(TODAY(),ROUNDUP(N37,0)))</f>
        <v/>
      </c>
      <c r="N37" s="20">
        <f>IF(D37="","",IFERROR(NPER(F37/12,-(G37+H37),D37),""))</f>
        <v/>
      </c>
      <c r="O37" s="16">
        <f>IF(N37="","",(G37+H37)*N37-D37)</f>
        <v/>
      </c>
      <c r="Q37" s="20">
        <f>IF(D37="","",RANK(D37,$D$8:$D$107,1))</f>
        <v/>
      </c>
      <c r="R37" s="20">
        <f>IF(F37="","",RANK(F37,$F$8:$F$107,0))</f>
        <v/>
      </c>
    </row>
    <row r="38">
      <c r="A38" s="15" t="n"/>
      <c r="B38" s="15" t="n"/>
      <c r="C38" s="15" t="n"/>
      <c r="D38" s="19" t="n"/>
      <c r="E38" s="19" t="n"/>
      <c r="F38" s="31" t="n"/>
      <c r="G38" s="19" t="n"/>
      <c r="H38" s="19" t="n"/>
      <c r="I38" s="18" t="n"/>
      <c r="J38" s="20">
        <f>IF(I38="","",MONTH(I38))</f>
        <v/>
      </c>
      <c r="K38" s="20">
        <f>IF(I38="","",YEAR(I38))</f>
        <v/>
      </c>
      <c r="L38" s="20">
        <f>IF(I38="","",DAY(I38))</f>
        <v/>
      </c>
      <c r="M38" s="32">
        <f>IF(N38="","",EDATE(TODAY(),ROUNDUP(N38,0)))</f>
        <v/>
      </c>
      <c r="N38" s="20">
        <f>IF(D38="","",IFERROR(NPER(F38/12,-(G38+H38),D38),""))</f>
        <v/>
      </c>
      <c r="O38" s="16">
        <f>IF(N38="","",(G38+H38)*N38-D38)</f>
        <v/>
      </c>
      <c r="Q38" s="20">
        <f>IF(D38="","",RANK(D38,$D$8:$D$107,1))</f>
        <v/>
      </c>
      <c r="R38" s="20">
        <f>IF(F38="","",RANK(F38,$F$8:$F$107,0))</f>
        <v/>
      </c>
    </row>
    <row r="39">
      <c r="A39" s="15" t="n"/>
      <c r="B39" s="15" t="n"/>
      <c r="C39" s="15" t="n"/>
      <c r="D39" s="19" t="n"/>
      <c r="E39" s="19" t="n"/>
      <c r="F39" s="31" t="n"/>
      <c r="G39" s="19" t="n"/>
      <c r="H39" s="19" t="n"/>
      <c r="I39" s="18" t="n"/>
      <c r="J39" s="20">
        <f>IF(I39="","",MONTH(I39))</f>
        <v/>
      </c>
      <c r="K39" s="20">
        <f>IF(I39="","",YEAR(I39))</f>
        <v/>
      </c>
      <c r="L39" s="20">
        <f>IF(I39="","",DAY(I39))</f>
        <v/>
      </c>
      <c r="M39" s="32">
        <f>IF(N39="","",EDATE(TODAY(),ROUNDUP(N39,0)))</f>
        <v/>
      </c>
      <c r="N39" s="20">
        <f>IF(D39="","",IFERROR(NPER(F39/12,-(G39+H39),D39),""))</f>
        <v/>
      </c>
      <c r="O39" s="16">
        <f>IF(N39="","",(G39+H39)*N39-D39)</f>
        <v/>
      </c>
      <c r="Q39" s="20">
        <f>IF(D39="","",RANK(D39,$D$8:$D$107,1))</f>
        <v/>
      </c>
      <c r="R39" s="20">
        <f>IF(F39="","",RANK(F39,$F$8:$F$107,0))</f>
        <v/>
      </c>
    </row>
    <row r="40">
      <c r="A40" s="15" t="n"/>
      <c r="B40" s="15" t="n"/>
      <c r="C40" s="15" t="n"/>
      <c r="D40" s="19" t="n"/>
      <c r="E40" s="19" t="n"/>
      <c r="F40" s="31" t="n"/>
      <c r="G40" s="19" t="n"/>
      <c r="H40" s="19" t="n"/>
      <c r="I40" s="18" t="n"/>
      <c r="J40" s="20">
        <f>IF(I40="","",MONTH(I40))</f>
        <v/>
      </c>
      <c r="K40" s="20">
        <f>IF(I40="","",YEAR(I40))</f>
        <v/>
      </c>
      <c r="L40" s="20">
        <f>IF(I40="","",DAY(I40))</f>
        <v/>
      </c>
      <c r="M40" s="32">
        <f>IF(N40="","",EDATE(TODAY(),ROUNDUP(N40,0)))</f>
        <v/>
      </c>
      <c r="N40" s="20">
        <f>IF(D40="","",IFERROR(NPER(F40/12,-(G40+H40),D40),""))</f>
        <v/>
      </c>
      <c r="O40" s="16">
        <f>IF(N40="","",(G40+H40)*N40-D40)</f>
        <v/>
      </c>
      <c r="Q40" s="20">
        <f>IF(D40="","",RANK(D40,$D$8:$D$107,1))</f>
        <v/>
      </c>
      <c r="R40" s="20">
        <f>IF(F40="","",RANK(F40,$F$8:$F$107,0))</f>
        <v/>
      </c>
    </row>
    <row r="41">
      <c r="A41" s="15" t="n"/>
      <c r="B41" s="15" t="n"/>
      <c r="C41" s="15" t="n"/>
      <c r="D41" s="19" t="n"/>
      <c r="E41" s="19" t="n"/>
      <c r="F41" s="31" t="n"/>
      <c r="G41" s="19" t="n"/>
      <c r="H41" s="19" t="n"/>
      <c r="I41" s="18" t="n"/>
      <c r="J41" s="20">
        <f>IF(I41="","",MONTH(I41))</f>
        <v/>
      </c>
      <c r="K41" s="20">
        <f>IF(I41="","",YEAR(I41))</f>
        <v/>
      </c>
      <c r="L41" s="20">
        <f>IF(I41="","",DAY(I41))</f>
        <v/>
      </c>
      <c r="M41" s="32">
        <f>IF(N41="","",EDATE(TODAY(),ROUNDUP(N41,0)))</f>
        <v/>
      </c>
      <c r="N41" s="20">
        <f>IF(D41="","",IFERROR(NPER(F41/12,-(G41+H41),D41),""))</f>
        <v/>
      </c>
      <c r="O41" s="16">
        <f>IF(N41="","",(G41+H41)*N41-D41)</f>
        <v/>
      </c>
      <c r="Q41" s="20">
        <f>IF(D41="","",RANK(D41,$D$8:$D$107,1))</f>
        <v/>
      </c>
      <c r="R41" s="20">
        <f>IF(F41="","",RANK(F41,$F$8:$F$107,0))</f>
        <v/>
      </c>
    </row>
    <row r="42">
      <c r="A42" s="15" t="n"/>
      <c r="B42" s="15" t="n"/>
      <c r="C42" s="15" t="n"/>
      <c r="D42" s="19" t="n"/>
      <c r="E42" s="19" t="n"/>
      <c r="F42" s="31" t="n"/>
      <c r="G42" s="19" t="n"/>
      <c r="H42" s="19" t="n"/>
      <c r="I42" s="18" t="n"/>
      <c r="J42" s="20">
        <f>IF(I42="","",MONTH(I42))</f>
        <v/>
      </c>
      <c r="K42" s="20">
        <f>IF(I42="","",YEAR(I42))</f>
        <v/>
      </c>
      <c r="L42" s="20">
        <f>IF(I42="","",DAY(I42))</f>
        <v/>
      </c>
      <c r="M42" s="32">
        <f>IF(N42="","",EDATE(TODAY(),ROUNDUP(N42,0)))</f>
        <v/>
      </c>
      <c r="N42" s="20">
        <f>IF(D42="","",IFERROR(NPER(F42/12,-(G42+H42),D42),""))</f>
        <v/>
      </c>
      <c r="O42" s="16">
        <f>IF(N42="","",(G42+H42)*N42-D42)</f>
        <v/>
      </c>
      <c r="Q42" s="20">
        <f>IF(D42="","",RANK(D42,$D$8:$D$107,1))</f>
        <v/>
      </c>
      <c r="R42" s="20">
        <f>IF(F42="","",RANK(F42,$F$8:$F$107,0))</f>
        <v/>
      </c>
    </row>
    <row r="43">
      <c r="A43" s="15" t="n"/>
      <c r="B43" s="15" t="n"/>
      <c r="C43" s="15" t="n"/>
      <c r="D43" s="19" t="n"/>
      <c r="E43" s="19" t="n"/>
      <c r="F43" s="31" t="n"/>
      <c r="G43" s="19" t="n"/>
      <c r="H43" s="19" t="n"/>
      <c r="I43" s="18" t="n"/>
      <c r="J43" s="20">
        <f>IF(I43="","",MONTH(I43))</f>
        <v/>
      </c>
      <c r="K43" s="20">
        <f>IF(I43="","",YEAR(I43))</f>
        <v/>
      </c>
      <c r="L43" s="20">
        <f>IF(I43="","",DAY(I43))</f>
        <v/>
      </c>
      <c r="M43" s="32">
        <f>IF(N43="","",EDATE(TODAY(),ROUNDUP(N43,0)))</f>
        <v/>
      </c>
      <c r="N43" s="20">
        <f>IF(D43="","",IFERROR(NPER(F43/12,-(G43+H43),D43),""))</f>
        <v/>
      </c>
      <c r="O43" s="16">
        <f>IF(N43="","",(G43+H43)*N43-D43)</f>
        <v/>
      </c>
      <c r="Q43" s="20">
        <f>IF(D43="","",RANK(D43,$D$8:$D$107,1))</f>
        <v/>
      </c>
      <c r="R43" s="20">
        <f>IF(F43="","",RANK(F43,$F$8:$F$107,0))</f>
        <v/>
      </c>
    </row>
    <row r="44">
      <c r="A44" s="15" t="n"/>
      <c r="B44" s="15" t="n"/>
      <c r="C44" s="15" t="n"/>
      <c r="D44" s="19" t="n"/>
      <c r="E44" s="19" t="n"/>
      <c r="F44" s="31" t="n"/>
      <c r="G44" s="19" t="n"/>
      <c r="H44" s="19" t="n"/>
      <c r="I44" s="18" t="n"/>
      <c r="J44" s="20">
        <f>IF(I44="","",MONTH(I44))</f>
        <v/>
      </c>
      <c r="K44" s="20">
        <f>IF(I44="","",YEAR(I44))</f>
        <v/>
      </c>
      <c r="L44" s="20">
        <f>IF(I44="","",DAY(I44))</f>
        <v/>
      </c>
      <c r="M44" s="32">
        <f>IF(N44="","",EDATE(TODAY(),ROUNDUP(N44,0)))</f>
        <v/>
      </c>
      <c r="N44" s="20">
        <f>IF(D44="","",IFERROR(NPER(F44/12,-(G44+H44),D44),""))</f>
        <v/>
      </c>
      <c r="O44" s="16">
        <f>IF(N44="","",(G44+H44)*N44-D44)</f>
        <v/>
      </c>
      <c r="Q44" s="20">
        <f>IF(D44="","",RANK(D44,$D$8:$D$107,1))</f>
        <v/>
      </c>
      <c r="R44" s="20">
        <f>IF(F44="","",RANK(F44,$F$8:$F$107,0))</f>
        <v/>
      </c>
    </row>
    <row r="45">
      <c r="A45" s="15" t="n"/>
      <c r="B45" s="15" t="n"/>
      <c r="C45" s="15" t="n"/>
      <c r="D45" s="19" t="n"/>
      <c r="E45" s="19" t="n"/>
      <c r="F45" s="31" t="n"/>
      <c r="G45" s="19" t="n"/>
      <c r="H45" s="19" t="n"/>
      <c r="I45" s="18" t="n"/>
      <c r="J45" s="20">
        <f>IF(I45="","",MONTH(I45))</f>
        <v/>
      </c>
      <c r="K45" s="20">
        <f>IF(I45="","",YEAR(I45))</f>
        <v/>
      </c>
      <c r="L45" s="20">
        <f>IF(I45="","",DAY(I45))</f>
        <v/>
      </c>
      <c r="M45" s="32">
        <f>IF(N45="","",EDATE(TODAY(),ROUNDUP(N45,0)))</f>
        <v/>
      </c>
      <c r="N45" s="20">
        <f>IF(D45="","",IFERROR(NPER(F45/12,-(G45+H45),D45),""))</f>
        <v/>
      </c>
      <c r="O45" s="16">
        <f>IF(N45="","",(G45+H45)*N45-D45)</f>
        <v/>
      </c>
      <c r="Q45" s="20">
        <f>IF(D45="","",RANK(D45,$D$8:$D$107,1))</f>
        <v/>
      </c>
      <c r="R45" s="20">
        <f>IF(F45="","",RANK(F45,$F$8:$F$107,0))</f>
        <v/>
      </c>
    </row>
    <row r="46">
      <c r="A46" s="15" t="n"/>
      <c r="B46" s="15" t="n"/>
      <c r="C46" s="15" t="n"/>
      <c r="D46" s="19" t="n"/>
      <c r="E46" s="19" t="n"/>
      <c r="F46" s="31" t="n"/>
      <c r="G46" s="19" t="n"/>
      <c r="H46" s="19" t="n"/>
      <c r="I46" s="18" t="n"/>
      <c r="J46" s="20">
        <f>IF(I46="","",MONTH(I46))</f>
        <v/>
      </c>
      <c r="K46" s="20">
        <f>IF(I46="","",YEAR(I46))</f>
        <v/>
      </c>
      <c r="L46" s="20">
        <f>IF(I46="","",DAY(I46))</f>
        <v/>
      </c>
      <c r="M46" s="32">
        <f>IF(N46="","",EDATE(TODAY(),ROUNDUP(N46,0)))</f>
        <v/>
      </c>
      <c r="N46" s="20">
        <f>IF(D46="","",IFERROR(NPER(F46/12,-(G46+H46),D46),""))</f>
        <v/>
      </c>
      <c r="O46" s="16">
        <f>IF(N46="","",(G46+H46)*N46-D46)</f>
        <v/>
      </c>
      <c r="Q46" s="20">
        <f>IF(D46="","",RANK(D46,$D$8:$D$107,1))</f>
        <v/>
      </c>
      <c r="R46" s="20">
        <f>IF(F46="","",RANK(F46,$F$8:$F$107,0))</f>
        <v/>
      </c>
    </row>
    <row r="47">
      <c r="A47" s="15" t="n"/>
      <c r="B47" s="15" t="n"/>
      <c r="C47" s="15" t="n"/>
      <c r="D47" s="19" t="n"/>
      <c r="E47" s="19" t="n"/>
      <c r="F47" s="31" t="n"/>
      <c r="G47" s="19" t="n"/>
      <c r="H47" s="19" t="n"/>
      <c r="I47" s="18" t="n"/>
      <c r="J47" s="20">
        <f>IF(I47="","",MONTH(I47))</f>
        <v/>
      </c>
      <c r="K47" s="20">
        <f>IF(I47="","",YEAR(I47))</f>
        <v/>
      </c>
      <c r="L47" s="20">
        <f>IF(I47="","",DAY(I47))</f>
        <v/>
      </c>
      <c r="M47" s="32">
        <f>IF(N47="","",EDATE(TODAY(),ROUNDUP(N47,0)))</f>
        <v/>
      </c>
      <c r="N47" s="20">
        <f>IF(D47="","",IFERROR(NPER(F47/12,-(G47+H47),D47),""))</f>
        <v/>
      </c>
      <c r="O47" s="16">
        <f>IF(N47="","",(G47+H47)*N47-D47)</f>
        <v/>
      </c>
      <c r="Q47" s="20">
        <f>IF(D47="","",RANK(D47,$D$8:$D$107,1))</f>
        <v/>
      </c>
      <c r="R47" s="20">
        <f>IF(F47="","",RANK(F47,$F$8:$F$107,0))</f>
        <v/>
      </c>
    </row>
    <row r="48">
      <c r="A48" s="15" t="n"/>
      <c r="B48" s="15" t="n"/>
      <c r="C48" s="15" t="n"/>
      <c r="D48" s="19" t="n"/>
      <c r="E48" s="19" t="n"/>
      <c r="F48" s="31" t="n"/>
      <c r="G48" s="19" t="n"/>
      <c r="H48" s="19" t="n"/>
      <c r="I48" s="18" t="n"/>
      <c r="J48" s="20">
        <f>IF(I48="","",MONTH(I48))</f>
        <v/>
      </c>
      <c r="K48" s="20">
        <f>IF(I48="","",YEAR(I48))</f>
        <v/>
      </c>
      <c r="L48" s="20">
        <f>IF(I48="","",DAY(I48))</f>
        <v/>
      </c>
      <c r="M48" s="32">
        <f>IF(N48="","",EDATE(TODAY(),ROUNDUP(N48,0)))</f>
        <v/>
      </c>
      <c r="N48" s="20">
        <f>IF(D48="","",IFERROR(NPER(F48/12,-(G48+H48),D48),""))</f>
        <v/>
      </c>
      <c r="O48" s="16">
        <f>IF(N48="","",(G48+H48)*N48-D48)</f>
        <v/>
      </c>
      <c r="Q48" s="20">
        <f>IF(D48="","",RANK(D48,$D$8:$D$107,1))</f>
        <v/>
      </c>
      <c r="R48" s="20">
        <f>IF(F48="","",RANK(F48,$F$8:$F$107,0))</f>
        <v/>
      </c>
    </row>
    <row r="49">
      <c r="A49" s="15" t="n"/>
      <c r="B49" s="15" t="n"/>
      <c r="C49" s="15" t="n"/>
      <c r="D49" s="19" t="n"/>
      <c r="E49" s="19" t="n"/>
      <c r="F49" s="31" t="n"/>
      <c r="G49" s="19" t="n"/>
      <c r="H49" s="19" t="n"/>
      <c r="I49" s="18" t="n"/>
      <c r="J49" s="20">
        <f>IF(I49="","",MONTH(I49))</f>
        <v/>
      </c>
      <c r="K49" s="20">
        <f>IF(I49="","",YEAR(I49))</f>
        <v/>
      </c>
      <c r="L49" s="20">
        <f>IF(I49="","",DAY(I49))</f>
        <v/>
      </c>
      <c r="M49" s="32">
        <f>IF(N49="","",EDATE(TODAY(),ROUNDUP(N49,0)))</f>
        <v/>
      </c>
      <c r="N49" s="20">
        <f>IF(D49="","",IFERROR(NPER(F49/12,-(G49+H49),D49),""))</f>
        <v/>
      </c>
      <c r="O49" s="16">
        <f>IF(N49="","",(G49+H49)*N49-D49)</f>
        <v/>
      </c>
      <c r="Q49" s="20">
        <f>IF(D49="","",RANK(D49,$D$8:$D$107,1))</f>
        <v/>
      </c>
      <c r="R49" s="20">
        <f>IF(F49="","",RANK(F49,$F$8:$F$107,0))</f>
        <v/>
      </c>
    </row>
    <row r="50">
      <c r="A50" s="15" t="n"/>
      <c r="B50" s="15" t="n"/>
      <c r="C50" s="15" t="n"/>
      <c r="D50" s="19" t="n"/>
      <c r="E50" s="19" t="n"/>
      <c r="F50" s="31" t="n"/>
      <c r="G50" s="19" t="n"/>
      <c r="H50" s="19" t="n"/>
      <c r="I50" s="18" t="n"/>
      <c r="J50" s="20">
        <f>IF(I50="","",MONTH(I50))</f>
        <v/>
      </c>
      <c r="K50" s="20">
        <f>IF(I50="","",YEAR(I50))</f>
        <v/>
      </c>
      <c r="L50" s="20">
        <f>IF(I50="","",DAY(I50))</f>
        <v/>
      </c>
      <c r="M50" s="32">
        <f>IF(N50="","",EDATE(TODAY(),ROUNDUP(N50,0)))</f>
        <v/>
      </c>
      <c r="N50" s="20">
        <f>IF(D50="","",IFERROR(NPER(F50/12,-(G50+H50),D50),""))</f>
        <v/>
      </c>
      <c r="O50" s="16">
        <f>IF(N50="","",(G50+H50)*N50-D50)</f>
        <v/>
      </c>
      <c r="Q50" s="20">
        <f>IF(D50="","",RANK(D50,$D$8:$D$107,1))</f>
        <v/>
      </c>
      <c r="R50" s="20">
        <f>IF(F50="","",RANK(F50,$F$8:$F$107,0))</f>
        <v/>
      </c>
    </row>
    <row r="51">
      <c r="A51" s="15" t="n"/>
      <c r="B51" s="15" t="n"/>
      <c r="C51" s="15" t="n"/>
      <c r="D51" s="19" t="n"/>
      <c r="E51" s="19" t="n"/>
      <c r="F51" s="31" t="n"/>
      <c r="G51" s="19" t="n"/>
      <c r="H51" s="19" t="n"/>
      <c r="I51" s="18" t="n"/>
      <c r="J51" s="20">
        <f>IF(I51="","",MONTH(I51))</f>
        <v/>
      </c>
      <c r="K51" s="20">
        <f>IF(I51="","",YEAR(I51))</f>
        <v/>
      </c>
      <c r="L51" s="20">
        <f>IF(I51="","",DAY(I51))</f>
        <v/>
      </c>
      <c r="M51" s="32">
        <f>IF(N51="","",EDATE(TODAY(),ROUNDUP(N51,0)))</f>
        <v/>
      </c>
      <c r="N51" s="20">
        <f>IF(D51="","",IFERROR(NPER(F51/12,-(G51+H51),D51),""))</f>
        <v/>
      </c>
      <c r="O51" s="16">
        <f>IF(N51="","",(G51+H51)*N51-D51)</f>
        <v/>
      </c>
      <c r="Q51" s="20">
        <f>IF(D51="","",RANK(D51,$D$8:$D$107,1))</f>
        <v/>
      </c>
      <c r="R51" s="20">
        <f>IF(F51="","",RANK(F51,$F$8:$F$107,0))</f>
        <v/>
      </c>
    </row>
    <row r="52">
      <c r="A52" s="15" t="n"/>
      <c r="B52" s="15" t="n"/>
      <c r="C52" s="15" t="n"/>
      <c r="D52" s="19" t="n"/>
      <c r="E52" s="19" t="n"/>
      <c r="F52" s="31" t="n"/>
      <c r="G52" s="19" t="n"/>
      <c r="H52" s="19" t="n"/>
      <c r="I52" s="18" t="n"/>
      <c r="J52" s="20">
        <f>IF(I52="","",MONTH(I52))</f>
        <v/>
      </c>
      <c r="K52" s="20">
        <f>IF(I52="","",YEAR(I52))</f>
        <v/>
      </c>
      <c r="L52" s="20">
        <f>IF(I52="","",DAY(I52))</f>
        <v/>
      </c>
      <c r="M52" s="32">
        <f>IF(N52="","",EDATE(TODAY(),ROUNDUP(N52,0)))</f>
        <v/>
      </c>
      <c r="N52" s="20">
        <f>IF(D52="","",IFERROR(NPER(F52/12,-(G52+H52),D52),""))</f>
        <v/>
      </c>
      <c r="O52" s="16">
        <f>IF(N52="","",(G52+H52)*N52-D52)</f>
        <v/>
      </c>
      <c r="Q52" s="20">
        <f>IF(D52="","",RANK(D52,$D$8:$D$107,1))</f>
        <v/>
      </c>
      <c r="R52" s="20">
        <f>IF(F52="","",RANK(F52,$F$8:$F$107,0))</f>
        <v/>
      </c>
    </row>
    <row r="53">
      <c r="A53" s="15" t="n"/>
      <c r="B53" s="15" t="n"/>
      <c r="C53" s="15" t="n"/>
      <c r="D53" s="19" t="n"/>
      <c r="E53" s="19" t="n"/>
      <c r="F53" s="31" t="n"/>
      <c r="G53" s="19" t="n"/>
      <c r="H53" s="19" t="n"/>
      <c r="I53" s="18" t="n"/>
      <c r="J53" s="20">
        <f>IF(I53="","",MONTH(I53))</f>
        <v/>
      </c>
      <c r="K53" s="20">
        <f>IF(I53="","",YEAR(I53))</f>
        <v/>
      </c>
      <c r="L53" s="20">
        <f>IF(I53="","",DAY(I53))</f>
        <v/>
      </c>
      <c r="M53" s="32">
        <f>IF(N53="","",EDATE(TODAY(),ROUNDUP(N53,0)))</f>
        <v/>
      </c>
      <c r="N53" s="20">
        <f>IF(D53="","",IFERROR(NPER(F53/12,-(G53+H53),D53),""))</f>
        <v/>
      </c>
      <c r="O53" s="16">
        <f>IF(N53="","",(G53+H53)*N53-D53)</f>
        <v/>
      </c>
      <c r="Q53" s="20">
        <f>IF(D53="","",RANK(D53,$D$8:$D$107,1))</f>
        <v/>
      </c>
      <c r="R53" s="20">
        <f>IF(F53="","",RANK(F53,$F$8:$F$107,0))</f>
        <v/>
      </c>
    </row>
    <row r="54">
      <c r="A54" s="15" t="n"/>
      <c r="B54" s="15" t="n"/>
      <c r="C54" s="15" t="n"/>
      <c r="D54" s="19" t="n"/>
      <c r="E54" s="19" t="n"/>
      <c r="F54" s="31" t="n"/>
      <c r="G54" s="19" t="n"/>
      <c r="H54" s="19" t="n"/>
      <c r="I54" s="18" t="n"/>
      <c r="J54" s="20">
        <f>IF(I54="","",MONTH(I54))</f>
        <v/>
      </c>
      <c r="K54" s="20">
        <f>IF(I54="","",YEAR(I54))</f>
        <v/>
      </c>
      <c r="L54" s="20">
        <f>IF(I54="","",DAY(I54))</f>
        <v/>
      </c>
      <c r="M54" s="32">
        <f>IF(N54="","",EDATE(TODAY(),ROUNDUP(N54,0)))</f>
        <v/>
      </c>
      <c r="N54" s="20">
        <f>IF(D54="","",IFERROR(NPER(F54/12,-(G54+H54),D54),""))</f>
        <v/>
      </c>
      <c r="O54" s="16">
        <f>IF(N54="","",(G54+H54)*N54-D54)</f>
        <v/>
      </c>
      <c r="Q54" s="20">
        <f>IF(D54="","",RANK(D54,$D$8:$D$107,1))</f>
        <v/>
      </c>
      <c r="R54" s="20">
        <f>IF(F54="","",RANK(F54,$F$8:$F$107,0))</f>
        <v/>
      </c>
    </row>
    <row r="55">
      <c r="A55" s="15" t="n"/>
      <c r="B55" s="15" t="n"/>
      <c r="C55" s="15" t="n"/>
      <c r="D55" s="19" t="n"/>
      <c r="E55" s="19" t="n"/>
      <c r="F55" s="31" t="n"/>
      <c r="G55" s="19" t="n"/>
      <c r="H55" s="19" t="n"/>
      <c r="I55" s="18" t="n"/>
      <c r="J55" s="20">
        <f>IF(I55="","",MONTH(I55))</f>
        <v/>
      </c>
      <c r="K55" s="20">
        <f>IF(I55="","",YEAR(I55))</f>
        <v/>
      </c>
      <c r="L55" s="20">
        <f>IF(I55="","",DAY(I55))</f>
        <v/>
      </c>
      <c r="M55" s="32">
        <f>IF(N55="","",EDATE(TODAY(),ROUNDUP(N55,0)))</f>
        <v/>
      </c>
      <c r="N55" s="20">
        <f>IF(D55="","",IFERROR(NPER(F55/12,-(G55+H55),D55),""))</f>
        <v/>
      </c>
      <c r="O55" s="16">
        <f>IF(N55="","",(G55+H55)*N55-D55)</f>
        <v/>
      </c>
      <c r="Q55" s="20">
        <f>IF(D55="","",RANK(D55,$D$8:$D$107,1))</f>
        <v/>
      </c>
      <c r="R55" s="20">
        <f>IF(F55="","",RANK(F55,$F$8:$F$107,0))</f>
        <v/>
      </c>
    </row>
    <row r="56">
      <c r="A56" s="15" t="n"/>
      <c r="B56" s="15" t="n"/>
      <c r="C56" s="15" t="n"/>
      <c r="D56" s="19" t="n"/>
      <c r="E56" s="19" t="n"/>
      <c r="F56" s="31" t="n"/>
      <c r="G56" s="19" t="n"/>
      <c r="H56" s="19" t="n"/>
      <c r="I56" s="18" t="n"/>
      <c r="J56" s="20">
        <f>IF(I56="","",MONTH(I56))</f>
        <v/>
      </c>
      <c r="K56" s="20">
        <f>IF(I56="","",YEAR(I56))</f>
        <v/>
      </c>
      <c r="L56" s="20">
        <f>IF(I56="","",DAY(I56))</f>
        <v/>
      </c>
      <c r="M56" s="32">
        <f>IF(N56="","",EDATE(TODAY(),ROUNDUP(N56,0)))</f>
        <v/>
      </c>
      <c r="N56" s="20">
        <f>IF(D56="","",IFERROR(NPER(F56/12,-(G56+H56),D56),""))</f>
        <v/>
      </c>
      <c r="O56" s="16">
        <f>IF(N56="","",(G56+H56)*N56-D56)</f>
        <v/>
      </c>
      <c r="Q56" s="20">
        <f>IF(D56="","",RANK(D56,$D$8:$D$107,1))</f>
        <v/>
      </c>
      <c r="R56" s="20">
        <f>IF(F56="","",RANK(F56,$F$8:$F$107,0))</f>
        <v/>
      </c>
    </row>
    <row r="57">
      <c r="A57" s="15" t="n"/>
      <c r="B57" s="15" t="n"/>
      <c r="C57" s="15" t="n"/>
      <c r="D57" s="19" t="n"/>
      <c r="E57" s="19" t="n"/>
      <c r="F57" s="31" t="n"/>
      <c r="G57" s="19" t="n"/>
      <c r="H57" s="19" t="n"/>
      <c r="I57" s="18" t="n"/>
      <c r="J57" s="20">
        <f>IF(I57="","",MONTH(I57))</f>
        <v/>
      </c>
      <c r="K57" s="20">
        <f>IF(I57="","",YEAR(I57))</f>
        <v/>
      </c>
      <c r="L57" s="20">
        <f>IF(I57="","",DAY(I57))</f>
        <v/>
      </c>
      <c r="M57" s="32">
        <f>IF(N57="","",EDATE(TODAY(),ROUNDUP(N57,0)))</f>
        <v/>
      </c>
      <c r="N57" s="20">
        <f>IF(D57="","",IFERROR(NPER(F57/12,-(G57+H57),D57),""))</f>
        <v/>
      </c>
      <c r="O57" s="16">
        <f>IF(N57="","",(G57+H57)*N57-D57)</f>
        <v/>
      </c>
      <c r="Q57" s="20">
        <f>IF(D57="","",RANK(D57,$D$8:$D$107,1))</f>
        <v/>
      </c>
      <c r="R57" s="20">
        <f>IF(F57="","",RANK(F57,$F$8:$F$107,0))</f>
        <v/>
      </c>
    </row>
    <row r="58">
      <c r="A58" s="15" t="n"/>
      <c r="B58" s="15" t="n"/>
      <c r="C58" s="15" t="n"/>
      <c r="D58" s="19" t="n"/>
      <c r="E58" s="19" t="n"/>
      <c r="F58" s="31" t="n"/>
      <c r="G58" s="19" t="n"/>
      <c r="H58" s="19" t="n"/>
      <c r="I58" s="18" t="n"/>
      <c r="J58" s="20">
        <f>IF(I58="","",MONTH(I58))</f>
        <v/>
      </c>
      <c r="K58" s="20">
        <f>IF(I58="","",YEAR(I58))</f>
        <v/>
      </c>
      <c r="L58" s="20">
        <f>IF(I58="","",DAY(I58))</f>
        <v/>
      </c>
      <c r="M58" s="32">
        <f>IF(N58="","",EDATE(TODAY(),ROUNDUP(N58,0)))</f>
        <v/>
      </c>
      <c r="N58" s="20">
        <f>IF(D58="","",IFERROR(NPER(F58/12,-(G58+H58),D58),""))</f>
        <v/>
      </c>
      <c r="O58" s="16">
        <f>IF(N58="","",(G58+H58)*N58-D58)</f>
        <v/>
      </c>
      <c r="Q58" s="20">
        <f>IF(D58="","",RANK(D58,$D$8:$D$107,1))</f>
        <v/>
      </c>
      <c r="R58" s="20">
        <f>IF(F58="","",RANK(F58,$F$8:$F$107,0))</f>
        <v/>
      </c>
    </row>
    <row r="59">
      <c r="A59" s="15" t="n"/>
      <c r="B59" s="15" t="n"/>
      <c r="C59" s="15" t="n"/>
      <c r="D59" s="19" t="n"/>
      <c r="E59" s="19" t="n"/>
      <c r="F59" s="31" t="n"/>
      <c r="G59" s="19" t="n"/>
      <c r="H59" s="19" t="n"/>
      <c r="I59" s="18" t="n"/>
      <c r="J59" s="20">
        <f>IF(I59="","",MONTH(I59))</f>
        <v/>
      </c>
      <c r="K59" s="20">
        <f>IF(I59="","",YEAR(I59))</f>
        <v/>
      </c>
      <c r="L59" s="20">
        <f>IF(I59="","",DAY(I59))</f>
        <v/>
      </c>
      <c r="M59" s="32">
        <f>IF(N59="","",EDATE(TODAY(),ROUNDUP(N59,0)))</f>
        <v/>
      </c>
      <c r="N59" s="20">
        <f>IF(D59="","",IFERROR(NPER(F59/12,-(G59+H59),D59),""))</f>
        <v/>
      </c>
      <c r="O59" s="16">
        <f>IF(N59="","",(G59+H59)*N59-D59)</f>
        <v/>
      </c>
      <c r="Q59" s="20">
        <f>IF(D59="","",RANK(D59,$D$8:$D$107,1))</f>
        <v/>
      </c>
      <c r="R59" s="20">
        <f>IF(F59="","",RANK(F59,$F$8:$F$107,0))</f>
        <v/>
      </c>
    </row>
    <row r="60">
      <c r="A60" s="15" t="n"/>
      <c r="B60" s="15" t="n"/>
      <c r="C60" s="15" t="n"/>
      <c r="D60" s="19" t="n"/>
      <c r="E60" s="19" t="n"/>
      <c r="F60" s="31" t="n"/>
      <c r="G60" s="19" t="n"/>
      <c r="H60" s="19" t="n"/>
      <c r="I60" s="18" t="n"/>
      <c r="J60" s="20">
        <f>IF(I60="","",MONTH(I60))</f>
        <v/>
      </c>
      <c r="K60" s="20">
        <f>IF(I60="","",YEAR(I60))</f>
        <v/>
      </c>
      <c r="L60" s="20">
        <f>IF(I60="","",DAY(I60))</f>
        <v/>
      </c>
      <c r="M60" s="32">
        <f>IF(N60="","",EDATE(TODAY(),ROUNDUP(N60,0)))</f>
        <v/>
      </c>
      <c r="N60" s="20">
        <f>IF(D60="","",IFERROR(NPER(F60/12,-(G60+H60),D60),""))</f>
        <v/>
      </c>
      <c r="O60" s="16">
        <f>IF(N60="","",(G60+H60)*N60-D60)</f>
        <v/>
      </c>
      <c r="Q60" s="20">
        <f>IF(D60="","",RANK(D60,$D$8:$D$107,1))</f>
        <v/>
      </c>
      <c r="R60" s="20">
        <f>IF(F60="","",RANK(F60,$F$8:$F$107,0))</f>
        <v/>
      </c>
    </row>
    <row r="61">
      <c r="A61" s="15" t="n"/>
      <c r="B61" s="15" t="n"/>
      <c r="C61" s="15" t="n"/>
      <c r="D61" s="19" t="n"/>
      <c r="E61" s="19" t="n"/>
      <c r="F61" s="31" t="n"/>
      <c r="G61" s="19" t="n"/>
      <c r="H61" s="19" t="n"/>
      <c r="I61" s="18" t="n"/>
      <c r="J61" s="20">
        <f>IF(I61="","",MONTH(I61))</f>
        <v/>
      </c>
      <c r="K61" s="20">
        <f>IF(I61="","",YEAR(I61))</f>
        <v/>
      </c>
      <c r="L61" s="20">
        <f>IF(I61="","",DAY(I61))</f>
        <v/>
      </c>
      <c r="M61" s="32">
        <f>IF(N61="","",EDATE(TODAY(),ROUNDUP(N61,0)))</f>
        <v/>
      </c>
      <c r="N61" s="20">
        <f>IF(D61="","",IFERROR(NPER(F61/12,-(G61+H61),D61),""))</f>
        <v/>
      </c>
      <c r="O61" s="16">
        <f>IF(N61="","",(G61+H61)*N61-D61)</f>
        <v/>
      </c>
      <c r="Q61" s="20">
        <f>IF(D61="","",RANK(D61,$D$8:$D$107,1))</f>
        <v/>
      </c>
      <c r="R61" s="20">
        <f>IF(F61="","",RANK(F61,$F$8:$F$107,0))</f>
        <v/>
      </c>
    </row>
    <row r="62">
      <c r="A62" s="15" t="n"/>
      <c r="B62" s="15" t="n"/>
      <c r="C62" s="15" t="n"/>
      <c r="D62" s="19" t="n"/>
      <c r="E62" s="19" t="n"/>
      <c r="F62" s="31" t="n"/>
      <c r="G62" s="19" t="n"/>
      <c r="H62" s="19" t="n"/>
      <c r="I62" s="18" t="n"/>
      <c r="J62" s="20">
        <f>IF(I62="","",MONTH(I62))</f>
        <v/>
      </c>
      <c r="K62" s="20">
        <f>IF(I62="","",YEAR(I62))</f>
        <v/>
      </c>
      <c r="L62" s="20">
        <f>IF(I62="","",DAY(I62))</f>
        <v/>
      </c>
      <c r="M62" s="32">
        <f>IF(N62="","",EDATE(TODAY(),ROUNDUP(N62,0)))</f>
        <v/>
      </c>
      <c r="N62" s="20">
        <f>IF(D62="","",IFERROR(NPER(F62/12,-(G62+H62),D62),""))</f>
        <v/>
      </c>
      <c r="O62" s="16">
        <f>IF(N62="","",(G62+H62)*N62-D62)</f>
        <v/>
      </c>
      <c r="Q62" s="20">
        <f>IF(D62="","",RANK(D62,$D$8:$D$107,1))</f>
        <v/>
      </c>
      <c r="R62" s="20">
        <f>IF(F62="","",RANK(F62,$F$8:$F$107,0))</f>
        <v/>
      </c>
    </row>
    <row r="63">
      <c r="A63" s="15" t="n"/>
      <c r="B63" s="15" t="n"/>
      <c r="C63" s="15" t="n"/>
      <c r="D63" s="19" t="n"/>
      <c r="E63" s="19" t="n"/>
      <c r="F63" s="31" t="n"/>
      <c r="G63" s="19" t="n"/>
      <c r="H63" s="19" t="n"/>
      <c r="I63" s="18" t="n"/>
      <c r="J63" s="20">
        <f>IF(I63="","",MONTH(I63))</f>
        <v/>
      </c>
      <c r="K63" s="20">
        <f>IF(I63="","",YEAR(I63))</f>
        <v/>
      </c>
      <c r="L63" s="20">
        <f>IF(I63="","",DAY(I63))</f>
        <v/>
      </c>
      <c r="M63" s="32">
        <f>IF(N63="","",EDATE(TODAY(),ROUNDUP(N63,0)))</f>
        <v/>
      </c>
      <c r="N63" s="20">
        <f>IF(D63="","",IFERROR(NPER(F63/12,-(G63+H63),D63),""))</f>
        <v/>
      </c>
      <c r="O63" s="16">
        <f>IF(N63="","",(G63+H63)*N63-D63)</f>
        <v/>
      </c>
      <c r="Q63" s="20">
        <f>IF(D63="","",RANK(D63,$D$8:$D$107,1))</f>
        <v/>
      </c>
      <c r="R63" s="20">
        <f>IF(F63="","",RANK(F63,$F$8:$F$107,0))</f>
        <v/>
      </c>
    </row>
    <row r="64">
      <c r="A64" s="15" t="n"/>
      <c r="B64" s="15" t="n"/>
      <c r="C64" s="15" t="n"/>
      <c r="D64" s="19" t="n"/>
      <c r="E64" s="19" t="n"/>
      <c r="F64" s="31" t="n"/>
      <c r="G64" s="19" t="n"/>
      <c r="H64" s="19" t="n"/>
      <c r="I64" s="18" t="n"/>
      <c r="J64" s="20">
        <f>IF(I64="","",MONTH(I64))</f>
        <v/>
      </c>
      <c r="K64" s="20">
        <f>IF(I64="","",YEAR(I64))</f>
        <v/>
      </c>
      <c r="L64" s="20">
        <f>IF(I64="","",DAY(I64))</f>
        <v/>
      </c>
      <c r="M64" s="32">
        <f>IF(N64="","",EDATE(TODAY(),ROUNDUP(N64,0)))</f>
        <v/>
      </c>
      <c r="N64" s="20">
        <f>IF(D64="","",IFERROR(NPER(F64/12,-(G64+H64),D64),""))</f>
        <v/>
      </c>
      <c r="O64" s="16">
        <f>IF(N64="","",(G64+H64)*N64-D64)</f>
        <v/>
      </c>
      <c r="Q64" s="20">
        <f>IF(D64="","",RANK(D64,$D$8:$D$107,1))</f>
        <v/>
      </c>
      <c r="R64" s="20">
        <f>IF(F64="","",RANK(F64,$F$8:$F$107,0))</f>
        <v/>
      </c>
    </row>
    <row r="65">
      <c r="A65" s="15" t="n"/>
      <c r="B65" s="15" t="n"/>
      <c r="C65" s="15" t="n"/>
      <c r="D65" s="19" t="n"/>
      <c r="E65" s="19" t="n"/>
      <c r="F65" s="31" t="n"/>
      <c r="G65" s="19" t="n"/>
      <c r="H65" s="19" t="n"/>
      <c r="I65" s="18" t="n"/>
      <c r="J65" s="20">
        <f>IF(I65="","",MONTH(I65))</f>
        <v/>
      </c>
      <c r="K65" s="20">
        <f>IF(I65="","",YEAR(I65))</f>
        <v/>
      </c>
      <c r="L65" s="20">
        <f>IF(I65="","",DAY(I65))</f>
        <v/>
      </c>
      <c r="M65" s="32">
        <f>IF(N65="","",EDATE(TODAY(),ROUNDUP(N65,0)))</f>
        <v/>
      </c>
      <c r="N65" s="20">
        <f>IF(D65="","",IFERROR(NPER(F65/12,-(G65+H65),D65),""))</f>
        <v/>
      </c>
      <c r="O65" s="16">
        <f>IF(N65="","",(G65+H65)*N65-D65)</f>
        <v/>
      </c>
      <c r="Q65" s="20">
        <f>IF(D65="","",RANK(D65,$D$8:$D$107,1))</f>
        <v/>
      </c>
      <c r="R65" s="20">
        <f>IF(F65="","",RANK(F65,$F$8:$F$107,0))</f>
        <v/>
      </c>
    </row>
    <row r="66">
      <c r="A66" s="15" t="n"/>
      <c r="B66" s="15" t="n"/>
      <c r="C66" s="15" t="n"/>
      <c r="D66" s="19" t="n"/>
      <c r="E66" s="19" t="n"/>
      <c r="F66" s="31" t="n"/>
      <c r="G66" s="19" t="n"/>
      <c r="H66" s="19" t="n"/>
      <c r="I66" s="18" t="n"/>
      <c r="J66" s="20">
        <f>IF(I66="","",MONTH(I66))</f>
        <v/>
      </c>
      <c r="K66" s="20">
        <f>IF(I66="","",YEAR(I66))</f>
        <v/>
      </c>
      <c r="L66" s="20">
        <f>IF(I66="","",DAY(I66))</f>
        <v/>
      </c>
      <c r="M66" s="32">
        <f>IF(N66="","",EDATE(TODAY(),ROUNDUP(N66,0)))</f>
        <v/>
      </c>
      <c r="N66" s="20">
        <f>IF(D66="","",IFERROR(NPER(F66/12,-(G66+H66),D66),""))</f>
        <v/>
      </c>
      <c r="O66" s="16">
        <f>IF(N66="","",(G66+H66)*N66-D66)</f>
        <v/>
      </c>
      <c r="Q66" s="20">
        <f>IF(D66="","",RANK(D66,$D$8:$D$107,1))</f>
        <v/>
      </c>
      <c r="R66" s="20">
        <f>IF(F66="","",RANK(F66,$F$8:$F$107,0))</f>
        <v/>
      </c>
    </row>
    <row r="67">
      <c r="A67" s="15" t="n"/>
      <c r="B67" s="15" t="n"/>
      <c r="C67" s="15" t="n"/>
      <c r="D67" s="19" t="n"/>
      <c r="E67" s="19" t="n"/>
      <c r="F67" s="31" t="n"/>
      <c r="G67" s="19" t="n"/>
      <c r="H67" s="19" t="n"/>
      <c r="I67" s="18" t="n"/>
      <c r="J67" s="20">
        <f>IF(I67="","",MONTH(I67))</f>
        <v/>
      </c>
      <c r="K67" s="20">
        <f>IF(I67="","",YEAR(I67))</f>
        <v/>
      </c>
      <c r="L67" s="20">
        <f>IF(I67="","",DAY(I67))</f>
        <v/>
      </c>
      <c r="M67" s="32">
        <f>IF(N67="","",EDATE(TODAY(),ROUNDUP(N67,0)))</f>
        <v/>
      </c>
      <c r="N67" s="20">
        <f>IF(D67="","",IFERROR(NPER(F67/12,-(G67+H67),D67),""))</f>
        <v/>
      </c>
      <c r="O67" s="16">
        <f>IF(N67="","",(G67+H67)*N67-D67)</f>
        <v/>
      </c>
      <c r="Q67" s="20">
        <f>IF(D67="","",RANK(D67,$D$8:$D$107,1))</f>
        <v/>
      </c>
      <c r="R67" s="20">
        <f>IF(F67="","",RANK(F67,$F$8:$F$107,0))</f>
        <v/>
      </c>
    </row>
    <row r="68">
      <c r="A68" s="15" t="n"/>
      <c r="B68" s="15" t="n"/>
      <c r="C68" s="15" t="n"/>
      <c r="D68" s="19" t="n"/>
      <c r="E68" s="19" t="n"/>
      <c r="F68" s="31" t="n"/>
      <c r="G68" s="19" t="n"/>
      <c r="H68" s="19" t="n"/>
      <c r="I68" s="18" t="n"/>
      <c r="J68" s="20">
        <f>IF(I68="","",MONTH(I68))</f>
        <v/>
      </c>
      <c r="K68" s="20">
        <f>IF(I68="","",YEAR(I68))</f>
        <v/>
      </c>
      <c r="L68" s="20">
        <f>IF(I68="","",DAY(I68))</f>
        <v/>
      </c>
      <c r="M68" s="32">
        <f>IF(N68="","",EDATE(TODAY(),ROUNDUP(N68,0)))</f>
        <v/>
      </c>
      <c r="N68" s="20">
        <f>IF(D68="","",IFERROR(NPER(F68/12,-(G68+H68),D68),""))</f>
        <v/>
      </c>
      <c r="O68" s="16">
        <f>IF(N68="","",(G68+H68)*N68-D68)</f>
        <v/>
      </c>
      <c r="Q68" s="20">
        <f>IF(D68="","",RANK(D68,$D$8:$D$107,1))</f>
        <v/>
      </c>
      <c r="R68" s="20">
        <f>IF(F68="","",RANK(F68,$F$8:$F$107,0))</f>
        <v/>
      </c>
    </row>
    <row r="69">
      <c r="A69" s="15" t="n"/>
      <c r="B69" s="15" t="n"/>
      <c r="C69" s="15" t="n"/>
      <c r="D69" s="19" t="n"/>
      <c r="E69" s="19" t="n"/>
      <c r="F69" s="31" t="n"/>
      <c r="G69" s="19" t="n"/>
      <c r="H69" s="19" t="n"/>
      <c r="I69" s="18" t="n"/>
      <c r="J69" s="20">
        <f>IF(I69="","",MONTH(I69))</f>
        <v/>
      </c>
      <c r="K69" s="20">
        <f>IF(I69="","",YEAR(I69))</f>
        <v/>
      </c>
      <c r="L69" s="20">
        <f>IF(I69="","",DAY(I69))</f>
        <v/>
      </c>
      <c r="M69" s="32">
        <f>IF(N69="","",EDATE(TODAY(),ROUNDUP(N69,0)))</f>
        <v/>
      </c>
      <c r="N69" s="20">
        <f>IF(D69="","",IFERROR(NPER(F69/12,-(G69+H69),D69),""))</f>
        <v/>
      </c>
      <c r="O69" s="16">
        <f>IF(N69="","",(G69+H69)*N69-D69)</f>
        <v/>
      </c>
      <c r="Q69" s="20">
        <f>IF(D69="","",RANK(D69,$D$8:$D$107,1))</f>
        <v/>
      </c>
      <c r="R69" s="20">
        <f>IF(F69="","",RANK(F69,$F$8:$F$107,0))</f>
        <v/>
      </c>
    </row>
    <row r="70">
      <c r="A70" s="15" t="n"/>
      <c r="B70" s="15" t="n"/>
      <c r="C70" s="15" t="n"/>
      <c r="D70" s="19" t="n"/>
      <c r="E70" s="19" t="n"/>
      <c r="F70" s="31" t="n"/>
      <c r="G70" s="19" t="n"/>
      <c r="H70" s="19" t="n"/>
      <c r="I70" s="18" t="n"/>
      <c r="J70" s="20">
        <f>IF(I70="","",MONTH(I70))</f>
        <v/>
      </c>
      <c r="K70" s="20">
        <f>IF(I70="","",YEAR(I70))</f>
        <v/>
      </c>
      <c r="L70" s="20">
        <f>IF(I70="","",DAY(I70))</f>
        <v/>
      </c>
      <c r="M70" s="32">
        <f>IF(N70="","",EDATE(TODAY(),ROUNDUP(N70,0)))</f>
        <v/>
      </c>
      <c r="N70" s="20">
        <f>IF(D70="","",IFERROR(NPER(F70/12,-(G70+H70),D70),""))</f>
        <v/>
      </c>
      <c r="O70" s="16">
        <f>IF(N70="","",(G70+H70)*N70-D70)</f>
        <v/>
      </c>
      <c r="Q70" s="20">
        <f>IF(D70="","",RANK(D70,$D$8:$D$107,1))</f>
        <v/>
      </c>
      <c r="R70" s="20">
        <f>IF(F70="","",RANK(F70,$F$8:$F$107,0))</f>
        <v/>
      </c>
    </row>
    <row r="71">
      <c r="A71" s="15" t="n"/>
      <c r="B71" s="15" t="n"/>
      <c r="C71" s="15" t="n"/>
      <c r="D71" s="19" t="n"/>
      <c r="E71" s="19" t="n"/>
      <c r="F71" s="31" t="n"/>
      <c r="G71" s="19" t="n"/>
      <c r="H71" s="19" t="n"/>
      <c r="I71" s="18" t="n"/>
      <c r="J71" s="20">
        <f>IF(I71="","",MONTH(I71))</f>
        <v/>
      </c>
      <c r="K71" s="20">
        <f>IF(I71="","",YEAR(I71))</f>
        <v/>
      </c>
      <c r="L71" s="20">
        <f>IF(I71="","",DAY(I71))</f>
        <v/>
      </c>
      <c r="M71" s="32">
        <f>IF(N71="","",EDATE(TODAY(),ROUNDUP(N71,0)))</f>
        <v/>
      </c>
      <c r="N71" s="20">
        <f>IF(D71="","",IFERROR(NPER(F71/12,-(G71+H71),D71),""))</f>
        <v/>
      </c>
      <c r="O71" s="16">
        <f>IF(N71="","",(G71+H71)*N71-D71)</f>
        <v/>
      </c>
      <c r="Q71" s="20">
        <f>IF(D71="","",RANK(D71,$D$8:$D$107,1))</f>
        <v/>
      </c>
      <c r="R71" s="20">
        <f>IF(F71="","",RANK(F71,$F$8:$F$107,0))</f>
        <v/>
      </c>
    </row>
    <row r="72">
      <c r="A72" s="15" t="n"/>
      <c r="B72" s="15" t="n"/>
      <c r="C72" s="15" t="n"/>
      <c r="D72" s="19" t="n"/>
      <c r="E72" s="19" t="n"/>
      <c r="F72" s="31" t="n"/>
      <c r="G72" s="19" t="n"/>
      <c r="H72" s="19" t="n"/>
      <c r="I72" s="18" t="n"/>
      <c r="J72" s="20">
        <f>IF(I72="","",MONTH(I72))</f>
        <v/>
      </c>
      <c r="K72" s="20">
        <f>IF(I72="","",YEAR(I72))</f>
        <v/>
      </c>
      <c r="L72" s="20">
        <f>IF(I72="","",DAY(I72))</f>
        <v/>
      </c>
      <c r="M72" s="32">
        <f>IF(N72="","",EDATE(TODAY(),ROUNDUP(N72,0)))</f>
        <v/>
      </c>
      <c r="N72" s="20">
        <f>IF(D72="","",IFERROR(NPER(F72/12,-(G72+H72),D72),""))</f>
        <v/>
      </c>
      <c r="O72" s="16">
        <f>IF(N72="","",(G72+H72)*N72-D72)</f>
        <v/>
      </c>
      <c r="Q72" s="20">
        <f>IF(D72="","",RANK(D72,$D$8:$D$107,1))</f>
        <v/>
      </c>
      <c r="R72" s="20">
        <f>IF(F72="","",RANK(F72,$F$8:$F$107,0))</f>
        <v/>
      </c>
    </row>
    <row r="73">
      <c r="A73" s="15" t="n"/>
      <c r="B73" s="15" t="n"/>
      <c r="C73" s="15" t="n"/>
      <c r="D73" s="19" t="n"/>
      <c r="E73" s="19" t="n"/>
      <c r="F73" s="31" t="n"/>
      <c r="G73" s="19" t="n"/>
      <c r="H73" s="19" t="n"/>
      <c r="I73" s="18" t="n"/>
      <c r="J73" s="20">
        <f>IF(I73="","",MONTH(I73))</f>
        <v/>
      </c>
      <c r="K73" s="20">
        <f>IF(I73="","",YEAR(I73))</f>
        <v/>
      </c>
      <c r="L73" s="20">
        <f>IF(I73="","",DAY(I73))</f>
        <v/>
      </c>
      <c r="M73" s="32">
        <f>IF(N73="","",EDATE(TODAY(),ROUNDUP(N73,0)))</f>
        <v/>
      </c>
      <c r="N73" s="20">
        <f>IF(D73="","",IFERROR(NPER(F73/12,-(G73+H73),D73),""))</f>
        <v/>
      </c>
      <c r="O73" s="16">
        <f>IF(N73="","",(G73+H73)*N73-D73)</f>
        <v/>
      </c>
      <c r="Q73" s="20">
        <f>IF(D73="","",RANK(D73,$D$8:$D$107,1))</f>
        <v/>
      </c>
      <c r="R73" s="20">
        <f>IF(F73="","",RANK(F73,$F$8:$F$107,0))</f>
        <v/>
      </c>
    </row>
    <row r="74">
      <c r="A74" s="15" t="n"/>
      <c r="B74" s="15" t="n"/>
      <c r="C74" s="15" t="n"/>
      <c r="D74" s="19" t="n"/>
      <c r="E74" s="19" t="n"/>
      <c r="F74" s="31" t="n"/>
      <c r="G74" s="19" t="n"/>
      <c r="H74" s="19" t="n"/>
      <c r="I74" s="18" t="n"/>
      <c r="J74" s="20">
        <f>IF(I74="","",MONTH(I74))</f>
        <v/>
      </c>
      <c r="K74" s="20">
        <f>IF(I74="","",YEAR(I74))</f>
        <v/>
      </c>
      <c r="L74" s="20">
        <f>IF(I74="","",DAY(I74))</f>
        <v/>
      </c>
      <c r="M74" s="32">
        <f>IF(N74="","",EDATE(TODAY(),ROUNDUP(N74,0)))</f>
        <v/>
      </c>
      <c r="N74" s="20">
        <f>IF(D74="","",IFERROR(NPER(F74/12,-(G74+H74),D74),""))</f>
        <v/>
      </c>
      <c r="O74" s="16">
        <f>IF(N74="","",(G74+H74)*N74-D74)</f>
        <v/>
      </c>
      <c r="Q74" s="20">
        <f>IF(D74="","",RANK(D74,$D$8:$D$107,1))</f>
        <v/>
      </c>
      <c r="R74" s="20">
        <f>IF(F74="","",RANK(F74,$F$8:$F$107,0))</f>
        <v/>
      </c>
    </row>
    <row r="75">
      <c r="A75" s="15" t="n"/>
      <c r="B75" s="15" t="n"/>
      <c r="C75" s="15" t="n"/>
      <c r="D75" s="19" t="n"/>
      <c r="E75" s="19" t="n"/>
      <c r="F75" s="31" t="n"/>
      <c r="G75" s="19" t="n"/>
      <c r="H75" s="19" t="n"/>
      <c r="I75" s="18" t="n"/>
      <c r="J75" s="20">
        <f>IF(I75="","",MONTH(I75))</f>
        <v/>
      </c>
      <c r="K75" s="20">
        <f>IF(I75="","",YEAR(I75))</f>
        <v/>
      </c>
      <c r="L75" s="20">
        <f>IF(I75="","",DAY(I75))</f>
        <v/>
      </c>
      <c r="M75" s="32">
        <f>IF(N75="","",EDATE(TODAY(),ROUNDUP(N75,0)))</f>
        <v/>
      </c>
      <c r="N75" s="20">
        <f>IF(D75="","",IFERROR(NPER(F75/12,-(G75+H75),D75),""))</f>
        <v/>
      </c>
      <c r="O75" s="16">
        <f>IF(N75="","",(G75+H75)*N75-D75)</f>
        <v/>
      </c>
      <c r="Q75" s="20">
        <f>IF(D75="","",RANK(D75,$D$8:$D$107,1))</f>
        <v/>
      </c>
      <c r="R75" s="20">
        <f>IF(F75="","",RANK(F75,$F$8:$F$107,0))</f>
        <v/>
      </c>
    </row>
    <row r="76">
      <c r="A76" s="15" t="n"/>
      <c r="B76" s="15" t="n"/>
      <c r="C76" s="15" t="n"/>
      <c r="D76" s="19" t="n"/>
      <c r="E76" s="19" t="n"/>
      <c r="F76" s="31" t="n"/>
      <c r="G76" s="19" t="n"/>
      <c r="H76" s="19" t="n"/>
      <c r="I76" s="18" t="n"/>
      <c r="J76" s="20">
        <f>IF(I76="","",MONTH(I76))</f>
        <v/>
      </c>
      <c r="K76" s="20">
        <f>IF(I76="","",YEAR(I76))</f>
        <v/>
      </c>
      <c r="L76" s="20">
        <f>IF(I76="","",DAY(I76))</f>
        <v/>
      </c>
      <c r="M76" s="32">
        <f>IF(N76="","",EDATE(TODAY(),ROUNDUP(N76,0)))</f>
        <v/>
      </c>
      <c r="N76" s="20">
        <f>IF(D76="","",IFERROR(NPER(F76/12,-(G76+H76),D76),""))</f>
        <v/>
      </c>
      <c r="O76" s="16">
        <f>IF(N76="","",(G76+H76)*N76-D76)</f>
        <v/>
      </c>
      <c r="Q76" s="20">
        <f>IF(D76="","",RANK(D76,$D$8:$D$107,1))</f>
        <v/>
      </c>
      <c r="R76" s="20">
        <f>IF(F76="","",RANK(F76,$F$8:$F$107,0))</f>
        <v/>
      </c>
    </row>
    <row r="77">
      <c r="A77" s="15" t="n"/>
      <c r="B77" s="15" t="n"/>
      <c r="C77" s="15" t="n"/>
      <c r="D77" s="19" t="n"/>
      <c r="E77" s="19" t="n"/>
      <c r="F77" s="31" t="n"/>
      <c r="G77" s="19" t="n"/>
      <c r="H77" s="19" t="n"/>
      <c r="I77" s="18" t="n"/>
      <c r="J77" s="20">
        <f>IF(I77="","",MONTH(I77))</f>
        <v/>
      </c>
      <c r="K77" s="20">
        <f>IF(I77="","",YEAR(I77))</f>
        <v/>
      </c>
      <c r="L77" s="20">
        <f>IF(I77="","",DAY(I77))</f>
        <v/>
      </c>
      <c r="M77" s="32">
        <f>IF(N77="","",EDATE(TODAY(),ROUNDUP(N77,0)))</f>
        <v/>
      </c>
      <c r="N77" s="20">
        <f>IF(D77="","",IFERROR(NPER(F77/12,-(G77+H77),D77),""))</f>
        <v/>
      </c>
      <c r="O77" s="16">
        <f>IF(N77="","",(G77+H77)*N77-D77)</f>
        <v/>
      </c>
      <c r="Q77" s="20">
        <f>IF(D77="","",RANK(D77,$D$8:$D$107,1))</f>
        <v/>
      </c>
      <c r="R77" s="20">
        <f>IF(F77="","",RANK(F77,$F$8:$F$107,0))</f>
        <v/>
      </c>
    </row>
    <row r="78">
      <c r="A78" s="15" t="n"/>
      <c r="B78" s="15" t="n"/>
      <c r="C78" s="15" t="n"/>
      <c r="D78" s="19" t="n"/>
      <c r="E78" s="19" t="n"/>
      <c r="F78" s="31" t="n"/>
      <c r="G78" s="19" t="n"/>
      <c r="H78" s="19" t="n"/>
      <c r="I78" s="18" t="n"/>
      <c r="J78" s="20">
        <f>IF(I78="","",MONTH(I78))</f>
        <v/>
      </c>
      <c r="K78" s="20">
        <f>IF(I78="","",YEAR(I78))</f>
        <v/>
      </c>
      <c r="L78" s="20">
        <f>IF(I78="","",DAY(I78))</f>
        <v/>
      </c>
      <c r="M78" s="32">
        <f>IF(N78="","",EDATE(TODAY(),ROUNDUP(N78,0)))</f>
        <v/>
      </c>
      <c r="N78" s="20">
        <f>IF(D78="","",IFERROR(NPER(F78/12,-(G78+H78),D78),""))</f>
        <v/>
      </c>
      <c r="O78" s="16">
        <f>IF(N78="","",(G78+H78)*N78-D78)</f>
        <v/>
      </c>
      <c r="Q78" s="20">
        <f>IF(D78="","",RANK(D78,$D$8:$D$107,1))</f>
        <v/>
      </c>
      <c r="R78" s="20">
        <f>IF(F78="","",RANK(F78,$F$8:$F$107,0))</f>
        <v/>
      </c>
    </row>
    <row r="79">
      <c r="A79" s="15" t="n"/>
      <c r="B79" s="15" t="n"/>
      <c r="C79" s="15" t="n"/>
      <c r="D79" s="19" t="n"/>
      <c r="E79" s="19" t="n"/>
      <c r="F79" s="31" t="n"/>
      <c r="G79" s="19" t="n"/>
      <c r="H79" s="19" t="n"/>
      <c r="I79" s="18" t="n"/>
      <c r="J79" s="20">
        <f>IF(I79="","",MONTH(I79))</f>
        <v/>
      </c>
      <c r="K79" s="20">
        <f>IF(I79="","",YEAR(I79))</f>
        <v/>
      </c>
      <c r="L79" s="20">
        <f>IF(I79="","",DAY(I79))</f>
        <v/>
      </c>
      <c r="M79" s="32">
        <f>IF(N79="","",EDATE(TODAY(),ROUNDUP(N79,0)))</f>
        <v/>
      </c>
      <c r="N79" s="20">
        <f>IF(D79="","",IFERROR(NPER(F79/12,-(G79+H79),D79),""))</f>
        <v/>
      </c>
      <c r="O79" s="16">
        <f>IF(N79="","",(G79+H79)*N79-D79)</f>
        <v/>
      </c>
      <c r="Q79" s="20">
        <f>IF(D79="","",RANK(D79,$D$8:$D$107,1))</f>
        <v/>
      </c>
      <c r="R79" s="20">
        <f>IF(F79="","",RANK(F79,$F$8:$F$107,0))</f>
        <v/>
      </c>
    </row>
    <row r="80">
      <c r="A80" s="15" t="n"/>
      <c r="B80" s="15" t="n"/>
      <c r="C80" s="15" t="n"/>
      <c r="D80" s="19" t="n"/>
      <c r="E80" s="19" t="n"/>
      <c r="F80" s="31" t="n"/>
      <c r="G80" s="19" t="n"/>
      <c r="H80" s="19" t="n"/>
      <c r="I80" s="18" t="n"/>
      <c r="J80" s="20">
        <f>IF(I80="","",MONTH(I80))</f>
        <v/>
      </c>
      <c r="K80" s="20">
        <f>IF(I80="","",YEAR(I80))</f>
        <v/>
      </c>
      <c r="L80" s="20">
        <f>IF(I80="","",DAY(I80))</f>
        <v/>
      </c>
      <c r="M80" s="32">
        <f>IF(N80="","",EDATE(TODAY(),ROUNDUP(N80,0)))</f>
        <v/>
      </c>
      <c r="N80" s="20">
        <f>IF(D80="","",IFERROR(NPER(F80/12,-(G80+H80),D80),""))</f>
        <v/>
      </c>
      <c r="O80" s="16">
        <f>IF(N80="","",(G80+H80)*N80-D80)</f>
        <v/>
      </c>
      <c r="Q80" s="20">
        <f>IF(D80="","",RANK(D80,$D$8:$D$107,1))</f>
        <v/>
      </c>
      <c r="R80" s="20">
        <f>IF(F80="","",RANK(F80,$F$8:$F$107,0))</f>
        <v/>
      </c>
    </row>
    <row r="81">
      <c r="A81" s="15" t="n"/>
      <c r="B81" s="15" t="n"/>
      <c r="C81" s="15" t="n"/>
      <c r="D81" s="19" t="n"/>
      <c r="E81" s="19" t="n"/>
      <c r="F81" s="31" t="n"/>
      <c r="G81" s="19" t="n"/>
      <c r="H81" s="19" t="n"/>
      <c r="I81" s="18" t="n"/>
      <c r="J81" s="20">
        <f>IF(I81="","",MONTH(I81))</f>
        <v/>
      </c>
      <c r="K81" s="20">
        <f>IF(I81="","",YEAR(I81))</f>
        <v/>
      </c>
      <c r="L81" s="20">
        <f>IF(I81="","",DAY(I81))</f>
        <v/>
      </c>
      <c r="M81" s="32">
        <f>IF(N81="","",EDATE(TODAY(),ROUNDUP(N81,0)))</f>
        <v/>
      </c>
      <c r="N81" s="20">
        <f>IF(D81="","",IFERROR(NPER(F81/12,-(G81+H81),D81),""))</f>
        <v/>
      </c>
      <c r="O81" s="16">
        <f>IF(N81="","",(G81+H81)*N81-D81)</f>
        <v/>
      </c>
      <c r="Q81" s="20">
        <f>IF(D81="","",RANK(D81,$D$8:$D$107,1))</f>
        <v/>
      </c>
      <c r="R81" s="20">
        <f>IF(F81="","",RANK(F81,$F$8:$F$107,0))</f>
        <v/>
      </c>
    </row>
    <row r="82">
      <c r="A82" s="15" t="n"/>
      <c r="B82" s="15" t="n"/>
      <c r="C82" s="15" t="n"/>
      <c r="D82" s="19" t="n"/>
      <c r="E82" s="19" t="n"/>
      <c r="F82" s="31" t="n"/>
      <c r="G82" s="19" t="n"/>
      <c r="H82" s="19" t="n"/>
      <c r="I82" s="18" t="n"/>
      <c r="J82" s="20">
        <f>IF(I82="","",MONTH(I82))</f>
        <v/>
      </c>
      <c r="K82" s="20">
        <f>IF(I82="","",YEAR(I82))</f>
        <v/>
      </c>
      <c r="L82" s="20">
        <f>IF(I82="","",DAY(I82))</f>
        <v/>
      </c>
      <c r="M82" s="32">
        <f>IF(N82="","",EDATE(TODAY(),ROUNDUP(N82,0)))</f>
        <v/>
      </c>
      <c r="N82" s="20">
        <f>IF(D82="","",IFERROR(NPER(F82/12,-(G82+H82),D82),""))</f>
        <v/>
      </c>
      <c r="O82" s="16">
        <f>IF(N82="","",(G82+H82)*N82-D82)</f>
        <v/>
      </c>
      <c r="Q82" s="20">
        <f>IF(D82="","",RANK(D82,$D$8:$D$107,1))</f>
        <v/>
      </c>
      <c r="R82" s="20">
        <f>IF(F82="","",RANK(F82,$F$8:$F$107,0))</f>
        <v/>
      </c>
    </row>
    <row r="83">
      <c r="A83" s="15" t="n"/>
      <c r="B83" s="15" t="n"/>
      <c r="C83" s="15" t="n"/>
      <c r="D83" s="19" t="n"/>
      <c r="E83" s="19" t="n"/>
      <c r="F83" s="31" t="n"/>
      <c r="G83" s="19" t="n"/>
      <c r="H83" s="19" t="n"/>
      <c r="I83" s="18" t="n"/>
      <c r="J83" s="20">
        <f>IF(I83="","",MONTH(I83))</f>
        <v/>
      </c>
      <c r="K83" s="20">
        <f>IF(I83="","",YEAR(I83))</f>
        <v/>
      </c>
      <c r="L83" s="20">
        <f>IF(I83="","",DAY(I83))</f>
        <v/>
      </c>
      <c r="M83" s="32">
        <f>IF(N83="","",EDATE(TODAY(),ROUNDUP(N83,0)))</f>
        <v/>
      </c>
      <c r="N83" s="20">
        <f>IF(D83="","",IFERROR(NPER(F83/12,-(G83+H83),D83),""))</f>
        <v/>
      </c>
      <c r="O83" s="16">
        <f>IF(N83="","",(G83+H83)*N83-D83)</f>
        <v/>
      </c>
      <c r="Q83" s="20">
        <f>IF(D83="","",RANK(D83,$D$8:$D$107,1))</f>
        <v/>
      </c>
      <c r="R83" s="20">
        <f>IF(F83="","",RANK(F83,$F$8:$F$107,0))</f>
        <v/>
      </c>
    </row>
    <row r="84">
      <c r="A84" s="15" t="n"/>
      <c r="B84" s="15" t="n"/>
      <c r="C84" s="15" t="n"/>
      <c r="D84" s="19" t="n"/>
      <c r="E84" s="19" t="n"/>
      <c r="F84" s="31" t="n"/>
      <c r="G84" s="19" t="n"/>
      <c r="H84" s="19" t="n"/>
      <c r="I84" s="18" t="n"/>
      <c r="J84" s="20">
        <f>IF(I84="","",MONTH(I84))</f>
        <v/>
      </c>
      <c r="K84" s="20">
        <f>IF(I84="","",YEAR(I84))</f>
        <v/>
      </c>
      <c r="L84" s="20">
        <f>IF(I84="","",DAY(I84))</f>
        <v/>
      </c>
      <c r="M84" s="32">
        <f>IF(N84="","",EDATE(TODAY(),ROUNDUP(N84,0)))</f>
        <v/>
      </c>
      <c r="N84" s="20">
        <f>IF(D84="","",IFERROR(NPER(F84/12,-(G84+H84),D84),""))</f>
        <v/>
      </c>
      <c r="O84" s="16">
        <f>IF(N84="","",(G84+H84)*N84-D84)</f>
        <v/>
      </c>
      <c r="Q84" s="20">
        <f>IF(D84="","",RANK(D84,$D$8:$D$107,1))</f>
        <v/>
      </c>
      <c r="R84" s="20">
        <f>IF(F84="","",RANK(F84,$F$8:$F$107,0))</f>
        <v/>
      </c>
    </row>
    <row r="85">
      <c r="A85" s="15" t="n"/>
      <c r="B85" s="15" t="n"/>
      <c r="C85" s="15" t="n"/>
      <c r="D85" s="19" t="n"/>
      <c r="E85" s="19" t="n"/>
      <c r="F85" s="31" t="n"/>
      <c r="G85" s="19" t="n"/>
      <c r="H85" s="19" t="n"/>
      <c r="I85" s="18" t="n"/>
      <c r="J85" s="20">
        <f>IF(I85="","",MONTH(I85))</f>
        <v/>
      </c>
      <c r="K85" s="20">
        <f>IF(I85="","",YEAR(I85))</f>
        <v/>
      </c>
      <c r="L85" s="20">
        <f>IF(I85="","",DAY(I85))</f>
        <v/>
      </c>
      <c r="M85" s="32">
        <f>IF(N85="","",EDATE(TODAY(),ROUNDUP(N85,0)))</f>
        <v/>
      </c>
      <c r="N85" s="20">
        <f>IF(D85="","",IFERROR(NPER(F85/12,-(G85+H85),D85),""))</f>
        <v/>
      </c>
      <c r="O85" s="16">
        <f>IF(N85="","",(G85+H85)*N85-D85)</f>
        <v/>
      </c>
      <c r="Q85" s="20">
        <f>IF(D85="","",RANK(D85,$D$8:$D$107,1))</f>
        <v/>
      </c>
      <c r="R85" s="20">
        <f>IF(F85="","",RANK(F85,$F$8:$F$107,0))</f>
        <v/>
      </c>
    </row>
    <row r="86">
      <c r="A86" s="15" t="n"/>
      <c r="B86" s="15" t="n"/>
      <c r="C86" s="15" t="n"/>
      <c r="D86" s="19" t="n"/>
      <c r="E86" s="19" t="n"/>
      <c r="F86" s="31" t="n"/>
      <c r="G86" s="19" t="n"/>
      <c r="H86" s="19" t="n"/>
      <c r="I86" s="18" t="n"/>
      <c r="J86" s="20">
        <f>IF(I86="","",MONTH(I86))</f>
        <v/>
      </c>
      <c r="K86" s="20">
        <f>IF(I86="","",YEAR(I86))</f>
        <v/>
      </c>
      <c r="L86" s="20">
        <f>IF(I86="","",DAY(I86))</f>
        <v/>
      </c>
      <c r="M86" s="32">
        <f>IF(N86="","",EDATE(TODAY(),ROUNDUP(N86,0)))</f>
        <v/>
      </c>
      <c r="N86" s="20">
        <f>IF(D86="","",IFERROR(NPER(F86/12,-(G86+H86),D86),""))</f>
        <v/>
      </c>
      <c r="O86" s="16">
        <f>IF(N86="","",(G86+H86)*N86-D86)</f>
        <v/>
      </c>
      <c r="Q86" s="20">
        <f>IF(D86="","",RANK(D86,$D$8:$D$107,1))</f>
        <v/>
      </c>
      <c r="R86" s="20">
        <f>IF(F86="","",RANK(F86,$F$8:$F$107,0))</f>
        <v/>
      </c>
    </row>
    <row r="87">
      <c r="A87" s="15" t="n"/>
      <c r="B87" s="15" t="n"/>
      <c r="C87" s="15" t="n"/>
      <c r="D87" s="19" t="n"/>
      <c r="E87" s="19" t="n"/>
      <c r="F87" s="31" t="n"/>
      <c r="G87" s="19" t="n"/>
      <c r="H87" s="19" t="n"/>
      <c r="I87" s="18" t="n"/>
      <c r="J87" s="20">
        <f>IF(I87="","",MONTH(I87))</f>
        <v/>
      </c>
      <c r="K87" s="20">
        <f>IF(I87="","",YEAR(I87))</f>
        <v/>
      </c>
      <c r="L87" s="20">
        <f>IF(I87="","",DAY(I87))</f>
        <v/>
      </c>
      <c r="M87" s="32">
        <f>IF(N87="","",EDATE(TODAY(),ROUNDUP(N87,0)))</f>
        <v/>
      </c>
      <c r="N87" s="20">
        <f>IF(D87="","",IFERROR(NPER(F87/12,-(G87+H87),D87),""))</f>
        <v/>
      </c>
      <c r="O87" s="16">
        <f>IF(N87="","",(G87+H87)*N87-D87)</f>
        <v/>
      </c>
      <c r="Q87" s="20">
        <f>IF(D87="","",RANK(D87,$D$8:$D$107,1))</f>
        <v/>
      </c>
      <c r="R87" s="20">
        <f>IF(F87="","",RANK(F87,$F$8:$F$107,0))</f>
        <v/>
      </c>
    </row>
    <row r="88">
      <c r="A88" s="15" t="n"/>
      <c r="B88" s="15" t="n"/>
      <c r="C88" s="15" t="n"/>
      <c r="D88" s="19" t="n"/>
      <c r="E88" s="19" t="n"/>
      <c r="F88" s="31" t="n"/>
      <c r="G88" s="19" t="n"/>
      <c r="H88" s="19" t="n"/>
      <c r="I88" s="18" t="n"/>
      <c r="J88" s="20">
        <f>IF(I88="","",MONTH(I88))</f>
        <v/>
      </c>
      <c r="K88" s="20">
        <f>IF(I88="","",YEAR(I88))</f>
        <v/>
      </c>
      <c r="L88" s="20">
        <f>IF(I88="","",DAY(I88))</f>
        <v/>
      </c>
      <c r="M88" s="32">
        <f>IF(N88="","",EDATE(TODAY(),ROUNDUP(N88,0)))</f>
        <v/>
      </c>
      <c r="N88" s="20">
        <f>IF(D88="","",IFERROR(NPER(F88/12,-(G88+H88),D88),""))</f>
        <v/>
      </c>
      <c r="O88" s="16">
        <f>IF(N88="","",(G88+H88)*N88-D88)</f>
        <v/>
      </c>
      <c r="Q88" s="20">
        <f>IF(D88="","",RANK(D88,$D$8:$D$107,1))</f>
        <v/>
      </c>
      <c r="R88" s="20">
        <f>IF(F88="","",RANK(F88,$F$8:$F$107,0))</f>
        <v/>
      </c>
    </row>
    <row r="89">
      <c r="A89" s="15" t="n"/>
      <c r="B89" s="15" t="n"/>
      <c r="C89" s="15" t="n"/>
      <c r="D89" s="19" t="n"/>
      <c r="E89" s="19" t="n"/>
      <c r="F89" s="31" t="n"/>
      <c r="G89" s="19" t="n"/>
      <c r="H89" s="19" t="n"/>
      <c r="I89" s="18" t="n"/>
      <c r="J89" s="20">
        <f>IF(I89="","",MONTH(I89))</f>
        <v/>
      </c>
      <c r="K89" s="20">
        <f>IF(I89="","",YEAR(I89))</f>
        <v/>
      </c>
      <c r="L89" s="20">
        <f>IF(I89="","",DAY(I89))</f>
        <v/>
      </c>
      <c r="M89" s="32">
        <f>IF(N89="","",EDATE(TODAY(),ROUNDUP(N89,0)))</f>
        <v/>
      </c>
      <c r="N89" s="20">
        <f>IF(D89="","",IFERROR(NPER(F89/12,-(G89+H89),D89),""))</f>
        <v/>
      </c>
      <c r="O89" s="16">
        <f>IF(N89="","",(G89+H89)*N89-D89)</f>
        <v/>
      </c>
      <c r="Q89" s="20">
        <f>IF(D89="","",RANK(D89,$D$8:$D$107,1))</f>
        <v/>
      </c>
      <c r="R89" s="20">
        <f>IF(F89="","",RANK(F89,$F$8:$F$107,0))</f>
        <v/>
      </c>
    </row>
    <row r="90">
      <c r="A90" s="15" t="n"/>
      <c r="B90" s="15" t="n"/>
      <c r="C90" s="15" t="n"/>
      <c r="D90" s="19" t="n"/>
      <c r="E90" s="19" t="n"/>
      <c r="F90" s="31" t="n"/>
      <c r="G90" s="19" t="n"/>
      <c r="H90" s="19" t="n"/>
      <c r="I90" s="18" t="n"/>
      <c r="J90" s="20">
        <f>IF(I90="","",MONTH(I90))</f>
        <v/>
      </c>
      <c r="K90" s="20">
        <f>IF(I90="","",YEAR(I90))</f>
        <v/>
      </c>
      <c r="L90" s="20">
        <f>IF(I90="","",DAY(I90))</f>
        <v/>
      </c>
      <c r="M90" s="32">
        <f>IF(N90="","",EDATE(TODAY(),ROUNDUP(N90,0)))</f>
        <v/>
      </c>
      <c r="N90" s="20">
        <f>IF(D90="","",IFERROR(NPER(F90/12,-(G90+H90),D90),""))</f>
        <v/>
      </c>
      <c r="O90" s="16">
        <f>IF(N90="","",(G90+H90)*N90-D90)</f>
        <v/>
      </c>
      <c r="Q90" s="20">
        <f>IF(D90="","",RANK(D90,$D$8:$D$107,1))</f>
        <v/>
      </c>
      <c r="R90" s="20">
        <f>IF(F90="","",RANK(F90,$F$8:$F$107,0))</f>
        <v/>
      </c>
    </row>
    <row r="91">
      <c r="A91" s="15" t="n"/>
      <c r="B91" s="15" t="n"/>
      <c r="C91" s="15" t="n"/>
      <c r="D91" s="19" t="n"/>
      <c r="E91" s="19" t="n"/>
      <c r="F91" s="31" t="n"/>
      <c r="G91" s="19" t="n"/>
      <c r="H91" s="19" t="n"/>
      <c r="I91" s="18" t="n"/>
      <c r="J91" s="20">
        <f>IF(I91="","",MONTH(I91))</f>
        <v/>
      </c>
      <c r="K91" s="20">
        <f>IF(I91="","",YEAR(I91))</f>
        <v/>
      </c>
      <c r="L91" s="20">
        <f>IF(I91="","",DAY(I91))</f>
        <v/>
      </c>
      <c r="M91" s="32">
        <f>IF(N91="","",EDATE(TODAY(),ROUNDUP(N91,0)))</f>
        <v/>
      </c>
      <c r="N91" s="20">
        <f>IF(D91="","",IFERROR(NPER(F91/12,-(G91+H91),D91),""))</f>
        <v/>
      </c>
      <c r="O91" s="16">
        <f>IF(N91="","",(G91+H91)*N91-D91)</f>
        <v/>
      </c>
      <c r="Q91" s="20">
        <f>IF(D91="","",RANK(D91,$D$8:$D$107,1))</f>
        <v/>
      </c>
      <c r="R91" s="20">
        <f>IF(F91="","",RANK(F91,$F$8:$F$107,0))</f>
        <v/>
      </c>
    </row>
    <row r="92">
      <c r="A92" s="15" t="n"/>
      <c r="B92" s="15" t="n"/>
      <c r="C92" s="15" t="n"/>
      <c r="D92" s="19" t="n"/>
      <c r="E92" s="19" t="n"/>
      <c r="F92" s="31" t="n"/>
      <c r="G92" s="19" t="n"/>
      <c r="H92" s="19" t="n"/>
      <c r="I92" s="18" t="n"/>
      <c r="J92" s="20">
        <f>IF(I92="","",MONTH(I92))</f>
        <v/>
      </c>
      <c r="K92" s="20">
        <f>IF(I92="","",YEAR(I92))</f>
        <v/>
      </c>
      <c r="L92" s="20">
        <f>IF(I92="","",DAY(I92))</f>
        <v/>
      </c>
      <c r="M92" s="32">
        <f>IF(N92="","",EDATE(TODAY(),ROUNDUP(N92,0)))</f>
        <v/>
      </c>
      <c r="N92" s="20">
        <f>IF(D92="","",IFERROR(NPER(F92/12,-(G92+H92),D92),""))</f>
        <v/>
      </c>
      <c r="O92" s="16">
        <f>IF(N92="","",(G92+H92)*N92-D92)</f>
        <v/>
      </c>
      <c r="Q92" s="20">
        <f>IF(D92="","",RANK(D92,$D$8:$D$107,1))</f>
        <v/>
      </c>
      <c r="R92" s="20">
        <f>IF(F92="","",RANK(F92,$F$8:$F$107,0))</f>
        <v/>
      </c>
    </row>
    <row r="93">
      <c r="A93" s="15" t="n"/>
      <c r="B93" s="15" t="n"/>
      <c r="C93" s="15" t="n"/>
      <c r="D93" s="19" t="n"/>
      <c r="E93" s="19" t="n"/>
      <c r="F93" s="31" t="n"/>
      <c r="G93" s="19" t="n"/>
      <c r="H93" s="19" t="n"/>
      <c r="I93" s="18" t="n"/>
      <c r="J93" s="20">
        <f>IF(I93="","",MONTH(I93))</f>
        <v/>
      </c>
      <c r="K93" s="20">
        <f>IF(I93="","",YEAR(I93))</f>
        <v/>
      </c>
      <c r="L93" s="20">
        <f>IF(I93="","",DAY(I93))</f>
        <v/>
      </c>
      <c r="M93" s="32">
        <f>IF(N93="","",EDATE(TODAY(),ROUNDUP(N93,0)))</f>
        <v/>
      </c>
      <c r="N93" s="20">
        <f>IF(D93="","",IFERROR(NPER(F93/12,-(G93+H93),D93),""))</f>
        <v/>
      </c>
      <c r="O93" s="16">
        <f>IF(N93="","",(G93+H93)*N93-D93)</f>
        <v/>
      </c>
      <c r="Q93" s="20">
        <f>IF(D93="","",RANK(D93,$D$8:$D$107,1))</f>
        <v/>
      </c>
      <c r="R93" s="20">
        <f>IF(F93="","",RANK(F93,$F$8:$F$107,0))</f>
        <v/>
      </c>
    </row>
    <row r="94">
      <c r="A94" s="15" t="n"/>
      <c r="B94" s="15" t="n"/>
      <c r="C94" s="15" t="n"/>
      <c r="D94" s="19" t="n"/>
      <c r="E94" s="19" t="n"/>
      <c r="F94" s="31" t="n"/>
      <c r="G94" s="19" t="n"/>
      <c r="H94" s="19" t="n"/>
      <c r="I94" s="18" t="n"/>
      <c r="J94" s="20">
        <f>IF(I94="","",MONTH(I94))</f>
        <v/>
      </c>
      <c r="K94" s="20">
        <f>IF(I94="","",YEAR(I94))</f>
        <v/>
      </c>
      <c r="L94" s="20">
        <f>IF(I94="","",DAY(I94))</f>
        <v/>
      </c>
      <c r="M94" s="32">
        <f>IF(N94="","",EDATE(TODAY(),ROUNDUP(N94,0)))</f>
        <v/>
      </c>
      <c r="N94" s="20">
        <f>IF(D94="","",IFERROR(NPER(F94/12,-(G94+H94),D94),""))</f>
        <v/>
      </c>
      <c r="O94" s="16">
        <f>IF(N94="","",(G94+H94)*N94-D94)</f>
        <v/>
      </c>
      <c r="Q94" s="20">
        <f>IF(D94="","",RANK(D94,$D$8:$D$107,1))</f>
        <v/>
      </c>
      <c r="R94" s="20">
        <f>IF(F94="","",RANK(F94,$F$8:$F$107,0))</f>
        <v/>
      </c>
    </row>
    <row r="95">
      <c r="A95" s="15" t="n"/>
      <c r="B95" s="15" t="n"/>
      <c r="C95" s="15" t="n"/>
      <c r="D95" s="19" t="n"/>
      <c r="E95" s="19" t="n"/>
      <c r="F95" s="31" t="n"/>
      <c r="G95" s="19" t="n"/>
      <c r="H95" s="19" t="n"/>
      <c r="I95" s="18" t="n"/>
      <c r="J95" s="20">
        <f>IF(I95="","",MONTH(I95))</f>
        <v/>
      </c>
      <c r="K95" s="20">
        <f>IF(I95="","",YEAR(I95))</f>
        <v/>
      </c>
      <c r="L95" s="20">
        <f>IF(I95="","",DAY(I95))</f>
        <v/>
      </c>
      <c r="M95" s="32">
        <f>IF(N95="","",EDATE(TODAY(),ROUNDUP(N95,0)))</f>
        <v/>
      </c>
      <c r="N95" s="20">
        <f>IF(D95="","",IFERROR(NPER(F95/12,-(G95+H95),D95),""))</f>
        <v/>
      </c>
      <c r="O95" s="16">
        <f>IF(N95="","",(G95+H95)*N95-D95)</f>
        <v/>
      </c>
      <c r="Q95" s="20">
        <f>IF(D95="","",RANK(D95,$D$8:$D$107,1))</f>
        <v/>
      </c>
      <c r="R95" s="20">
        <f>IF(F95="","",RANK(F95,$F$8:$F$107,0))</f>
        <v/>
      </c>
    </row>
    <row r="96">
      <c r="A96" s="15" t="n"/>
      <c r="B96" s="15" t="n"/>
      <c r="C96" s="15" t="n"/>
      <c r="D96" s="19" t="n"/>
      <c r="E96" s="19" t="n"/>
      <c r="F96" s="31" t="n"/>
      <c r="G96" s="19" t="n"/>
      <c r="H96" s="19" t="n"/>
      <c r="I96" s="18" t="n"/>
      <c r="J96" s="20">
        <f>IF(I96="","",MONTH(I96))</f>
        <v/>
      </c>
      <c r="K96" s="20">
        <f>IF(I96="","",YEAR(I96))</f>
        <v/>
      </c>
      <c r="L96" s="20">
        <f>IF(I96="","",DAY(I96))</f>
        <v/>
      </c>
      <c r="M96" s="32">
        <f>IF(N96="","",EDATE(TODAY(),ROUNDUP(N96,0)))</f>
        <v/>
      </c>
      <c r="N96" s="20">
        <f>IF(D96="","",IFERROR(NPER(F96/12,-(G96+H96),D96),""))</f>
        <v/>
      </c>
      <c r="O96" s="16">
        <f>IF(N96="","",(G96+H96)*N96-D96)</f>
        <v/>
      </c>
      <c r="Q96" s="20">
        <f>IF(D96="","",RANK(D96,$D$8:$D$107,1))</f>
        <v/>
      </c>
      <c r="R96" s="20">
        <f>IF(F96="","",RANK(F96,$F$8:$F$107,0))</f>
        <v/>
      </c>
    </row>
    <row r="97">
      <c r="A97" s="15" t="n"/>
      <c r="B97" s="15" t="n"/>
      <c r="C97" s="15" t="n"/>
      <c r="D97" s="19" t="n"/>
      <c r="E97" s="19" t="n"/>
      <c r="F97" s="31" t="n"/>
      <c r="G97" s="19" t="n"/>
      <c r="H97" s="19" t="n"/>
      <c r="I97" s="18" t="n"/>
      <c r="J97" s="20">
        <f>IF(I97="","",MONTH(I97))</f>
        <v/>
      </c>
      <c r="K97" s="20">
        <f>IF(I97="","",YEAR(I97))</f>
        <v/>
      </c>
      <c r="L97" s="20">
        <f>IF(I97="","",DAY(I97))</f>
        <v/>
      </c>
      <c r="M97" s="32">
        <f>IF(N97="","",EDATE(TODAY(),ROUNDUP(N97,0)))</f>
        <v/>
      </c>
      <c r="N97" s="20">
        <f>IF(D97="","",IFERROR(NPER(F97/12,-(G97+H97),D97),""))</f>
        <v/>
      </c>
      <c r="O97" s="16">
        <f>IF(N97="","",(G97+H97)*N97-D97)</f>
        <v/>
      </c>
      <c r="Q97" s="20">
        <f>IF(D97="","",RANK(D97,$D$8:$D$107,1))</f>
        <v/>
      </c>
      <c r="R97" s="20">
        <f>IF(F97="","",RANK(F97,$F$8:$F$107,0))</f>
        <v/>
      </c>
    </row>
    <row r="98">
      <c r="A98" s="15" t="n"/>
      <c r="B98" s="15" t="n"/>
      <c r="C98" s="15" t="n"/>
      <c r="D98" s="19" t="n"/>
      <c r="E98" s="19" t="n"/>
      <c r="F98" s="31" t="n"/>
      <c r="G98" s="19" t="n"/>
      <c r="H98" s="19" t="n"/>
      <c r="I98" s="18" t="n"/>
      <c r="J98" s="20">
        <f>IF(I98="","",MONTH(I98))</f>
        <v/>
      </c>
      <c r="K98" s="20">
        <f>IF(I98="","",YEAR(I98))</f>
        <v/>
      </c>
      <c r="L98" s="20">
        <f>IF(I98="","",DAY(I98))</f>
        <v/>
      </c>
      <c r="M98" s="32">
        <f>IF(N98="","",EDATE(TODAY(),ROUNDUP(N98,0)))</f>
        <v/>
      </c>
      <c r="N98" s="20">
        <f>IF(D98="","",IFERROR(NPER(F98/12,-(G98+H98),D98),""))</f>
        <v/>
      </c>
      <c r="O98" s="16">
        <f>IF(N98="","",(G98+H98)*N98-D98)</f>
        <v/>
      </c>
      <c r="Q98" s="20">
        <f>IF(D98="","",RANK(D98,$D$8:$D$107,1))</f>
        <v/>
      </c>
      <c r="R98" s="20">
        <f>IF(F98="","",RANK(F98,$F$8:$F$107,0))</f>
        <v/>
      </c>
    </row>
    <row r="99">
      <c r="A99" s="15" t="n"/>
      <c r="B99" s="15" t="n"/>
      <c r="C99" s="15" t="n"/>
      <c r="D99" s="19" t="n"/>
      <c r="E99" s="19" t="n"/>
      <c r="F99" s="31" t="n"/>
      <c r="G99" s="19" t="n"/>
      <c r="H99" s="19" t="n"/>
      <c r="I99" s="18" t="n"/>
      <c r="J99" s="20">
        <f>IF(I99="","",MONTH(I99))</f>
        <v/>
      </c>
      <c r="K99" s="20">
        <f>IF(I99="","",YEAR(I99))</f>
        <v/>
      </c>
      <c r="L99" s="20">
        <f>IF(I99="","",DAY(I99))</f>
        <v/>
      </c>
      <c r="M99" s="32">
        <f>IF(N99="","",EDATE(TODAY(),ROUNDUP(N99,0)))</f>
        <v/>
      </c>
      <c r="N99" s="20">
        <f>IF(D99="","",IFERROR(NPER(F99/12,-(G99+H99),D99),""))</f>
        <v/>
      </c>
      <c r="O99" s="16">
        <f>IF(N99="","",(G99+H99)*N99-D99)</f>
        <v/>
      </c>
      <c r="Q99" s="20">
        <f>IF(D99="","",RANK(D99,$D$8:$D$107,1))</f>
        <v/>
      </c>
      <c r="R99" s="20">
        <f>IF(F99="","",RANK(F99,$F$8:$F$107,0))</f>
        <v/>
      </c>
    </row>
    <row r="100">
      <c r="A100" s="15" t="n"/>
      <c r="B100" s="15" t="n"/>
      <c r="C100" s="15" t="n"/>
      <c r="D100" s="19" t="n"/>
      <c r="E100" s="19" t="n"/>
      <c r="F100" s="31" t="n"/>
      <c r="G100" s="19" t="n"/>
      <c r="H100" s="19" t="n"/>
      <c r="I100" s="18" t="n"/>
      <c r="J100" s="20">
        <f>IF(I100="","",MONTH(I100))</f>
        <v/>
      </c>
      <c r="K100" s="20">
        <f>IF(I100="","",YEAR(I100))</f>
        <v/>
      </c>
      <c r="L100" s="20">
        <f>IF(I100="","",DAY(I100))</f>
        <v/>
      </c>
      <c r="M100" s="32">
        <f>IF(N100="","",EDATE(TODAY(),ROUNDUP(N100,0)))</f>
        <v/>
      </c>
      <c r="N100" s="20">
        <f>IF(D100="","",IFERROR(NPER(F100/12,-(G100+H100),D100),""))</f>
        <v/>
      </c>
      <c r="O100" s="16">
        <f>IF(N100="","",(G100+H100)*N100-D100)</f>
        <v/>
      </c>
      <c r="Q100" s="20">
        <f>IF(D100="","",RANK(D100,$D$8:$D$107,1))</f>
        <v/>
      </c>
      <c r="R100" s="20">
        <f>IF(F100="","",RANK(F100,$F$8:$F$107,0))</f>
        <v/>
      </c>
    </row>
    <row r="101">
      <c r="A101" s="15" t="n"/>
      <c r="B101" s="15" t="n"/>
      <c r="C101" s="15" t="n"/>
      <c r="D101" s="19" t="n"/>
      <c r="E101" s="19" t="n"/>
      <c r="F101" s="31" t="n"/>
      <c r="G101" s="19" t="n"/>
      <c r="H101" s="19" t="n"/>
      <c r="I101" s="18" t="n"/>
      <c r="J101" s="20">
        <f>IF(I101="","",MONTH(I101))</f>
        <v/>
      </c>
      <c r="K101" s="20">
        <f>IF(I101="","",YEAR(I101))</f>
        <v/>
      </c>
      <c r="L101" s="20">
        <f>IF(I101="","",DAY(I101))</f>
        <v/>
      </c>
      <c r="M101" s="32">
        <f>IF(N101="","",EDATE(TODAY(),ROUNDUP(N101,0)))</f>
        <v/>
      </c>
      <c r="N101" s="20">
        <f>IF(D101="","",IFERROR(NPER(F101/12,-(G101+H101),D101),""))</f>
        <v/>
      </c>
      <c r="O101" s="16">
        <f>IF(N101="","",(G101+H101)*N101-D101)</f>
        <v/>
      </c>
      <c r="Q101" s="20">
        <f>IF(D101="","",RANK(D101,$D$8:$D$107,1))</f>
        <v/>
      </c>
      <c r="R101" s="20">
        <f>IF(F101="","",RANK(F101,$F$8:$F$107,0))</f>
        <v/>
      </c>
    </row>
    <row r="102">
      <c r="A102" s="15" t="n"/>
      <c r="B102" s="15" t="n"/>
      <c r="C102" s="15" t="n"/>
      <c r="D102" s="19" t="n"/>
      <c r="E102" s="19" t="n"/>
      <c r="F102" s="31" t="n"/>
      <c r="G102" s="19" t="n"/>
      <c r="H102" s="19" t="n"/>
      <c r="I102" s="18" t="n"/>
      <c r="J102" s="20">
        <f>IF(I102="","",MONTH(I102))</f>
        <v/>
      </c>
      <c r="K102" s="20">
        <f>IF(I102="","",YEAR(I102))</f>
        <v/>
      </c>
      <c r="L102" s="20">
        <f>IF(I102="","",DAY(I102))</f>
        <v/>
      </c>
      <c r="M102" s="32">
        <f>IF(N102="","",EDATE(TODAY(),ROUNDUP(N102,0)))</f>
        <v/>
      </c>
      <c r="N102" s="20">
        <f>IF(D102="","",IFERROR(NPER(F102/12,-(G102+H102),D102),""))</f>
        <v/>
      </c>
      <c r="O102" s="16">
        <f>IF(N102="","",(G102+H102)*N102-D102)</f>
        <v/>
      </c>
      <c r="Q102" s="20">
        <f>IF(D102="","",RANK(D102,$D$8:$D$107,1))</f>
        <v/>
      </c>
      <c r="R102" s="20">
        <f>IF(F102="","",RANK(F102,$F$8:$F$107,0))</f>
        <v/>
      </c>
    </row>
    <row r="103">
      <c r="A103" s="15" t="n"/>
      <c r="B103" s="15" t="n"/>
      <c r="C103" s="15" t="n"/>
      <c r="D103" s="19" t="n"/>
      <c r="E103" s="19" t="n"/>
      <c r="F103" s="31" t="n"/>
      <c r="G103" s="19" t="n"/>
      <c r="H103" s="19" t="n"/>
      <c r="I103" s="18" t="n"/>
      <c r="J103" s="20">
        <f>IF(I103="","",MONTH(I103))</f>
        <v/>
      </c>
      <c r="K103" s="20">
        <f>IF(I103="","",YEAR(I103))</f>
        <v/>
      </c>
      <c r="L103" s="20">
        <f>IF(I103="","",DAY(I103))</f>
        <v/>
      </c>
      <c r="M103" s="32">
        <f>IF(N103="","",EDATE(TODAY(),ROUNDUP(N103,0)))</f>
        <v/>
      </c>
      <c r="N103" s="20">
        <f>IF(D103="","",IFERROR(NPER(F103/12,-(G103+H103),D103),""))</f>
        <v/>
      </c>
      <c r="O103" s="16">
        <f>IF(N103="","",(G103+H103)*N103-D103)</f>
        <v/>
      </c>
      <c r="Q103" s="20">
        <f>IF(D103="","",RANK(D103,$D$8:$D$107,1))</f>
        <v/>
      </c>
      <c r="R103" s="20">
        <f>IF(F103="","",RANK(F103,$F$8:$F$107,0))</f>
        <v/>
      </c>
    </row>
    <row r="104">
      <c r="A104" s="15" t="n"/>
      <c r="B104" s="15" t="n"/>
      <c r="C104" s="15" t="n"/>
      <c r="D104" s="19" t="n"/>
      <c r="E104" s="19" t="n"/>
      <c r="F104" s="31" t="n"/>
      <c r="G104" s="19" t="n"/>
      <c r="H104" s="19" t="n"/>
      <c r="I104" s="18" t="n"/>
      <c r="J104" s="20">
        <f>IF(I104="","",MONTH(I104))</f>
        <v/>
      </c>
      <c r="K104" s="20">
        <f>IF(I104="","",YEAR(I104))</f>
        <v/>
      </c>
      <c r="L104" s="20">
        <f>IF(I104="","",DAY(I104))</f>
        <v/>
      </c>
      <c r="M104" s="32">
        <f>IF(N104="","",EDATE(TODAY(),ROUNDUP(N104,0)))</f>
        <v/>
      </c>
      <c r="N104" s="20">
        <f>IF(D104="","",IFERROR(NPER(F104/12,-(G104+H104),D104),""))</f>
        <v/>
      </c>
      <c r="O104" s="16">
        <f>IF(N104="","",(G104+H104)*N104-D104)</f>
        <v/>
      </c>
      <c r="Q104" s="20">
        <f>IF(D104="","",RANK(D104,$D$8:$D$107,1))</f>
        <v/>
      </c>
      <c r="R104" s="20">
        <f>IF(F104="","",RANK(F104,$F$8:$F$107,0))</f>
        <v/>
      </c>
    </row>
    <row r="105">
      <c r="A105" s="15" t="n"/>
      <c r="B105" s="15" t="n"/>
      <c r="C105" s="15" t="n"/>
      <c r="D105" s="19" t="n"/>
      <c r="E105" s="19" t="n"/>
      <c r="F105" s="31" t="n"/>
      <c r="G105" s="19" t="n"/>
      <c r="H105" s="19" t="n"/>
      <c r="I105" s="18" t="n"/>
      <c r="J105" s="20">
        <f>IF(I105="","",MONTH(I105))</f>
        <v/>
      </c>
      <c r="K105" s="20">
        <f>IF(I105="","",YEAR(I105))</f>
        <v/>
      </c>
      <c r="L105" s="20">
        <f>IF(I105="","",DAY(I105))</f>
        <v/>
      </c>
      <c r="M105" s="32">
        <f>IF(N105="","",EDATE(TODAY(),ROUNDUP(N105,0)))</f>
        <v/>
      </c>
      <c r="N105" s="20">
        <f>IF(D105="","",IFERROR(NPER(F105/12,-(G105+H105),D105),""))</f>
        <v/>
      </c>
      <c r="O105" s="16">
        <f>IF(N105="","",(G105+H105)*N105-D105)</f>
        <v/>
      </c>
      <c r="Q105" s="20">
        <f>IF(D105="","",RANK(D105,$D$8:$D$107,1))</f>
        <v/>
      </c>
      <c r="R105" s="20">
        <f>IF(F105="","",RANK(F105,$F$8:$F$107,0))</f>
        <v/>
      </c>
    </row>
    <row r="106">
      <c r="A106" s="15" t="n"/>
      <c r="B106" s="15" t="n"/>
      <c r="C106" s="15" t="n"/>
      <c r="D106" s="19" t="n"/>
      <c r="E106" s="19" t="n"/>
      <c r="F106" s="31" t="n"/>
      <c r="G106" s="19" t="n"/>
      <c r="H106" s="19" t="n"/>
      <c r="I106" s="18" t="n"/>
      <c r="J106" s="20">
        <f>IF(I106="","",MONTH(I106))</f>
        <v/>
      </c>
      <c r="K106" s="20">
        <f>IF(I106="","",YEAR(I106))</f>
        <v/>
      </c>
      <c r="L106" s="20">
        <f>IF(I106="","",DAY(I106))</f>
        <v/>
      </c>
      <c r="M106" s="32">
        <f>IF(N106="","",EDATE(TODAY(),ROUNDUP(N106,0)))</f>
        <v/>
      </c>
      <c r="N106" s="20">
        <f>IF(D106="","",IFERROR(NPER(F106/12,-(G106+H106),D106),""))</f>
        <v/>
      </c>
      <c r="O106" s="16">
        <f>IF(N106="","",(G106+H106)*N106-D106)</f>
        <v/>
      </c>
      <c r="Q106" s="20">
        <f>IF(D106="","",RANK(D106,$D$8:$D$107,1))</f>
        <v/>
      </c>
      <c r="R106" s="20">
        <f>IF(F106="","",RANK(F106,$F$8:$F$107,0))</f>
        <v/>
      </c>
    </row>
    <row r="107">
      <c r="A107" s="15" t="n"/>
      <c r="B107" s="15" t="n"/>
      <c r="C107" s="15" t="n"/>
      <c r="D107" s="19" t="n"/>
      <c r="E107" s="19" t="n"/>
      <c r="F107" s="31" t="n"/>
      <c r="G107" s="19" t="n"/>
      <c r="H107" s="19" t="n"/>
      <c r="I107" s="18" t="n"/>
      <c r="J107" s="20">
        <f>IF(I107="","",MONTH(I107))</f>
        <v/>
      </c>
      <c r="K107" s="20">
        <f>IF(I107="","",YEAR(I107))</f>
        <v/>
      </c>
      <c r="L107" s="20">
        <f>IF(I107="","",DAY(I107))</f>
        <v/>
      </c>
      <c r="M107" s="32">
        <f>IF(N107="","",EDATE(TODAY(),ROUNDUP(N107,0)))</f>
        <v/>
      </c>
      <c r="N107" s="20">
        <f>IF(D107="","",IFERROR(NPER(F107/12,-(G107+H107),D107),""))</f>
        <v/>
      </c>
      <c r="O107" s="16">
        <f>IF(N107="","",(G107+H107)*N107-D107)</f>
        <v/>
      </c>
      <c r="Q107" s="20">
        <f>IF(D107="","",RANK(D107,$D$8:$D$107,1))</f>
        <v/>
      </c>
      <c r="R107" s="20">
        <f>IF(F107="","",RANK(F107,$F$8:$F$107,0))</f>
        <v/>
      </c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10:R107"/>
  <mergeCells count="2">
    <mergeCell ref="A2:R2"/>
    <mergeCell ref="A1:R1"/>
  </mergeCells>
  <dataValidations count="2">
    <dataValidation sqref="C8:C107" showDropDown="0" showInputMessage="0" showErrorMessage="1" allowBlank="1" type="list">
      <formula1>L_Debt_Types</formula1>
    </dataValidation>
    <dataValidation sqref="B8:B107" showDropDown="0" showInputMessage="0" showErrorMessage="1" allowBlank="1" type="list">
      <formula1>L_Account_Types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4" customWidth="1" min="5" max="5"/>
    <col width="12" customWidth="1" min="6" max="6"/>
    <col width="13" customWidth="1" min="7" max="7"/>
    <col width="12" customWidth="1" min="8" max="8"/>
    <col width="15" customWidth="1" min="9" max="9"/>
    <col width="13" customWidth="1" min="10" max="10"/>
    <col width="24" customWidth="1" min="11" max="11"/>
  </cols>
  <sheetData>
    <row r="1" ht="30" customHeight="1">
      <c r="A1" s="1" t="inlineStr">
        <is>
          <t>🎯 Financial Goals &amp; Sinking Funds</t>
        </is>
      </c>
    </row>
    <row r="2" ht="28" customHeight="1">
      <c r="A2" s="2" t="inlineStr">
        <is>
          <t>Unlimited goals with auto % complete, per-paycheck amount and projected completion date.</t>
        </is>
      </c>
    </row>
    <row r="3">
      <c r="A3" s="14" t="inlineStr">
        <is>
          <t>Goal Name</t>
        </is>
      </c>
      <c r="B3" s="14" t="inlineStr">
        <is>
          <t>Goal Type</t>
        </is>
      </c>
      <c r="C3" s="14" t="inlineStr">
        <is>
          <t>Target</t>
        </is>
      </c>
      <c r="D3" s="14" t="inlineStr">
        <is>
          <t>Current Saved</t>
        </is>
      </c>
      <c r="E3" s="14" t="inlineStr">
        <is>
          <t>Monthly Contribution</t>
        </is>
      </c>
      <c r="F3" s="14" t="inlineStr">
        <is>
          <t>Deadline</t>
        </is>
      </c>
      <c r="G3" s="14" t="inlineStr">
        <is>
          <t>Per Paycheck</t>
        </is>
      </c>
      <c r="H3" s="14" t="inlineStr">
        <is>
          <t>% Complete</t>
        </is>
      </c>
      <c r="I3" s="14" t="inlineStr">
        <is>
          <t>Monthly Needed</t>
        </is>
      </c>
      <c r="J3" s="14" t="inlineStr">
        <is>
          <t>Projected Completion</t>
        </is>
      </c>
      <c r="K3" s="14" t="inlineStr">
        <is>
          <t>Notes</t>
        </is>
      </c>
    </row>
    <row r="4">
      <c r="A4" s="15" t="inlineStr">
        <is>
          <t>Emergency Fund</t>
        </is>
      </c>
      <c r="B4" s="15" t="inlineStr">
        <is>
          <t>Emergency Fund</t>
        </is>
      </c>
      <c r="C4" s="19" t="n">
        <v>60000</v>
      </c>
      <c r="D4" s="19" t="n">
        <v>42500</v>
      </c>
      <c r="E4" s="19" t="n">
        <v>500</v>
      </c>
      <c r="F4" s="18" t="n">
        <v>46387</v>
      </c>
      <c r="G4" s="16">
        <f>IF(E4="","",E4/2)</f>
        <v/>
      </c>
      <c r="H4" s="17">
        <f>IF(C4="","",IF(C4=0,"",D4/C4))</f>
        <v/>
      </c>
      <c r="I4" s="16">
        <f>IF(OR(C4="",F4=""),"",IF(D4&gt;=C4,0,IFERROR((C4-D4)/MAX(1,DATEDIF(TODAY(),F4,"m")),"")))</f>
        <v/>
      </c>
      <c r="J4" s="32">
        <f>IF(E4="","",IF(D4&gt;=C4,"Done",IFERROR(EDATE(TODAY(),(C4-D4)/E4),"")))</f>
        <v/>
      </c>
      <c r="K4" s="15" t="inlineStr"/>
    </row>
    <row r="5">
      <c r="A5" s="15" t="inlineStr">
        <is>
          <t>Christmas 2026</t>
        </is>
      </c>
      <c r="B5" s="15" t="inlineStr">
        <is>
          <t>Christmas</t>
        </is>
      </c>
      <c r="C5" s="19" t="n">
        <v>2500</v>
      </c>
      <c r="D5" s="19" t="n">
        <v>900</v>
      </c>
      <c r="E5" s="19" t="n">
        <v>150</v>
      </c>
      <c r="F5" s="18" t="n">
        <v>46387</v>
      </c>
      <c r="G5" s="16">
        <f>IF(E5="","",E5/2)</f>
        <v/>
      </c>
      <c r="H5" s="17">
        <f>IF(C5="","",IF(C5=0,"",D5/C5))</f>
        <v/>
      </c>
      <c r="I5" s="16">
        <f>IF(OR(C5="",F5=""),"",IF(D5&gt;=C5,0,IFERROR((C5-D5)/MAX(1,DATEDIF(TODAY(),F5,"m")),"")))</f>
        <v/>
      </c>
      <c r="J5" s="32">
        <f>IF(E5="","",IF(D5&gt;=C5,"Done",IFERROR(EDATE(TODAY(),(C5-D5)/E5),"")))</f>
        <v/>
      </c>
      <c r="K5" s="15" t="inlineStr"/>
    </row>
    <row r="6">
      <c r="A6" s="15" t="inlineStr">
        <is>
          <t>Family Vacation</t>
        </is>
      </c>
      <c r="B6" s="15" t="inlineStr">
        <is>
          <t>Vacation</t>
        </is>
      </c>
      <c r="C6" s="19" t="n">
        <v>8000</v>
      </c>
      <c r="D6" s="19" t="n">
        <v>2200</v>
      </c>
      <c r="E6" s="19" t="n">
        <v>400</v>
      </c>
      <c r="F6" s="18" t="n">
        <v>46387</v>
      </c>
      <c r="G6" s="16">
        <f>IF(E6="","",E6/2)</f>
        <v/>
      </c>
      <c r="H6" s="17">
        <f>IF(C6="","",IF(C6=0,"",D6/C6))</f>
        <v/>
      </c>
      <c r="I6" s="16">
        <f>IF(OR(C6="",F6=""),"",IF(D6&gt;=C6,0,IFERROR((C6-D6)/MAX(1,DATEDIF(TODAY(),F6,"m")),"")))</f>
        <v/>
      </c>
      <c r="J6" s="32">
        <f>IF(E6="","",IF(D6&gt;=C6,"Done",IFERROR(EDATE(TODAY(),(C6-D6)/E6),"")))</f>
        <v/>
      </c>
      <c r="K6" s="15" t="inlineStr"/>
    </row>
    <row r="7">
      <c r="A7" s="15" t="inlineStr">
        <is>
          <t>New Car Fund</t>
        </is>
      </c>
      <c r="B7" s="15" t="inlineStr">
        <is>
          <t>Major Purchase</t>
        </is>
      </c>
      <c r="C7" s="19" t="n">
        <v>20000</v>
      </c>
      <c r="D7" s="19" t="n">
        <v>5000</v>
      </c>
      <c r="E7" s="19" t="n">
        <v>500</v>
      </c>
      <c r="F7" s="18" t="n">
        <v>46387</v>
      </c>
      <c r="G7" s="16">
        <f>IF(E7="","",E7/2)</f>
        <v/>
      </c>
      <c r="H7" s="17">
        <f>IF(C7="","",IF(C7=0,"",D7/C7))</f>
        <v/>
      </c>
      <c r="I7" s="16">
        <f>IF(OR(C7="",F7=""),"",IF(D7&gt;=C7,0,IFERROR((C7-D7)/MAX(1,DATEDIF(TODAY(),F7,"m")),"")))</f>
        <v/>
      </c>
      <c r="J7" s="32">
        <f>IF(E7="","",IF(D7&gt;=C7,"Done",IFERROR(EDATE(TODAY(),(C7-D7)/E7),"")))</f>
        <v/>
      </c>
      <c r="K7" s="15" t="inlineStr"/>
    </row>
    <row r="8">
      <c r="A8" s="15" t="inlineStr">
        <is>
          <t>Home Renovation</t>
        </is>
      </c>
      <c r="B8" s="15" t="inlineStr">
        <is>
          <t>Home Repairs</t>
        </is>
      </c>
      <c r="C8" s="19" t="n">
        <v>15000</v>
      </c>
      <c r="D8" s="19" t="n">
        <v>3000</v>
      </c>
      <c r="E8" s="19" t="n">
        <v>300</v>
      </c>
      <c r="F8" s="18" t="n">
        <v>46387</v>
      </c>
      <c r="G8" s="16">
        <f>IF(E8="","",E8/2)</f>
        <v/>
      </c>
      <c r="H8" s="17">
        <f>IF(C8="","",IF(C8=0,"",D8/C8))</f>
        <v/>
      </c>
      <c r="I8" s="16">
        <f>IF(OR(C8="",F8=""),"",IF(D8&gt;=C8,0,IFERROR((C8-D8)/MAX(1,DATEDIF(TODAY(),F8,"m")),"")))</f>
        <v/>
      </c>
      <c r="J8" s="32">
        <f>IF(E8="","",IF(D8&gt;=C8,"Done",IFERROR(EDATE(TODAY(),(C8-D8)/E8),"")))</f>
        <v/>
      </c>
      <c r="K8" s="15" t="inlineStr"/>
    </row>
    <row r="9">
      <c r="A9" s="15" t="inlineStr">
        <is>
          <t>College - Child 1</t>
        </is>
      </c>
      <c r="B9" s="15" t="inlineStr">
        <is>
          <t>College</t>
        </is>
      </c>
      <c r="C9" s="19" t="n">
        <v>50000</v>
      </c>
      <c r="D9" s="19" t="n">
        <v>21000</v>
      </c>
      <c r="E9" s="19" t="n">
        <v>300</v>
      </c>
      <c r="F9" s="18" t="n">
        <v>46387</v>
      </c>
      <c r="G9" s="16">
        <f>IF(E9="","",E9/2)</f>
        <v/>
      </c>
      <c r="H9" s="17">
        <f>IF(C9="","",IF(C9=0,"",D9/C9))</f>
        <v/>
      </c>
      <c r="I9" s="16">
        <f>IF(OR(C9="",F9=""),"",IF(D9&gt;=C9,0,IFERROR((C9-D9)/MAX(1,DATEDIF(TODAY(),F9,"m")),"")))</f>
        <v/>
      </c>
      <c r="J9" s="32">
        <f>IF(E9="","",IF(D9&gt;=C9,"Done",IFERROR(EDATE(TODAY(),(C9-D9)/E9),"")))</f>
        <v/>
      </c>
      <c r="K9" s="15" t="inlineStr"/>
    </row>
    <row r="10">
      <c r="A10" s="15" t="n"/>
      <c r="B10" s="15" t="n"/>
      <c r="C10" s="19" t="n"/>
      <c r="D10" s="19" t="n"/>
      <c r="E10" s="19" t="n"/>
      <c r="F10" s="18" t="n"/>
      <c r="G10" s="16">
        <f>IF(E10="","",E10/2)</f>
        <v/>
      </c>
      <c r="H10" s="17">
        <f>IF(C10="","",IF(C10=0,"",D10/C10))</f>
        <v/>
      </c>
      <c r="I10" s="16">
        <f>IF(OR(C10="",F10=""),"",IF(D10&gt;=C10,0,IFERROR((C10-D10)/MAX(1,DATEDIF(TODAY(),F10,"m")),"")))</f>
        <v/>
      </c>
      <c r="J10" s="32">
        <f>IF(E10="","",IF(D10&gt;=C10,"Done",IFERROR(EDATE(TODAY(),(C10-D10)/E10),"")))</f>
        <v/>
      </c>
      <c r="K10" s="21" t="n"/>
    </row>
    <row r="11">
      <c r="A11" s="15" t="n"/>
      <c r="B11" s="15" t="n"/>
      <c r="C11" s="19" t="n"/>
      <c r="D11" s="19" t="n"/>
      <c r="E11" s="19" t="n"/>
      <c r="F11" s="18" t="n"/>
      <c r="G11" s="16">
        <f>IF(E11="","",E11/2)</f>
        <v/>
      </c>
      <c r="H11" s="17">
        <f>IF(C11="","",IF(C11=0,"",D11/C11))</f>
        <v/>
      </c>
      <c r="I11" s="16">
        <f>IF(OR(C11="",F11=""),"",IF(D11&gt;=C11,0,IFERROR((C11-D11)/MAX(1,DATEDIF(TODAY(),F11,"m")),"")))</f>
        <v/>
      </c>
      <c r="J11" s="32">
        <f>IF(E11="","",IF(D11&gt;=C11,"Done",IFERROR(EDATE(TODAY(),(C11-D11)/E11),"")))</f>
        <v/>
      </c>
      <c r="K11" s="21" t="n"/>
    </row>
    <row r="12">
      <c r="A12" s="15" t="n"/>
      <c r="B12" s="15" t="n"/>
      <c r="C12" s="19" t="n"/>
      <c r="D12" s="19" t="n"/>
      <c r="E12" s="19" t="n"/>
      <c r="F12" s="18" t="n"/>
      <c r="G12" s="16">
        <f>IF(E12="","",E12/2)</f>
        <v/>
      </c>
      <c r="H12" s="17">
        <f>IF(C12="","",IF(C12=0,"",D12/C12))</f>
        <v/>
      </c>
      <c r="I12" s="16">
        <f>IF(OR(C12="",F12=""),"",IF(D12&gt;=C12,0,IFERROR((C12-D12)/MAX(1,DATEDIF(TODAY(),F12,"m")),"")))</f>
        <v/>
      </c>
      <c r="J12" s="32">
        <f>IF(E12="","",IF(D12&gt;=C12,"Done",IFERROR(EDATE(TODAY(),(C12-D12)/E12),"")))</f>
        <v/>
      </c>
      <c r="K12" s="21" t="n"/>
    </row>
    <row r="13">
      <c r="A13" s="15" t="n"/>
      <c r="B13" s="15" t="n"/>
      <c r="C13" s="19" t="n"/>
      <c r="D13" s="19" t="n"/>
      <c r="E13" s="19" t="n"/>
      <c r="F13" s="18" t="n"/>
      <c r="G13" s="16">
        <f>IF(E13="","",E13/2)</f>
        <v/>
      </c>
      <c r="H13" s="17">
        <f>IF(C13="","",IF(C13=0,"",D13/C13))</f>
        <v/>
      </c>
      <c r="I13" s="16">
        <f>IF(OR(C13="",F13=""),"",IF(D13&gt;=C13,0,IFERROR((C13-D13)/MAX(1,DATEDIF(TODAY(),F13,"m")),"")))</f>
        <v/>
      </c>
      <c r="J13" s="32">
        <f>IF(E13="","",IF(D13&gt;=C13,"Done",IFERROR(EDATE(TODAY(),(C13-D13)/E13),"")))</f>
        <v/>
      </c>
      <c r="K13" s="21" t="n"/>
    </row>
    <row r="14">
      <c r="A14" s="15" t="n"/>
      <c r="B14" s="15" t="n"/>
      <c r="C14" s="19" t="n"/>
      <c r="D14" s="19" t="n"/>
      <c r="E14" s="19" t="n"/>
      <c r="F14" s="18" t="n"/>
      <c r="G14" s="16">
        <f>IF(E14="","",E14/2)</f>
        <v/>
      </c>
      <c r="H14" s="17">
        <f>IF(C14="","",IF(C14=0,"",D14/C14))</f>
        <v/>
      </c>
      <c r="I14" s="16">
        <f>IF(OR(C14="",F14=""),"",IF(D14&gt;=C14,0,IFERROR((C14-D14)/MAX(1,DATEDIF(TODAY(),F14,"m")),"")))</f>
        <v/>
      </c>
      <c r="J14" s="32">
        <f>IF(E14="","",IF(D14&gt;=C14,"Done",IFERROR(EDATE(TODAY(),(C14-D14)/E14),"")))</f>
        <v/>
      </c>
      <c r="K14" s="21" t="n"/>
    </row>
    <row r="15">
      <c r="A15" s="15" t="n"/>
      <c r="B15" s="15" t="n"/>
      <c r="C15" s="19" t="n"/>
      <c r="D15" s="19" t="n"/>
      <c r="E15" s="19" t="n"/>
      <c r="F15" s="18" t="n"/>
      <c r="G15" s="16">
        <f>IF(E15="","",E15/2)</f>
        <v/>
      </c>
      <c r="H15" s="17">
        <f>IF(C15="","",IF(C15=0,"",D15/C15))</f>
        <v/>
      </c>
      <c r="I15" s="16">
        <f>IF(OR(C15="",F15=""),"",IF(D15&gt;=C15,0,IFERROR((C15-D15)/MAX(1,DATEDIF(TODAY(),F15,"m")),"")))</f>
        <v/>
      </c>
      <c r="J15" s="32">
        <f>IF(E15="","",IF(D15&gt;=C15,"Done",IFERROR(EDATE(TODAY(),(C15-D15)/E15),"")))</f>
        <v/>
      </c>
      <c r="K15" s="21" t="n"/>
    </row>
    <row r="16">
      <c r="A16" s="15" t="n"/>
      <c r="B16" s="15" t="n"/>
      <c r="C16" s="19" t="n"/>
      <c r="D16" s="19" t="n"/>
      <c r="E16" s="19" t="n"/>
      <c r="F16" s="18" t="n"/>
      <c r="G16" s="16">
        <f>IF(E16="","",E16/2)</f>
        <v/>
      </c>
      <c r="H16" s="17">
        <f>IF(C16="","",IF(C16=0,"",D16/C16))</f>
        <v/>
      </c>
      <c r="I16" s="16">
        <f>IF(OR(C16="",F16=""),"",IF(D16&gt;=C16,0,IFERROR((C16-D16)/MAX(1,DATEDIF(TODAY(),F16,"m")),"")))</f>
        <v/>
      </c>
      <c r="J16" s="32">
        <f>IF(E16="","",IF(D16&gt;=C16,"Done",IFERROR(EDATE(TODAY(),(C16-D16)/E16),"")))</f>
        <v/>
      </c>
      <c r="K16" s="21" t="n"/>
    </row>
    <row r="17">
      <c r="A17" s="15" t="n"/>
      <c r="B17" s="15" t="n"/>
      <c r="C17" s="19" t="n"/>
      <c r="D17" s="19" t="n"/>
      <c r="E17" s="19" t="n"/>
      <c r="F17" s="18" t="n"/>
      <c r="G17" s="16">
        <f>IF(E17="","",E17/2)</f>
        <v/>
      </c>
      <c r="H17" s="17">
        <f>IF(C17="","",IF(C17=0,"",D17/C17))</f>
        <v/>
      </c>
      <c r="I17" s="16">
        <f>IF(OR(C17="",F17=""),"",IF(D17&gt;=C17,0,IFERROR((C17-D17)/MAX(1,DATEDIF(TODAY(),F17,"m")),"")))</f>
        <v/>
      </c>
      <c r="J17" s="32">
        <f>IF(E17="","",IF(D17&gt;=C17,"Done",IFERROR(EDATE(TODAY(),(C17-D17)/E17),"")))</f>
        <v/>
      </c>
      <c r="K17" s="21" t="n"/>
    </row>
    <row r="18">
      <c r="A18" s="15" t="n"/>
      <c r="B18" s="15" t="n"/>
      <c r="C18" s="19" t="n"/>
      <c r="D18" s="19" t="n"/>
      <c r="E18" s="19" t="n"/>
      <c r="F18" s="18" t="n"/>
      <c r="G18" s="16">
        <f>IF(E18="","",E18/2)</f>
        <v/>
      </c>
      <c r="H18" s="17">
        <f>IF(C18="","",IF(C18=0,"",D18/C18))</f>
        <v/>
      </c>
      <c r="I18" s="16">
        <f>IF(OR(C18="",F18=""),"",IF(D18&gt;=C18,0,IFERROR((C18-D18)/MAX(1,DATEDIF(TODAY(),F18,"m")),"")))</f>
        <v/>
      </c>
      <c r="J18" s="32">
        <f>IF(E18="","",IF(D18&gt;=C18,"Done",IFERROR(EDATE(TODAY(),(C18-D18)/E18),"")))</f>
        <v/>
      </c>
      <c r="K18" s="21" t="n"/>
    </row>
    <row r="19">
      <c r="A19" s="15" t="n"/>
      <c r="B19" s="15" t="n"/>
      <c r="C19" s="19" t="n"/>
      <c r="D19" s="19" t="n"/>
      <c r="E19" s="19" t="n"/>
      <c r="F19" s="18" t="n"/>
      <c r="G19" s="16">
        <f>IF(E19="","",E19/2)</f>
        <v/>
      </c>
      <c r="H19" s="17">
        <f>IF(C19="","",IF(C19=0,"",D19/C19))</f>
        <v/>
      </c>
      <c r="I19" s="16">
        <f>IF(OR(C19="",F19=""),"",IF(D19&gt;=C19,0,IFERROR((C19-D19)/MAX(1,DATEDIF(TODAY(),F19,"m")),"")))</f>
        <v/>
      </c>
      <c r="J19" s="32">
        <f>IF(E19="","",IF(D19&gt;=C19,"Done",IFERROR(EDATE(TODAY(),(C19-D19)/E19),"")))</f>
        <v/>
      </c>
      <c r="K19" s="21" t="n"/>
    </row>
    <row r="20">
      <c r="A20" s="15" t="n"/>
      <c r="B20" s="15" t="n"/>
      <c r="C20" s="19" t="n"/>
      <c r="D20" s="19" t="n"/>
      <c r="E20" s="19" t="n"/>
      <c r="F20" s="18" t="n"/>
      <c r="G20" s="16">
        <f>IF(E20="","",E20/2)</f>
        <v/>
      </c>
      <c r="H20" s="17">
        <f>IF(C20="","",IF(C20=0,"",D20/C20))</f>
        <v/>
      </c>
      <c r="I20" s="16">
        <f>IF(OR(C20="",F20=""),"",IF(D20&gt;=C20,0,IFERROR((C20-D20)/MAX(1,DATEDIF(TODAY(),F20,"m")),"")))</f>
        <v/>
      </c>
      <c r="J20" s="32">
        <f>IF(E20="","",IF(D20&gt;=C20,"Done",IFERROR(EDATE(TODAY(),(C20-D20)/E20),"")))</f>
        <v/>
      </c>
      <c r="K20" s="21" t="n"/>
    </row>
    <row r="21">
      <c r="A21" s="15" t="n"/>
      <c r="B21" s="15" t="n"/>
      <c r="C21" s="19" t="n"/>
      <c r="D21" s="19" t="n"/>
      <c r="E21" s="19" t="n"/>
      <c r="F21" s="18" t="n"/>
      <c r="G21" s="16">
        <f>IF(E21="","",E21/2)</f>
        <v/>
      </c>
      <c r="H21" s="17">
        <f>IF(C21="","",IF(C21=0,"",D21/C21))</f>
        <v/>
      </c>
      <c r="I21" s="16">
        <f>IF(OR(C21="",F21=""),"",IF(D21&gt;=C21,0,IFERROR((C21-D21)/MAX(1,DATEDIF(TODAY(),F21,"m")),"")))</f>
        <v/>
      </c>
      <c r="J21" s="32">
        <f>IF(E21="","",IF(D21&gt;=C21,"Done",IFERROR(EDATE(TODAY(),(C21-D21)/E21),"")))</f>
        <v/>
      </c>
      <c r="K21" s="21" t="n"/>
    </row>
    <row r="22">
      <c r="A22" s="15" t="n"/>
      <c r="B22" s="15" t="n"/>
      <c r="C22" s="19" t="n"/>
      <c r="D22" s="19" t="n"/>
      <c r="E22" s="19" t="n"/>
      <c r="F22" s="18" t="n"/>
      <c r="G22" s="16">
        <f>IF(E22="","",E22/2)</f>
        <v/>
      </c>
      <c r="H22" s="17">
        <f>IF(C22="","",IF(C22=0,"",D22/C22))</f>
        <v/>
      </c>
      <c r="I22" s="16">
        <f>IF(OR(C22="",F22=""),"",IF(D22&gt;=C22,0,IFERROR((C22-D22)/MAX(1,DATEDIF(TODAY(),F22,"m")),"")))</f>
        <v/>
      </c>
      <c r="J22" s="32">
        <f>IF(E22="","",IF(D22&gt;=C22,"Done",IFERROR(EDATE(TODAY(),(C22-D22)/E22),"")))</f>
        <v/>
      </c>
      <c r="K22" s="21" t="n"/>
    </row>
    <row r="23">
      <c r="A23" s="15" t="n"/>
      <c r="B23" s="15" t="n"/>
      <c r="C23" s="19" t="n"/>
      <c r="D23" s="19" t="n"/>
      <c r="E23" s="19" t="n"/>
      <c r="F23" s="18" t="n"/>
      <c r="G23" s="16">
        <f>IF(E23="","",E23/2)</f>
        <v/>
      </c>
      <c r="H23" s="17">
        <f>IF(C23="","",IF(C23=0,"",D23/C23))</f>
        <v/>
      </c>
      <c r="I23" s="16">
        <f>IF(OR(C23="",F23=""),"",IF(D23&gt;=C23,0,IFERROR((C23-D23)/MAX(1,DATEDIF(TODAY(),F23,"m")),"")))</f>
        <v/>
      </c>
      <c r="J23" s="32">
        <f>IF(E23="","",IF(D23&gt;=C23,"Done",IFERROR(EDATE(TODAY(),(C23-D23)/E23),"")))</f>
        <v/>
      </c>
      <c r="K23" s="21" t="n"/>
    </row>
    <row r="24">
      <c r="A24" s="15" t="n"/>
      <c r="B24" s="15" t="n"/>
      <c r="C24" s="19" t="n"/>
      <c r="D24" s="19" t="n"/>
      <c r="E24" s="19" t="n"/>
      <c r="F24" s="18" t="n"/>
      <c r="G24" s="16">
        <f>IF(E24="","",E24/2)</f>
        <v/>
      </c>
      <c r="H24" s="17">
        <f>IF(C24="","",IF(C24=0,"",D24/C24))</f>
        <v/>
      </c>
      <c r="I24" s="16">
        <f>IF(OR(C24="",F24=""),"",IF(D24&gt;=C24,0,IFERROR((C24-D24)/MAX(1,DATEDIF(TODAY(),F24,"m")),"")))</f>
        <v/>
      </c>
      <c r="J24" s="32">
        <f>IF(E24="","",IF(D24&gt;=C24,"Done",IFERROR(EDATE(TODAY(),(C24-D24)/E24),"")))</f>
        <v/>
      </c>
      <c r="K24" s="21" t="n"/>
    </row>
    <row r="25">
      <c r="A25" s="15" t="n"/>
      <c r="B25" s="15" t="n"/>
      <c r="C25" s="19" t="n"/>
      <c r="D25" s="19" t="n"/>
      <c r="E25" s="19" t="n"/>
      <c r="F25" s="18" t="n"/>
      <c r="G25" s="16">
        <f>IF(E25="","",E25/2)</f>
        <v/>
      </c>
      <c r="H25" s="17">
        <f>IF(C25="","",IF(C25=0,"",D25/C25))</f>
        <v/>
      </c>
      <c r="I25" s="16">
        <f>IF(OR(C25="",F25=""),"",IF(D25&gt;=C25,0,IFERROR((C25-D25)/MAX(1,DATEDIF(TODAY(),F25,"m")),"")))</f>
        <v/>
      </c>
      <c r="J25" s="32">
        <f>IF(E25="","",IF(D25&gt;=C25,"Done",IFERROR(EDATE(TODAY(),(C25-D25)/E25),"")))</f>
        <v/>
      </c>
      <c r="K25" s="21" t="n"/>
    </row>
    <row r="26">
      <c r="A26" s="15" t="n"/>
      <c r="B26" s="15" t="n"/>
      <c r="C26" s="19" t="n"/>
      <c r="D26" s="19" t="n"/>
      <c r="E26" s="19" t="n"/>
      <c r="F26" s="18" t="n"/>
      <c r="G26" s="16">
        <f>IF(E26="","",E26/2)</f>
        <v/>
      </c>
      <c r="H26" s="17">
        <f>IF(C26="","",IF(C26=0,"",D26/C26))</f>
        <v/>
      </c>
      <c r="I26" s="16">
        <f>IF(OR(C26="",F26=""),"",IF(D26&gt;=C26,0,IFERROR((C26-D26)/MAX(1,DATEDIF(TODAY(),F26,"m")),"")))</f>
        <v/>
      </c>
      <c r="J26" s="32">
        <f>IF(E26="","",IF(D26&gt;=C26,"Done",IFERROR(EDATE(TODAY(),(C26-D26)/E26),"")))</f>
        <v/>
      </c>
      <c r="K26" s="21" t="n"/>
    </row>
    <row r="27">
      <c r="A27" s="15" t="n"/>
      <c r="B27" s="15" t="n"/>
      <c r="C27" s="19" t="n"/>
      <c r="D27" s="19" t="n"/>
      <c r="E27" s="19" t="n"/>
      <c r="F27" s="18" t="n"/>
      <c r="G27" s="16">
        <f>IF(E27="","",E27/2)</f>
        <v/>
      </c>
      <c r="H27" s="17">
        <f>IF(C27="","",IF(C27=0,"",D27/C27))</f>
        <v/>
      </c>
      <c r="I27" s="16">
        <f>IF(OR(C27="",F27=""),"",IF(D27&gt;=C27,0,IFERROR((C27-D27)/MAX(1,DATEDIF(TODAY(),F27,"m")),"")))</f>
        <v/>
      </c>
      <c r="J27" s="32">
        <f>IF(E27="","",IF(D27&gt;=C27,"Done",IFERROR(EDATE(TODAY(),(C27-D27)/E27),"")))</f>
        <v/>
      </c>
      <c r="K27" s="21" t="n"/>
    </row>
    <row r="28">
      <c r="A28" s="15" t="n"/>
      <c r="B28" s="15" t="n"/>
      <c r="C28" s="19" t="n"/>
      <c r="D28" s="19" t="n"/>
      <c r="E28" s="19" t="n"/>
      <c r="F28" s="18" t="n"/>
      <c r="G28" s="16">
        <f>IF(E28="","",E28/2)</f>
        <v/>
      </c>
      <c r="H28" s="17">
        <f>IF(C28="","",IF(C28=0,"",D28/C28))</f>
        <v/>
      </c>
      <c r="I28" s="16">
        <f>IF(OR(C28="",F28=""),"",IF(D28&gt;=C28,0,IFERROR((C28-D28)/MAX(1,DATEDIF(TODAY(),F28,"m")),"")))</f>
        <v/>
      </c>
      <c r="J28" s="32">
        <f>IF(E28="","",IF(D28&gt;=C28,"Done",IFERROR(EDATE(TODAY(),(C28-D28)/E28),"")))</f>
        <v/>
      </c>
      <c r="K28" s="21" t="n"/>
    </row>
    <row r="29">
      <c r="A29" s="15" t="n"/>
      <c r="B29" s="15" t="n"/>
      <c r="C29" s="19" t="n"/>
      <c r="D29" s="19" t="n"/>
      <c r="E29" s="19" t="n"/>
      <c r="F29" s="18" t="n"/>
      <c r="G29" s="16">
        <f>IF(E29="","",E29/2)</f>
        <v/>
      </c>
      <c r="H29" s="17">
        <f>IF(C29="","",IF(C29=0,"",D29/C29))</f>
        <v/>
      </c>
      <c r="I29" s="16">
        <f>IF(OR(C29="",F29=""),"",IF(D29&gt;=C29,0,IFERROR((C29-D29)/MAX(1,DATEDIF(TODAY(),F29,"m")),"")))</f>
        <v/>
      </c>
      <c r="J29" s="32">
        <f>IF(E29="","",IF(D29&gt;=C29,"Done",IFERROR(EDATE(TODAY(),(C29-D29)/E29),"")))</f>
        <v/>
      </c>
      <c r="K29" s="21" t="n"/>
    </row>
    <row r="30">
      <c r="A30" s="15" t="n"/>
      <c r="B30" s="15" t="n"/>
      <c r="C30" s="19" t="n"/>
      <c r="D30" s="19" t="n"/>
      <c r="E30" s="19" t="n"/>
      <c r="F30" s="18" t="n"/>
      <c r="G30" s="16">
        <f>IF(E30="","",E30/2)</f>
        <v/>
      </c>
      <c r="H30" s="17">
        <f>IF(C30="","",IF(C30=0,"",D30/C30))</f>
        <v/>
      </c>
      <c r="I30" s="16">
        <f>IF(OR(C30="",F30=""),"",IF(D30&gt;=C30,0,IFERROR((C30-D30)/MAX(1,DATEDIF(TODAY(),F30,"m")),"")))</f>
        <v/>
      </c>
      <c r="J30" s="32">
        <f>IF(E30="","",IF(D30&gt;=C30,"Done",IFERROR(EDATE(TODAY(),(C30-D30)/E30),"")))</f>
        <v/>
      </c>
      <c r="K30" s="21" t="n"/>
    </row>
    <row r="31">
      <c r="A31" s="15" t="n"/>
      <c r="B31" s="15" t="n"/>
      <c r="C31" s="19" t="n"/>
      <c r="D31" s="19" t="n"/>
      <c r="E31" s="19" t="n"/>
      <c r="F31" s="18" t="n"/>
      <c r="G31" s="16">
        <f>IF(E31="","",E31/2)</f>
        <v/>
      </c>
      <c r="H31" s="17">
        <f>IF(C31="","",IF(C31=0,"",D31/C31))</f>
        <v/>
      </c>
      <c r="I31" s="16">
        <f>IF(OR(C31="",F31=""),"",IF(D31&gt;=C31,0,IFERROR((C31-D31)/MAX(1,DATEDIF(TODAY(),F31,"m")),"")))</f>
        <v/>
      </c>
      <c r="J31" s="32">
        <f>IF(E31="","",IF(D31&gt;=C31,"Done",IFERROR(EDATE(TODAY(),(C31-D31)/E31),"")))</f>
        <v/>
      </c>
      <c r="K31" s="21" t="n"/>
    </row>
    <row r="32">
      <c r="A32" s="15" t="n"/>
      <c r="B32" s="15" t="n"/>
      <c r="C32" s="19" t="n"/>
      <c r="D32" s="19" t="n"/>
      <c r="E32" s="19" t="n"/>
      <c r="F32" s="18" t="n"/>
      <c r="G32" s="16">
        <f>IF(E32="","",E32/2)</f>
        <v/>
      </c>
      <c r="H32" s="17">
        <f>IF(C32="","",IF(C32=0,"",D32/C32))</f>
        <v/>
      </c>
      <c r="I32" s="16">
        <f>IF(OR(C32="",F32=""),"",IF(D32&gt;=C32,0,IFERROR((C32-D32)/MAX(1,DATEDIF(TODAY(),F32,"m")),"")))</f>
        <v/>
      </c>
      <c r="J32" s="32">
        <f>IF(E32="","",IF(D32&gt;=C32,"Done",IFERROR(EDATE(TODAY(),(C32-D32)/E32),"")))</f>
        <v/>
      </c>
      <c r="K32" s="21" t="n"/>
    </row>
    <row r="33">
      <c r="A33" s="15" t="n"/>
      <c r="B33" s="15" t="n"/>
      <c r="C33" s="19" t="n"/>
      <c r="D33" s="19" t="n"/>
      <c r="E33" s="19" t="n"/>
      <c r="F33" s="18" t="n"/>
      <c r="G33" s="16">
        <f>IF(E33="","",E33/2)</f>
        <v/>
      </c>
      <c r="H33" s="17">
        <f>IF(C33="","",IF(C33=0,"",D33/C33))</f>
        <v/>
      </c>
      <c r="I33" s="16">
        <f>IF(OR(C33="",F33=""),"",IF(D33&gt;=C33,0,IFERROR((C33-D33)/MAX(1,DATEDIF(TODAY(),F33,"m")),"")))</f>
        <v/>
      </c>
      <c r="J33" s="32">
        <f>IF(E33="","",IF(D33&gt;=C33,"Done",IFERROR(EDATE(TODAY(),(C33-D33)/E33),"")))</f>
        <v/>
      </c>
      <c r="K33" s="21" t="n"/>
    </row>
    <row r="34">
      <c r="A34" s="15" t="n"/>
      <c r="B34" s="15" t="n"/>
      <c r="C34" s="19" t="n"/>
      <c r="D34" s="19" t="n"/>
      <c r="E34" s="19" t="n"/>
      <c r="F34" s="18" t="n"/>
      <c r="G34" s="16">
        <f>IF(E34="","",E34/2)</f>
        <v/>
      </c>
      <c r="H34" s="17">
        <f>IF(C34="","",IF(C34=0,"",D34/C34))</f>
        <v/>
      </c>
      <c r="I34" s="16">
        <f>IF(OR(C34="",F34=""),"",IF(D34&gt;=C34,0,IFERROR((C34-D34)/MAX(1,DATEDIF(TODAY(),F34,"m")),"")))</f>
        <v/>
      </c>
      <c r="J34" s="32">
        <f>IF(E34="","",IF(D34&gt;=C34,"Done",IFERROR(EDATE(TODAY(),(C34-D34)/E34),"")))</f>
        <v/>
      </c>
      <c r="K34" s="21" t="n"/>
    </row>
    <row r="35">
      <c r="A35" s="15" t="n"/>
      <c r="B35" s="15" t="n"/>
      <c r="C35" s="19" t="n"/>
      <c r="D35" s="19" t="n"/>
      <c r="E35" s="19" t="n"/>
      <c r="F35" s="18" t="n"/>
      <c r="G35" s="16">
        <f>IF(E35="","",E35/2)</f>
        <v/>
      </c>
      <c r="H35" s="17">
        <f>IF(C35="","",IF(C35=0,"",D35/C35))</f>
        <v/>
      </c>
      <c r="I35" s="16">
        <f>IF(OR(C35="",F35=""),"",IF(D35&gt;=C35,0,IFERROR((C35-D35)/MAX(1,DATEDIF(TODAY(),F35,"m")),"")))</f>
        <v/>
      </c>
      <c r="J35" s="32">
        <f>IF(E35="","",IF(D35&gt;=C35,"Done",IFERROR(EDATE(TODAY(),(C35-D35)/E35),"")))</f>
        <v/>
      </c>
      <c r="K35" s="21" t="n"/>
    </row>
    <row r="36">
      <c r="A36" s="15" t="n"/>
      <c r="B36" s="15" t="n"/>
      <c r="C36" s="19" t="n"/>
      <c r="D36" s="19" t="n"/>
      <c r="E36" s="19" t="n"/>
      <c r="F36" s="18" t="n"/>
      <c r="G36" s="16">
        <f>IF(E36="","",E36/2)</f>
        <v/>
      </c>
      <c r="H36" s="17">
        <f>IF(C36="","",IF(C36=0,"",D36/C36))</f>
        <v/>
      </c>
      <c r="I36" s="16">
        <f>IF(OR(C36="",F36=""),"",IF(D36&gt;=C36,0,IFERROR((C36-D36)/MAX(1,DATEDIF(TODAY(),F36,"m")),"")))</f>
        <v/>
      </c>
      <c r="J36" s="32">
        <f>IF(E36="","",IF(D36&gt;=C36,"Done",IFERROR(EDATE(TODAY(),(C36-D36)/E36),"")))</f>
        <v/>
      </c>
      <c r="K36" s="21" t="n"/>
    </row>
    <row r="37">
      <c r="A37" s="15" t="n"/>
      <c r="B37" s="15" t="n"/>
      <c r="C37" s="19" t="n"/>
      <c r="D37" s="19" t="n"/>
      <c r="E37" s="19" t="n"/>
      <c r="F37" s="18" t="n"/>
      <c r="G37" s="16">
        <f>IF(E37="","",E37/2)</f>
        <v/>
      </c>
      <c r="H37" s="17">
        <f>IF(C37="","",IF(C37=0,"",D37/C37))</f>
        <v/>
      </c>
      <c r="I37" s="16">
        <f>IF(OR(C37="",F37=""),"",IF(D37&gt;=C37,0,IFERROR((C37-D37)/MAX(1,DATEDIF(TODAY(),F37,"m")),"")))</f>
        <v/>
      </c>
      <c r="J37" s="32">
        <f>IF(E37="","",IF(D37&gt;=C37,"Done",IFERROR(EDATE(TODAY(),(C37-D37)/E37),"")))</f>
        <v/>
      </c>
      <c r="K37" s="21" t="n"/>
    </row>
    <row r="38">
      <c r="A38" s="15" t="n"/>
      <c r="B38" s="15" t="n"/>
      <c r="C38" s="19" t="n"/>
      <c r="D38" s="19" t="n"/>
      <c r="E38" s="19" t="n"/>
      <c r="F38" s="18" t="n"/>
      <c r="G38" s="16">
        <f>IF(E38="","",E38/2)</f>
        <v/>
      </c>
      <c r="H38" s="17">
        <f>IF(C38="","",IF(C38=0,"",D38/C38))</f>
        <v/>
      </c>
      <c r="I38" s="16">
        <f>IF(OR(C38="",F38=""),"",IF(D38&gt;=C38,0,IFERROR((C38-D38)/MAX(1,DATEDIF(TODAY(),F38,"m")),"")))</f>
        <v/>
      </c>
      <c r="J38" s="32">
        <f>IF(E38="","",IF(D38&gt;=C38,"Done",IFERROR(EDATE(TODAY(),(C38-D38)/E38),"")))</f>
        <v/>
      </c>
      <c r="K38" s="21" t="n"/>
    </row>
    <row r="39">
      <c r="A39" s="15" t="n"/>
      <c r="B39" s="15" t="n"/>
      <c r="C39" s="19" t="n"/>
      <c r="D39" s="19" t="n"/>
      <c r="E39" s="19" t="n"/>
      <c r="F39" s="18" t="n"/>
      <c r="G39" s="16">
        <f>IF(E39="","",E39/2)</f>
        <v/>
      </c>
      <c r="H39" s="17">
        <f>IF(C39="","",IF(C39=0,"",D39/C39))</f>
        <v/>
      </c>
      <c r="I39" s="16">
        <f>IF(OR(C39="",F39=""),"",IF(D39&gt;=C39,0,IFERROR((C39-D39)/MAX(1,DATEDIF(TODAY(),F39,"m")),"")))</f>
        <v/>
      </c>
      <c r="J39" s="32">
        <f>IF(E39="","",IF(D39&gt;=C39,"Done",IFERROR(EDATE(TODAY(),(C39-D39)/E39),"")))</f>
        <v/>
      </c>
      <c r="K39" s="21" t="n"/>
    </row>
    <row r="40">
      <c r="A40" s="15" t="n"/>
      <c r="B40" s="15" t="n"/>
      <c r="C40" s="19" t="n"/>
      <c r="D40" s="19" t="n"/>
      <c r="E40" s="19" t="n"/>
      <c r="F40" s="18" t="n"/>
      <c r="G40" s="16">
        <f>IF(E40="","",E40/2)</f>
        <v/>
      </c>
      <c r="H40" s="17">
        <f>IF(C40="","",IF(C40=0,"",D40/C40))</f>
        <v/>
      </c>
      <c r="I40" s="16">
        <f>IF(OR(C40="",F40=""),"",IF(D40&gt;=C40,0,IFERROR((C40-D40)/MAX(1,DATEDIF(TODAY(),F40,"m")),"")))</f>
        <v/>
      </c>
      <c r="J40" s="32">
        <f>IF(E40="","",IF(D40&gt;=C40,"Done",IFERROR(EDATE(TODAY(),(C40-D40)/E40),"")))</f>
        <v/>
      </c>
      <c r="K40" s="21" t="n"/>
    </row>
    <row r="41">
      <c r="A41" s="15" t="n"/>
      <c r="B41" s="15" t="n"/>
      <c r="C41" s="19" t="n"/>
      <c r="D41" s="19" t="n"/>
      <c r="E41" s="19" t="n"/>
      <c r="F41" s="18" t="n"/>
      <c r="G41" s="16">
        <f>IF(E41="","",E41/2)</f>
        <v/>
      </c>
      <c r="H41" s="17">
        <f>IF(C41="","",IF(C41=0,"",D41/C41))</f>
        <v/>
      </c>
      <c r="I41" s="16">
        <f>IF(OR(C41="",F41=""),"",IF(D41&gt;=C41,0,IFERROR((C41-D41)/MAX(1,DATEDIF(TODAY(),F41,"m")),"")))</f>
        <v/>
      </c>
      <c r="J41" s="32">
        <f>IF(E41="","",IF(D41&gt;=C41,"Done",IFERROR(EDATE(TODAY(),(C41-D41)/E41),"")))</f>
        <v/>
      </c>
      <c r="K41" s="21" t="n"/>
    </row>
    <row r="42">
      <c r="A42" s="15" t="n"/>
      <c r="B42" s="15" t="n"/>
      <c r="C42" s="19" t="n"/>
      <c r="D42" s="19" t="n"/>
      <c r="E42" s="19" t="n"/>
      <c r="F42" s="18" t="n"/>
      <c r="G42" s="16">
        <f>IF(E42="","",E42/2)</f>
        <v/>
      </c>
      <c r="H42" s="17">
        <f>IF(C42="","",IF(C42=0,"",D42/C42))</f>
        <v/>
      </c>
      <c r="I42" s="16">
        <f>IF(OR(C42="",F42=""),"",IF(D42&gt;=C42,0,IFERROR((C42-D42)/MAX(1,DATEDIF(TODAY(),F42,"m")),"")))</f>
        <v/>
      </c>
      <c r="J42" s="32">
        <f>IF(E42="","",IF(D42&gt;=C42,"Done",IFERROR(EDATE(TODAY(),(C42-D42)/E42),"")))</f>
        <v/>
      </c>
      <c r="K42" s="21" t="n"/>
    </row>
    <row r="43">
      <c r="A43" s="15" t="n"/>
      <c r="B43" s="15" t="n"/>
      <c r="C43" s="19" t="n"/>
      <c r="D43" s="19" t="n"/>
      <c r="E43" s="19" t="n"/>
      <c r="F43" s="18" t="n"/>
      <c r="G43" s="16">
        <f>IF(E43="","",E43/2)</f>
        <v/>
      </c>
      <c r="H43" s="17">
        <f>IF(C43="","",IF(C43=0,"",D43/C43))</f>
        <v/>
      </c>
      <c r="I43" s="16">
        <f>IF(OR(C43="",F43=""),"",IF(D43&gt;=C43,0,IFERROR((C43-D43)/MAX(1,DATEDIF(TODAY(),F43,"m")),"")))</f>
        <v/>
      </c>
      <c r="J43" s="32">
        <f>IF(E43="","",IF(D43&gt;=C43,"Done",IFERROR(EDATE(TODAY(),(C43-D43)/E43),"")))</f>
        <v/>
      </c>
      <c r="K43" s="21" t="n"/>
    </row>
    <row r="44">
      <c r="A44" s="15" t="n"/>
      <c r="B44" s="15" t="n"/>
      <c r="C44" s="19" t="n"/>
      <c r="D44" s="19" t="n"/>
      <c r="E44" s="19" t="n"/>
      <c r="F44" s="18" t="n"/>
      <c r="G44" s="16">
        <f>IF(E44="","",E44/2)</f>
        <v/>
      </c>
      <c r="H44" s="17">
        <f>IF(C44="","",IF(C44=0,"",D44/C44))</f>
        <v/>
      </c>
      <c r="I44" s="16">
        <f>IF(OR(C44="",F44=""),"",IF(D44&gt;=C44,0,IFERROR((C44-D44)/MAX(1,DATEDIF(TODAY(),F44,"m")),"")))</f>
        <v/>
      </c>
      <c r="J44" s="32">
        <f>IF(E44="","",IF(D44&gt;=C44,"Done",IFERROR(EDATE(TODAY(),(C44-D44)/E44),"")))</f>
        <v/>
      </c>
      <c r="K44" s="21" t="n"/>
    </row>
    <row r="45">
      <c r="A45" s="15" t="n"/>
      <c r="B45" s="15" t="n"/>
      <c r="C45" s="19" t="n"/>
      <c r="D45" s="19" t="n"/>
      <c r="E45" s="19" t="n"/>
      <c r="F45" s="18" t="n"/>
      <c r="G45" s="16">
        <f>IF(E45="","",E45/2)</f>
        <v/>
      </c>
      <c r="H45" s="17">
        <f>IF(C45="","",IF(C45=0,"",D45/C45))</f>
        <v/>
      </c>
      <c r="I45" s="16">
        <f>IF(OR(C45="",F45=""),"",IF(D45&gt;=C45,0,IFERROR((C45-D45)/MAX(1,DATEDIF(TODAY(),F45,"m")),"")))</f>
        <v/>
      </c>
      <c r="J45" s="32">
        <f>IF(E45="","",IF(D45&gt;=C45,"Done",IFERROR(EDATE(TODAY(),(C45-D45)/E45),"")))</f>
        <v/>
      </c>
      <c r="K45" s="21" t="n"/>
    </row>
    <row r="46">
      <c r="A46" s="15" t="n"/>
      <c r="B46" s="15" t="n"/>
      <c r="C46" s="19" t="n"/>
      <c r="D46" s="19" t="n"/>
      <c r="E46" s="19" t="n"/>
      <c r="F46" s="18" t="n"/>
      <c r="G46" s="16">
        <f>IF(E46="","",E46/2)</f>
        <v/>
      </c>
      <c r="H46" s="17">
        <f>IF(C46="","",IF(C46=0,"",D46/C46))</f>
        <v/>
      </c>
      <c r="I46" s="16">
        <f>IF(OR(C46="",F46=""),"",IF(D46&gt;=C46,0,IFERROR((C46-D46)/MAX(1,DATEDIF(TODAY(),F46,"m")),"")))</f>
        <v/>
      </c>
      <c r="J46" s="32">
        <f>IF(E46="","",IF(D46&gt;=C46,"Done",IFERROR(EDATE(TODAY(),(C46-D46)/E46),"")))</f>
        <v/>
      </c>
      <c r="K46" s="21" t="n"/>
    </row>
    <row r="47">
      <c r="A47" s="15" t="n"/>
      <c r="B47" s="15" t="n"/>
      <c r="C47" s="19" t="n"/>
      <c r="D47" s="19" t="n"/>
      <c r="E47" s="19" t="n"/>
      <c r="F47" s="18" t="n"/>
      <c r="G47" s="16">
        <f>IF(E47="","",E47/2)</f>
        <v/>
      </c>
      <c r="H47" s="17">
        <f>IF(C47="","",IF(C47=0,"",D47/C47))</f>
        <v/>
      </c>
      <c r="I47" s="16">
        <f>IF(OR(C47="",F47=""),"",IF(D47&gt;=C47,0,IFERROR((C47-D47)/MAX(1,DATEDIF(TODAY(),F47,"m")),"")))</f>
        <v/>
      </c>
      <c r="J47" s="32">
        <f>IF(E47="","",IF(D47&gt;=C47,"Done",IFERROR(EDATE(TODAY(),(C47-D47)/E47),"")))</f>
        <v/>
      </c>
      <c r="K47" s="21" t="n"/>
    </row>
    <row r="48">
      <c r="A48" s="15" t="n"/>
      <c r="B48" s="15" t="n"/>
      <c r="C48" s="19" t="n"/>
      <c r="D48" s="19" t="n"/>
      <c r="E48" s="19" t="n"/>
      <c r="F48" s="18" t="n"/>
      <c r="G48" s="16">
        <f>IF(E48="","",E48/2)</f>
        <v/>
      </c>
      <c r="H48" s="17">
        <f>IF(C48="","",IF(C48=0,"",D48/C48))</f>
        <v/>
      </c>
      <c r="I48" s="16">
        <f>IF(OR(C48="",F48=""),"",IF(D48&gt;=C48,0,IFERROR((C48-D48)/MAX(1,DATEDIF(TODAY(),F48,"m")),"")))</f>
        <v/>
      </c>
      <c r="J48" s="32">
        <f>IF(E48="","",IF(D48&gt;=C48,"Done",IFERROR(EDATE(TODAY(),(C48-D48)/E48),"")))</f>
        <v/>
      </c>
      <c r="K48" s="21" t="n"/>
    </row>
    <row r="49">
      <c r="A49" s="15" t="n"/>
      <c r="B49" s="15" t="n"/>
      <c r="C49" s="19" t="n"/>
      <c r="D49" s="19" t="n"/>
      <c r="E49" s="19" t="n"/>
      <c r="F49" s="18" t="n"/>
      <c r="G49" s="16">
        <f>IF(E49="","",E49/2)</f>
        <v/>
      </c>
      <c r="H49" s="17">
        <f>IF(C49="","",IF(C49=0,"",D49/C49))</f>
        <v/>
      </c>
      <c r="I49" s="16">
        <f>IF(OR(C49="",F49=""),"",IF(D49&gt;=C49,0,IFERROR((C49-D49)/MAX(1,DATEDIF(TODAY(),F49,"m")),"")))</f>
        <v/>
      </c>
      <c r="J49" s="32">
        <f>IF(E49="","",IF(D49&gt;=C49,"Done",IFERROR(EDATE(TODAY(),(C49-D49)/E49),"")))</f>
        <v/>
      </c>
      <c r="K49" s="21" t="n"/>
    </row>
    <row r="50">
      <c r="A50" s="15" t="n"/>
      <c r="B50" s="15" t="n"/>
      <c r="C50" s="19" t="n"/>
      <c r="D50" s="19" t="n"/>
      <c r="E50" s="19" t="n"/>
      <c r="F50" s="18" t="n"/>
      <c r="G50" s="16">
        <f>IF(E50="","",E50/2)</f>
        <v/>
      </c>
      <c r="H50" s="17">
        <f>IF(C50="","",IF(C50=0,"",D50/C50))</f>
        <v/>
      </c>
      <c r="I50" s="16">
        <f>IF(OR(C50="",F50=""),"",IF(D50&gt;=C50,0,IFERROR((C50-D50)/MAX(1,DATEDIF(TODAY(),F50,"m")),"")))</f>
        <v/>
      </c>
      <c r="J50" s="32">
        <f>IF(E50="","",IF(D50&gt;=C50,"Done",IFERROR(EDATE(TODAY(),(C50-D50)/E50),"")))</f>
        <v/>
      </c>
      <c r="K50" s="21" t="n"/>
    </row>
    <row r="51">
      <c r="A51" s="15" t="n"/>
      <c r="B51" s="15" t="n"/>
      <c r="C51" s="19" t="n"/>
      <c r="D51" s="19" t="n"/>
      <c r="E51" s="19" t="n"/>
      <c r="F51" s="18" t="n"/>
      <c r="G51" s="16">
        <f>IF(E51="","",E51/2)</f>
        <v/>
      </c>
      <c r="H51" s="17">
        <f>IF(C51="","",IF(C51=0,"",D51/C51))</f>
        <v/>
      </c>
      <c r="I51" s="16">
        <f>IF(OR(C51="",F51=""),"",IF(D51&gt;=C51,0,IFERROR((C51-D51)/MAX(1,DATEDIF(TODAY(),F51,"m")),"")))</f>
        <v/>
      </c>
      <c r="J51" s="32">
        <f>IF(E51="","",IF(D51&gt;=C51,"Done",IFERROR(EDATE(TODAY(),(C51-D51)/E51),"")))</f>
        <v/>
      </c>
      <c r="K51" s="21" t="n"/>
    </row>
    <row r="52">
      <c r="A52" s="15" t="n"/>
      <c r="B52" s="15" t="n"/>
      <c r="C52" s="19" t="n"/>
      <c r="D52" s="19" t="n"/>
      <c r="E52" s="19" t="n"/>
      <c r="F52" s="18" t="n"/>
      <c r="G52" s="16">
        <f>IF(E52="","",E52/2)</f>
        <v/>
      </c>
      <c r="H52" s="17">
        <f>IF(C52="","",IF(C52=0,"",D52/C52))</f>
        <v/>
      </c>
      <c r="I52" s="16">
        <f>IF(OR(C52="",F52=""),"",IF(D52&gt;=C52,0,IFERROR((C52-D52)/MAX(1,DATEDIF(TODAY(),F52,"m")),"")))</f>
        <v/>
      </c>
      <c r="J52" s="32">
        <f>IF(E52="","",IF(D52&gt;=C52,"Done",IFERROR(EDATE(TODAY(),(C52-D52)/E52),"")))</f>
        <v/>
      </c>
      <c r="K52" s="21" t="n"/>
    </row>
    <row r="53">
      <c r="A53" s="15" t="n"/>
      <c r="B53" s="15" t="n"/>
      <c r="C53" s="19" t="n"/>
      <c r="D53" s="19" t="n"/>
      <c r="E53" s="19" t="n"/>
      <c r="F53" s="18" t="n"/>
      <c r="G53" s="16">
        <f>IF(E53="","",E53/2)</f>
        <v/>
      </c>
      <c r="H53" s="17">
        <f>IF(C53="","",IF(C53=0,"",D53/C53))</f>
        <v/>
      </c>
      <c r="I53" s="16">
        <f>IF(OR(C53="",F53=""),"",IF(D53&gt;=C53,0,IFERROR((C53-D53)/MAX(1,DATEDIF(TODAY(),F53,"m")),"")))</f>
        <v/>
      </c>
      <c r="J53" s="32">
        <f>IF(E53="","",IF(D53&gt;=C53,"Done",IFERROR(EDATE(TODAY(),(C53-D53)/E53),"")))</f>
        <v/>
      </c>
      <c r="K53" s="21" t="n"/>
    </row>
    <row r="54">
      <c r="A54" s="15" t="n"/>
      <c r="B54" s="15" t="n"/>
      <c r="C54" s="19" t="n"/>
      <c r="D54" s="19" t="n"/>
      <c r="E54" s="19" t="n"/>
      <c r="F54" s="18" t="n"/>
      <c r="G54" s="16">
        <f>IF(E54="","",E54/2)</f>
        <v/>
      </c>
      <c r="H54" s="17">
        <f>IF(C54="","",IF(C54=0,"",D54/C54))</f>
        <v/>
      </c>
      <c r="I54" s="16">
        <f>IF(OR(C54="",F54=""),"",IF(D54&gt;=C54,0,IFERROR((C54-D54)/MAX(1,DATEDIF(TODAY(),F54,"m")),"")))</f>
        <v/>
      </c>
      <c r="J54" s="32">
        <f>IF(E54="","",IF(D54&gt;=C54,"Done",IFERROR(EDATE(TODAY(),(C54-D54)/E54),"")))</f>
        <v/>
      </c>
      <c r="K54" s="21" t="n"/>
    </row>
    <row r="55">
      <c r="A55" s="15" t="n"/>
      <c r="B55" s="15" t="n"/>
      <c r="C55" s="19" t="n"/>
      <c r="D55" s="19" t="n"/>
      <c r="E55" s="19" t="n"/>
      <c r="F55" s="18" t="n"/>
      <c r="G55" s="16">
        <f>IF(E55="","",E55/2)</f>
        <v/>
      </c>
      <c r="H55" s="17">
        <f>IF(C55="","",IF(C55=0,"",D55/C55))</f>
        <v/>
      </c>
      <c r="I55" s="16">
        <f>IF(OR(C55="",F55=""),"",IF(D55&gt;=C55,0,IFERROR((C55-D55)/MAX(1,DATEDIF(TODAY(),F55,"m")),"")))</f>
        <v/>
      </c>
      <c r="J55" s="32">
        <f>IF(E55="","",IF(D55&gt;=C55,"Done",IFERROR(EDATE(TODAY(),(C55-D55)/E55),"")))</f>
        <v/>
      </c>
      <c r="K55" s="21" t="n"/>
    </row>
    <row r="56">
      <c r="A56" s="15" t="n"/>
      <c r="B56" s="15" t="n"/>
      <c r="C56" s="19" t="n"/>
      <c r="D56" s="19" t="n"/>
      <c r="E56" s="19" t="n"/>
      <c r="F56" s="18" t="n"/>
      <c r="G56" s="16">
        <f>IF(E56="","",E56/2)</f>
        <v/>
      </c>
      <c r="H56" s="17">
        <f>IF(C56="","",IF(C56=0,"",D56/C56))</f>
        <v/>
      </c>
      <c r="I56" s="16">
        <f>IF(OR(C56="",F56=""),"",IF(D56&gt;=C56,0,IFERROR((C56-D56)/MAX(1,DATEDIF(TODAY(),F56,"m")),"")))</f>
        <v/>
      </c>
      <c r="J56" s="32">
        <f>IF(E56="","",IF(D56&gt;=C56,"Done",IFERROR(EDATE(TODAY(),(C56-D56)/E56),"")))</f>
        <v/>
      </c>
      <c r="K56" s="21" t="n"/>
    </row>
    <row r="57">
      <c r="A57" s="15" t="n"/>
      <c r="B57" s="15" t="n"/>
      <c r="C57" s="19" t="n"/>
      <c r="D57" s="19" t="n"/>
      <c r="E57" s="19" t="n"/>
      <c r="F57" s="18" t="n"/>
      <c r="G57" s="16">
        <f>IF(E57="","",E57/2)</f>
        <v/>
      </c>
      <c r="H57" s="17">
        <f>IF(C57="","",IF(C57=0,"",D57/C57))</f>
        <v/>
      </c>
      <c r="I57" s="16">
        <f>IF(OR(C57="",F57=""),"",IF(D57&gt;=C57,0,IFERROR((C57-D57)/MAX(1,DATEDIF(TODAY(),F57,"m")),"")))</f>
        <v/>
      </c>
      <c r="J57" s="32">
        <f>IF(E57="","",IF(D57&gt;=C57,"Done",IFERROR(EDATE(TODAY(),(C57-D57)/E57),"")))</f>
        <v/>
      </c>
      <c r="K57" s="21" t="n"/>
    </row>
    <row r="58">
      <c r="A58" s="15" t="n"/>
      <c r="B58" s="15" t="n"/>
      <c r="C58" s="19" t="n"/>
      <c r="D58" s="19" t="n"/>
      <c r="E58" s="19" t="n"/>
      <c r="F58" s="18" t="n"/>
      <c r="G58" s="16">
        <f>IF(E58="","",E58/2)</f>
        <v/>
      </c>
      <c r="H58" s="17">
        <f>IF(C58="","",IF(C58=0,"",D58/C58))</f>
        <v/>
      </c>
      <c r="I58" s="16">
        <f>IF(OR(C58="",F58=""),"",IF(D58&gt;=C58,0,IFERROR((C58-D58)/MAX(1,DATEDIF(TODAY(),F58,"m")),"")))</f>
        <v/>
      </c>
      <c r="J58" s="32">
        <f>IF(E58="","",IF(D58&gt;=C58,"Done",IFERROR(EDATE(TODAY(),(C58-D58)/E58),"")))</f>
        <v/>
      </c>
      <c r="K58" s="21" t="n"/>
    </row>
    <row r="59">
      <c r="A59" s="15" t="n"/>
      <c r="B59" s="15" t="n"/>
      <c r="C59" s="19" t="n"/>
      <c r="D59" s="19" t="n"/>
      <c r="E59" s="19" t="n"/>
      <c r="F59" s="18" t="n"/>
      <c r="G59" s="16">
        <f>IF(E59="","",E59/2)</f>
        <v/>
      </c>
      <c r="H59" s="17">
        <f>IF(C59="","",IF(C59=0,"",D59/C59))</f>
        <v/>
      </c>
      <c r="I59" s="16">
        <f>IF(OR(C59="",F59=""),"",IF(D59&gt;=C59,0,IFERROR((C59-D59)/MAX(1,DATEDIF(TODAY(),F59,"m")),"")))</f>
        <v/>
      </c>
      <c r="J59" s="32">
        <f>IF(E59="","",IF(D59&gt;=C59,"Done",IFERROR(EDATE(TODAY(),(C59-D59)/E59),"")))</f>
        <v/>
      </c>
      <c r="K59" s="21" t="n"/>
    </row>
    <row r="60">
      <c r="A60" s="15" t="n"/>
      <c r="B60" s="15" t="n"/>
      <c r="C60" s="19" t="n"/>
      <c r="D60" s="19" t="n"/>
      <c r="E60" s="19" t="n"/>
      <c r="F60" s="18" t="n"/>
      <c r="G60" s="16">
        <f>IF(E60="","",E60/2)</f>
        <v/>
      </c>
      <c r="H60" s="17">
        <f>IF(C60="","",IF(C60=0,"",D60/C60))</f>
        <v/>
      </c>
      <c r="I60" s="16">
        <f>IF(OR(C60="",F60=""),"",IF(D60&gt;=C60,0,IFERROR((C60-D60)/MAX(1,DATEDIF(TODAY(),F60,"m")),"")))</f>
        <v/>
      </c>
      <c r="J60" s="32">
        <f>IF(E60="","",IF(D60&gt;=C60,"Done",IFERROR(EDATE(TODAY(),(C60-D60)/E60),"")))</f>
        <v/>
      </c>
      <c r="K60" s="21" t="n"/>
    </row>
    <row r="61">
      <c r="A61" s="15" t="n"/>
      <c r="B61" s="15" t="n"/>
      <c r="C61" s="19" t="n"/>
      <c r="D61" s="19" t="n"/>
      <c r="E61" s="19" t="n"/>
      <c r="F61" s="18" t="n"/>
      <c r="G61" s="16">
        <f>IF(E61="","",E61/2)</f>
        <v/>
      </c>
      <c r="H61" s="17">
        <f>IF(C61="","",IF(C61=0,"",D61/C61))</f>
        <v/>
      </c>
      <c r="I61" s="16">
        <f>IF(OR(C61="",F61=""),"",IF(D61&gt;=C61,0,IFERROR((C61-D61)/MAX(1,DATEDIF(TODAY(),F61,"m")),"")))</f>
        <v/>
      </c>
      <c r="J61" s="32">
        <f>IF(E61="","",IF(D61&gt;=C61,"Done",IFERROR(EDATE(TODAY(),(C61-D61)/E61),"")))</f>
        <v/>
      </c>
      <c r="K61" s="21" t="n"/>
    </row>
    <row r="62">
      <c r="A62" s="15" t="n"/>
      <c r="B62" s="15" t="n"/>
      <c r="C62" s="19" t="n"/>
      <c r="D62" s="19" t="n"/>
      <c r="E62" s="19" t="n"/>
      <c r="F62" s="18" t="n"/>
      <c r="G62" s="16">
        <f>IF(E62="","",E62/2)</f>
        <v/>
      </c>
      <c r="H62" s="17">
        <f>IF(C62="","",IF(C62=0,"",D62/C62))</f>
        <v/>
      </c>
      <c r="I62" s="16">
        <f>IF(OR(C62="",F62=""),"",IF(D62&gt;=C62,0,IFERROR((C62-D62)/MAX(1,DATEDIF(TODAY(),F62,"m")),"")))</f>
        <v/>
      </c>
      <c r="J62" s="32">
        <f>IF(E62="","",IF(D62&gt;=C62,"Done",IFERROR(EDATE(TODAY(),(C62-D62)/E62),"")))</f>
        <v/>
      </c>
      <c r="K62" s="21" t="n"/>
    </row>
    <row r="63">
      <c r="A63" s="15" t="n"/>
      <c r="B63" s="15" t="n"/>
      <c r="C63" s="19" t="n"/>
      <c r="D63" s="19" t="n"/>
      <c r="E63" s="19" t="n"/>
      <c r="F63" s="18" t="n"/>
      <c r="G63" s="16">
        <f>IF(E63="","",E63/2)</f>
        <v/>
      </c>
      <c r="H63" s="17">
        <f>IF(C63="","",IF(C63=0,"",D63/C63))</f>
        <v/>
      </c>
      <c r="I63" s="16">
        <f>IF(OR(C63="",F63=""),"",IF(D63&gt;=C63,0,IFERROR((C63-D63)/MAX(1,DATEDIF(TODAY(),F63,"m")),"")))</f>
        <v/>
      </c>
      <c r="J63" s="32">
        <f>IF(E63="","",IF(D63&gt;=C63,"Done",IFERROR(EDATE(TODAY(),(C63-D63)/E63),"")))</f>
        <v/>
      </c>
      <c r="K63" s="21" t="n"/>
    </row>
    <row r="64">
      <c r="A64" s="15" t="n"/>
      <c r="B64" s="15" t="n"/>
      <c r="C64" s="19" t="n"/>
      <c r="D64" s="19" t="n"/>
      <c r="E64" s="19" t="n"/>
      <c r="F64" s="18" t="n"/>
      <c r="G64" s="16">
        <f>IF(E64="","",E64/2)</f>
        <v/>
      </c>
      <c r="H64" s="17">
        <f>IF(C64="","",IF(C64=0,"",D64/C64))</f>
        <v/>
      </c>
      <c r="I64" s="16">
        <f>IF(OR(C64="",F64=""),"",IF(D64&gt;=C64,0,IFERROR((C64-D64)/MAX(1,DATEDIF(TODAY(),F64,"m")),"")))</f>
        <v/>
      </c>
      <c r="J64" s="32">
        <f>IF(E64="","",IF(D64&gt;=C64,"Done",IFERROR(EDATE(TODAY(),(C64-D64)/E64),"")))</f>
        <v/>
      </c>
      <c r="K64" s="21" t="n"/>
    </row>
    <row r="65">
      <c r="A65" s="15" t="n"/>
      <c r="B65" s="15" t="n"/>
      <c r="C65" s="19" t="n"/>
      <c r="D65" s="19" t="n"/>
      <c r="E65" s="19" t="n"/>
      <c r="F65" s="18" t="n"/>
      <c r="G65" s="16">
        <f>IF(E65="","",E65/2)</f>
        <v/>
      </c>
      <c r="H65" s="17">
        <f>IF(C65="","",IF(C65=0,"",D65/C65))</f>
        <v/>
      </c>
      <c r="I65" s="16">
        <f>IF(OR(C65="",F65=""),"",IF(D65&gt;=C65,0,IFERROR((C65-D65)/MAX(1,DATEDIF(TODAY(),F65,"m")),"")))</f>
        <v/>
      </c>
      <c r="J65" s="32">
        <f>IF(E65="","",IF(D65&gt;=C65,"Done",IFERROR(EDATE(TODAY(),(C65-D65)/E65),"")))</f>
        <v/>
      </c>
      <c r="K65" s="21" t="n"/>
    </row>
    <row r="66">
      <c r="A66" s="15" t="n"/>
      <c r="B66" s="15" t="n"/>
      <c r="C66" s="19" t="n"/>
      <c r="D66" s="19" t="n"/>
      <c r="E66" s="19" t="n"/>
      <c r="F66" s="18" t="n"/>
      <c r="G66" s="16">
        <f>IF(E66="","",E66/2)</f>
        <v/>
      </c>
      <c r="H66" s="17">
        <f>IF(C66="","",IF(C66=0,"",D66/C66))</f>
        <v/>
      </c>
      <c r="I66" s="16">
        <f>IF(OR(C66="",F66=""),"",IF(D66&gt;=C66,0,IFERROR((C66-D66)/MAX(1,DATEDIF(TODAY(),F66,"m")),"")))</f>
        <v/>
      </c>
      <c r="J66" s="32">
        <f>IF(E66="","",IF(D66&gt;=C66,"Done",IFERROR(EDATE(TODAY(),(C66-D66)/E66),"")))</f>
        <v/>
      </c>
      <c r="K66" s="21" t="n"/>
    </row>
    <row r="67">
      <c r="A67" s="15" t="n"/>
      <c r="B67" s="15" t="n"/>
      <c r="C67" s="19" t="n"/>
      <c r="D67" s="19" t="n"/>
      <c r="E67" s="19" t="n"/>
      <c r="F67" s="18" t="n"/>
      <c r="G67" s="16">
        <f>IF(E67="","",E67/2)</f>
        <v/>
      </c>
      <c r="H67" s="17">
        <f>IF(C67="","",IF(C67=0,"",D67/C67))</f>
        <v/>
      </c>
      <c r="I67" s="16">
        <f>IF(OR(C67="",F67=""),"",IF(D67&gt;=C67,0,IFERROR((C67-D67)/MAX(1,DATEDIF(TODAY(),F67,"m")),"")))</f>
        <v/>
      </c>
      <c r="J67" s="32">
        <f>IF(E67="","",IF(D67&gt;=C67,"Done",IFERROR(EDATE(TODAY(),(C67-D67)/E67),"")))</f>
        <v/>
      </c>
      <c r="K67" s="21" t="n"/>
    </row>
    <row r="68">
      <c r="A68" s="15" t="n"/>
      <c r="B68" s="15" t="n"/>
      <c r="C68" s="19" t="n"/>
      <c r="D68" s="19" t="n"/>
      <c r="E68" s="19" t="n"/>
      <c r="F68" s="18" t="n"/>
      <c r="G68" s="16">
        <f>IF(E68="","",E68/2)</f>
        <v/>
      </c>
      <c r="H68" s="17">
        <f>IF(C68="","",IF(C68=0,"",D68/C68))</f>
        <v/>
      </c>
      <c r="I68" s="16">
        <f>IF(OR(C68="",F68=""),"",IF(D68&gt;=C68,0,IFERROR((C68-D68)/MAX(1,DATEDIF(TODAY(),F68,"m")),"")))</f>
        <v/>
      </c>
      <c r="J68" s="32">
        <f>IF(E68="","",IF(D68&gt;=C68,"Done",IFERROR(EDATE(TODAY(),(C68-D68)/E68),"")))</f>
        <v/>
      </c>
      <c r="K68" s="21" t="n"/>
    </row>
    <row r="69">
      <c r="A69" s="15" t="n"/>
      <c r="B69" s="15" t="n"/>
      <c r="C69" s="19" t="n"/>
      <c r="D69" s="19" t="n"/>
      <c r="E69" s="19" t="n"/>
      <c r="F69" s="18" t="n"/>
      <c r="G69" s="16">
        <f>IF(E69="","",E69/2)</f>
        <v/>
      </c>
      <c r="H69" s="17">
        <f>IF(C69="","",IF(C69=0,"",D69/C69))</f>
        <v/>
      </c>
      <c r="I69" s="16">
        <f>IF(OR(C69="",F69=""),"",IF(D69&gt;=C69,0,IFERROR((C69-D69)/MAX(1,DATEDIF(TODAY(),F69,"m")),"")))</f>
        <v/>
      </c>
      <c r="J69" s="32">
        <f>IF(E69="","",IF(D69&gt;=C69,"Done",IFERROR(EDATE(TODAY(),(C69-D69)/E69),"")))</f>
        <v/>
      </c>
      <c r="K69" s="21" t="n"/>
    </row>
    <row r="70">
      <c r="A70" s="15" t="n"/>
      <c r="B70" s="15" t="n"/>
      <c r="C70" s="19" t="n"/>
      <c r="D70" s="19" t="n"/>
      <c r="E70" s="19" t="n"/>
      <c r="F70" s="18" t="n"/>
      <c r="G70" s="16">
        <f>IF(E70="","",E70/2)</f>
        <v/>
      </c>
      <c r="H70" s="17">
        <f>IF(C70="","",IF(C70=0,"",D70/C70))</f>
        <v/>
      </c>
      <c r="I70" s="16">
        <f>IF(OR(C70="",F70=""),"",IF(D70&gt;=C70,0,IFERROR((C70-D70)/MAX(1,DATEDIF(TODAY(),F70,"m")),"")))</f>
        <v/>
      </c>
      <c r="J70" s="32">
        <f>IF(E70="","",IF(D70&gt;=C70,"Done",IFERROR(EDATE(TODAY(),(C70-D70)/E70),"")))</f>
        <v/>
      </c>
      <c r="K70" s="21" t="n"/>
    </row>
    <row r="71">
      <c r="A71" s="15" t="n"/>
      <c r="B71" s="15" t="n"/>
      <c r="C71" s="19" t="n"/>
      <c r="D71" s="19" t="n"/>
      <c r="E71" s="19" t="n"/>
      <c r="F71" s="18" t="n"/>
      <c r="G71" s="16">
        <f>IF(E71="","",E71/2)</f>
        <v/>
      </c>
      <c r="H71" s="17">
        <f>IF(C71="","",IF(C71=0,"",D71/C71))</f>
        <v/>
      </c>
      <c r="I71" s="16">
        <f>IF(OR(C71="",F71=""),"",IF(D71&gt;=C71,0,IFERROR((C71-D71)/MAX(1,DATEDIF(TODAY(),F71,"m")),"")))</f>
        <v/>
      </c>
      <c r="J71" s="32">
        <f>IF(E71="","",IF(D71&gt;=C71,"Done",IFERROR(EDATE(TODAY(),(C71-D71)/E71),"")))</f>
        <v/>
      </c>
      <c r="K71" s="21" t="n"/>
    </row>
    <row r="72">
      <c r="A72" s="15" t="n"/>
      <c r="B72" s="15" t="n"/>
      <c r="C72" s="19" t="n"/>
      <c r="D72" s="19" t="n"/>
      <c r="E72" s="19" t="n"/>
      <c r="F72" s="18" t="n"/>
      <c r="G72" s="16">
        <f>IF(E72="","",E72/2)</f>
        <v/>
      </c>
      <c r="H72" s="17">
        <f>IF(C72="","",IF(C72=0,"",D72/C72))</f>
        <v/>
      </c>
      <c r="I72" s="16">
        <f>IF(OR(C72="",F72=""),"",IF(D72&gt;=C72,0,IFERROR((C72-D72)/MAX(1,DATEDIF(TODAY(),F72,"m")),"")))</f>
        <v/>
      </c>
      <c r="J72" s="32">
        <f>IF(E72="","",IF(D72&gt;=C72,"Done",IFERROR(EDATE(TODAY(),(C72-D72)/E72),"")))</f>
        <v/>
      </c>
      <c r="K72" s="21" t="n"/>
    </row>
    <row r="73">
      <c r="A73" s="15" t="n"/>
      <c r="B73" s="15" t="n"/>
      <c r="C73" s="19" t="n"/>
      <c r="D73" s="19" t="n"/>
      <c r="E73" s="19" t="n"/>
      <c r="F73" s="18" t="n"/>
      <c r="G73" s="16">
        <f>IF(E73="","",E73/2)</f>
        <v/>
      </c>
      <c r="H73" s="17">
        <f>IF(C73="","",IF(C73=0,"",D73/C73))</f>
        <v/>
      </c>
      <c r="I73" s="16">
        <f>IF(OR(C73="",F73=""),"",IF(D73&gt;=C73,0,IFERROR((C73-D73)/MAX(1,DATEDIF(TODAY(),F73,"m")),"")))</f>
        <v/>
      </c>
      <c r="J73" s="32">
        <f>IF(E73="","",IF(D73&gt;=C73,"Done",IFERROR(EDATE(TODAY(),(C73-D73)/E73),"")))</f>
        <v/>
      </c>
      <c r="K73" s="21" t="n"/>
    </row>
    <row r="74">
      <c r="A74" s="15" t="n"/>
      <c r="B74" s="15" t="n"/>
      <c r="C74" s="19" t="n"/>
      <c r="D74" s="19" t="n"/>
      <c r="E74" s="19" t="n"/>
      <c r="F74" s="18" t="n"/>
      <c r="G74" s="16">
        <f>IF(E74="","",E74/2)</f>
        <v/>
      </c>
      <c r="H74" s="17">
        <f>IF(C74="","",IF(C74=0,"",D74/C74))</f>
        <v/>
      </c>
      <c r="I74" s="16">
        <f>IF(OR(C74="",F74=""),"",IF(D74&gt;=C74,0,IFERROR((C74-D74)/MAX(1,DATEDIF(TODAY(),F74,"m")),"")))</f>
        <v/>
      </c>
      <c r="J74" s="32">
        <f>IF(E74="","",IF(D74&gt;=C74,"Done",IFERROR(EDATE(TODAY(),(C74-D74)/E74),"")))</f>
        <v/>
      </c>
      <c r="K74" s="21" t="n"/>
    </row>
    <row r="75">
      <c r="A75" s="15" t="n"/>
      <c r="B75" s="15" t="n"/>
      <c r="C75" s="19" t="n"/>
      <c r="D75" s="19" t="n"/>
      <c r="E75" s="19" t="n"/>
      <c r="F75" s="18" t="n"/>
      <c r="G75" s="16">
        <f>IF(E75="","",E75/2)</f>
        <v/>
      </c>
      <c r="H75" s="17">
        <f>IF(C75="","",IF(C75=0,"",D75/C75))</f>
        <v/>
      </c>
      <c r="I75" s="16">
        <f>IF(OR(C75="",F75=""),"",IF(D75&gt;=C75,0,IFERROR((C75-D75)/MAX(1,DATEDIF(TODAY(),F75,"m")),"")))</f>
        <v/>
      </c>
      <c r="J75" s="32">
        <f>IF(E75="","",IF(D75&gt;=C75,"Done",IFERROR(EDATE(TODAY(),(C75-D75)/E75),"")))</f>
        <v/>
      </c>
      <c r="K75" s="21" t="n"/>
    </row>
    <row r="76">
      <c r="A76" s="15" t="n"/>
      <c r="B76" s="15" t="n"/>
      <c r="C76" s="19" t="n"/>
      <c r="D76" s="19" t="n"/>
      <c r="E76" s="19" t="n"/>
      <c r="F76" s="18" t="n"/>
      <c r="G76" s="16">
        <f>IF(E76="","",E76/2)</f>
        <v/>
      </c>
      <c r="H76" s="17">
        <f>IF(C76="","",IF(C76=0,"",D76/C76))</f>
        <v/>
      </c>
      <c r="I76" s="16">
        <f>IF(OR(C76="",F76=""),"",IF(D76&gt;=C76,0,IFERROR((C76-D76)/MAX(1,DATEDIF(TODAY(),F76,"m")),"")))</f>
        <v/>
      </c>
      <c r="J76" s="32">
        <f>IF(E76="","",IF(D76&gt;=C76,"Done",IFERROR(EDATE(TODAY(),(C76-D76)/E76),"")))</f>
        <v/>
      </c>
      <c r="K76" s="21" t="n"/>
    </row>
    <row r="77">
      <c r="A77" s="15" t="n"/>
      <c r="B77" s="15" t="n"/>
      <c r="C77" s="19" t="n"/>
      <c r="D77" s="19" t="n"/>
      <c r="E77" s="19" t="n"/>
      <c r="F77" s="18" t="n"/>
      <c r="G77" s="16">
        <f>IF(E77="","",E77/2)</f>
        <v/>
      </c>
      <c r="H77" s="17">
        <f>IF(C77="","",IF(C77=0,"",D77/C77))</f>
        <v/>
      </c>
      <c r="I77" s="16">
        <f>IF(OR(C77="",F77=""),"",IF(D77&gt;=C77,0,IFERROR((C77-D77)/MAX(1,DATEDIF(TODAY(),F77,"m")),"")))</f>
        <v/>
      </c>
      <c r="J77" s="32">
        <f>IF(E77="","",IF(D77&gt;=C77,"Done",IFERROR(EDATE(TODAY(),(C77-D77)/E77),"")))</f>
        <v/>
      </c>
      <c r="K77" s="21" t="n"/>
    </row>
    <row r="78">
      <c r="A78" s="15" t="n"/>
      <c r="B78" s="15" t="n"/>
      <c r="C78" s="19" t="n"/>
      <c r="D78" s="19" t="n"/>
      <c r="E78" s="19" t="n"/>
      <c r="F78" s="18" t="n"/>
      <c r="G78" s="16">
        <f>IF(E78="","",E78/2)</f>
        <v/>
      </c>
      <c r="H78" s="17">
        <f>IF(C78="","",IF(C78=0,"",D78/C78))</f>
        <v/>
      </c>
      <c r="I78" s="16">
        <f>IF(OR(C78="",F78=""),"",IF(D78&gt;=C78,0,IFERROR((C78-D78)/MAX(1,DATEDIF(TODAY(),F78,"m")),"")))</f>
        <v/>
      </c>
      <c r="J78" s="32">
        <f>IF(E78="","",IF(D78&gt;=C78,"Done",IFERROR(EDATE(TODAY(),(C78-D78)/E78),"")))</f>
        <v/>
      </c>
      <c r="K78" s="21" t="n"/>
    </row>
    <row r="79">
      <c r="A79" s="15" t="n"/>
      <c r="B79" s="15" t="n"/>
      <c r="C79" s="19" t="n"/>
      <c r="D79" s="19" t="n"/>
      <c r="E79" s="19" t="n"/>
      <c r="F79" s="18" t="n"/>
      <c r="G79" s="16">
        <f>IF(E79="","",E79/2)</f>
        <v/>
      </c>
      <c r="H79" s="17">
        <f>IF(C79="","",IF(C79=0,"",D79/C79))</f>
        <v/>
      </c>
      <c r="I79" s="16">
        <f>IF(OR(C79="",F79=""),"",IF(D79&gt;=C79,0,IFERROR((C79-D79)/MAX(1,DATEDIF(TODAY(),F79,"m")),"")))</f>
        <v/>
      </c>
      <c r="J79" s="32">
        <f>IF(E79="","",IF(D79&gt;=C79,"Done",IFERROR(EDATE(TODAY(),(C79-D79)/E79),"")))</f>
        <v/>
      </c>
      <c r="K79" s="21" t="n"/>
    </row>
    <row r="80">
      <c r="A80" s="15" t="n"/>
      <c r="B80" s="15" t="n"/>
      <c r="C80" s="19" t="n"/>
      <c r="D80" s="19" t="n"/>
      <c r="E80" s="19" t="n"/>
      <c r="F80" s="18" t="n"/>
      <c r="G80" s="16">
        <f>IF(E80="","",E80/2)</f>
        <v/>
      </c>
      <c r="H80" s="17">
        <f>IF(C80="","",IF(C80=0,"",D80/C80))</f>
        <v/>
      </c>
      <c r="I80" s="16">
        <f>IF(OR(C80="",F80=""),"",IF(D80&gt;=C80,0,IFERROR((C80-D80)/MAX(1,DATEDIF(TODAY(),F80,"m")),"")))</f>
        <v/>
      </c>
      <c r="J80" s="32">
        <f>IF(E80="","",IF(D80&gt;=C80,"Done",IFERROR(EDATE(TODAY(),(C80-D80)/E80),"")))</f>
        <v/>
      </c>
      <c r="K80" s="21" t="n"/>
    </row>
    <row r="81">
      <c r="A81" s="15" t="n"/>
      <c r="B81" s="15" t="n"/>
      <c r="C81" s="19" t="n"/>
      <c r="D81" s="19" t="n"/>
      <c r="E81" s="19" t="n"/>
      <c r="F81" s="18" t="n"/>
      <c r="G81" s="16">
        <f>IF(E81="","",E81/2)</f>
        <v/>
      </c>
      <c r="H81" s="17">
        <f>IF(C81="","",IF(C81=0,"",D81/C81))</f>
        <v/>
      </c>
      <c r="I81" s="16">
        <f>IF(OR(C81="",F81=""),"",IF(D81&gt;=C81,0,IFERROR((C81-D81)/MAX(1,DATEDIF(TODAY(),F81,"m")),"")))</f>
        <v/>
      </c>
      <c r="J81" s="32">
        <f>IF(E81="","",IF(D81&gt;=C81,"Done",IFERROR(EDATE(TODAY(),(C81-D81)/E81),"")))</f>
        <v/>
      </c>
      <c r="K81" s="21" t="n"/>
    </row>
    <row r="82">
      <c r="A82" s="15" t="n"/>
      <c r="B82" s="15" t="n"/>
      <c r="C82" s="19" t="n"/>
      <c r="D82" s="19" t="n"/>
      <c r="E82" s="19" t="n"/>
      <c r="F82" s="18" t="n"/>
      <c r="G82" s="16">
        <f>IF(E82="","",E82/2)</f>
        <v/>
      </c>
      <c r="H82" s="17">
        <f>IF(C82="","",IF(C82=0,"",D82/C82))</f>
        <v/>
      </c>
      <c r="I82" s="16">
        <f>IF(OR(C82="",F82=""),"",IF(D82&gt;=C82,0,IFERROR((C82-D82)/MAX(1,DATEDIF(TODAY(),F82,"m")),"")))</f>
        <v/>
      </c>
      <c r="J82" s="32">
        <f>IF(E82="","",IF(D82&gt;=C82,"Done",IFERROR(EDATE(TODAY(),(C82-D82)/E82),"")))</f>
        <v/>
      </c>
      <c r="K82" s="21" t="n"/>
    </row>
    <row r="83">
      <c r="A83" s="15" t="n"/>
      <c r="B83" s="15" t="n"/>
      <c r="C83" s="19" t="n"/>
      <c r="D83" s="19" t="n"/>
      <c r="E83" s="19" t="n"/>
      <c r="F83" s="18" t="n"/>
      <c r="G83" s="16">
        <f>IF(E83="","",E83/2)</f>
        <v/>
      </c>
      <c r="H83" s="17">
        <f>IF(C83="","",IF(C83=0,"",D83/C83))</f>
        <v/>
      </c>
      <c r="I83" s="16">
        <f>IF(OR(C83="",F83=""),"",IF(D83&gt;=C83,0,IFERROR((C83-D83)/MAX(1,DATEDIF(TODAY(),F83,"m")),"")))</f>
        <v/>
      </c>
      <c r="J83" s="32">
        <f>IF(E83="","",IF(D83&gt;=C83,"Done",IFERROR(EDATE(TODAY(),(C83-D83)/E83),"")))</f>
        <v/>
      </c>
      <c r="K83" s="21" t="n"/>
    </row>
    <row r="84">
      <c r="A84" s="15" t="n"/>
      <c r="B84" s="15" t="n"/>
      <c r="C84" s="19" t="n"/>
      <c r="D84" s="19" t="n"/>
      <c r="E84" s="19" t="n"/>
      <c r="F84" s="18" t="n"/>
      <c r="G84" s="16">
        <f>IF(E84="","",E84/2)</f>
        <v/>
      </c>
      <c r="H84" s="17">
        <f>IF(C84="","",IF(C84=0,"",D84/C84))</f>
        <v/>
      </c>
      <c r="I84" s="16">
        <f>IF(OR(C84="",F84=""),"",IF(D84&gt;=C84,0,IFERROR((C84-D84)/MAX(1,DATEDIF(TODAY(),F84,"m")),"")))</f>
        <v/>
      </c>
      <c r="J84" s="32">
        <f>IF(E84="","",IF(D84&gt;=C84,"Done",IFERROR(EDATE(TODAY(),(C84-D84)/E84),"")))</f>
        <v/>
      </c>
      <c r="K84" s="21" t="n"/>
    </row>
    <row r="85">
      <c r="A85" s="15" t="n"/>
      <c r="B85" s="15" t="n"/>
      <c r="C85" s="19" t="n"/>
      <c r="D85" s="19" t="n"/>
      <c r="E85" s="19" t="n"/>
      <c r="F85" s="18" t="n"/>
      <c r="G85" s="16">
        <f>IF(E85="","",E85/2)</f>
        <v/>
      </c>
      <c r="H85" s="17">
        <f>IF(C85="","",IF(C85=0,"",D85/C85))</f>
        <v/>
      </c>
      <c r="I85" s="16">
        <f>IF(OR(C85="",F85=""),"",IF(D85&gt;=C85,0,IFERROR((C85-D85)/MAX(1,DATEDIF(TODAY(),F85,"m")),"")))</f>
        <v/>
      </c>
      <c r="J85" s="32">
        <f>IF(E85="","",IF(D85&gt;=C85,"Done",IFERROR(EDATE(TODAY(),(C85-D85)/E85),"")))</f>
        <v/>
      </c>
      <c r="K85" s="21" t="n"/>
    </row>
    <row r="86">
      <c r="A86" s="15" t="n"/>
      <c r="B86" s="15" t="n"/>
      <c r="C86" s="19" t="n"/>
      <c r="D86" s="19" t="n"/>
      <c r="E86" s="19" t="n"/>
      <c r="F86" s="18" t="n"/>
      <c r="G86" s="16">
        <f>IF(E86="","",E86/2)</f>
        <v/>
      </c>
      <c r="H86" s="17">
        <f>IF(C86="","",IF(C86=0,"",D86/C86))</f>
        <v/>
      </c>
      <c r="I86" s="16">
        <f>IF(OR(C86="",F86=""),"",IF(D86&gt;=C86,0,IFERROR((C86-D86)/MAX(1,DATEDIF(TODAY(),F86,"m")),"")))</f>
        <v/>
      </c>
      <c r="J86" s="32">
        <f>IF(E86="","",IF(D86&gt;=C86,"Done",IFERROR(EDATE(TODAY(),(C86-D86)/E86),"")))</f>
        <v/>
      </c>
      <c r="K86" s="21" t="n"/>
    </row>
    <row r="87">
      <c r="A87" s="15" t="n"/>
      <c r="B87" s="15" t="n"/>
      <c r="C87" s="19" t="n"/>
      <c r="D87" s="19" t="n"/>
      <c r="E87" s="19" t="n"/>
      <c r="F87" s="18" t="n"/>
      <c r="G87" s="16">
        <f>IF(E87="","",E87/2)</f>
        <v/>
      </c>
      <c r="H87" s="17">
        <f>IF(C87="","",IF(C87=0,"",D87/C87))</f>
        <v/>
      </c>
      <c r="I87" s="16">
        <f>IF(OR(C87="",F87=""),"",IF(D87&gt;=C87,0,IFERROR((C87-D87)/MAX(1,DATEDIF(TODAY(),F87,"m")),"")))</f>
        <v/>
      </c>
      <c r="J87" s="32">
        <f>IF(E87="","",IF(D87&gt;=C87,"Done",IFERROR(EDATE(TODAY(),(C87-D87)/E87),"")))</f>
        <v/>
      </c>
      <c r="K87" s="21" t="n"/>
    </row>
    <row r="88">
      <c r="A88" s="15" t="n"/>
      <c r="B88" s="15" t="n"/>
      <c r="C88" s="19" t="n"/>
      <c r="D88" s="19" t="n"/>
      <c r="E88" s="19" t="n"/>
      <c r="F88" s="18" t="n"/>
      <c r="G88" s="16">
        <f>IF(E88="","",E88/2)</f>
        <v/>
      </c>
      <c r="H88" s="17">
        <f>IF(C88="","",IF(C88=0,"",D88/C88))</f>
        <v/>
      </c>
      <c r="I88" s="16">
        <f>IF(OR(C88="",F88=""),"",IF(D88&gt;=C88,0,IFERROR((C88-D88)/MAX(1,DATEDIF(TODAY(),F88,"m")),"")))</f>
        <v/>
      </c>
      <c r="J88" s="32">
        <f>IF(E88="","",IF(D88&gt;=C88,"Done",IFERROR(EDATE(TODAY(),(C88-D88)/E88),"")))</f>
        <v/>
      </c>
      <c r="K88" s="21" t="n"/>
    </row>
    <row r="89">
      <c r="A89" s="15" t="n"/>
      <c r="B89" s="15" t="n"/>
      <c r="C89" s="19" t="n"/>
      <c r="D89" s="19" t="n"/>
      <c r="E89" s="19" t="n"/>
      <c r="F89" s="18" t="n"/>
      <c r="G89" s="16">
        <f>IF(E89="","",E89/2)</f>
        <v/>
      </c>
      <c r="H89" s="17">
        <f>IF(C89="","",IF(C89=0,"",D89/C89))</f>
        <v/>
      </c>
      <c r="I89" s="16">
        <f>IF(OR(C89="",F89=""),"",IF(D89&gt;=C89,0,IFERROR((C89-D89)/MAX(1,DATEDIF(TODAY(),F89,"m")),"")))</f>
        <v/>
      </c>
      <c r="J89" s="32">
        <f>IF(E89="","",IF(D89&gt;=C89,"Done",IFERROR(EDATE(TODAY(),(C89-D89)/E89),"")))</f>
        <v/>
      </c>
      <c r="K89" s="21" t="n"/>
    </row>
    <row r="90">
      <c r="A90" s="15" t="n"/>
      <c r="B90" s="15" t="n"/>
      <c r="C90" s="19" t="n"/>
      <c r="D90" s="19" t="n"/>
      <c r="E90" s="19" t="n"/>
      <c r="F90" s="18" t="n"/>
      <c r="G90" s="16">
        <f>IF(E90="","",E90/2)</f>
        <v/>
      </c>
      <c r="H90" s="17">
        <f>IF(C90="","",IF(C90=0,"",D90/C90))</f>
        <v/>
      </c>
      <c r="I90" s="16">
        <f>IF(OR(C90="",F90=""),"",IF(D90&gt;=C90,0,IFERROR((C90-D90)/MAX(1,DATEDIF(TODAY(),F90,"m")),"")))</f>
        <v/>
      </c>
      <c r="J90" s="32">
        <f>IF(E90="","",IF(D90&gt;=C90,"Done",IFERROR(EDATE(TODAY(),(C90-D90)/E90),"")))</f>
        <v/>
      </c>
      <c r="K90" s="21" t="n"/>
    </row>
    <row r="91">
      <c r="A91" s="15" t="n"/>
      <c r="B91" s="15" t="n"/>
      <c r="C91" s="19" t="n"/>
      <c r="D91" s="19" t="n"/>
      <c r="E91" s="19" t="n"/>
      <c r="F91" s="18" t="n"/>
      <c r="G91" s="16">
        <f>IF(E91="","",E91/2)</f>
        <v/>
      </c>
      <c r="H91" s="17">
        <f>IF(C91="","",IF(C91=0,"",D91/C91))</f>
        <v/>
      </c>
      <c r="I91" s="16">
        <f>IF(OR(C91="",F91=""),"",IF(D91&gt;=C91,0,IFERROR((C91-D91)/MAX(1,DATEDIF(TODAY(),F91,"m")),"")))</f>
        <v/>
      </c>
      <c r="J91" s="32">
        <f>IF(E91="","",IF(D91&gt;=C91,"Done",IFERROR(EDATE(TODAY(),(C91-D91)/E91),"")))</f>
        <v/>
      </c>
      <c r="K91" s="21" t="n"/>
    </row>
    <row r="92">
      <c r="A92" s="15" t="n"/>
      <c r="B92" s="15" t="n"/>
      <c r="C92" s="19" t="n"/>
      <c r="D92" s="19" t="n"/>
      <c r="E92" s="19" t="n"/>
      <c r="F92" s="18" t="n"/>
      <c r="G92" s="16">
        <f>IF(E92="","",E92/2)</f>
        <v/>
      </c>
      <c r="H92" s="17">
        <f>IF(C92="","",IF(C92=0,"",D92/C92))</f>
        <v/>
      </c>
      <c r="I92" s="16">
        <f>IF(OR(C92="",F92=""),"",IF(D92&gt;=C92,0,IFERROR((C92-D92)/MAX(1,DATEDIF(TODAY(),F92,"m")),"")))</f>
        <v/>
      </c>
      <c r="J92" s="32">
        <f>IF(E92="","",IF(D92&gt;=C92,"Done",IFERROR(EDATE(TODAY(),(C92-D92)/E92),"")))</f>
        <v/>
      </c>
      <c r="K92" s="21" t="n"/>
    </row>
    <row r="93">
      <c r="A93" s="15" t="n"/>
      <c r="B93" s="15" t="n"/>
      <c r="C93" s="19" t="n"/>
      <c r="D93" s="19" t="n"/>
      <c r="E93" s="19" t="n"/>
      <c r="F93" s="18" t="n"/>
      <c r="G93" s="16">
        <f>IF(E93="","",E93/2)</f>
        <v/>
      </c>
      <c r="H93" s="17">
        <f>IF(C93="","",IF(C93=0,"",D93/C93))</f>
        <v/>
      </c>
      <c r="I93" s="16">
        <f>IF(OR(C93="",F93=""),"",IF(D93&gt;=C93,0,IFERROR((C93-D93)/MAX(1,DATEDIF(TODAY(),F93,"m")),"")))</f>
        <v/>
      </c>
      <c r="J93" s="32">
        <f>IF(E93="","",IF(D93&gt;=C93,"Done",IFERROR(EDATE(TODAY(),(C93-D93)/E93),"")))</f>
        <v/>
      </c>
      <c r="K93" s="21" t="n"/>
    </row>
    <row r="94">
      <c r="A94" s="15" t="n"/>
      <c r="B94" s="15" t="n"/>
      <c r="C94" s="19" t="n"/>
      <c r="D94" s="19" t="n"/>
      <c r="E94" s="19" t="n"/>
      <c r="F94" s="18" t="n"/>
      <c r="G94" s="16">
        <f>IF(E94="","",E94/2)</f>
        <v/>
      </c>
      <c r="H94" s="17">
        <f>IF(C94="","",IF(C94=0,"",D94/C94))</f>
        <v/>
      </c>
      <c r="I94" s="16">
        <f>IF(OR(C94="",F94=""),"",IF(D94&gt;=C94,0,IFERROR((C94-D94)/MAX(1,DATEDIF(TODAY(),F94,"m")),"")))</f>
        <v/>
      </c>
      <c r="J94" s="32">
        <f>IF(E94="","",IF(D94&gt;=C94,"Done",IFERROR(EDATE(TODAY(),(C94-D94)/E94),"")))</f>
        <v/>
      </c>
      <c r="K94" s="21" t="n"/>
    </row>
    <row r="95">
      <c r="A95" s="15" t="n"/>
      <c r="B95" s="15" t="n"/>
      <c r="C95" s="19" t="n"/>
      <c r="D95" s="19" t="n"/>
      <c r="E95" s="19" t="n"/>
      <c r="F95" s="18" t="n"/>
      <c r="G95" s="16">
        <f>IF(E95="","",E95/2)</f>
        <v/>
      </c>
      <c r="H95" s="17">
        <f>IF(C95="","",IF(C95=0,"",D95/C95))</f>
        <v/>
      </c>
      <c r="I95" s="16">
        <f>IF(OR(C95="",F95=""),"",IF(D95&gt;=C95,0,IFERROR((C95-D95)/MAX(1,DATEDIF(TODAY(),F95,"m")),"")))</f>
        <v/>
      </c>
      <c r="J95" s="32">
        <f>IF(E95="","",IF(D95&gt;=C95,"Done",IFERROR(EDATE(TODAY(),(C95-D95)/E95),"")))</f>
        <v/>
      </c>
      <c r="K95" s="21" t="n"/>
    </row>
    <row r="96">
      <c r="A96" s="15" t="n"/>
      <c r="B96" s="15" t="n"/>
      <c r="C96" s="19" t="n"/>
      <c r="D96" s="19" t="n"/>
      <c r="E96" s="19" t="n"/>
      <c r="F96" s="18" t="n"/>
      <c r="G96" s="16">
        <f>IF(E96="","",E96/2)</f>
        <v/>
      </c>
      <c r="H96" s="17">
        <f>IF(C96="","",IF(C96=0,"",D96/C96))</f>
        <v/>
      </c>
      <c r="I96" s="16">
        <f>IF(OR(C96="",F96=""),"",IF(D96&gt;=C96,0,IFERROR((C96-D96)/MAX(1,DATEDIF(TODAY(),F96,"m")),"")))</f>
        <v/>
      </c>
      <c r="J96" s="32">
        <f>IF(E96="","",IF(D96&gt;=C96,"Done",IFERROR(EDATE(TODAY(),(C96-D96)/E96),"")))</f>
        <v/>
      </c>
      <c r="K96" s="21" t="n"/>
    </row>
    <row r="97">
      <c r="A97" s="15" t="n"/>
      <c r="B97" s="15" t="n"/>
      <c r="C97" s="19" t="n"/>
      <c r="D97" s="19" t="n"/>
      <c r="E97" s="19" t="n"/>
      <c r="F97" s="18" t="n"/>
      <c r="G97" s="16">
        <f>IF(E97="","",E97/2)</f>
        <v/>
      </c>
      <c r="H97" s="17">
        <f>IF(C97="","",IF(C97=0,"",D97/C97))</f>
        <v/>
      </c>
      <c r="I97" s="16">
        <f>IF(OR(C97="",F97=""),"",IF(D97&gt;=C97,0,IFERROR((C97-D97)/MAX(1,DATEDIF(TODAY(),F97,"m")),"")))</f>
        <v/>
      </c>
      <c r="J97" s="32">
        <f>IF(E97="","",IF(D97&gt;=C97,"Done",IFERROR(EDATE(TODAY(),(C97-D97)/E97),"")))</f>
        <v/>
      </c>
      <c r="K97" s="21" t="n"/>
    </row>
    <row r="98">
      <c r="A98" s="15" t="n"/>
      <c r="B98" s="15" t="n"/>
      <c r="C98" s="19" t="n"/>
      <c r="D98" s="19" t="n"/>
      <c r="E98" s="19" t="n"/>
      <c r="F98" s="18" t="n"/>
      <c r="G98" s="16">
        <f>IF(E98="","",E98/2)</f>
        <v/>
      </c>
      <c r="H98" s="17">
        <f>IF(C98="","",IF(C98=0,"",D98/C98))</f>
        <v/>
      </c>
      <c r="I98" s="16">
        <f>IF(OR(C98="",F98=""),"",IF(D98&gt;=C98,0,IFERROR((C98-D98)/MAX(1,DATEDIF(TODAY(),F98,"m")),"")))</f>
        <v/>
      </c>
      <c r="J98" s="32">
        <f>IF(E98="","",IF(D98&gt;=C98,"Done",IFERROR(EDATE(TODAY(),(C98-D98)/E98),"")))</f>
        <v/>
      </c>
      <c r="K98" s="21" t="n"/>
    </row>
    <row r="99">
      <c r="A99" s="15" t="n"/>
      <c r="B99" s="15" t="n"/>
      <c r="C99" s="19" t="n"/>
      <c r="D99" s="19" t="n"/>
      <c r="E99" s="19" t="n"/>
      <c r="F99" s="18" t="n"/>
      <c r="G99" s="16">
        <f>IF(E99="","",E99/2)</f>
        <v/>
      </c>
      <c r="H99" s="17">
        <f>IF(C99="","",IF(C99=0,"",D99/C99))</f>
        <v/>
      </c>
      <c r="I99" s="16">
        <f>IF(OR(C99="",F99=""),"",IF(D99&gt;=C99,0,IFERROR((C99-D99)/MAX(1,DATEDIF(TODAY(),F99,"m")),"")))</f>
        <v/>
      </c>
      <c r="J99" s="32">
        <f>IF(E99="","",IF(D99&gt;=C99,"Done",IFERROR(EDATE(TODAY(),(C99-D99)/E99),"")))</f>
        <v/>
      </c>
      <c r="K99" s="21" t="n"/>
    </row>
    <row r="100">
      <c r="A100" s="15" t="n"/>
      <c r="B100" s="15" t="n"/>
      <c r="C100" s="19" t="n"/>
      <c r="D100" s="19" t="n"/>
      <c r="E100" s="19" t="n"/>
      <c r="F100" s="18" t="n"/>
      <c r="G100" s="16">
        <f>IF(E100="","",E100/2)</f>
        <v/>
      </c>
      <c r="H100" s="17">
        <f>IF(C100="","",IF(C100=0,"",D100/C100))</f>
        <v/>
      </c>
      <c r="I100" s="16">
        <f>IF(OR(C100="",F100=""),"",IF(D100&gt;=C100,0,IFERROR((C100-D100)/MAX(1,DATEDIF(TODAY(),F100,"m")),"")))</f>
        <v/>
      </c>
      <c r="J100" s="32">
        <f>IF(E100="","",IF(D100&gt;=C100,"Done",IFERROR(EDATE(TODAY(),(C100-D100)/E100),"")))</f>
        <v/>
      </c>
      <c r="K100" s="21" t="n"/>
    </row>
    <row r="101">
      <c r="A101" s="15" t="n"/>
      <c r="B101" s="15" t="n"/>
      <c r="C101" s="19" t="n"/>
      <c r="D101" s="19" t="n"/>
      <c r="E101" s="19" t="n"/>
      <c r="F101" s="18" t="n"/>
      <c r="G101" s="16">
        <f>IF(E101="","",E101/2)</f>
        <v/>
      </c>
      <c r="H101" s="17">
        <f>IF(C101="","",IF(C101=0,"",D101/C101))</f>
        <v/>
      </c>
      <c r="I101" s="16">
        <f>IF(OR(C101="",F101=""),"",IF(D101&gt;=C101,0,IFERROR((C101-D101)/MAX(1,DATEDIF(TODAY(),F101,"m")),"")))</f>
        <v/>
      </c>
      <c r="J101" s="32">
        <f>IF(E101="","",IF(D101&gt;=C101,"Done",IFERROR(EDATE(TODAY(),(C101-D101)/E101),"")))</f>
        <v/>
      </c>
      <c r="K101" s="21" t="n"/>
    </row>
    <row r="102">
      <c r="A102" s="15" t="n"/>
      <c r="B102" s="15" t="n"/>
      <c r="C102" s="19" t="n"/>
      <c r="D102" s="19" t="n"/>
      <c r="E102" s="19" t="n"/>
      <c r="F102" s="18" t="n"/>
      <c r="G102" s="16">
        <f>IF(E102="","",E102/2)</f>
        <v/>
      </c>
      <c r="H102" s="17">
        <f>IF(C102="","",IF(C102=0,"",D102/C102))</f>
        <v/>
      </c>
      <c r="I102" s="16">
        <f>IF(OR(C102="",F102=""),"",IF(D102&gt;=C102,0,IFERROR((C102-D102)/MAX(1,DATEDIF(TODAY(),F102,"m")),"")))</f>
        <v/>
      </c>
      <c r="J102" s="32">
        <f>IF(E102="","",IF(D102&gt;=C102,"Done",IFERROR(EDATE(TODAY(),(C102-D102)/E102),"")))</f>
        <v/>
      </c>
      <c r="K102" s="21" t="n"/>
    </row>
    <row r="103">
      <c r="A103" s="15" t="n"/>
      <c r="B103" s="15" t="n"/>
      <c r="C103" s="19" t="n"/>
      <c r="D103" s="19" t="n"/>
      <c r="E103" s="19" t="n"/>
      <c r="F103" s="18" t="n"/>
      <c r="G103" s="16">
        <f>IF(E103="","",E103/2)</f>
        <v/>
      </c>
      <c r="H103" s="17">
        <f>IF(C103="","",IF(C103=0,"",D103/C103))</f>
        <v/>
      </c>
      <c r="I103" s="16">
        <f>IF(OR(C103="",F103=""),"",IF(D103&gt;=C103,0,IFERROR((C103-D103)/MAX(1,DATEDIF(TODAY(),F103,"m")),"")))</f>
        <v/>
      </c>
      <c r="J103" s="32">
        <f>IF(E103="","",IF(D103&gt;=C103,"Done",IFERROR(EDATE(TODAY(),(C103-D103)/E103),"")))</f>
        <v/>
      </c>
      <c r="K103" s="21" t="n"/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3:K103"/>
  <mergeCells count="2">
    <mergeCell ref="A2:K2"/>
    <mergeCell ref="A1:K1"/>
  </mergeCells>
  <dataValidations count="1">
    <dataValidation sqref="B4:B103" showDropDown="0" showInputMessage="0" showErrorMessage="1" allowBlank="1" type="list">
      <formula1>L_Goal_Types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4" customWidth="1" min="4" max="4"/>
    <col width="15" customWidth="1" min="5" max="5"/>
    <col width="15" customWidth="1" min="6" max="6"/>
    <col width="14" customWidth="1" min="7" max="7"/>
    <col width="15" customWidth="1" min="8" max="8"/>
    <col width="12" customWidth="1" min="9" max="9"/>
    <col width="24" customWidth="1" min="10" max="10"/>
  </cols>
  <sheetData>
    <row r="1" ht="30" customHeight="1">
      <c r="A1" s="1" t="inlineStr">
        <is>
          <t>📈 Savings &amp; Investments</t>
        </is>
      </c>
    </row>
    <row r="2" ht="28" customHeight="1">
      <c r="A2" s="2" t="inlineStr">
        <is>
          <t>Current balances pull automatically from the Account Tracker. Track contributions, employer match and goal progress.</t>
        </is>
      </c>
    </row>
    <row r="3">
      <c r="A3" s="14" t="inlineStr">
        <is>
          <t>Investment Type</t>
        </is>
      </c>
      <c r="B3" s="14" t="inlineStr">
        <is>
          <t>Current Balance</t>
        </is>
      </c>
      <c r="C3" s="14" t="inlineStr">
        <is>
          <t>Monthly Contribution</t>
        </is>
      </c>
      <c r="D3" s="14" t="inlineStr">
        <is>
          <t>YTD Contributions</t>
        </is>
      </c>
      <c r="E3" s="14" t="inlineStr">
        <is>
          <t>Employer Match %</t>
        </is>
      </c>
      <c r="F3" s="14" t="inlineStr">
        <is>
          <t>Employer Match $</t>
        </is>
      </c>
      <c r="G3" s="14" t="inlineStr">
        <is>
          <t>Annual Max</t>
        </is>
      </c>
      <c r="H3" s="14" t="inlineStr">
        <is>
          <t>Goal</t>
        </is>
      </c>
      <c r="I3" s="14" t="inlineStr">
        <is>
          <t>Progress</t>
        </is>
      </c>
      <c r="J3" s="14" t="inlineStr">
        <is>
          <t>Notes</t>
        </is>
      </c>
    </row>
    <row r="5">
      <c r="A5" s="15" t="inlineStr">
        <is>
          <t>401(k)</t>
        </is>
      </c>
      <c r="B5" s="16">
        <f>SUMIF('🏦 Accounts'!$B$4:$B$103,"401(k)",'🏦 Accounts'!$D$4:$D$103)</f>
        <v/>
      </c>
      <c r="C5" s="19" t="n"/>
      <c r="D5" s="19" t="n"/>
      <c r="E5" s="31" t="n"/>
      <c r="F5" s="16">
        <f>IF(AND(C5="",E5=""),"",IFERROR(C5*E5,0))</f>
        <v/>
      </c>
      <c r="G5" s="19" t="n"/>
      <c r="H5" s="19" t="n"/>
      <c r="I5" s="17">
        <f>IF(OR(B5="",H5=""),"",IF(H5=0,"",B5/H5))</f>
        <v/>
      </c>
      <c r="J5" s="15" t="n"/>
    </row>
    <row r="6">
      <c r="A6" s="15" t="inlineStr">
        <is>
          <t>403(b)</t>
        </is>
      </c>
      <c r="B6" s="16">
        <f>SUMIF('🏦 Accounts'!$B$4:$B$103,"403(b)",'🏦 Accounts'!$D$4:$D$103)</f>
        <v/>
      </c>
      <c r="C6" s="19" t="n"/>
      <c r="D6" s="19" t="n"/>
      <c r="E6" s="31" t="n"/>
      <c r="F6" s="16">
        <f>IF(AND(C6="",E6=""),"",IFERROR(C6*E6,0))</f>
        <v/>
      </c>
      <c r="G6" s="19" t="n"/>
      <c r="H6" s="19" t="n"/>
      <c r="I6" s="17">
        <f>IF(OR(B6="",H6=""),"",IF(H6=0,"",B6/H6))</f>
        <v/>
      </c>
      <c r="J6" s="15" t="n"/>
    </row>
    <row r="7">
      <c r="A7" s="15" t="inlineStr">
        <is>
          <t>IRA</t>
        </is>
      </c>
      <c r="B7" s="16">
        <f>SUMIF('🏦 Accounts'!$B$4:$B$103,"IRA",'🏦 Accounts'!$D$4:$D$103)</f>
        <v/>
      </c>
      <c r="C7" s="19" t="n"/>
      <c r="D7" s="19" t="n"/>
      <c r="E7" s="31" t="n"/>
      <c r="F7" s="16">
        <f>IF(AND(C7="",E7=""),"",IFERROR(C7*E7,0))</f>
        <v/>
      </c>
      <c r="G7" s="19" t="n"/>
      <c r="H7" s="19" t="n"/>
      <c r="I7" s="17">
        <f>IF(OR(B7="",H7=""),"",IF(H7=0,"",B7/H7))</f>
        <v/>
      </c>
      <c r="J7" s="15" t="n"/>
    </row>
    <row r="8">
      <c r="A8" s="15" t="inlineStr">
        <is>
          <t>Roth IRA</t>
        </is>
      </c>
      <c r="B8" s="16">
        <f>SUMIF('🏦 Accounts'!$B$4:$B$103,"Roth IRA",'🏦 Accounts'!$D$4:$D$103)</f>
        <v/>
      </c>
      <c r="C8" s="19" t="n"/>
      <c r="D8" s="19" t="n"/>
      <c r="E8" s="31" t="n"/>
      <c r="F8" s="16">
        <f>IF(AND(C8="",E8=""),"",IFERROR(C8*E8,0))</f>
        <v/>
      </c>
      <c r="G8" s="19" t="n"/>
      <c r="H8" s="19" t="n"/>
      <c r="I8" s="17">
        <f>IF(OR(B8="",H8=""),"",IF(H8=0,"",B8/H8))</f>
        <v/>
      </c>
      <c r="J8" s="15" t="n"/>
    </row>
    <row r="9">
      <c r="A9" s="15" t="inlineStr">
        <is>
          <t>Brokerage</t>
        </is>
      </c>
      <c r="B9" s="16">
        <f>SUMIF('🏦 Accounts'!$B$4:$B$103,"Brokerage",'🏦 Accounts'!$D$4:$D$103)</f>
        <v/>
      </c>
      <c r="C9" s="19" t="n"/>
      <c r="D9" s="19" t="n"/>
      <c r="E9" s="31" t="n"/>
      <c r="F9" s="16">
        <f>IF(AND(C9="",E9=""),"",IFERROR(C9*E9,0))</f>
        <v/>
      </c>
      <c r="G9" s="19" t="n"/>
      <c r="H9" s="19" t="n"/>
      <c r="I9" s="17">
        <f>IF(OR(B9="",H9=""),"",IF(H9=0,"",B9/H9))</f>
        <v/>
      </c>
      <c r="J9" s="15" t="n"/>
    </row>
    <row r="10">
      <c r="A10" s="15" t="inlineStr">
        <is>
          <t>HSA</t>
        </is>
      </c>
      <c r="B10" s="16">
        <f>SUMIF('🏦 Accounts'!$B$4:$B$103,"HSA",'🏦 Accounts'!$D$4:$D$103)</f>
        <v/>
      </c>
      <c r="C10" s="19" t="n"/>
      <c r="D10" s="19" t="n"/>
      <c r="E10" s="31" t="n"/>
      <c r="F10" s="16">
        <f>IF(AND(C10="",E10=""),"",IFERROR(C10*E10,0))</f>
        <v/>
      </c>
      <c r="G10" s="19" t="n"/>
      <c r="H10" s="19" t="n"/>
      <c r="I10" s="17">
        <f>IF(OR(B10="",H10=""),"",IF(H10=0,"",B10/H10))</f>
        <v/>
      </c>
      <c r="J10" s="15" t="n"/>
    </row>
    <row r="11">
      <c r="A11" s="15" t="inlineStr">
        <is>
          <t>529</t>
        </is>
      </c>
      <c r="B11" s="16">
        <f>SUMIF('🏦 Accounts'!$B$4:$B$103,"529",'🏦 Accounts'!$D$4:$D$103)</f>
        <v/>
      </c>
      <c r="C11" s="19" t="n"/>
      <c r="D11" s="19" t="n"/>
      <c r="E11" s="31" t="n"/>
      <c r="F11" s="16">
        <f>IF(AND(C11="",E11=""),"",IFERROR(C11*E11,0))</f>
        <v/>
      </c>
      <c r="G11" s="19" t="n"/>
      <c r="H11" s="19" t="n"/>
      <c r="I11" s="17">
        <f>IF(OR(B11="",H11=""),"",IF(H11=0,"",B11/H11))</f>
        <v/>
      </c>
      <c r="J11" s="15" t="n"/>
    </row>
    <row r="12">
      <c r="A12" s="15" t="inlineStr">
        <is>
          <t>CD</t>
        </is>
      </c>
      <c r="B12" s="16">
        <f>SUMIF('🏦 Accounts'!$B$4:$B$103,"CD",'🏦 Accounts'!$D$4:$D$103)</f>
        <v/>
      </c>
      <c r="C12" s="19" t="n"/>
      <c r="D12" s="19" t="n"/>
      <c r="E12" s="31" t="n"/>
      <c r="F12" s="16">
        <f>IF(AND(C12="",E12=""),"",IFERROR(C12*E12,0))</f>
        <v/>
      </c>
      <c r="G12" s="19" t="n"/>
      <c r="H12" s="19" t="n"/>
      <c r="I12" s="17">
        <f>IF(OR(B12="",H12=""),"",IF(H12=0,"",B12/H12))</f>
        <v/>
      </c>
      <c r="J12" s="15" t="n"/>
    </row>
    <row r="13">
      <c r="A13" s="15" t="inlineStr">
        <is>
          <t>HYSA</t>
        </is>
      </c>
      <c r="B13" s="16">
        <f>SUMIF('🏦 Accounts'!$B$4:$B$103,"HYSA",'🏦 Accounts'!$D$4:$D$103)</f>
        <v/>
      </c>
      <c r="C13" s="19" t="n"/>
      <c r="D13" s="19" t="n"/>
      <c r="E13" s="31" t="n"/>
      <c r="F13" s="16">
        <f>IF(AND(C13="",E13=""),"",IFERROR(C13*E13,0))</f>
        <v/>
      </c>
      <c r="G13" s="19" t="n"/>
      <c r="H13" s="19" t="n"/>
      <c r="I13" s="17">
        <f>IF(OR(B13="",H13=""),"",IF(H13=0,"",B13/H13))</f>
        <v/>
      </c>
      <c r="J13" s="15" t="n"/>
    </row>
    <row r="14">
      <c r="A14" s="15" t="inlineStr">
        <is>
          <t>Cash</t>
        </is>
      </c>
      <c r="B14" s="16">
        <f>SUMIF('🏦 Accounts'!$B$4:$B$103,"Cash",'🏦 Accounts'!$D$4:$D$103)</f>
        <v/>
      </c>
      <c r="C14" s="19" t="n"/>
      <c r="D14" s="19" t="n"/>
      <c r="E14" s="31" t="n"/>
      <c r="F14" s="16">
        <f>IF(AND(C14="",E14=""),"",IFERROR(C14*E14,0))</f>
        <v/>
      </c>
      <c r="G14" s="19" t="n"/>
      <c r="H14" s="19" t="n"/>
      <c r="I14" s="17">
        <f>IF(OR(B14="",H14=""),"",IF(H14=0,"",B14/H14))</f>
        <v/>
      </c>
      <c r="J14" s="15" t="n"/>
    </row>
    <row r="15">
      <c r="A15" s="15" t="inlineStr">
        <is>
          <t>Emergency Fund</t>
        </is>
      </c>
      <c r="B15" s="16">
        <f>SUMIF('🏦 Accounts'!$B$4:$B$103,"HYSA",'🏦 Accounts'!$D$4:$D$103)+SUMIF('🏦 Accounts'!$B$4:$B$103,"Savings",'🏦 Accounts'!$D$4:$D$103)</f>
        <v/>
      </c>
      <c r="C15" s="19" t="n"/>
      <c r="D15" s="19" t="n"/>
      <c r="E15" s="31" t="n"/>
      <c r="F15" s="16">
        <f>IF(AND(C15="",E15=""),"",IFERROR(C15*E15,0))</f>
        <v/>
      </c>
      <c r="G15" s="19" t="n"/>
      <c r="H15" s="19" t="n"/>
      <c r="I15" s="17">
        <f>IF(OR(B15="",H15=""),"",IF(H15=0,"",B15/H15))</f>
        <v/>
      </c>
      <c r="J15" s="15" t="n"/>
    </row>
    <row r="17">
      <c r="A17" s="23" t="inlineStr">
        <is>
          <t>TOTAL</t>
        </is>
      </c>
      <c r="B17" s="24">
        <f>SUM(B5:B15)</f>
        <v/>
      </c>
      <c r="C17" s="24">
        <f>SUM(C5:C15)</f>
        <v/>
      </c>
      <c r="F17" s="24">
        <f>SUM(F5:F15)</f>
        <v/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🏡 Home &amp; Mortgage</t>
        </is>
      </c>
    </row>
    <row r="2" ht="28" customHeight="1">
      <c r="A2" s="2" t="inlineStr">
        <is>
          <t>Home equity, total monthly cost and a full mortgage amortization schedule — all auto-calculated.</t>
        </is>
      </c>
    </row>
    <row r="4">
      <c r="A4" s="3" t="inlineStr">
        <is>
          <t>HOME / MORTGAGE INPUTS</t>
        </is>
      </c>
    </row>
    <row r="5">
      <c r="A5" s="6" t="inlineStr">
        <is>
          <t>Home Value</t>
        </is>
      </c>
      <c r="B5" s="15" t="n">
        <v>420000</v>
      </c>
    </row>
    <row r="6">
      <c r="A6" s="6" t="inlineStr">
        <is>
          <t>Annual Property Tax</t>
        </is>
      </c>
      <c r="B6" s="15" t="n">
        <v>5000</v>
      </c>
    </row>
    <row r="7">
      <c r="A7" s="6" t="inlineStr">
        <is>
          <t>Monthly HOA</t>
        </is>
      </c>
      <c r="B7" s="15" t="n">
        <v>90</v>
      </c>
    </row>
    <row r="8">
      <c r="A8" s="6" t="inlineStr">
        <is>
          <t>Annual Home Insurance</t>
        </is>
      </c>
      <c r="B8" s="15" t="n">
        <v>1400</v>
      </c>
    </row>
    <row r="9">
      <c r="A9" s="6" t="inlineStr">
        <is>
          <t>Monthly Maintenance (avg)</t>
        </is>
      </c>
      <c r="B9" s="15" t="n">
        <v>150</v>
      </c>
    </row>
    <row r="10">
      <c r="A10" s="6" t="inlineStr">
        <is>
          <t>Mortgage Balance</t>
        </is>
      </c>
      <c r="B10" s="15" t="n">
        <v>285000</v>
      </c>
    </row>
    <row r="11">
      <c r="A11" s="6" t="inlineStr">
        <is>
          <t>Interest Rate (APR)</t>
        </is>
      </c>
      <c r="B11" s="31" t="n">
        <v>0.055</v>
      </c>
    </row>
    <row r="12">
      <c r="A12" s="6" t="inlineStr">
        <is>
          <t>Loan Term (years)</t>
        </is>
      </c>
      <c r="B12" s="33" t="n">
        <v>30</v>
      </c>
    </row>
    <row r="13">
      <c r="A13" s="6" t="inlineStr">
        <is>
          <t>Monthly P&amp;I Payment</t>
        </is>
      </c>
      <c r="B13" s="34">
        <f>IFERROR(-PMT(B11/12,B12*12,B10),0)</f>
        <v/>
      </c>
    </row>
    <row r="14">
      <c r="A14" s="6" t="inlineStr">
        <is>
          <t>Monthly Escrow (Tax+Ins+HOA)</t>
        </is>
      </c>
      <c r="B14" s="16">
        <f>IFERROR(B6/12+B8/12+B7,0)</f>
        <v/>
      </c>
    </row>
    <row r="15">
      <c r="A15" s="6" t="inlineStr">
        <is>
          <t>Total Monthly Housing Cost</t>
        </is>
      </c>
      <c r="B15" s="34">
        <f>B13+B14+B9</f>
        <v/>
      </c>
    </row>
    <row r="16">
      <c r="A16" s="6" t="inlineStr">
        <is>
          <t>Annual Carrying Cost</t>
        </is>
      </c>
      <c r="B16" s="16">
        <f>B15*12</f>
        <v/>
      </c>
    </row>
    <row r="17">
      <c r="A17" s="6" t="inlineStr">
        <is>
          <t>Home Equity</t>
        </is>
      </c>
      <c r="B17" s="34">
        <f>B5-B10</f>
        <v/>
      </c>
    </row>
    <row r="18">
      <c r="A18" s="6" t="inlineStr">
        <is>
          <t>Loan % Paid</t>
        </is>
      </c>
      <c r="B18" s="17">
        <f>IF(OR(B10="",B5=""),"",1-B10/B5)</f>
        <v/>
      </c>
    </row>
    <row r="19">
      <c r="A19" s="6" t="inlineStr">
        <is>
          <t>Months Remaining</t>
        </is>
      </c>
      <c r="B19" s="35">
        <f>IFERROR(NPER(B11/12,-B13,B10),"")</f>
        <v/>
      </c>
    </row>
    <row r="20">
      <c r="A20" s="6" t="inlineStr">
        <is>
          <t>Projected Payoff Date</t>
        </is>
      </c>
      <c r="B20" s="32">
        <f>IFERROR(EDATE(TODAY(),ROUNDUP(B19,0)),"")</f>
        <v/>
      </c>
    </row>
    <row r="22">
      <c r="A22" s="36" t="inlineStr">
        <is>
          <t>MORTGAGE AMORTIZATION SCHEDULE</t>
        </is>
      </c>
    </row>
    <row r="23">
      <c r="A23" s="14" t="inlineStr">
        <is>
          <t>Payment #</t>
        </is>
      </c>
      <c r="B23" s="14" t="inlineStr">
        <is>
          <t>Payment</t>
        </is>
      </c>
      <c r="C23" s="14" t="inlineStr">
        <is>
          <t>Interest</t>
        </is>
      </c>
      <c r="D23" s="14" t="inlineStr">
        <is>
          <t>Principal</t>
        </is>
      </c>
      <c r="E23" s="14" t="inlineStr">
        <is>
          <t>Balance</t>
        </is>
      </c>
    </row>
    <row r="24">
      <c r="A24" s="37" t="inlineStr">
        <is>
          <t>Start</t>
        </is>
      </c>
      <c r="E24" s="24">
        <f>$B$10</f>
        <v/>
      </c>
    </row>
    <row r="25">
      <c r="A25" s="38" t="n">
        <v>1</v>
      </c>
      <c r="B25" s="39">
        <f>IF(E24&lt;=0,"",$B$13)</f>
        <v/>
      </c>
      <c r="C25" s="39">
        <f>IF(E24&lt;=0,"",E24*$B$11/12)</f>
        <v/>
      </c>
      <c r="D25" s="39">
        <f>IF(E24&lt;=0,"",B25-C25)</f>
        <v/>
      </c>
      <c r="E25" s="39">
        <f>IF(E24&lt;=0,"",E24-D25)</f>
        <v/>
      </c>
    </row>
    <row r="26">
      <c r="A26" s="40" t="n">
        <v>2</v>
      </c>
      <c r="B26" s="41">
        <f>IF(E25&lt;=0,"",$B$13)</f>
        <v/>
      </c>
      <c r="C26" s="41">
        <f>IF(E25&lt;=0,"",E25*$B$11/12)</f>
        <v/>
      </c>
      <c r="D26" s="41">
        <f>IF(E25&lt;=0,"",B26-C26)</f>
        <v/>
      </c>
      <c r="E26" s="41">
        <f>IF(E25&lt;=0,"",E25-D26)</f>
        <v/>
      </c>
    </row>
    <row r="27">
      <c r="A27" s="38" t="n">
        <v>3</v>
      </c>
      <c r="B27" s="39">
        <f>IF(E26&lt;=0,"",$B$13)</f>
        <v/>
      </c>
      <c r="C27" s="39">
        <f>IF(E26&lt;=0,"",E26*$B$11/12)</f>
        <v/>
      </c>
      <c r="D27" s="39">
        <f>IF(E26&lt;=0,"",B27-C27)</f>
        <v/>
      </c>
      <c r="E27" s="39">
        <f>IF(E26&lt;=0,"",E26-D27)</f>
        <v/>
      </c>
    </row>
    <row r="28">
      <c r="A28" s="40" t="n">
        <v>4</v>
      </c>
      <c r="B28" s="41">
        <f>IF(E27&lt;=0,"",$B$13)</f>
        <v/>
      </c>
      <c r="C28" s="41">
        <f>IF(E27&lt;=0,"",E27*$B$11/12)</f>
        <v/>
      </c>
      <c r="D28" s="41">
        <f>IF(E27&lt;=0,"",B28-C28)</f>
        <v/>
      </c>
      <c r="E28" s="41">
        <f>IF(E27&lt;=0,"",E27-D28)</f>
        <v/>
      </c>
    </row>
    <row r="29">
      <c r="A29" s="38" t="n">
        <v>5</v>
      </c>
      <c r="B29" s="39">
        <f>IF(E28&lt;=0,"",$B$13)</f>
        <v/>
      </c>
      <c r="C29" s="39">
        <f>IF(E28&lt;=0,"",E28*$B$11/12)</f>
        <v/>
      </c>
      <c r="D29" s="39">
        <f>IF(E28&lt;=0,"",B29-C29)</f>
        <v/>
      </c>
      <c r="E29" s="39">
        <f>IF(E28&lt;=0,"",E28-D29)</f>
        <v/>
      </c>
    </row>
    <row r="30">
      <c r="A30" s="40" t="n">
        <v>6</v>
      </c>
      <c r="B30" s="41">
        <f>IF(E29&lt;=0,"",$B$13)</f>
        <v/>
      </c>
      <c r="C30" s="41">
        <f>IF(E29&lt;=0,"",E29*$B$11/12)</f>
        <v/>
      </c>
      <c r="D30" s="41">
        <f>IF(E29&lt;=0,"",B30-C30)</f>
        <v/>
      </c>
      <c r="E30" s="41">
        <f>IF(E29&lt;=0,"",E29-D30)</f>
        <v/>
      </c>
    </row>
    <row r="31">
      <c r="A31" s="38" t="n">
        <v>7</v>
      </c>
      <c r="B31" s="39">
        <f>IF(E30&lt;=0,"",$B$13)</f>
        <v/>
      </c>
      <c r="C31" s="39">
        <f>IF(E30&lt;=0,"",E30*$B$11/12)</f>
        <v/>
      </c>
      <c r="D31" s="39">
        <f>IF(E30&lt;=0,"",B31-C31)</f>
        <v/>
      </c>
      <c r="E31" s="39">
        <f>IF(E30&lt;=0,"",E30-D31)</f>
        <v/>
      </c>
    </row>
    <row r="32">
      <c r="A32" s="40" t="n">
        <v>8</v>
      </c>
      <c r="B32" s="41">
        <f>IF(E31&lt;=0,"",$B$13)</f>
        <v/>
      </c>
      <c r="C32" s="41">
        <f>IF(E31&lt;=0,"",E31*$B$11/12)</f>
        <v/>
      </c>
      <c r="D32" s="41">
        <f>IF(E31&lt;=0,"",B32-C32)</f>
        <v/>
      </c>
      <c r="E32" s="41">
        <f>IF(E31&lt;=0,"",E31-D32)</f>
        <v/>
      </c>
    </row>
    <row r="33">
      <c r="A33" s="38" t="n">
        <v>9</v>
      </c>
      <c r="B33" s="39">
        <f>IF(E32&lt;=0,"",$B$13)</f>
        <v/>
      </c>
      <c r="C33" s="39">
        <f>IF(E32&lt;=0,"",E32*$B$11/12)</f>
        <v/>
      </c>
      <c r="D33" s="39">
        <f>IF(E32&lt;=0,"",B33-C33)</f>
        <v/>
      </c>
      <c r="E33" s="39">
        <f>IF(E32&lt;=0,"",E32-D33)</f>
        <v/>
      </c>
    </row>
    <row r="34">
      <c r="A34" s="40" t="n">
        <v>10</v>
      </c>
      <c r="B34" s="41">
        <f>IF(E33&lt;=0,"",$B$13)</f>
        <v/>
      </c>
      <c r="C34" s="41">
        <f>IF(E33&lt;=0,"",E33*$B$11/12)</f>
        <v/>
      </c>
      <c r="D34" s="41">
        <f>IF(E33&lt;=0,"",B34-C34)</f>
        <v/>
      </c>
      <c r="E34" s="41">
        <f>IF(E33&lt;=0,"",E33-D34)</f>
        <v/>
      </c>
    </row>
    <row r="35">
      <c r="A35" s="38" t="n">
        <v>11</v>
      </c>
      <c r="B35" s="39">
        <f>IF(E34&lt;=0,"",$B$13)</f>
        <v/>
      </c>
      <c r="C35" s="39">
        <f>IF(E34&lt;=0,"",E34*$B$11/12)</f>
        <v/>
      </c>
      <c r="D35" s="39">
        <f>IF(E34&lt;=0,"",B35-C35)</f>
        <v/>
      </c>
      <c r="E35" s="39">
        <f>IF(E34&lt;=0,"",E34-D35)</f>
        <v/>
      </c>
    </row>
    <row r="36">
      <c r="A36" s="40" t="n">
        <v>12</v>
      </c>
      <c r="B36" s="41">
        <f>IF(E35&lt;=0,"",$B$13)</f>
        <v/>
      </c>
      <c r="C36" s="41">
        <f>IF(E35&lt;=0,"",E35*$B$11/12)</f>
        <v/>
      </c>
      <c r="D36" s="41">
        <f>IF(E35&lt;=0,"",B36-C36)</f>
        <v/>
      </c>
      <c r="E36" s="41">
        <f>IF(E35&lt;=0,"",E35-D36)</f>
        <v/>
      </c>
    </row>
    <row r="37">
      <c r="A37" s="38" t="n">
        <v>13</v>
      </c>
      <c r="B37" s="39">
        <f>IF(E36&lt;=0,"",$B$13)</f>
        <v/>
      </c>
      <c r="C37" s="39">
        <f>IF(E36&lt;=0,"",E36*$B$11/12)</f>
        <v/>
      </c>
      <c r="D37" s="39">
        <f>IF(E36&lt;=0,"",B37-C37)</f>
        <v/>
      </c>
      <c r="E37" s="39">
        <f>IF(E36&lt;=0,"",E36-D37)</f>
        <v/>
      </c>
    </row>
    <row r="38">
      <c r="A38" s="40" t="n">
        <v>14</v>
      </c>
      <c r="B38" s="41">
        <f>IF(E37&lt;=0,"",$B$13)</f>
        <v/>
      </c>
      <c r="C38" s="41">
        <f>IF(E37&lt;=0,"",E37*$B$11/12)</f>
        <v/>
      </c>
      <c r="D38" s="41">
        <f>IF(E37&lt;=0,"",B38-C38)</f>
        <v/>
      </c>
      <c r="E38" s="41">
        <f>IF(E37&lt;=0,"",E37-D38)</f>
        <v/>
      </c>
    </row>
    <row r="39">
      <c r="A39" s="38" t="n">
        <v>15</v>
      </c>
      <c r="B39" s="39">
        <f>IF(E38&lt;=0,"",$B$13)</f>
        <v/>
      </c>
      <c r="C39" s="39">
        <f>IF(E38&lt;=0,"",E38*$B$11/12)</f>
        <v/>
      </c>
      <c r="D39" s="39">
        <f>IF(E38&lt;=0,"",B39-C39)</f>
        <v/>
      </c>
      <c r="E39" s="39">
        <f>IF(E38&lt;=0,"",E38-D39)</f>
        <v/>
      </c>
    </row>
    <row r="40">
      <c r="A40" s="40" t="n">
        <v>16</v>
      </c>
      <c r="B40" s="41">
        <f>IF(E39&lt;=0,"",$B$13)</f>
        <v/>
      </c>
      <c r="C40" s="41">
        <f>IF(E39&lt;=0,"",E39*$B$11/12)</f>
        <v/>
      </c>
      <c r="D40" s="41">
        <f>IF(E39&lt;=0,"",B40-C40)</f>
        <v/>
      </c>
      <c r="E40" s="41">
        <f>IF(E39&lt;=0,"",E39-D40)</f>
        <v/>
      </c>
    </row>
    <row r="41">
      <c r="A41" s="38" t="n">
        <v>17</v>
      </c>
      <c r="B41" s="39">
        <f>IF(E40&lt;=0,"",$B$13)</f>
        <v/>
      </c>
      <c r="C41" s="39">
        <f>IF(E40&lt;=0,"",E40*$B$11/12)</f>
        <v/>
      </c>
      <c r="D41" s="39">
        <f>IF(E40&lt;=0,"",B41-C41)</f>
        <v/>
      </c>
      <c r="E41" s="39">
        <f>IF(E40&lt;=0,"",E40-D41)</f>
        <v/>
      </c>
    </row>
    <row r="42">
      <c r="A42" s="40" t="n">
        <v>18</v>
      </c>
      <c r="B42" s="41">
        <f>IF(E41&lt;=0,"",$B$13)</f>
        <v/>
      </c>
      <c r="C42" s="41">
        <f>IF(E41&lt;=0,"",E41*$B$11/12)</f>
        <v/>
      </c>
      <c r="D42" s="41">
        <f>IF(E41&lt;=0,"",B42-C42)</f>
        <v/>
      </c>
      <c r="E42" s="41">
        <f>IF(E41&lt;=0,"",E41-D42)</f>
        <v/>
      </c>
    </row>
    <row r="43">
      <c r="A43" s="38" t="n">
        <v>19</v>
      </c>
      <c r="B43" s="39">
        <f>IF(E42&lt;=0,"",$B$13)</f>
        <v/>
      </c>
      <c r="C43" s="39">
        <f>IF(E42&lt;=0,"",E42*$B$11/12)</f>
        <v/>
      </c>
      <c r="D43" s="39">
        <f>IF(E42&lt;=0,"",B43-C43)</f>
        <v/>
      </c>
      <c r="E43" s="39">
        <f>IF(E42&lt;=0,"",E42-D43)</f>
        <v/>
      </c>
    </row>
    <row r="44">
      <c r="A44" s="40" t="n">
        <v>20</v>
      </c>
      <c r="B44" s="41">
        <f>IF(E43&lt;=0,"",$B$13)</f>
        <v/>
      </c>
      <c r="C44" s="41">
        <f>IF(E43&lt;=0,"",E43*$B$11/12)</f>
        <v/>
      </c>
      <c r="D44" s="41">
        <f>IF(E43&lt;=0,"",B44-C44)</f>
        <v/>
      </c>
      <c r="E44" s="41">
        <f>IF(E43&lt;=0,"",E43-D44)</f>
        <v/>
      </c>
    </row>
    <row r="45">
      <c r="A45" s="38" t="n">
        <v>21</v>
      </c>
      <c r="B45" s="39">
        <f>IF(E44&lt;=0,"",$B$13)</f>
        <v/>
      </c>
      <c r="C45" s="39">
        <f>IF(E44&lt;=0,"",E44*$B$11/12)</f>
        <v/>
      </c>
      <c r="D45" s="39">
        <f>IF(E44&lt;=0,"",B45-C45)</f>
        <v/>
      </c>
      <c r="E45" s="39">
        <f>IF(E44&lt;=0,"",E44-D45)</f>
        <v/>
      </c>
    </row>
    <row r="46">
      <c r="A46" s="40" t="n">
        <v>22</v>
      </c>
      <c r="B46" s="41">
        <f>IF(E45&lt;=0,"",$B$13)</f>
        <v/>
      </c>
      <c r="C46" s="41">
        <f>IF(E45&lt;=0,"",E45*$B$11/12)</f>
        <v/>
      </c>
      <c r="D46" s="41">
        <f>IF(E45&lt;=0,"",B46-C46)</f>
        <v/>
      </c>
      <c r="E46" s="41">
        <f>IF(E45&lt;=0,"",E45-D46)</f>
        <v/>
      </c>
    </row>
    <row r="47">
      <c r="A47" s="38" t="n">
        <v>23</v>
      </c>
      <c r="B47" s="39">
        <f>IF(E46&lt;=0,"",$B$13)</f>
        <v/>
      </c>
      <c r="C47" s="39">
        <f>IF(E46&lt;=0,"",E46*$B$11/12)</f>
        <v/>
      </c>
      <c r="D47" s="39">
        <f>IF(E46&lt;=0,"",B47-C47)</f>
        <v/>
      </c>
      <c r="E47" s="39">
        <f>IF(E46&lt;=0,"",E46-D47)</f>
        <v/>
      </c>
    </row>
    <row r="48">
      <c r="A48" s="40" t="n">
        <v>24</v>
      </c>
      <c r="B48" s="41">
        <f>IF(E47&lt;=0,"",$B$13)</f>
        <v/>
      </c>
      <c r="C48" s="41">
        <f>IF(E47&lt;=0,"",E47*$B$11/12)</f>
        <v/>
      </c>
      <c r="D48" s="41">
        <f>IF(E47&lt;=0,"",B48-C48)</f>
        <v/>
      </c>
      <c r="E48" s="41">
        <f>IF(E47&lt;=0,"",E47-D48)</f>
        <v/>
      </c>
    </row>
    <row r="49">
      <c r="A49" s="38" t="n">
        <v>25</v>
      </c>
      <c r="B49" s="39">
        <f>IF(E48&lt;=0,"",$B$13)</f>
        <v/>
      </c>
      <c r="C49" s="39">
        <f>IF(E48&lt;=0,"",E48*$B$11/12)</f>
        <v/>
      </c>
      <c r="D49" s="39">
        <f>IF(E48&lt;=0,"",B49-C49)</f>
        <v/>
      </c>
      <c r="E49" s="39">
        <f>IF(E48&lt;=0,"",E48-D49)</f>
        <v/>
      </c>
    </row>
    <row r="50">
      <c r="A50" s="40" t="n">
        <v>26</v>
      </c>
      <c r="B50" s="41">
        <f>IF(E49&lt;=0,"",$B$13)</f>
        <v/>
      </c>
      <c r="C50" s="41">
        <f>IF(E49&lt;=0,"",E49*$B$11/12)</f>
        <v/>
      </c>
      <c r="D50" s="41">
        <f>IF(E49&lt;=0,"",B50-C50)</f>
        <v/>
      </c>
      <c r="E50" s="41">
        <f>IF(E49&lt;=0,"",E49-D50)</f>
        <v/>
      </c>
    </row>
    <row r="51">
      <c r="A51" s="38" t="n">
        <v>27</v>
      </c>
      <c r="B51" s="39">
        <f>IF(E50&lt;=0,"",$B$13)</f>
        <v/>
      </c>
      <c r="C51" s="39">
        <f>IF(E50&lt;=0,"",E50*$B$11/12)</f>
        <v/>
      </c>
      <c r="D51" s="39">
        <f>IF(E50&lt;=0,"",B51-C51)</f>
        <v/>
      </c>
      <c r="E51" s="39">
        <f>IF(E50&lt;=0,"",E50-D51)</f>
        <v/>
      </c>
    </row>
    <row r="52">
      <c r="A52" s="40" t="n">
        <v>28</v>
      </c>
      <c r="B52" s="41">
        <f>IF(E51&lt;=0,"",$B$13)</f>
        <v/>
      </c>
      <c r="C52" s="41">
        <f>IF(E51&lt;=0,"",E51*$B$11/12)</f>
        <v/>
      </c>
      <c r="D52" s="41">
        <f>IF(E51&lt;=0,"",B52-C52)</f>
        <v/>
      </c>
      <c r="E52" s="41">
        <f>IF(E51&lt;=0,"",E51-D52)</f>
        <v/>
      </c>
    </row>
    <row r="53">
      <c r="A53" s="38" t="n">
        <v>29</v>
      </c>
      <c r="B53" s="39">
        <f>IF(E52&lt;=0,"",$B$13)</f>
        <v/>
      </c>
      <c r="C53" s="39">
        <f>IF(E52&lt;=0,"",E52*$B$11/12)</f>
        <v/>
      </c>
      <c r="D53" s="39">
        <f>IF(E52&lt;=0,"",B53-C53)</f>
        <v/>
      </c>
      <c r="E53" s="39">
        <f>IF(E52&lt;=0,"",E52-D53)</f>
        <v/>
      </c>
    </row>
    <row r="54">
      <c r="A54" s="40" t="n">
        <v>30</v>
      </c>
      <c r="B54" s="41">
        <f>IF(E53&lt;=0,"",$B$13)</f>
        <v/>
      </c>
      <c r="C54" s="41">
        <f>IF(E53&lt;=0,"",E53*$B$11/12)</f>
        <v/>
      </c>
      <c r="D54" s="41">
        <f>IF(E53&lt;=0,"",B54-C54)</f>
        <v/>
      </c>
      <c r="E54" s="41">
        <f>IF(E53&lt;=0,"",E53-D54)</f>
        <v/>
      </c>
    </row>
    <row r="55">
      <c r="A55" s="38" t="n">
        <v>31</v>
      </c>
      <c r="B55" s="39">
        <f>IF(E54&lt;=0,"",$B$13)</f>
        <v/>
      </c>
      <c r="C55" s="39">
        <f>IF(E54&lt;=0,"",E54*$B$11/12)</f>
        <v/>
      </c>
      <c r="D55" s="39">
        <f>IF(E54&lt;=0,"",B55-C55)</f>
        <v/>
      </c>
      <c r="E55" s="39">
        <f>IF(E54&lt;=0,"",E54-D55)</f>
        <v/>
      </c>
    </row>
    <row r="56">
      <c r="A56" s="40" t="n">
        <v>32</v>
      </c>
      <c r="B56" s="41">
        <f>IF(E55&lt;=0,"",$B$13)</f>
        <v/>
      </c>
      <c r="C56" s="41">
        <f>IF(E55&lt;=0,"",E55*$B$11/12)</f>
        <v/>
      </c>
      <c r="D56" s="41">
        <f>IF(E55&lt;=0,"",B56-C56)</f>
        <v/>
      </c>
      <c r="E56" s="41">
        <f>IF(E55&lt;=0,"",E55-D56)</f>
        <v/>
      </c>
    </row>
    <row r="57">
      <c r="A57" s="38" t="n">
        <v>33</v>
      </c>
      <c r="B57" s="39">
        <f>IF(E56&lt;=0,"",$B$13)</f>
        <v/>
      </c>
      <c r="C57" s="39">
        <f>IF(E56&lt;=0,"",E56*$B$11/12)</f>
        <v/>
      </c>
      <c r="D57" s="39">
        <f>IF(E56&lt;=0,"",B57-C57)</f>
        <v/>
      </c>
      <c r="E57" s="39">
        <f>IF(E56&lt;=0,"",E56-D57)</f>
        <v/>
      </c>
    </row>
    <row r="58">
      <c r="A58" s="40" t="n">
        <v>34</v>
      </c>
      <c r="B58" s="41">
        <f>IF(E57&lt;=0,"",$B$13)</f>
        <v/>
      </c>
      <c r="C58" s="41">
        <f>IF(E57&lt;=0,"",E57*$B$11/12)</f>
        <v/>
      </c>
      <c r="D58" s="41">
        <f>IF(E57&lt;=0,"",B58-C58)</f>
        <v/>
      </c>
      <c r="E58" s="41">
        <f>IF(E57&lt;=0,"",E57-D58)</f>
        <v/>
      </c>
    </row>
    <row r="59">
      <c r="A59" s="38" t="n">
        <v>35</v>
      </c>
      <c r="B59" s="39">
        <f>IF(E58&lt;=0,"",$B$13)</f>
        <v/>
      </c>
      <c r="C59" s="39">
        <f>IF(E58&lt;=0,"",E58*$B$11/12)</f>
        <v/>
      </c>
      <c r="D59" s="39">
        <f>IF(E58&lt;=0,"",B59-C59)</f>
        <v/>
      </c>
      <c r="E59" s="39">
        <f>IF(E58&lt;=0,"",E58-D59)</f>
        <v/>
      </c>
    </row>
    <row r="60">
      <c r="A60" s="40" t="n">
        <v>36</v>
      </c>
      <c r="B60" s="41">
        <f>IF(E59&lt;=0,"",$B$13)</f>
        <v/>
      </c>
      <c r="C60" s="41">
        <f>IF(E59&lt;=0,"",E59*$B$11/12)</f>
        <v/>
      </c>
      <c r="D60" s="41">
        <f>IF(E59&lt;=0,"",B60-C60)</f>
        <v/>
      </c>
      <c r="E60" s="41">
        <f>IF(E59&lt;=0,"",E59-D60)</f>
        <v/>
      </c>
    </row>
    <row r="61">
      <c r="A61" s="38" t="n">
        <v>37</v>
      </c>
      <c r="B61" s="39">
        <f>IF(E60&lt;=0,"",$B$13)</f>
        <v/>
      </c>
      <c r="C61" s="39">
        <f>IF(E60&lt;=0,"",E60*$B$11/12)</f>
        <v/>
      </c>
      <c r="D61" s="39">
        <f>IF(E60&lt;=0,"",B61-C61)</f>
        <v/>
      </c>
      <c r="E61" s="39">
        <f>IF(E60&lt;=0,"",E60-D61)</f>
        <v/>
      </c>
    </row>
    <row r="62">
      <c r="A62" s="40" t="n">
        <v>38</v>
      </c>
      <c r="B62" s="41">
        <f>IF(E61&lt;=0,"",$B$13)</f>
        <v/>
      </c>
      <c r="C62" s="41">
        <f>IF(E61&lt;=0,"",E61*$B$11/12)</f>
        <v/>
      </c>
      <c r="D62" s="41">
        <f>IF(E61&lt;=0,"",B62-C62)</f>
        <v/>
      </c>
      <c r="E62" s="41">
        <f>IF(E61&lt;=0,"",E61-D62)</f>
        <v/>
      </c>
    </row>
    <row r="63">
      <c r="A63" s="38" t="n">
        <v>39</v>
      </c>
      <c r="B63" s="39">
        <f>IF(E62&lt;=0,"",$B$13)</f>
        <v/>
      </c>
      <c r="C63" s="39">
        <f>IF(E62&lt;=0,"",E62*$B$11/12)</f>
        <v/>
      </c>
      <c r="D63" s="39">
        <f>IF(E62&lt;=0,"",B63-C63)</f>
        <v/>
      </c>
      <c r="E63" s="39">
        <f>IF(E62&lt;=0,"",E62-D63)</f>
        <v/>
      </c>
    </row>
    <row r="64">
      <c r="A64" s="40" t="n">
        <v>40</v>
      </c>
      <c r="B64" s="41">
        <f>IF(E63&lt;=0,"",$B$13)</f>
        <v/>
      </c>
      <c r="C64" s="41">
        <f>IF(E63&lt;=0,"",E63*$B$11/12)</f>
        <v/>
      </c>
      <c r="D64" s="41">
        <f>IF(E63&lt;=0,"",B64-C64)</f>
        <v/>
      </c>
      <c r="E64" s="41">
        <f>IF(E63&lt;=0,"",E63-D64)</f>
        <v/>
      </c>
    </row>
    <row r="65">
      <c r="A65" s="38" t="n">
        <v>41</v>
      </c>
      <c r="B65" s="39">
        <f>IF(E64&lt;=0,"",$B$13)</f>
        <v/>
      </c>
      <c r="C65" s="39">
        <f>IF(E64&lt;=0,"",E64*$B$11/12)</f>
        <v/>
      </c>
      <c r="D65" s="39">
        <f>IF(E64&lt;=0,"",B65-C65)</f>
        <v/>
      </c>
      <c r="E65" s="39">
        <f>IF(E64&lt;=0,"",E64-D65)</f>
        <v/>
      </c>
    </row>
    <row r="66">
      <c r="A66" s="40" t="n">
        <v>42</v>
      </c>
      <c r="B66" s="41">
        <f>IF(E65&lt;=0,"",$B$13)</f>
        <v/>
      </c>
      <c r="C66" s="41">
        <f>IF(E65&lt;=0,"",E65*$B$11/12)</f>
        <v/>
      </c>
      <c r="D66" s="41">
        <f>IF(E65&lt;=0,"",B66-C66)</f>
        <v/>
      </c>
      <c r="E66" s="41">
        <f>IF(E65&lt;=0,"",E65-D66)</f>
        <v/>
      </c>
    </row>
    <row r="67">
      <c r="A67" s="38" t="n">
        <v>43</v>
      </c>
      <c r="B67" s="39">
        <f>IF(E66&lt;=0,"",$B$13)</f>
        <v/>
      </c>
      <c r="C67" s="39">
        <f>IF(E66&lt;=0,"",E66*$B$11/12)</f>
        <v/>
      </c>
      <c r="D67" s="39">
        <f>IF(E66&lt;=0,"",B67-C67)</f>
        <v/>
      </c>
      <c r="E67" s="39">
        <f>IF(E66&lt;=0,"",E66-D67)</f>
        <v/>
      </c>
    </row>
    <row r="68">
      <c r="A68" s="40" t="n">
        <v>44</v>
      </c>
      <c r="B68" s="41">
        <f>IF(E67&lt;=0,"",$B$13)</f>
        <v/>
      </c>
      <c r="C68" s="41">
        <f>IF(E67&lt;=0,"",E67*$B$11/12)</f>
        <v/>
      </c>
      <c r="D68" s="41">
        <f>IF(E67&lt;=0,"",B68-C68)</f>
        <v/>
      </c>
      <c r="E68" s="41">
        <f>IF(E67&lt;=0,"",E67-D68)</f>
        <v/>
      </c>
    </row>
    <row r="69">
      <c r="A69" s="38" t="n">
        <v>45</v>
      </c>
      <c r="B69" s="39">
        <f>IF(E68&lt;=0,"",$B$13)</f>
        <v/>
      </c>
      <c r="C69" s="39">
        <f>IF(E68&lt;=0,"",E68*$B$11/12)</f>
        <v/>
      </c>
      <c r="D69" s="39">
        <f>IF(E68&lt;=0,"",B69-C69)</f>
        <v/>
      </c>
      <c r="E69" s="39">
        <f>IF(E68&lt;=0,"",E68-D69)</f>
        <v/>
      </c>
    </row>
    <row r="70">
      <c r="A70" s="40" t="n">
        <v>46</v>
      </c>
      <c r="B70" s="41">
        <f>IF(E69&lt;=0,"",$B$13)</f>
        <v/>
      </c>
      <c r="C70" s="41">
        <f>IF(E69&lt;=0,"",E69*$B$11/12)</f>
        <v/>
      </c>
      <c r="D70" s="41">
        <f>IF(E69&lt;=0,"",B70-C70)</f>
        <v/>
      </c>
      <c r="E70" s="41">
        <f>IF(E69&lt;=0,"",E69-D70)</f>
        <v/>
      </c>
    </row>
    <row r="71">
      <c r="A71" s="38" t="n">
        <v>47</v>
      </c>
      <c r="B71" s="39">
        <f>IF(E70&lt;=0,"",$B$13)</f>
        <v/>
      </c>
      <c r="C71" s="39">
        <f>IF(E70&lt;=0,"",E70*$B$11/12)</f>
        <v/>
      </c>
      <c r="D71" s="39">
        <f>IF(E70&lt;=0,"",B71-C71)</f>
        <v/>
      </c>
      <c r="E71" s="39">
        <f>IF(E70&lt;=0,"",E70-D71)</f>
        <v/>
      </c>
    </row>
    <row r="72">
      <c r="A72" s="40" t="n">
        <v>48</v>
      </c>
      <c r="B72" s="41">
        <f>IF(E71&lt;=0,"",$B$13)</f>
        <v/>
      </c>
      <c r="C72" s="41">
        <f>IF(E71&lt;=0,"",E71*$B$11/12)</f>
        <v/>
      </c>
      <c r="D72" s="41">
        <f>IF(E71&lt;=0,"",B72-C72)</f>
        <v/>
      </c>
      <c r="E72" s="41">
        <f>IF(E71&lt;=0,"",E71-D72)</f>
        <v/>
      </c>
    </row>
    <row r="73">
      <c r="A73" s="38" t="n">
        <v>49</v>
      </c>
      <c r="B73" s="39">
        <f>IF(E72&lt;=0,"",$B$13)</f>
        <v/>
      </c>
      <c r="C73" s="39">
        <f>IF(E72&lt;=0,"",E72*$B$11/12)</f>
        <v/>
      </c>
      <c r="D73" s="39">
        <f>IF(E72&lt;=0,"",B73-C73)</f>
        <v/>
      </c>
      <c r="E73" s="39">
        <f>IF(E72&lt;=0,"",E72-D73)</f>
        <v/>
      </c>
    </row>
    <row r="74">
      <c r="A74" s="40" t="n">
        <v>50</v>
      </c>
      <c r="B74" s="41">
        <f>IF(E73&lt;=0,"",$B$13)</f>
        <v/>
      </c>
      <c r="C74" s="41">
        <f>IF(E73&lt;=0,"",E73*$B$11/12)</f>
        <v/>
      </c>
      <c r="D74" s="41">
        <f>IF(E73&lt;=0,"",B74-C74)</f>
        <v/>
      </c>
      <c r="E74" s="41">
        <f>IF(E73&lt;=0,"",E73-D74)</f>
        <v/>
      </c>
    </row>
    <row r="75">
      <c r="A75" s="38" t="n">
        <v>51</v>
      </c>
      <c r="B75" s="39">
        <f>IF(E74&lt;=0,"",$B$13)</f>
        <v/>
      </c>
      <c r="C75" s="39">
        <f>IF(E74&lt;=0,"",E74*$B$11/12)</f>
        <v/>
      </c>
      <c r="D75" s="39">
        <f>IF(E74&lt;=0,"",B75-C75)</f>
        <v/>
      </c>
      <c r="E75" s="39">
        <f>IF(E74&lt;=0,"",E74-D75)</f>
        <v/>
      </c>
    </row>
    <row r="76">
      <c r="A76" s="40" t="n">
        <v>52</v>
      </c>
      <c r="B76" s="41">
        <f>IF(E75&lt;=0,"",$B$13)</f>
        <v/>
      </c>
      <c r="C76" s="41">
        <f>IF(E75&lt;=0,"",E75*$B$11/12)</f>
        <v/>
      </c>
      <c r="D76" s="41">
        <f>IF(E75&lt;=0,"",B76-C76)</f>
        <v/>
      </c>
      <c r="E76" s="41">
        <f>IF(E75&lt;=0,"",E75-D76)</f>
        <v/>
      </c>
    </row>
    <row r="77">
      <c r="A77" s="38" t="n">
        <v>53</v>
      </c>
      <c r="B77" s="39">
        <f>IF(E76&lt;=0,"",$B$13)</f>
        <v/>
      </c>
      <c r="C77" s="39">
        <f>IF(E76&lt;=0,"",E76*$B$11/12)</f>
        <v/>
      </c>
      <c r="D77" s="39">
        <f>IF(E76&lt;=0,"",B77-C77)</f>
        <v/>
      </c>
      <c r="E77" s="39">
        <f>IF(E76&lt;=0,"",E76-D77)</f>
        <v/>
      </c>
    </row>
    <row r="78">
      <c r="A78" s="40" t="n">
        <v>54</v>
      </c>
      <c r="B78" s="41">
        <f>IF(E77&lt;=0,"",$B$13)</f>
        <v/>
      </c>
      <c r="C78" s="41">
        <f>IF(E77&lt;=0,"",E77*$B$11/12)</f>
        <v/>
      </c>
      <c r="D78" s="41">
        <f>IF(E77&lt;=0,"",B78-C78)</f>
        <v/>
      </c>
      <c r="E78" s="41">
        <f>IF(E77&lt;=0,"",E77-D78)</f>
        <v/>
      </c>
    </row>
    <row r="79">
      <c r="A79" s="38" t="n">
        <v>55</v>
      </c>
      <c r="B79" s="39">
        <f>IF(E78&lt;=0,"",$B$13)</f>
        <v/>
      </c>
      <c r="C79" s="39">
        <f>IF(E78&lt;=0,"",E78*$B$11/12)</f>
        <v/>
      </c>
      <c r="D79" s="39">
        <f>IF(E78&lt;=0,"",B79-C79)</f>
        <v/>
      </c>
      <c r="E79" s="39">
        <f>IF(E78&lt;=0,"",E78-D79)</f>
        <v/>
      </c>
    </row>
    <row r="80">
      <c r="A80" s="40" t="n">
        <v>56</v>
      </c>
      <c r="B80" s="41">
        <f>IF(E79&lt;=0,"",$B$13)</f>
        <v/>
      </c>
      <c r="C80" s="41">
        <f>IF(E79&lt;=0,"",E79*$B$11/12)</f>
        <v/>
      </c>
      <c r="D80" s="41">
        <f>IF(E79&lt;=0,"",B80-C80)</f>
        <v/>
      </c>
      <c r="E80" s="41">
        <f>IF(E79&lt;=0,"",E79-D80)</f>
        <v/>
      </c>
    </row>
    <row r="81">
      <c r="A81" s="38" t="n">
        <v>57</v>
      </c>
      <c r="B81" s="39">
        <f>IF(E80&lt;=0,"",$B$13)</f>
        <v/>
      </c>
      <c r="C81" s="39">
        <f>IF(E80&lt;=0,"",E80*$B$11/12)</f>
        <v/>
      </c>
      <c r="D81" s="39">
        <f>IF(E80&lt;=0,"",B81-C81)</f>
        <v/>
      </c>
      <c r="E81" s="39">
        <f>IF(E80&lt;=0,"",E80-D81)</f>
        <v/>
      </c>
    </row>
    <row r="82">
      <c r="A82" s="40" t="n">
        <v>58</v>
      </c>
      <c r="B82" s="41">
        <f>IF(E81&lt;=0,"",$B$13)</f>
        <v/>
      </c>
      <c r="C82" s="41">
        <f>IF(E81&lt;=0,"",E81*$B$11/12)</f>
        <v/>
      </c>
      <c r="D82" s="41">
        <f>IF(E81&lt;=0,"",B82-C82)</f>
        <v/>
      </c>
      <c r="E82" s="41">
        <f>IF(E81&lt;=0,"",E81-D82)</f>
        <v/>
      </c>
    </row>
    <row r="83">
      <c r="A83" s="38" t="n">
        <v>59</v>
      </c>
      <c r="B83" s="39">
        <f>IF(E82&lt;=0,"",$B$13)</f>
        <v/>
      </c>
      <c r="C83" s="39">
        <f>IF(E82&lt;=0,"",E82*$B$11/12)</f>
        <v/>
      </c>
      <c r="D83" s="39">
        <f>IF(E82&lt;=0,"",B83-C83)</f>
        <v/>
      </c>
      <c r="E83" s="39">
        <f>IF(E82&lt;=0,"",E82-D83)</f>
        <v/>
      </c>
    </row>
    <row r="84">
      <c r="A84" s="40" t="n">
        <v>60</v>
      </c>
      <c r="B84" s="41">
        <f>IF(E83&lt;=0,"",$B$13)</f>
        <v/>
      </c>
      <c r="C84" s="41">
        <f>IF(E83&lt;=0,"",E83*$B$11/12)</f>
        <v/>
      </c>
      <c r="D84" s="41">
        <f>IF(E83&lt;=0,"",B84-C84)</f>
        <v/>
      </c>
      <c r="E84" s="41">
        <f>IF(E83&lt;=0,"",E83-D84)</f>
        <v/>
      </c>
    </row>
    <row r="85">
      <c r="A85" s="38" t="n">
        <v>61</v>
      </c>
      <c r="B85" s="39">
        <f>IF(E84&lt;=0,"",$B$13)</f>
        <v/>
      </c>
      <c r="C85" s="39">
        <f>IF(E84&lt;=0,"",E84*$B$11/12)</f>
        <v/>
      </c>
      <c r="D85" s="39">
        <f>IF(E84&lt;=0,"",B85-C85)</f>
        <v/>
      </c>
      <c r="E85" s="39">
        <f>IF(E84&lt;=0,"",E84-D85)</f>
        <v/>
      </c>
    </row>
    <row r="86">
      <c r="A86" s="40" t="n">
        <v>62</v>
      </c>
      <c r="B86" s="41">
        <f>IF(E85&lt;=0,"",$B$13)</f>
        <v/>
      </c>
      <c r="C86" s="41">
        <f>IF(E85&lt;=0,"",E85*$B$11/12)</f>
        <v/>
      </c>
      <c r="D86" s="41">
        <f>IF(E85&lt;=0,"",B86-C86)</f>
        <v/>
      </c>
      <c r="E86" s="41">
        <f>IF(E85&lt;=0,"",E85-D86)</f>
        <v/>
      </c>
    </row>
    <row r="87">
      <c r="A87" s="38" t="n">
        <v>63</v>
      </c>
      <c r="B87" s="39">
        <f>IF(E86&lt;=0,"",$B$13)</f>
        <v/>
      </c>
      <c r="C87" s="39">
        <f>IF(E86&lt;=0,"",E86*$B$11/12)</f>
        <v/>
      </c>
      <c r="D87" s="39">
        <f>IF(E86&lt;=0,"",B87-C87)</f>
        <v/>
      </c>
      <c r="E87" s="39">
        <f>IF(E86&lt;=0,"",E86-D87)</f>
        <v/>
      </c>
    </row>
    <row r="88">
      <c r="A88" s="40" t="n">
        <v>64</v>
      </c>
      <c r="B88" s="41">
        <f>IF(E87&lt;=0,"",$B$13)</f>
        <v/>
      </c>
      <c r="C88" s="41">
        <f>IF(E87&lt;=0,"",E87*$B$11/12)</f>
        <v/>
      </c>
      <c r="D88" s="41">
        <f>IF(E87&lt;=0,"",B88-C88)</f>
        <v/>
      </c>
      <c r="E88" s="41">
        <f>IF(E87&lt;=0,"",E87-D88)</f>
        <v/>
      </c>
    </row>
    <row r="89">
      <c r="A89" s="38" t="n">
        <v>65</v>
      </c>
      <c r="B89" s="39">
        <f>IF(E88&lt;=0,"",$B$13)</f>
        <v/>
      </c>
      <c r="C89" s="39">
        <f>IF(E88&lt;=0,"",E88*$B$11/12)</f>
        <v/>
      </c>
      <c r="D89" s="39">
        <f>IF(E88&lt;=0,"",B89-C89)</f>
        <v/>
      </c>
      <c r="E89" s="39">
        <f>IF(E88&lt;=0,"",E88-D89)</f>
        <v/>
      </c>
    </row>
    <row r="90">
      <c r="A90" s="40" t="n">
        <v>66</v>
      </c>
      <c r="B90" s="41">
        <f>IF(E89&lt;=0,"",$B$13)</f>
        <v/>
      </c>
      <c r="C90" s="41">
        <f>IF(E89&lt;=0,"",E89*$B$11/12)</f>
        <v/>
      </c>
      <c r="D90" s="41">
        <f>IF(E89&lt;=0,"",B90-C90)</f>
        <v/>
      </c>
      <c r="E90" s="41">
        <f>IF(E89&lt;=0,"",E89-D90)</f>
        <v/>
      </c>
    </row>
    <row r="91">
      <c r="A91" s="38" t="n">
        <v>67</v>
      </c>
      <c r="B91" s="39">
        <f>IF(E90&lt;=0,"",$B$13)</f>
        <v/>
      </c>
      <c r="C91" s="39">
        <f>IF(E90&lt;=0,"",E90*$B$11/12)</f>
        <v/>
      </c>
      <c r="D91" s="39">
        <f>IF(E90&lt;=0,"",B91-C91)</f>
        <v/>
      </c>
      <c r="E91" s="39">
        <f>IF(E90&lt;=0,"",E90-D91)</f>
        <v/>
      </c>
    </row>
    <row r="92">
      <c r="A92" s="40" t="n">
        <v>68</v>
      </c>
      <c r="B92" s="41">
        <f>IF(E91&lt;=0,"",$B$13)</f>
        <v/>
      </c>
      <c r="C92" s="41">
        <f>IF(E91&lt;=0,"",E91*$B$11/12)</f>
        <v/>
      </c>
      <c r="D92" s="41">
        <f>IF(E91&lt;=0,"",B92-C92)</f>
        <v/>
      </c>
      <c r="E92" s="41">
        <f>IF(E91&lt;=0,"",E91-D92)</f>
        <v/>
      </c>
    </row>
    <row r="93">
      <c r="A93" s="38" t="n">
        <v>69</v>
      </c>
      <c r="B93" s="39">
        <f>IF(E92&lt;=0,"",$B$13)</f>
        <v/>
      </c>
      <c r="C93" s="39">
        <f>IF(E92&lt;=0,"",E92*$B$11/12)</f>
        <v/>
      </c>
      <c r="D93" s="39">
        <f>IF(E92&lt;=0,"",B93-C93)</f>
        <v/>
      </c>
      <c r="E93" s="39">
        <f>IF(E92&lt;=0,"",E92-D93)</f>
        <v/>
      </c>
    </row>
    <row r="94">
      <c r="A94" s="40" t="n">
        <v>70</v>
      </c>
      <c r="B94" s="41">
        <f>IF(E93&lt;=0,"",$B$13)</f>
        <v/>
      </c>
      <c r="C94" s="41">
        <f>IF(E93&lt;=0,"",E93*$B$11/12)</f>
        <v/>
      </c>
      <c r="D94" s="41">
        <f>IF(E93&lt;=0,"",B94-C94)</f>
        <v/>
      </c>
      <c r="E94" s="41">
        <f>IF(E93&lt;=0,"",E93-D94)</f>
        <v/>
      </c>
    </row>
    <row r="95">
      <c r="A95" s="38" t="n">
        <v>71</v>
      </c>
      <c r="B95" s="39">
        <f>IF(E94&lt;=0,"",$B$13)</f>
        <v/>
      </c>
      <c r="C95" s="39">
        <f>IF(E94&lt;=0,"",E94*$B$11/12)</f>
        <v/>
      </c>
      <c r="D95" s="39">
        <f>IF(E94&lt;=0,"",B95-C95)</f>
        <v/>
      </c>
      <c r="E95" s="39">
        <f>IF(E94&lt;=0,"",E94-D95)</f>
        <v/>
      </c>
    </row>
    <row r="96">
      <c r="A96" s="40" t="n">
        <v>72</v>
      </c>
      <c r="B96" s="41">
        <f>IF(E95&lt;=0,"",$B$13)</f>
        <v/>
      </c>
      <c r="C96" s="41">
        <f>IF(E95&lt;=0,"",E95*$B$11/12)</f>
        <v/>
      </c>
      <c r="D96" s="41">
        <f>IF(E95&lt;=0,"",B96-C96)</f>
        <v/>
      </c>
      <c r="E96" s="41">
        <f>IF(E95&lt;=0,"",E95-D96)</f>
        <v/>
      </c>
    </row>
    <row r="97">
      <c r="A97" s="38" t="n">
        <v>73</v>
      </c>
      <c r="B97" s="39">
        <f>IF(E96&lt;=0,"",$B$13)</f>
        <v/>
      </c>
      <c r="C97" s="39">
        <f>IF(E96&lt;=0,"",E96*$B$11/12)</f>
        <v/>
      </c>
      <c r="D97" s="39">
        <f>IF(E96&lt;=0,"",B97-C97)</f>
        <v/>
      </c>
      <c r="E97" s="39">
        <f>IF(E96&lt;=0,"",E96-D97)</f>
        <v/>
      </c>
    </row>
    <row r="98">
      <c r="A98" s="40" t="n">
        <v>74</v>
      </c>
      <c r="B98" s="41">
        <f>IF(E97&lt;=0,"",$B$13)</f>
        <v/>
      </c>
      <c r="C98" s="41">
        <f>IF(E97&lt;=0,"",E97*$B$11/12)</f>
        <v/>
      </c>
      <c r="D98" s="41">
        <f>IF(E97&lt;=0,"",B98-C98)</f>
        <v/>
      </c>
      <c r="E98" s="41">
        <f>IF(E97&lt;=0,"",E97-D98)</f>
        <v/>
      </c>
    </row>
    <row r="99">
      <c r="A99" s="38" t="n">
        <v>75</v>
      </c>
      <c r="B99" s="39">
        <f>IF(E98&lt;=0,"",$B$13)</f>
        <v/>
      </c>
      <c r="C99" s="39">
        <f>IF(E98&lt;=0,"",E98*$B$11/12)</f>
        <v/>
      </c>
      <c r="D99" s="39">
        <f>IF(E98&lt;=0,"",B99-C99)</f>
        <v/>
      </c>
      <c r="E99" s="39">
        <f>IF(E98&lt;=0,"",E98-D99)</f>
        <v/>
      </c>
    </row>
    <row r="100">
      <c r="A100" s="40" t="n">
        <v>76</v>
      </c>
      <c r="B100" s="41">
        <f>IF(E99&lt;=0,"",$B$13)</f>
        <v/>
      </c>
      <c r="C100" s="41">
        <f>IF(E99&lt;=0,"",E99*$B$11/12)</f>
        <v/>
      </c>
      <c r="D100" s="41">
        <f>IF(E99&lt;=0,"",B100-C100)</f>
        <v/>
      </c>
      <c r="E100" s="41">
        <f>IF(E99&lt;=0,"",E99-D100)</f>
        <v/>
      </c>
    </row>
    <row r="101">
      <c r="A101" s="38" t="n">
        <v>77</v>
      </c>
      <c r="B101" s="39">
        <f>IF(E100&lt;=0,"",$B$13)</f>
        <v/>
      </c>
      <c r="C101" s="39">
        <f>IF(E100&lt;=0,"",E100*$B$11/12)</f>
        <v/>
      </c>
      <c r="D101" s="39">
        <f>IF(E100&lt;=0,"",B101-C101)</f>
        <v/>
      </c>
      <c r="E101" s="39">
        <f>IF(E100&lt;=0,"",E100-D101)</f>
        <v/>
      </c>
    </row>
    <row r="102">
      <c r="A102" s="40" t="n">
        <v>78</v>
      </c>
      <c r="B102" s="41">
        <f>IF(E101&lt;=0,"",$B$13)</f>
        <v/>
      </c>
      <c r="C102" s="41">
        <f>IF(E101&lt;=0,"",E101*$B$11/12)</f>
        <v/>
      </c>
      <c r="D102" s="41">
        <f>IF(E101&lt;=0,"",B102-C102)</f>
        <v/>
      </c>
      <c r="E102" s="41">
        <f>IF(E101&lt;=0,"",E101-D102)</f>
        <v/>
      </c>
    </row>
    <row r="103">
      <c r="A103" s="38" t="n">
        <v>79</v>
      </c>
      <c r="B103" s="39">
        <f>IF(E102&lt;=0,"",$B$13)</f>
        <v/>
      </c>
      <c r="C103" s="39">
        <f>IF(E102&lt;=0,"",E102*$B$11/12)</f>
        <v/>
      </c>
      <c r="D103" s="39">
        <f>IF(E102&lt;=0,"",B103-C103)</f>
        <v/>
      </c>
      <c r="E103" s="39">
        <f>IF(E102&lt;=0,"",E102-D103)</f>
        <v/>
      </c>
    </row>
    <row r="104">
      <c r="A104" s="40" t="n">
        <v>80</v>
      </c>
      <c r="B104" s="41">
        <f>IF(E103&lt;=0,"",$B$13)</f>
        <v/>
      </c>
      <c r="C104" s="41">
        <f>IF(E103&lt;=0,"",E103*$B$11/12)</f>
        <v/>
      </c>
      <c r="D104" s="41">
        <f>IF(E103&lt;=0,"",B104-C104)</f>
        <v/>
      </c>
      <c r="E104" s="41">
        <f>IF(E103&lt;=0,"",E103-D104)</f>
        <v/>
      </c>
    </row>
    <row r="105">
      <c r="A105" s="38" t="n">
        <v>81</v>
      </c>
      <c r="B105" s="39">
        <f>IF(E104&lt;=0,"",$B$13)</f>
        <v/>
      </c>
      <c r="C105" s="39">
        <f>IF(E104&lt;=0,"",E104*$B$11/12)</f>
        <v/>
      </c>
      <c r="D105" s="39">
        <f>IF(E104&lt;=0,"",B105-C105)</f>
        <v/>
      </c>
      <c r="E105" s="39">
        <f>IF(E104&lt;=0,"",E104-D105)</f>
        <v/>
      </c>
    </row>
    <row r="106">
      <c r="A106" s="40" t="n">
        <v>82</v>
      </c>
      <c r="B106" s="41">
        <f>IF(E105&lt;=0,"",$B$13)</f>
        <v/>
      </c>
      <c r="C106" s="41">
        <f>IF(E105&lt;=0,"",E105*$B$11/12)</f>
        <v/>
      </c>
      <c r="D106" s="41">
        <f>IF(E105&lt;=0,"",B106-C106)</f>
        <v/>
      </c>
      <c r="E106" s="41">
        <f>IF(E105&lt;=0,"",E105-D106)</f>
        <v/>
      </c>
    </row>
    <row r="107">
      <c r="A107" s="38" t="n">
        <v>83</v>
      </c>
      <c r="B107" s="39">
        <f>IF(E106&lt;=0,"",$B$13)</f>
        <v/>
      </c>
      <c r="C107" s="39">
        <f>IF(E106&lt;=0,"",E106*$B$11/12)</f>
        <v/>
      </c>
      <c r="D107" s="39">
        <f>IF(E106&lt;=0,"",B107-C107)</f>
        <v/>
      </c>
      <c r="E107" s="39">
        <f>IF(E106&lt;=0,"",E106-D107)</f>
        <v/>
      </c>
    </row>
    <row r="108">
      <c r="A108" s="40" t="n">
        <v>84</v>
      </c>
      <c r="B108" s="41">
        <f>IF(E107&lt;=0,"",$B$13)</f>
        <v/>
      </c>
      <c r="C108" s="41">
        <f>IF(E107&lt;=0,"",E107*$B$11/12)</f>
        <v/>
      </c>
      <c r="D108" s="41">
        <f>IF(E107&lt;=0,"",B108-C108)</f>
        <v/>
      </c>
      <c r="E108" s="41">
        <f>IF(E107&lt;=0,"",E107-D108)</f>
        <v/>
      </c>
    </row>
    <row r="109">
      <c r="A109" s="38" t="n">
        <v>85</v>
      </c>
      <c r="B109" s="39">
        <f>IF(E108&lt;=0,"",$B$13)</f>
        <v/>
      </c>
      <c r="C109" s="39">
        <f>IF(E108&lt;=0,"",E108*$B$11/12)</f>
        <v/>
      </c>
      <c r="D109" s="39">
        <f>IF(E108&lt;=0,"",B109-C109)</f>
        <v/>
      </c>
      <c r="E109" s="39">
        <f>IF(E108&lt;=0,"",E108-D109)</f>
        <v/>
      </c>
    </row>
    <row r="110">
      <c r="A110" s="40" t="n">
        <v>86</v>
      </c>
      <c r="B110" s="41">
        <f>IF(E109&lt;=0,"",$B$13)</f>
        <v/>
      </c>
      <c r="C110" s="41">
        <f>IF(E109&lt;=0,"",E109*$B$11/12)</f>
        <v/>
      </c>
      <c r="D110" s="41">
        <f>IF(E109&lt;=0,"",B110-C110)</f>
        <v/>
      </c>
      <c r="E110" s="41">
        <f>IF(E109&lt;=0,"",E109-D110)</f>
        <v/>
      </c>
    </row>
    <row r="111">
      <c r="A111" s="38" t="n">
        <v>87</v>
      </c>
      <c r="B111" s="39">
        <f>IF(E110&lt;=0,"",$B$13)</f>
        <v/>
      </c>
      <c r="C111" s="39">
        <f>IF(E110&lt;=0,"",E110*$B$11/12)</f>
        <v/>
      </c>
      <c r="D111" s="39">
        <f>IF(E110&lt;=0,"",B111-C111)</f>
        <v/>
      </c>
      <c r="E111" s="39">
        <f>IF(E110&lt;=0,"",E110-D111)</f>
        <v/>
      </c>
    </row>
    <row r="112">
      <c r="A112" s="40" t="n">
        <v>88</v>
      </c>
      <c r="B112" s="41">
        <f>IF(E111&lt;=0,"",$B$13)</f>
        <v/>
      </c>
      <c r="C112" s="41">
        <f>IF(E111&lt;=0,"",E111*$B$11/12)</f>
        <v/>
      </c>
      <c r="D112" s="41">
        <f>IF(E111&lt;=0,"",B112-C112)</f>
        <v/>
      </c>
      <c r="E112" s="41">
        <f>IF(E111&lt;=0,"",E111-D112)</f>
        <v/>
      </c>
    </row>
    <row r="113">
      <c r="A113" s="38" t="n">
        <v>89</v>
      </c>
      <c r="B113" s="39">
        <f>IF(E112&lt;=0,"",$B$13)</f>
        <v/>
      </c>
      <c r="C113" s="39">
        <f>IF(E112&lt;=0,"",E112*$B$11/12)</f>
        <v/>
      </c>
      <c r="D113" s="39">
        <f>IF(E112&lt;=0,"",B113-C113)</f>
        <v/>
      </c>
      <c r="E113" s="39">
        <f>IF(E112&lt;=0,"",E112-D113)</f>
        <v/>
      </c>
    </row>
    <row r="114">
      <c r="A114" s="40" t="n">
        <v>90</v>
      </c>
      <c r="B114" s="41">
        <f>IF(E113&lt;=0,"",$B$13)</f>
        <v/>
      </c>
      <c r="C114" s="41">
        <f>IF(E113&lt;=0,"",E113*$B$11/12)</f>
        <v/>
      </c>
      <c r="D114" s="41">
        <f>IF(E113&lt;=0,"",B114-C114)</f>
        <v/>
      </c>
      <c r="E114" s="41">
        <f>IF(E113&lt;=0,"",E113-D114)</f>
        <v/>
      </c>
    </row>
    <row r="115">
      <c r="A115" s="38" t="n">
        <v>91</v>
      </c>
      <c r="B115" s="39">
        <f>IF(E114&lt;=0,"",$B$13)</f>
        <v/>
      </c>
      <c r="C115" s="39">
        <f>IF(E114&lt;=0,"",E114*$B$11/12)</f>
        <v/>
      </c>
      <c r="D115" s="39">
        <f>IF(E114&lt;=0,"",B115-C115)</f>
        <v/>
      </c>
      <c r="E115" s="39">
        <f>IF(E114&lt;=0,"",E114-D115)</f>
        <v/>
      </c>
    </row>
    <row r="116">
      <c r="A116" s="40" t="n">
        <v>92</v>
      </c>
      <c r="B116" s="41">
        <f>IF(E115&lt;=0,"",$B$13)</f>
        <v/>
      </c>
      <c r="C116" s="41">
        <f>IF(E115&lt;=0,"",E115*$B$11/12)</f>
        <v/>
      </c>
      <c r="D116" s="41">
        <f>IF(E115&lt;=0,"",B116-C116)</f>
        <v/>
      </c>
      <c r="E116" s="41">
        <f>IF(E115&lt;=0,"",E115-D116)</f>
        <v/>
      </c>
    </row>
    <row r="117">
      <c r="A117" s="38" t="n">
        <v>93</v>
      </c>
      <c r="B117" s="39">
        <f>IF(E116&lt;=0,"",$B$13)</f>
        <v/>
      </c>
      <c r="C117" s="39">
        <f>IF(E116&lt;=0,"",E116*$B$11/12)</f>
        <v/>
      </c>
      <c r="D117" s="39">
        <f>IF(E116&lt;=0,"",B117-C117)</f>
        <v/>
      </c>
      <c r="E117" s="39">
        <f>IF(E116&lt;=0,"",E116-D117)</f>
        <v/>
      </c>
    </row>
    <row r="118">
      <c r="A118" s="40" t="n">
        <v>94</v>
      </c>
      <c r="B118" s="41">
        <f>IF(E117&lt;=0,"",$B$13)</f>
        <v/>
      </c>
      <c r="C118" s="41">
        <f>IF(E117&lt;=0,"",E117*$B$11/12)</f>
        <v/>
      </c>
      <c r="D118" s="41">
        <f>IF(E117&lt;=0,"",B118-C118)</f>
        <v/>
      </c>
      <c r="E118" s="41">
        <f>IF(E117&lt;=0,"",E117-D118)</f>
        <v/>
      </c>
    </row>
    <row r="119">
      <c r="A119" s="38" t="n">
        <v>95</v>
      </c>
      <c r="B119" s="39">
        <f>IF(E118&lt;=0,"",$B$13)</f>
        <v/>
      </c>
      <c r="C119" s="39">
        <f>IF(E118&lt;=0,"",E118*$B$11/12)</f>
        <v/>
      </c>
      <c r="D119" s="39">
        <f>IF(E118&lt;=0,"",B119-C119)</f>
        <v/>
      </c>
      <c r="E119" s="39">
        <f>IF(E118&lt;=0,"",E118-D119)</f>
        <v/>
      </c>
    </row>
    <row r="120">
      <c r="A120" s="40" t="n">
        <v>96</v>
      </c>
      <c r="B120" s="41">
        <f>IF(E119&lt;=0,"",$B$13)</f>
        <v/>
      </c>
      <c r="C120" s="41">
        <f>IF(E119&lt;=0,"",E119*$B$11/12)</f>
        <v/>
      </c>
      <c r="D120" s="41">
        <f>IF(E119&lt;=0,"",B120-C120)</f>
        <v/>
      </c>
      <c r="E120" s="41">
        <f>IF(E119&lt;=0,"",E119-D120)</f>
        <v/>
      </c>
    </row>
    <row r="121">
      <c r="A121" s="38" t="n">
        <v>97</v>
      </c>
      <c r="B121" s="39">
        <f>IF(E120&lt;=0,"",$B$13)</f>
        <v/>
      </c>
      <c r="C121" s="39">
        <f>IF(E120&lt;=0,"",E120*$B$11/12)</f>
        <v/>
      </c>
      <c r="D121" s="39">
        <f>IF(E120&lt;=0,"",B121-C121)</f>
        <v/>
      </c>
      <c r="E121" s="39">
        <f>IF(E120&lt;=0,"",E120-D121)</f>
        <v/>
      </c>
    </row>
    <row r="122">
      <c r="A122" s="40" t="n">
        <v>98</v>
      </c>
      <c r="B122" s="41">
        <f>IF(E121&lt;=0,"",$B$13)</f>
        <v/>
      </c>
      <c r="C122" s="41">
        <f>IF(E121&lt;=0,"",E121*$B$11/12)</f>
        <v/>
      </c>
      <c r="D122" s="41">
        <f>IF(E121&lt;=0,"",B122-C122)</f>
        <v/>
      </c>
      <c r="E122" s="41">
        <f>IF(E121&lt;=0,"",E121-D122)</f>
        <v/>
      </c>
    </row>
    <row r="123">
      <c r="A123" s="38" t="n">
        <v>99</v>
      </c>
      <c r="B123" s="39">
        <f>IF(E122&lt;=0,"",$B$13)</f>
        <v/>
      </c>
      <c r="C123" s="39">
        <f>IF(E122&lt;=0,"",E122*$B$11/12)</f>
        <v/>
      </c>
      <c r="D123" s="39">
        <f>IF(E122&lt;=0,"",B123-C123)</f>
        <v/>
      </c>
      <c r="E123" s="39">
        <f>IF(E122&lt;=0,"",E122-D123)</f>
        <v/>
      </c>
    </row>
    <row r="124">
      <c r="A124" s="40" t="n">
        <v>100</v>
      </c>
      <c r="B124" s="41">
        <f>IF(E123&lt;=0,"",$B$13)</f>
        <v/>
      </c>
      <c r="C124" s="41">
        <f>IF(E123&lt;=0,"",E123*$B$11/12)</f>
        <v/>
      </c>
      <c r="D124" s="41">
        <f>IF(E123&lt;=0,"",B124-C124)</f>
        <v/>
      </c>
      <c r="E124" s="41">
        <f>IF(E123&lt;=0,"",E123-D124)</f>
        <v/>
      </c>
    </row>
    <row r="125">
      <c r="A125" s="38" t="n">
        <v>101</v>
      </c>
      <c r="B125" s="39">
        <f>IF(E124&lt;=0,"",$B$13)</f>
        <v/>
      </c>
      <c r="C125" s="39">
        <f>IF(E124&lt;=0,"",E124*$B$11/12)</f>
        <v/>
      </c>
      <c r="D125" s="39">
        <f>IF(E124&lt;=0,"",B125-C125)</f>
        <v/>
      </c>
      <c r="E125" s="39">
        <f>IF(E124&lt;=0,"",E124-D125)</f>
        <v/>
      </c>
    </row>
    <row r="126">
      <c r="A126" s="40" t="n">
        <v>102</v>
      </c>
      <c r="B126" s="41">
        <f>IF(E125&lt;=0,"",$B$13)</f>
        <v/>
      </c>
      <c r="C126" s="41">
        <f>IF(E125&lt;=0,"",E125*$B$11/12)</f>
        <v/>
      </c>
      <c r="D126" s="41">
        <f>IF(E125&lt;=0,"",B126-C126)</f>
        <v/>
      </c>
      <c r="E126" s="41">
        <f>IF(E125&lt;=0,"",E125-D126)</f>
        <v/>
      </c>
    </row>
    <row r="127">
      <c r="A127" s="38" t="n">
        <v>103</v>
      </c>
      <c r="B127" s="39">
        <f>IF(E126&lt;=0,"",$B$13)</f>
        <v/>
      </c>
      <c r="C127" s="39">
        <f>IF(E126&lt;=0,"",E126*$B$11/12)</f>
        <v/>
      </c>
      <c r="D127" s="39">
        <f>IF(E126&lt;=0,"",B127-C127)</f>
        <v/>
      </c>
      <c r="E127" s="39">
        <f>IF(E126&lt;=0,"",E126-D127)</f>
        <v/>
      </c>
    </row>
    <row r="128">
      <c r="A128" s="40" t="n">
        <v>104</v>
      </c>
      <c r="B128" s="41">
        <f>IF(E127&lt;=0,"",$B$13)</f>
        <v/>
      </c>
      <c r="C128" s="41">
        <f>IF(E127&lt;=0,"",E127*$B$11/12)</f>
        <v/>
      </c>
      <c r="D128" s="41">
        <f>IF(E127&lt;=0,"",B128-C128)</f>
        <v/>
      </c>
      <c r="E128" s="41">
        <f>IF(E127&lt;=0,"",E127-D128)</f>
        <v/>
      </c>
    </row>
    <row r="129">
      <c r="A129" s="38" t="n">
        <v>105</v>
      </c>
      <c r="B129" s="39">
        <f>IF(E128&lt;=0,"",$B$13)</f>
        <v/>
      </c>
      <c r="C129" s="39">
        <f>IF(E128&lt;=0,"",E128*$B$11/12)</f>
        <v/>
      </c>
      <c r="D129" s="39">
        <f>IF(E128&lt;=0,"",B129-C129)</f>
        <v/>
      </c>
      <c r="E129" s="39">
        <f>IF(E128&lt;=0,"",E128-D129)</f>
        <v/>
      </c>
    </row>
    <row r="130">
      <c r="A130" s="40" t="n">
        <v>106</v>
      </c>
      <c r="B130" s="41">
        <f>IF(E129&lt;=0,"",$B$13)</f>
        <v/>
      </c>
      <c r="C130" s="41">
        <f>IF(E129&lt;=0,"",E129*$B$11/12)</f>
        <v/>
      </c>
      <c r="D130" s="41">
        <f>IF(E129&lt;=0,"",B130-C130)</f>
        <v/>
      </c>
      <c r="E130" s="41">
        <f>IF(E129&lt;=0,"",E129-D130)</f>
        <v/>
      </c>
    </row>
    <row r="131">
      <c r="A131" s="38" t="n">
        <v>107</v>
      </c>
      <c r="B131" s="39">
        <f>IF(E130&lt;=0,"",$B$13)</f>
        <v/>
      </c>
      <c r="C131" s="39">
        <f>IF(E130&lt;=0,"",E130*$B$11/12)</f>
        <v/>
      </c>
      <c r="D131" s="39">
        <f>IF(E130&lt;=0,"",B131-C131)</f>
        <v/>
      </c>
      <c r="E131" s="39">
        <f>IF(E130&lt;=0,"",E130-D131)</f>
        <v/>
      </c>
    </row>
    <row r="132">
      <c r="A132" s="40" t="n">
        <v>108</v>
      </c>
      <c r="B132" s="41">
        <f>IF(E131&lt;=0,"",$B$13)</f>
        <v/>
      </c>
      <c r="C132" s="41">
        <f>IF(E131&lt;=0,"",E131*$B$11/12)</f>
        <v/>
      </c>
      <c r="D132" s="41">
        <f>IF(E131&lt;=0,"",B132-C132)</f>
        <v/>
      </c>
      <c r="E132" s="41">
        <f>IF(E131&lt;=0,"",E131-D132)</f>
        <v/>
      </c>
    </row>
    <row r="133">
      <c r="A133" s="38" t="n">
        <v>109</v>
      </c>
      <c r="B133" s="39">
        <f>IF(E132&lt;=0,"",$B$13)</f>
        <v/>
      </c>
      <c r="C133" s="39">
        <f>IF(E132&lt;=0,"",E132*$B$11/12)</f>
        <v/>
      </c>
      <c r="D133" s="39">
        <f>IF(E132&lt;=0,"",B133-C133)</f>
        <v/>
      </c>
      <c r="E133" s="39">
        <f>IF(E132&lt;=0,"",E132-D133)</f>
        <v/>
      </c>
    </row>
    <row r="134">
      <c r="A134" s="40" t="n">
        <v>110</v>
      </c>
      <c r="B134" s="41">
        <f>IF(E133&lt;=0,"",$B$13)</f>
        <v/>
      </c>
      <c r="C134" s="41">
        <f>IF(E133&lt;=0,"",E133*$B$11/12)</f>
        <v/>
      </c>
      <c r="D134" s="41">
        <f>IF(E133&lt;=0,"",B134-C134)</f>
        <v/>
      </c>
      <c r="E134" s="41">
        <f>IF(E133&lt;=0,"",E133-D134)</f>
        <v/>
      </c>
    </row>
    <row r="135">
      <c r="A135" s="38" t="n">
        <v>111</v>
      </c>
      <c r="B135" s="39">
        <f>IF(E134&lt;=0,"",$B$13)</f>
        <v/>
      </c>
      <c r="C135" s="39">
        <f>IF(E134&lt;=0,"",E134*$B$11/12)</f>
        <v/>
      </c>
      <c r="D135" s="39">
        <f>IF(E134&lt;=0,"",B135-C135)</f>
        <v/>
      </c>
      <c r="E135" s="39">
        <f>IF(E134&lt;=0,"",E134-D135)</f>
        <v/>
      </c>
    </row>
    <row r="136">
      <c r="A136" s="40" t="n">
        <v>112</v>
      </c>
      <c r="B136" s="41">
        <f>IF(E135&lt;=0,"",$B$13)</f>
        <v/>
      </c>
      <c r="C136" s="41">
        <f>IF(E135&lt;=0,"",E135*$B$11/12)</f>
        <v/>
      </c>
      <c r="D136" s="41">
        <f>IF(E135&lt;=0,"",B136-C136)</f>
        <v/>
      </c>
      <c r="E136" s="41">
        <f>IF(E135&lt;=0,"",E135-D136)</f>
        <v/>
      </c>
    </row>
    <row r="137">
      <c r="A137" s="38" t="n">
        <v>113</v>
      </c>
      <c r="B137" s="39">
        <f>IF(E136&lt;=0,"",$B$13)</f>
        <v/>
      </c>
      <c r="C137" s="39">
        <f>IF(E136&lt;=0,"",E136*$B$11/12)</f>
        <v/>
      </c>
      <c r="D137" s="39">
        <f>IF(E136&lt;=0,"",B137-C137)</f>
        <v/>
      </c>
      <c r="E137" s="39">
        <f>IF(E136&lt;=0,"",E136-D137)</f>
        <v/>
      </c>
    </row>
    <row r="138">
      <c r="A138" s="40" t="n">
        <v>114</v>
      </c>
      <c r="B138" s="41">
        <f>IF(E137&lt;=0,"",$B$13)</f>
        <v/>
      </c>
      <c r="C138" s="41">
        <f>IF(E137&lt;=0,"",E137*$B$11/12)</f>
        <v/>
      </c>
      <c r="D138" s="41">
        <f>IF(E137&lt;=0,"",B138-C138)</f>
        <v/>
      </c>
      <c r="E138" s="41">
        <f>IF(E137&lt;=0,"",E137-D138)</f>
        <v/>
      </c>
    </row>
    <row r="139">
      <c r="A139" s="38" t="n">
        <v>115</v>
      </c>
      <c r="B139" s="39">
        <f>IF(E138&lt;=0,"",$B$13)</f>
        <v/>
      </c>
      <c r="C139" s="39">
        <f>IF(E138&lt;=0,"",E138*$B$11/12)</f>
        <v/>
      </c>
      <c r="D139" s="39">
        <f>IF(E138&lt;=0,"",B139-C139)</f>
        <v/>
      </c>
      <c r="E139" s="39">
        <f>IF(E138&lt;=0,"",E138-D139)</f>
        <v/>
      </c>
    </row>
    <row r="140">
      <c r="A140" s="40" t="n">
        <v>116</v>
      </c>
      <c r="B140" s="41">
        <f>IF(E139&lt;=0,"",$B$13)</f>
        <v/>
      </c>
      <c r="C140" s="41">
        <f>IF(E139&lt;=0,"",E139*$B$11/12)</f>
        <v/>
      </c>
      <c r="D140" s="41">
        <f>IF(E139&lt;=0,"",B140-C140)</f>
        <v/>
      </c>
      <c r="E140" s="41">
        <f>IF(E139&lt;=0,"",E139-D140)</f>
        <v/>
      </c>
    </row>
    <row r="141">
      <c r="A141" s="38" t="n">
        <v>117</v>
      </c>
      <c r="B141" s="39">
        <f>IF(E140&lt;=0,"",$B$13)</f>
        <v/>
      </c>
      <c r="C141" s="39">
        <f>IF(E140&lt;=0,"",E140*$B$11/12)</f>
        <v/>
      </c>
      <c r="D141" s="39">
        <f>IF(E140&lt;=0,"",B141-C141)</f>
        <v/>
      </c>
      <c r="E141" s="39">
        <f>IF(E140&lt;=0,"",E140-D141)</f>
        <v/>
      </c>
    </row>
    <row r="142">
      <c r="A142" s="40" t="n">
        <v>118</v>
      </c>
      <c r="B142" s="41">
        <f>IF(E141&lt;=0,"",$B$13)</f>
        <v/>
      </c>
      <c r="C142" s="41">
        <f>IF(E141&lt;=0,"",E141*$B$11/12)</f>
        <v/>
      </c>
      <c r="D142" s="41">
        <f>IF(E141&lt;=0,"",B142-C142)</f>
        <v/>
      </c>
      <c r="E142" s="41">
        <f>IF(E141&lt;=0,"",E141-D142)</f>
        <v/>
      </c>
    </row>
    <row r="143">
      <c r="A143" s="38" t="n">
        <v>119</v>
      </c>
      <c r="B143" s="39">
        <f>IF(E142&lt;=0,"",$B$13)</f>
        <v/>
      </c>
      <c r="C143" s="39">
        <f>IF(E142&lt;=0,"",E142*$B$11/12)</f>
        <v/>
      </c>
      <c r="D143" s="39">
        <f>IF(E142&lt;=0,"",B143-C143)</f>
        <v/>
      </c>
      <c r="E143" s="39">
        <f>IF(E142&lt;=0,"",E142-D143)</f>
        <v/>
      </c>
    </row>
    <row r="144">
      <c r="A144" s="40" t="n">
        <v>120</v>
      </c>
      <c r="B144" s="41">
        <f>IF(E143&lt;=0,"",$B$13)</f>
        <v/>
      </c>
      <c r="C144" s="41">
        <f>IF(E143&lt;=0,"",E143*$B$11/12)</f>
        <v/>
      </c>
      <c r="D144" s="41">
        <f>IF(E143&lt;=0,"",B144-C144)</f>
        <v/>
      </c>
      <c r="E144" s="41">
        <f>IF(E143&lt;=0,"",E143-D144)</f>
        <v/>
      </c>
    </row>
    <row r="145">
      <c r="A145" s="38" t="n">
        <v>121</v>
      </c>
      <c r="B145" s="39">
        <f>IF(E144&lt;=0,"",$B$13)</f>
        <v/>
      </c>
      <c r="C145" s="39">
        <f>IF(E144&lt;=0,"",E144*$B$11/12)</f>
        <v/>
      </c>
      <c r="D145" s="39">
        <f>IF(E144&lt;=0,"",B145-C145)</f>
        <v/>
      </c>
      <c r="E145" s="39">
        <f>IF(E144&lt;=0,"",E144-D145)</f>
        <v/>
      </c>
    </row>
    <row r="146">
      <c r="A146" s="40" t="n">
        <v>122</v>
      </c>
      <c r="B146" s="41">
        <f>IF(E145&lt;=0,"",$B$13)</f>
        <v/>
      </c>
      <c r="C146" s="41">
        <f>IF(E145&lt;=0,"",E145*$B$11/12)</f>
        <v/>
      </c>
      <c r="D146" s="41">
        <f>IF(E145&lt;=0,"",B146-C146)</f>
        <v/>
      </c>
      <c r="E146" s="41">
        <f>IF(E145&lt;=0,"",E145-D146)</f>
        <v/>
      </c>
    </row>
    <row r="147">
      <c r="A147" s="38" t="n">
        <v>123</v>
      </c>
      <c r="B147" s="39">
        <f>IF(E146&lt;=0,"",$B$13)</f>
        <v/>
      </c>
      <c r="C147" s="39">
        <f>IF(E146&lt;=0,"",E146*$B$11/12)</f>
        <v/>
      </c>
      <c r="D147" s="39">
        <f>IF(E146&lt;=0,"",B147-C147)</f>
        <v/>
      </c>
      <c r="E147" s="39">
        <f>IF(E146&lt;=0,"",E146-D147)</f>
        <v/>
      </c>
    </row>
    <row r="148">
      <c r="A148" s="40" t="n">
        <v>124</v>
      </c>
      <c r="B148" s="41">
        <f>IF(E147&lt;=0,"",$B$13)</f>
        <v/>
      </c>
      <c r="C148" s="41">
        <f>IF(E147&lt;=0,"",E147*$B$11/12)</f>
        <v/>
      </c>
      <c r="D148" s="41">
        <f>IF(E147&lt;=0,"",B148-C148)</f>
        <v/>
      </c>
      <c r="E148" s="41">
        <f>IF(E147&lt;=0,"",E147-D148)</f>
        <v/>
      </c>
    </row>
    <row r="149">
      <c r="A149" s="38" t="n">
        <v>125</v>
      </c>
      <c r="B149" s="39">
        <f>IF(E148&lt;=0,"",$B$13)</f>
        <v/>
      </c>
      <c r="C149" s="39">
        <f>IF(E148&lt;=0,"",E148*$B$11/12)</f>
        <v/>
      </c>
      <c r="D149" s="39">
        <f>IF(E148&lt;=0,"",B149-C149)</f>
        <v/>
      </c>
      <c r="E149" s="39">
        <f>IF(E148&lt;=0,"",E148-D149)</f>
        <v/>
      </c>
    </row>
    <row r="150">
      <c r="A150" s="40" t="n">
        <v>126</v>
      </c>
      <c r="B150" s="41">
        <f>IF(E149&lt;=0,"",$B$13)</f>
        <v/>
      </c>
      <c r="C150" s="41">
        <f>IF(E149&lt;=0,"",E149*$B$11/12)</f>
        <v/>
      </c>
      <c r="D150" s="41">
        <f>IF(E149&lt;=0,"",B150-C150)</f>
        <v/>
      </c>
      <c r="E150" s="41">
        <f>IF(E149&lt;=0,"",E149-D150)</f>
        <v/>
      </c>
    </row>
    <row r="151">
      <c r="A151" s="38" t="n">
        <v>127</v>
      </c>
      <c r="B151" s="39">
        <f>IF(E150&lt;=0,"",$B$13)</f>
        <v/>
      </c>
      <c r="C151" s="39">
        <f>IF(E150&lt;=0,"",E150*$B$11/12)</f>
        <v/>
      </c>
      <c r="D151" s="39">
        <f>IF(E150&lt;=0,"",B151-C151)</f>
        <v/>
      </c>
      <c r="E151" s="39">
        <f>IF(E150&lt;=0,"",E150-D151)</f>
        <v/>
      </c>
    </row>
    <row r="152">
      <c r="A152" s="40" t="n">
        <v>128</v>
      </c>
      <c r="B152" s="41">
        <f>IF(E151&lt;=0,"",$B$13)</f>
        <v/>
      </c>
      <c r="C152" s="41">
        <f>IF(E151&lt;=0,"",E151*$B$11/12)</f>
        <v/>
      </c>
      <c r="D152" s="41">
        <f>IF(E151&lt;=0,"",B152-C152)</f>
        <v/>
      </c>
      <c r="E152" s="41">
        <f>IF(E151&lt;=0,"",E151-D152)</f>
        <v/>
      </c>
    </row>
    <row r="153">
      <c r="A153" s="38" t="n">
        <v>129</v>
      </c>
      <c r="B153" s="39">
        <f>IF(E152&lt;=0,"",$B$13)</f>
        <v/>
      </c>
      <c r="C153" s="39">
        <f>IF(E152&lt;=0,"",E152*$B$11/12)</f>
        <v/>
      </c>
      <c r="D153" s="39">
        <f>IF(E152&lt;=0,"",B153-C153)</f>
        <v/>
      </c>
      <c r="E153" s="39">
        <f>IF(E152&lt;=0,"",E152-D153)</f>
        <v/>
      </c>
    </row>
    <row r="154">
      <c r="A154" s="40" t="n">
        <v>130</v>
      </c>
      <c r="B154" s="41">
        <f>IF(E153&lt;=0,"",$B$13)</f>
        <v/>
      </c>
      <c r="C154" s="41">
        <f>IF(E153&lt;=0,"",E153*$B$11/12)</f>
        <v/>
      </c>
      <c r="D154" s="41">
        <f>IF(E153&lt;=0,"",B154-C154)</f>
        <v/>
      </c>
      <c r="E154" s="41">
        <f>IF(E153&lt;=0,"",E153-D154)</f>
        <v/>
      </c>
    </row>
    <row r="155">
      <c r="A155" s="38" t="n">
        <v>131</v>
      </c>
      <c r="B155" s="39">
        <f>IF(E154&lt;=0,"",$B$13)</f>
        <v/>
      </c>
      <c r="C155" s="39">
        <f>IF(E154&lt;=0,"",E154*$B$11/12)</f>
        <v/>
      </c>
      <c r="D155" s="39">
        <f>IF(E154&lt;=0,"",B155-C155)</f>
        <v/>
      </c>
      <c r="E155" s="39">
        <f>IF(E154&lt;=0,"",E154-D155)</f>
        <v/>
      </c>
    </row>
    <row r="156">
      <c r="A156" s="40" t="n">
        <v>132</v>
      </c>
      <c r="B156" s="41">
        <f>IF(E155&lt;=0,"",$B$13)</f>
        <v/>
      </c>
      <c r="C156" s="41">
        <f>IF(E155&lt;=0,"",E155*$B$11/12)</f>
        <v/>
      </c>
      <c r="D156" s="41">
        <f>IF(E155&lt;=0,"",B156-C156)</f>
        <v/>
      </c>
      <c r="E156" s="41">
        <f>IF(E155&lt;=0,"",E155-D156)</f>
        <v/>
      </c>
    </row>
    <row r="157">
      <c r="A157" s="38" t="n">
        <v>133</v>
      </c>
      <c r="B157" s="39">
        <f>IF(E156&lt;=0,"",$B$13)</f>
        <v/>
      </c>
      <c r="C157" s="39">
        <f>IF(E156&lt;=0,"",E156*$B$11/12)</f>
        <v/>
      </c>
      <c r="D157" s="39">
        <f>IF(E156&lt;=0,"",B157-C157)</f>
        <v/>
      </c>
      <c r="E157" s="39">
        <f>IF(E156&lt;=0,"",E156-D157)</f>
        <v/>
      </c>
    </row>
    <row r="158">
      <c r="A158" s="40" t="n">
        <v>134</v>
      </c>
      <c r="B158" s="41">
        <f>IF(E157&lt;=0,"",$B$13)</f>
        <v/>
      </c>
      <c r="C158" s="41">
        <f>IF(E157&lt;=0,"",E157*$B$11/12)</f>
        <v/>
      </c>
      <c r="D158" s="41">
        <f>IF(E157&lt;=0,"",B158-C158)</f>
        <v/>
      </c>
      <c r="E158" s="41">
        <f>IF(E157&lt;=0,"",E157-D158)</f>
        <v/>
      </c>
    </row>
    <row r="159">
      <c r="A159" s="38" t="n">
        <v>135</v>
      </c>
      <c r="B159" s="39">
        <f>IF(E158&lt;=0,"",$B$13)</f>
        <v/>
      </c>
      <c r="C159" s="39">
        <f>IF(E158&lt;=0,"",E158*$B$11/12)</f>
        <v/>
      </c>
      <c r="D159" s="39">
        <f>IF(E158&lt;=0,"",B159-C159)</f>
        <v/>
      </c>
      <c r="E159" s="39">
        <f>IF(E158&lt;=0,"",E158-D159)</f>
        <v/>
      </c>
    </row>
    <row r="160">
      <c r="A160" s="40" t="n">
        <v>136</v>
      </c>
      <c r="B160" s="41">
        <f>IF(E159&lt;=0,"",$B$13)</f>
        <v/>
      </c>
      <c r="C160" s="41">
        <f>IF(E159&lt;=0,"",E159*$B$11/12)</f>
        <v/>
      </c>
      <c r="D160" s="41">
        <f>IF(E159&lt;=0,"",B160-C160)</f>
        <v/>
      </c>
      <c r="E160" s="41">
        <f>IF(E159&lt;=0,"",E159-D160)</f>
        <v/>
      </c>
    </row>
    <row r="161">
      <c r="A161" s="38" t="n">
        <v>137</v>
      </c>
      <c r="B161" s="39">
        <f>IF(E160&lt;=0,"",$B$13)</f>
        <v/>
      </c>
      <c r="C161" s="39">
        <f>IF(E160&lt;=0,"",E160*$B$11/12)</f>
        <v/>
      </c>
      <c r="D161" s="39">
        <f>IF(E160&lt;=0,"",B161-C161)</f>
        <v/>
      </c>
      <c r="E161" s="39">
        <f>IF(E160&lt;=0,"",E160-D161)</f>
        <v/>
      </c>
    </row>
    <row r="162">
      <c r="A162" s="40" t="n">
        <v>138</v>
      </c>
      <c r="B162" s="41">
        <f>IF(E161&lt;=0,"",$B$13)</f>
        <v/>
      </c>
      <c r="C162" s="41">
        <f>IF(E161&lt;=0,"",E161*$B$11/12)</f>
        <v/>
      </c>
      <c r="D162" s="41">
        <f>IF(E161&lt;=0,"",B162-C162)</f>
        <v/>
      </c>
      <c r="E162" s="41">
        <f>IF(E161&lt;=0,"",E161-D162)</f>
        <v/>
      </c>
    </row>
    <row r="163">
      <c r="A163" s="38" t="n">
        <v>139</v>
      </c>
      <c r="B163" s="39">
        <f>IF(E162&lt;=0,"",$B$13)</f>
        <v/>
      </c>
      <c r="C163" s="39">
        <f>IF(E162&lt;=0,"",E162*$B$11/12)</f>
        <v/>
      </c>
      <c r="D163" s="39">
        <f>IF(E162&lt;=0,"",B163-C163)</f>
        <v/>
      </c>
      <c r="E163" s="39">
        <f>IF(E162&lt;=0,"",E162-D163)</f>
        <v/>
      </c>
    </row>
    <row r="164">
      <c r="A164" s="40" t="n">
        <v>140</v>
      </c>
      <c r="B164" s="41">
        <f>IF(E163&lt;=0,"",$B$13)</f>
        <v/>
      </c>
      <c r="C164" s="41">
        <f>IF(E163&lt;=0,"",E163*$B$11/12)</f>
        <v/>
      </c>
      <c r="D164" s="41">
        <f>IF(E163&lt;=0,"",B164-C164)</f>
        <v/>
      </c>
      <c r="E164" s="41">
        <f>IF(E163&lt;=0,"",E163-D164)</f>
        <v/>
      </c>
    </row>
    <row r="165">
      <c r="A165" s="38" t="n">
        <v>141</v>
      </c>
      <c r="B165" s="39">
        <f>IF(E164&lt;=0,"",$B$13)</f>
        <v/>
      </c>
      <c r="C165" s="39">
        <f>IF(E164&lt;=0,"",E164*$B$11/12)</f>
        <v/>
      </c>
      <c r="D165" s="39">
        <f>IF(E164&lt;=0,"",B165-C165)</f>
        <v/>
      </c>
      <c r="E165" s="39">
        <f>IF(E164&lt;=0,"",E164-D165)</f>
        <v/>
      </c>
    </row>
    <row r="166">
      <c r="A166" s="40" t="n">
        <v>142</v>
      </c>
      <c r="B166" s="41">
        <f>IF(E165&lt;=0,"",$B$13)</f>
        <v/>
      </c>
      <c r="C166" s="41">
        <f>IF(E165&lt;=0,"",E165*$B$11/12)</f>
        <v/>
      </c>
      <c r="D166" s="41">
        <f>IF(E165&lt;=0,"",B166-C166)</f>
        <v/>
      </c>
      <c r="E166" s="41">
        <f>IF(E165&lt;=0,"",E165-D166)</f>
        <v/>
      </c>
    </row>
    <row r="167">
      <c r="A167" s="38" t="n">
        <v>143</v>
      </c>
      <c r="B167" s="39">
        <f>IF(E166&lt;=0,"",$B$13)</f>
        <v/>
      </c>
      <c r="C167" s="39">
        <f>IF(E166&lt;=0,"",E166*$B$11/12)</f>
        <v/>
      </c>
      <c r="D167" s="39">
        <f>IF(E166&lt;=0,"",B167-C167)</f>
        <v/>
      </c>
      <c r="E167" s="39">
        <f>IF(E166&lt;=0,"",E166-D167)</f>
        <v/>
      </c>
    </row>
    <row r="168">
      <c r="A168" s="40" t="n">
        <v>144</v>
      </c>
      <c r="B168" s="41">
        <f>IF(E167&lt;=0,"",$B$13)</f>
        <v/>
      </c>
      <c r="C168" s="41">
        <f>IF(E167&lt;=0,"",E167*$B$11/12)</f>
        <v/>
      </c>
      <c r="D168" s="41">
        <f>IF(E167&lt;=0,"",B168-C168)</f>
        <v/>
      </c>
      <c r="E168" s="41">
        <f>IF(E167&lt;=0,"",E167-D168)</f>
        <v/>
      </c>
    </row>
    <row r="169">
      <c r="A169" s="38" t="n">
        <v>145</v>
      </c>
      <c r="B169" s="39">
        <f>IF(E168&lt;=0,"",$B$13)</f>
        <v/>
      </c>
      <c r="C169" s="39">
        <f>IF(E168&lt;=0,"",E168*$B$11/12)</f>
        <v/>
      </c>
      <c r="D169" s="39">
        <f>IF(E168&lt;=0,"",B169-C169)</f>
        <v/>
      </c>
      <c r="E169" s="39">
        <f>IF(E168&lt;=0,"",E168-D169)</f>
        <v/>
      </c>
    </row>
    <row r="170">
      <c r="A170" s="40" t="n">
        <v>146</v>
      </c>
      <c r="B170" s="41">
        <f>IF(E169&lt;=0,"",$B$13)</f>
        <v/>
      </c>
      <c r="C170" s="41">
        <f>IF(E169&lt;=0,"",E169*$B$11/12)</f>
        <v/>
      </c>
      <c r="D170" s="41">
        <f>IF(E169&lt;=0,"",B170-C170)</f>
        <v/>
      </c>
      <c r="E170" s="41">
        <f>IF(E169&lt;=0,"",E169-D170)</f>
        <v/>
      </c>
    </row>
    <row r="171">
      <c r="A171" s="38" t="n">
        <v>147</v>
      </c>
      <c r="B171" s="39">
        <f>IF(E170&lt;=0,"",$B$13)</f>
        <v/>
      </c>
      <c r="C171" s="39">
        <f>IF(E170&lt;=0,"",E170*$B$11/12)</f>
        <v/>
      </c>
      <c r="D171" s="39">
        <f>IF(E170&lt;=0,"",B171-C171)</f>
        <v/>
      </c>
      <c r="E171" s="39">
        <f>IF(E170&lt;=0,"",E170-D171)</f>
        <v/>
      </c>
    </row>
    <row r="172">
      <c r="A172" s="40" t="n">
        <v>148</v>
      </c>
      <c r="B172" s="41">
        <f>IF(E171&lt;=0,"",$B$13)</f>
        <v/>
      </c>
      <c r="C172" s="41">
        <f>IF(E171&lt;=0,"",E171*$B$11/12)</f>
        <v/>
      </c>
      <c r="D172" s="41">
        <f>IF(E171&lt;=0,"",B172-C172)</f>
        <v/>
      </c>
      <c r="E172" s="41">
        <f>IF(E171&lt;=0,"",E171-D172)</f>
        <v/>
      </c>
    </row>
    <row r="173">
      <c r="A173" s="38" t="n">
        <v>149</v>
      </c>
      <c r="B173" s="39">
        <f>IF(E172&lt;=0,"",$B$13)</f>
        <v/>
      </c>
      <c r="C173" s="39">
        <f>IF(E172&lt;=0,"",E172*$B$11/12)</f>
        <v/>
      </c>
      <c r="D173" s="39">
        <f>IF(E172&lt;=0,"",B173-C173)</f>
        <v/>
      </c>
      <c r="E173" s="39">
        <f>IF(E172&lt;=0,"",E172-D173)</f>
        <v/>
      </c>
    </row>
    <row r="174">
      <c r="A174" s="40" t="n">
        <v>150</v>
      </c>
      <c r="B174" s="41">
        <f>IF(E173&lt;=0,"",$B$13)</f>
        <v/>
      </c>
      <c r="C174" s="41">
        <f>IF(E173&lt;=0,"",E173*$B$11/12)</f>
        <v/>
      </c>
      <c r="D174" s="41">
        <f>IF(E173&lt;=0,"",B174-C174)</f>
        <v/>
      </c>
      <c r="E174" s="41">
        <f>IF(E173&lt;=0,"",E173-D174)</f>
        <v/>
      </c>
    </row>
    <row r="175">
      <c r="A175" s="38" t="n">
        <v>151</v>
      </c>
      <c r="B175" s="39">
        <f>IF(E174&lt;=0,"",$B$13)</f>
        <v/>
      </c>
      <c r="C175" s="39">
        <f>IF(E174&lt;=0,"",E174*$B$11/12)</f>
        <v/>
      </c>
      <c r="D175" s="39">
        <f>IF(E174&lt;=0,"",B175-C175)</f>
        <v/>
      </c>
      <c r="E175" s="39">
        <f>IF(E174&lt;=0,"",E174-D175)</f>
        <v/>
      </c>
    </row>
    <row r="176">
      <c r="A176" s="40" t="n">
        <v>152</v>
      </c>
      <c r="B176" s="41">
        <f>IF(E175&lt;=0,"",$B$13)</f>
        <v/>
      </c>
      <c r="C176" s="41">
        <f>IF(E175&lt;=0,"",E175*$B$11/12)</f>
        <v/>
      </c>
      <c r="D176" s="41">
        <f>IF(E175&lt;=0,"",B176-C176)</f>
        <v/>
      </c>
      <c r="E176" s="41">
        <f>IF(E175&lt;=0,"",E175-D176)</f>
        <v/>
      </c>
    </row>
    <row r="177">
      <c r="A177" s="38" t="n">
        <v>153</v>
      </c>
      <c r="B177" s="39">
        <f>IF(E176&lt;=0,"",$B$13)</f>
        <v/>
      </c>
      <c r="C177" s="39">
        <f>IF(E176&lt;=0,"",E176*$B$11/12)</f>
        <v/>
      </c>
      <c r="D177" s="39">
        <f>IF(E176&lt;=0,"",B177-C177)</f>
        <v/>
      </c>
      <c r="E177" s="39">
        <f>IF(E176&lt;=0,"",E176-D177)</f>
        <v/>
      </c>
    </row>
    <row r="178">
      <c r="A178" s="40" t="n">
        <v>154</v>
      </c>
      <c r="B178" s="41">
        <f>IF(E177&lt;=0,"",$B$13)</f>
        <v/>
      </c>
      <c r="C178" s="41">
        <f>IF(E177&lt;=0,"",E177*$B$11/12)</f>
        <v/>
      </c>
      <c r="D178" s="41">
        <f>IF(E177&lt;=0,"",B178-C178)</f>
        <v/>
      </c>
      <c r="E178" s="41">
        <f>IF(E177&lt;=0,"",E177-D178)</f>
        <v/>
      </c>
    </row>
    <row r="179">
      <c r="A179" s="38" t="n">
        <v>155</v>
      </c>
      <c r="B179" s="39">
        <f>IF(E178&lt;=0,"",$B$13)</f>
        <v/>
      </c>
      <c r="C179" s="39">
        <f>IF(E178&lt;=0,"",E178*$B$11/12)</f>
        <v/>
      </c>
      <c r="D179" s="39">
        <f>IF(E178&lt;=0,"",B179-C179)</f>
        <v/>
      </c>
      <c r="E179" s="39">
        <f>IF(E178&lt;=0,"",E178-D179)</f>
        <v/>
      </c>
    </row>
    <row r="180">
      <c r="A180" s="40" t="n">
        <v>156</v>
      </c>
      <c r="B180" s="41">
        <f>IF(E179&lt;=0,"",$B$13)</f>
        <v/>
      </c>
      <c r="C180" s="41">
        <f>IF(E179&lt;=0,"",E179*$B$11/12)</f>
        <v/>
      </c>
      <c r="D180" s="41">
        <f>IF(E179&lt;=0,"",B180-C180)</f>
        <v/>
      </c>
      <c r="E180" s="41">
        <f>IF(E179&lt;=0,"",E179-D180)</f>
        <v/>
      </c>
    </row>
    <row r="181">
      <c r="A181" s="38" t="n">
        <v>157</v>
      </c>
      <c r="B181" s="39">
        <f>IF(E180&lt;=0,"",$B$13)</f>
        <v/>
      </c>
      <c r="C181" s="39">
        <f>IF(E180&lt;=0,"",E180*$B$11/12)</f>
        <v/>
      </c>
      <c r="D181" s="39">
        <f>IF(E180&lt;=0,"",B181-C181)</f>
        <v/>
      </c>
      <c r="E181" s="39">
        <f>IF(E180&lt;=0,"",E180-D181)</f>
        <v/>
      </c>
    </row>
    <row r="182">
      <c r="A182" s="40" t="n">
        <v>158</v>
      </c>
      <c r="B182" s="41">
        <f>IF(E181&lt;=0,"",$B$13)</f>
        <v/>
      </c>
      <c r="C182" s="41">
        <f>IF(E181&lt;=0,"",E181*$B$11/12)</f>
        <v/>
      </c>
      <c r="D182" s="41">
        <f>IF(E181&lt;=0,"",B182-C182)</f>
        <v/>
      </c>
      <c r="E182" s="41">
        <f>IF(E181&lt;=0,"",E181-D182)</f>
        <v/>
      </c>
    </row>
    <row r="183">
      <c r="A183" s="38" t="n">
        <v>159</v>
      </c>
      <c r="B183" s="39">
        <f>IF(E182&lt;=0,"",$B$13)</f>
        <v/>
      </c>
      <c r="C183" s="39">
        <f>IF(E182&lt;=0,"",E182*$B$11/12)</f>
        <v/>
      </c>
      <c r="D183" s="39">
        <f>IF(E182&lt;=0,"",B183-C183)</f>
        <v/>
      </c>
      <c r="E183" s="39">
        <f>IF(E182&lt;=0,"",E182-D183)</f>
        <v/>
      </c>
    </row>
    <row r="184">
      <c r="A184" s="40" t="n">
        <v>160</v>
      </c>
      <c r="B184" s="41">
        <f>IF(E183&lt;=0,"",$B$13)</f>
        <v/>
      </c>
      <c r="C184" s="41">
        <f>IF(E183&lt;=0,"",E183*$B$11/12)</f>
        <v/>
      </c>
      <c r="D184" s="41">
        <f>IF(E183&lt;=0,"",B184-C184)</f>
        <v/>
      </c>
      <c r="E184" s="41">
        <f>IF(E183&lt;=0,"",E183-D184)</f>
        <v/>
      </c>
    </row>
    <row r="185">
      <c r="A185" s="38" t="n">
        <v>161</v>
      </c>
      <c r="B185" s="39">
        <f>IF(E184&lt;=0,"",$B$13)</f>
        <v/>
      </c>
      <c r="C185" s="39">
        <f>IF(E184&lt;=0,"",E184*$B$11/12)</f>
        <v/>
      </c>
      <c r="D185" s="39">
        <f>IF(E184&lt;=0,"",B185-C185)</f>
        <v/>
      </c>
      <c r="E185" s="39">
        <f>IF(E184&lt;=0,"",E184-D185)</f>
        <v/>
      </c>
    </row>
    <row r="186">
      <c r="A186" s="40" t="n">
        <v>162</v>
      </c>
      <c r="B186" s="41">
        <f>IF(E185&lt;=0,"",$B$13)</f>
        <v/>
      </c>
      <c r="C186" s="41">
        <f>IF(E185&lt;=0,"",E185*$B$11/12)</f>
        <v/>
      </c>
      <c r="D186" s="41">
        <f>IF(E185&lt;=0,"",B186-C186)</f>
        <v/>
      </c>
      <c r="E186" s="41">
        <f>IF(E185&lt;=0,"",E185-D186)</f>
        <v/>
      </c>
    </row>
    <row r="187">
      <c r="A187" s="38" t="n">
        <v>163</v>
      </c>
      <c r="B187" s="39">
        <f>IF(E186&lt;=0,"",$B$13)</f>
        <v/>
      </c>
      <c r="C187" s="39">
        <f>IF(E186&lt;=0,"",E186*$B$11/12)</f>
        <v/>
      </c>
      <c r="D187" s="39">
        <f>IF(E186&lt;=0,"",B187-C187)</f>
        <v/>
      </c>
      <c r="E187" s="39">
        <f>IF(E186&lt;=0,"",E186-D187)</f>
        <v/>
      </c>
    </row>
    <row r="188">
      <c r="A188" s="40" t="n">
        <v>164</v>
      </c>
      <c r="B188" s="41">
        <f>IF(E187&lt;=0,"",$B$13)</f>
        <v/>
      </c>
      <c r="C188" s="41">
        <f>IF(E187&lt;=0,"",E187*$B$11/12)</f>
        <v/>
      </c>
      <c r="D188" s="41">
        <f>IF(E187&lt;=0,"",B188-C188)</f>
        <v/>
      </c>
      <c r="E188" s="41">
        <f>IF(E187&lt;=0,"",E187-D188)</f>
        <v/>
      </c>
    </row>
    <row r="189">
      <c r="A189" s="38" t="n">
        <v>165</v>
      </c>
      <c r="B189" s="39">
        <f>IF(E188&lt;=0,"",$B$13)</f>
        <v/>
      </c>
      <c r="C189" s="39">
        <f>IF(E188&lt;=0,"",E188*$B$11/12)</f>
        <v/>
      </c>
      <c r="D189" s="39">
        <f>IF(E188&lt;=0,"",B189-C189)</f>
        <v/>
      </c>
      <c r="E189" s="39">
        <f>IF(E188&lt;=0,"",E188-D189)</f>
        <v/>
      </c>
    </row>
    <row r="190">
      <c r="A190" s="40" t="n">
        <v>166</v>
      </c>
      <c r="B190" s="41">
        <f>IF(E189&lt;=0,"",$B$13)</f>
        <v/>
      </c>
      <c r="C190" s="41">
        <f>IF(E189&lt;=0,"",E189*$B$11/12)</f>
        <v/>
      </c>
      <c r="D190" s="41">
        <f>IF(E189&lt;=0,"",B190-C190)</f>
        <v/>
      </c>
      <c r="E190" s="41">
        <f>IF(E189&lt;=0,"",E189-D190)</f>
        <v/>
      </c>
    </row>
    <row r="191">
      <c r="A191" s="38" t="n">
        <v>167</v>
      </c>
      <c r="B191" s="39">
        <f>IF(E190&lt;=0,"",$B$13)</f>
        <v/>
      </c>
      <c r="C191" s="39">
        <f>IF(E190&lt;=0,"",E190*$B$11/12)</f>
        <v/>
      </c>
      <c r="D191" s="39">
        <f>IF(E190&lt;=0,"",B191-C191)</f>
        <v/>
      </c>
      <c r="E191" s="39">
        <f>IF(E190&lt;=0,"",E190-D191)</f>
        <v/>
      </c>
    </row>
    <row r="192">
      <c r="A192" s="40" t="n">
        <v>168</v>
      </c>
      <c r="B192" s="41">
        <f>IF(E191&lt;=0,"",$B$13)</f>
        <v/>
      </c>
      <c r="C192" s="41">
        <f>IF(E191&lt;=0,"",E191*$B$11/12)</f>
        <v/>
      </c>
      <c r="D192" s="41">
        <f>IF(E191&lt;=0,"",B192-C192)</f>
        <v/>
      </c>
      <c r="E192" s="41">
        <f>IF(E191&lt;=0,"",E191-D192)</f>
        <v/>
      </c>
    </row>
    <row r="193">
      <c r="A193" s="38" t="n">
        <v>169</v>
      </c>
      <c r="B193" s="39">
        <f>IF(E192&lt;=0,"",$B$13)</f>
        <v/>
      </c>
      <c r="C193" s="39">
        <f>IF(E192&lt;=0,"",E192*$B$11/12)</f>
        <v/>
      </c>
      <c r="D193" s="39">
        <f>IF(E192&lt;=0,"",B193-C193)</f>
        <v/>
      </c>
      <c r="E193" s="39">
        <f>IF(E192&lt;=0,"",E192-D193)</f>
        <v/>
      </c>
    </row>
    <row r="194">
      <c r="A194" s="40" t="n">
        <v>170</v>
      </c>
      <c r="B194" s="41">
        <f>IF(E193&lt;=0,"",$B$13)</f>
        <v/>
      </c>
      <c r="C194" s="41">
        <f>IF(E193&lt;=0,"",E193*$B$11/12)</f>
        <v/>
      </c>
      <c r="D194" s="41">
        <f>IF(E193&lt;=0,"",B194-C194)</f>
        <v/>
      </c>
      <c r="E194" s="41">
        <f>IF(E193&lt;=0,"",E193-D194)</f>
        <v/>
      </c>
    </row>
    <row r="195">
      <c r="A195" s="38" t="n">
        <v>171</v>
      </c>
      <c r="B195" s="39">
        <f>IF(E194&lt;=0,"",$B$13)</f>
        <v/>
      </c>
      <c r="C195" s="39">
        <f>IF(E194&lt;=0,"",E194*$B$11/12)</f>
        <v/>
      </c>
      <c r="D195" s="39">
        <f>IF(E194&lt;=0,"",B195-C195)</f>
        <v/>
      </c>
      <c r="E195" s="39">
        <f>IF(E194&lt;=0,"",E194-D195)</f>
        <v/>
      </c>
    </row>
    <row r="196">
      <c r="A196" s="40" t="n">
        <v>172</v>
      </c>
      <c r="B196" s="41">
        <f>IF(E195&lt;=0,"",$B$13)</f>
        <v/>
      </c>
      <c r="C196" s="41">
        <f>IF(E195&lt;=0,"",E195*$B$11/12)</f>
        <v/>
      </c>
      <c r="D196" s="41">
        <f>IF(E195&lt;=0,"",B196-C196)</f>
        <v/>
      </c>
      <c r="E196" s="41">
        <f>IF(E195&lt;=0,"",E195-D196)</f>
        <v/>
      </c>
    </row>
    <row r="197">
      <c r="A197" s="38" t="n">
        <v>173</v>
      </c>
      <c r="B197" s="39">
        <f>IF(E196&lt;=0,"",$B$13)</f>
        <v/>
      </c>
      <c r="C197" s="39">
        <f>IF(E196&lt;=0,"",E196*$B$11/12)</f>
        <v/>
      </c>
      <c r="D197" s="39">
        <f>IF(E196&lt;=0,"",B197-C197)</f>
        <v/>
      </c>
      <c r="E197" s="39">
        <f>IF(E196&lt;=0,"",E196-D197)</f>
        <v/>
      </c>
    </row>
    <row r="198">
      <c r="A198" s="40" t="n">
        <v>174</v>
      </c>
      <c r="B198" s="41">
        <f>IF(E197&lt;=0,"",$B$13)</f>
        <v/>
      </c>
      <c r="C198" s="41">
        <f>IF(E197&lt;=0,"",E197*$B$11/12)</f>
        <v/>
      </c>
      <c r="D198" s="41">
        <f>IF(E197&lt;=0,"",B198-C198)</f>
        <v/>
      </c>
      <c r="E198" s="41">
        <f>IF(E197&lt;=0,"",E197-D198)</f>
        <v/>
      </c>
    </row>
    <row r="199">
      <c r="A199" s="38" t="n">
        <v>175</v>
      </c>
      <c r="B199" s="39">
        <f>IF(E198&lt;=0,"",$B$13)</f>
        <v/>
      </c>
      <c r="C199" s="39">
        <f>IF(E198&lt;=0,"",E198*$B$11/12)</f>
        <v/>
      </c>
      <c r="D199" s="39">
        <f>IF(E198&lt;=0,"",B199-C199)</f>
        <v/>
      </c>
      <c r="E199" s="39">
        <f>IF(E198&lt;=0,"",E198-D199)</f>
        <v/>
      </c>
    </row>
    <row r="200">
      <c r="A200" s="40" t="n">
        <v>176</v>
      </c>
      <c r="B200" s="41">
        <f>IF(E199&lt;=0,"",$B$13)</f>
        <v/>
      </c>
      <c r="C200" s="41">
        <f>IF(E199&lt;=0,"",E199*$B$11/12)</f>
        <v/>
      </c>
      <c r="D200" s="41">
        <f>IF(E199&lt;=0,"",B200-C200)</f>
        <v/>
      </c>
      <c r="E200" s="41">
        <f>IF(E199&lt;=0,"",E199-D200)</f>
        <v/>
      </c>
    </row>
    <row r="201">
      <c r="A201" s="38" t="n">
        <v>177</v>
      </c>
      <c r="B201" s="39">
        <f>IF(E200&lt;=0,"",$B$13)</f>
        <v/>
      </c>
      <c r="C201" s="39">
        <f>IF(E200&lt;=0,"",E200*$B$11/12)</f>
        <v/>
      </c>
      <c r="D201" s="39">
        <f>IF(E200&lt;=0,"",B201-C201)</f>
        <v/>
      </c>
      <c r="E201" s="39">
        <f>IF(E200&lt;=0,"",E200-D201)</f>
        <v/>
      </c>
    </row>
    <row r="202">
      <c r="A202" s="40" t="n">
        <v>178</v>
      </c>
      <c r="B202" s="41">
        <f>IF(E201&lt;=0,"",$B$13)</f>
        <v/>
      </c>
      <c r="C202" s="41">
        <f>IF(E201&lt;=0,"",E201*$B$11/12)</f>
        <v/>
      </c>
      <c r="D202" s="41">
        <f>IF(E201&lt;=0,"",B202-C202)</f>
        <v/>
      </c>
      <c r="E202" s="41">
        <f>IF(E201&lt;=0,"",E201-D202)</f>
        <v/>
      </c>
    </row>
    <row r="203">
      <c r="A203" s="38" t="n">
        <v>179</v>
      </c>
      <c r="B203" s="39">
        <f>IF(E202&lt;=0,"",$B$13)</f>
        <v/>
      </c>
      <c r="C203" s="39">
        <f>IF(E202&lt;=0,"",E202*$B$11/12)</f>
        <v/>
      </c>
      <c r="D203" s="39">
        <f>IF(E202&lt;=0,"",B203-C203)</f>
        <v/>
      </c>
      <c r="E203" s="39">
        <f>IF(E202&lt;=0,"",E202-D203)</f>
        <v/>
      </c>
    </row>
    <row r="204">
      <c r="A204" s="40" t="n">
        <v>180</v>
      </c>
      <c r="B204" s="41">
        <f>IF(E203&lt;=0,"",$B$13)</f>
        <v/>
      </c>
      <c r="C204" s="41">
        <f>IF(E203&lt;=0,"",E203*$B$11/12)</f>
        <v/>
      </c>
      <c r="D204" s="41">
        <f>IF(E203&lt;=0,"",B204-C204)</f>
        <v/>
      </c>
      <c r="E204" s="41">
        <f>IF(E203&lt;=0,"",E203-D204)</f>
        <v/>
      </c>
    </row>
    <row r="205">
      <c r="A205" s="38" t="n">
        <v>181</v>
      </c>
      <c r="B205" s="39">
        <f>IF(E204&lt;=0,"",$B$13)</f>
        <v/>
      </c>
      <c r="C205" s="39">
        <f>IF(E204&lt;=0,"",E204*$B$11/12)</f>
        <v/>
      </c>
      <c r="D205" s="39">
        <f>IF(E204&lt;=0,"",B205-C205)</f>
        <v/>
      </c>
      <c r="E205" s="39">
        <f>IF(E204&lt;=0,"",E204-D205)</f>
        <v/>
      </c>
    </row>
    <row r="206">
      <c r="A206" s="40" t="n">
        <v>182</v>
      </c>
      <c r="B206" s="41">
        <f>IF(E205&lt;=0,"",$B$13)</f>
        <v/>
      </c>
      <c r="C206" s="41">
        <f>IF(E205&lt;=0,"",E205*$B$11/12)</f>
        <v/>
      </c>
      <c r="D206" s="41">
        <f>IF(E205&lt;=0,"",B206-C206)</f>
        <v/>
      </c>
      <c r="E206" s="41">
        <f>IF(E205&lt;=0,"",E205-D206)</f>
        <v/>
      </c>
    </row>
    <row r="207">
      <c r="A207" s="38" t="n">
        <v>183</v>
      </c>
      <c r="B207" s="39">
        <f>IF(E206&lt;=0,"",$B$13)</f>
        <v/>
      </c>
      <c r="C207" s="39">
        <f>IF(E206&lt;=0,"",E206*$B$11/12)</f>
        <v/>
      </c>
      <c r="D207" s="39">
        <f>IF(E206&lt;=0,"",B207-C207)</f>
        <v/>
      </c>
      <c r="E207" s="39">
        <f>IF(E206&lt;=0,"",E206-D207)</f>
        <v/>
      </c>
    </row>
    <row r="208">
      <c r="A208" s="40" t="n">
        <v>184</v>
      </c>
      <c r="B208" s="41">
        <f>IF(E207&lt;=0,"",$B$13)</f>
        <v/>
      </c>
      <c r="C208" s="41">
        <f>IF(E207&lt;=0,"",E207*$B$11/12)</f>
        <v/>
      </c>
      <c r="D208" s="41">
        <f>IF(E207&lt;=0,"",B208-C208)</f>
        <v/>
      </c>
      <c r="E208" s="41">
        <f>IF(E207&lt;=0,"",E207-D208)</f>
        <v/>
      </c>
    </row>
    <row r="209">
      <c r="A209" s="38" t="n">
        <v>185</v>
      </c>
      <c r="B209" s="39">
        <f>IF(E208&lt;=0,"",$B$13)</f>
        <v/>
      </c>
      <c r="C209" s="39">
        <f>IF(E208&lt;=0,"",E208*$B$11/12)</f>
        <v/>
      </c>
      <c r="D209" s="39">
        <f>IF(E208&lt;=0,"",B209-C209)</f>
        <v/>
      </c>
      <c r="E209" s="39">
        <f>IF(E208&lt;=0,"",E208-D209)</f>
        <v/>
      </c>
    </row>
    <row r="210">
      <c r="A210" s="40" t="n">
        <v>186</v>
      </c>
      <c r="B210" s="41">
        <f>IF(E209&lt;=0,"",$B$13)</f>
        <v/>
      </c>
      <c r="C210" s="41">
        <f>IF(E209&lt;=0,"",E209*$B$11/12)</f>
        <v/>
      </c>
      <c r="D210" s="41">
        <f>IF(E209&lt;=0,"",B210-C210)</f>
        <v/>
      </c>
      <c r="E210" s="41">
        <f>IF(E209&lt;=0,"",E209-D210)</f>
        <v/>
      </c>
    </row>
    <row r="211">
      <c r="A211" s="38" t="n">
        <v>187</v>
      </c>
      <c r="B211" s="39">
        <f>IF(E210&lt;=0,"",$B$13)</f>
        <v/>
      </c>
      <c r="C211" s="39">
        <f>IF(E210&lt;=0,"",E210*$B$11/12)</f>
        <v/>
      </c>
      <c r="D211" s="39">
        <f>IF(E210&lt;=0,"",B211-C211)</f>
        <v/>
      </c>
      <c r="E211" s="39">
        <f>IF(E210&lt;=0,"",E210-D211)</f>
        <v/>
      </c>
    </row>
    <row r="212">
      <c r="A212" s="40" t="n">
        <v>188</v>
      </c>
      <c r="B212" s="41">
        <f>IF(E211&lt;=0,"",$B$13)</f>
        <v/>
      </c>
      <c r="C212" s="41">
        <f>IF(E211&lt;=0,"",E211*$B$11/12)</f>
        <v/>
      </c>
      <c r="D212" s="41">
        <f>IF(E211&lt;=0,"",B212-C212)</f>
        <v/>
      </c>
      <c r="E212" s="41">
        <f>IF(E211&lt;=0,"",E211-D212)</f>
        <v/>
      </c>
    </row>
    <row r="213">
      <c r="A213" s="38" t="n">
        <v>189</v>
      </c>
      <c r="B213" s="39">
        <f>IF(E212&lt;=0,"",$B$13)</f>
        <v/>
      </c>
      <c r="C213" s="39">
        <f>IF(E212&lt;=0,"",E212*$B$11/12)</f>
        <v/>
      </c>
      <c r="D213" s="39">
        <f>IF(E212&lt;=0,"",B213-C213)</f>
        <v/>
      </c>
      <c r="E213" s="39">
        <f>IF(E212&lt;=0,"",E212-D213)</f>
        <v/>
      </c>
    </row>
    <row r="214">
      <c r="A214" s="40" t="n">
        <v>190</v>
      </c>
      <c r="B214" s="41">
        <f>IF(E213&lt;=0,"",$B$13)</f>
        <v/>
      </c>
      <c r="C214" s="41">
        <f>IF(E213&lt;=0,"",E213*$B$11/12)</f>
        <v/>
      </c>
      <c r="D214" s="41">
        <f>IF(E213&lt;=0,"",B214-C214)</f>
        <v/>
      </c>
      <c r="E214" s="41">
        <f>IF(E213&lt;=0,"",E213-D214)</f>
        <v/>
      </c>
    </row>
    <row r="215">
      <c r="A215" s="38" t="n">
        <v>191</v>
      </c>
      <c r="B215" s="39">
        <f>IF(E214&lt;=0,"",$B$13)</f>
        <v/>
      </c>
      <c r="C215" s="39">
        <f>IF(E214&lt;=0,"",E214*$B$11/12)</f>
        <v/>
      </c>
      <c r="D215" s="39">
        <f>IF(E214&lt;=0,"",B215-C215)</f>
        <v/>
      </c>
      <c r="E215" s="39">
        <f>IF(E214&lt;=0,"",E214-D215)</f>
        <v/>
      </c>
    </row>
    <row r="216">
      <c r="A216" s="40" t="n">
        <v>192</v>
      </c>
      <c r="B216" s="41">
        <f>IF(E215&lt;=0,"",$B$13)</f>
        <v/>
      </c>
      <c r="C216" s="41">
        <f>IF(E215&lt;=0,"",E215*$B$11/12)</f>
        <v/>
      </c>
      <c r="D216" s="41">
        <f>IF(E215&lt;=0,"",B216-C216)</f>
        <v/>
      </c>
      <c r="E216" s="41">
        <f>IF(E215&lt;=0,"",E215-D216)</f>
        <v/>
      </c>
    </row>
    <row r="217">
      <c r="A217" s="38" t="n">
        <v>193</v>
      </c>
      <c r="B217" s="39">
        <f>IF(E216&lt;=0,"",$B$13)</f>
        <v/>
      </c>
      <c r="C217" s="39">
        <f>IF(E216&lt;=0,"",E216*$B$11/12)</f>
        <v/>
      </c>
      <c r="D217" s="39">
        <f>IF(E216&lt;=0,"",B217-C217)</f>
        <v/>
      </c>
      <c r="E217" s="39">
        <f>IF(E216&lt;=0,"",E216-D217)</f>
        <v/>
      </c>
    </row>
    <row r="218">
      <c r="A218" s="40" t="n">
        <v>194</v>
      </c>
      <c r="B218" s="41">
        <f>IF(E217&lt;=0,"",$B$13)</f>
        <v/>
      </c>
      <c r="C218" s="41">
        <f>IF(E217&lt;=0,"",E217*$B$11/12)</f>
        <v/>
      </c>
      <c r="D218" s="41">
        <f>IF(E217&lt;=0,"",B218-C218)</f>
        <v/>
      </c>
      <c r="E218" s="41">
        <f>IF(E217&lt;=0,"",E217-D218)</f>
        <v/>
      </c>
    </row>
    <row r="219">
      <c r="A219" s="38" t="n">
        <v>195</v>
      </c>
      <c r="B219" s="39">
        <f>IF(E218&lt;=0,"",$B$13)</f>
        <v/>
      </c>
      <c r="C219" s="39">
        <f>IF(E218&lt;=0,"",E218*$B$11/12)</f>
        <v/>
      </c>
      <c r="D219" s="39">
        <f>IF(E218&lt;=0,"",B219-C219)</f>
        <v/>
      </c>
      <c r="E219" s="39">
        <f>IF(E218&lt;=0,"",E218-D219)</f>
        <v/>
      </c>
    </row>
    <row r="220">
      <c r="A220" s="40" t="n">
        <v>196</v>
      </c>
      <c r="B220" s="41">
        <f>IF(E219&lt;=0,"",$B$13)</f>
        <v/>
      </c>
      <c r="C220" s="41">
        <f>IF(E219&lt;=0,"",E219*$B$11/12)</f>
        <v/>
      </c>
      <c r="D220" s="41">
        <f>IF(E219&lt;=0,"",B220-C220)</f>
        <v/>
      </c>
      <c r="E220" s="41">
        <f>IF(E219&lt;=0,"",E219-D220)</f>
        <v/>
      </c>
    </row>
    <row r="221">
      <c r="A221" s="38" t="n">
        <v>197</v>
      </c>
      <c r="B221" s="39">
        <f>IF(E220&lt;=0,"",$B$13)</f>
        <v/>
      </c>
      <c r="C221" s="39">
        <f>IF(E220&lt;=0,"",E220*$B$11/12)</f>
        <v/>
      </c>
      <c r="D221" s="39">
        <f>IF(E220&lt;=0,"",B221-C221)</f>
        <v/>
      </c>
      <c r="E221" s="39">
        <f>IF(E220&lt;=0,"",E220-D221)</f>
        <v/>
      </c>
    </row>
    <row r="222">
      <c r="A222" s="40" t="n">
        <v>198</v>
      </c>
      <c r="B222" s="41">
        <f>IF(E221&lt;=0,"",$B$13)</f>
        <v/>
      </c>
      <c r="C222" s="41">
        <f>IF(E221&lt;=0,"",E221*$B$11/12)</f>
        <v/>
      </c>
      <c r="D222" s="41">
        <f>IF(E221&lt;=0,"",B222-C222)</f>
        <v/>
      </c>
      <c r="E222" s="41">
        <f>IF(E221&lt;=0,"",E221-D222)</f>
        <v/>
      </c>
    </row>
    <row r="223">
      <c r="A223" s="38" t="n">
        <v>199</v>
      </c>
      <c r="B223" s="39">
        <f>IF(E222&lt;=0,"",$B$13)</f>
        <v/>
      </c>
      <c r="C223" s="39">
        <f>IF(E222&lt;=0,"",E222*$B$11/12)</f>
        <v/>
      </c>
      <c r="D223" s="39">
        <f>IF(E222&lt;=0,"",B223-C223)</f>
        <v/>
      </c>
      <c r="E223" s="39">
        <f>IF(E222&lt;=0,"",E222-D223)</f>
        <v/>
      </c>
    </row>
    <row r="224">
      <c r="A224" s="40" t="n">
        <v>200</v>
      </c>
      <c r="B224" s="41">
        <f>IF(E223&lt;=0,"",$B$13)</f>
        <v/>
      </c>
      <c r="C224" s="41">
        <f>IF(E223&lt;=0,"",E223*$B$11/12)</f>
        <v/>
      </c>
      <c r="D224" s="41">
        <f>IF(E223&lt;=0,"",B224-C224)</f>
        <v/>
      </c>
      <c r="E224" s="41">
        <f>IF(E223&lt;=0,"",E223-D224)</f>
        <v/>
      </c>
    </row>
    <row r="225">
      <c r="A225" s="38" t="n">
        <v>201</v>
      </c>
      <c r="B225" s="39">
        <f>IF(E224&lt;=0,"",$B$13)</f>
        <v/>
      </c>
      <c r="C225" s="39">
        <f>IF(E224&lt;=0,"",E224*$B$11/12)</f>
        <v/>
      </c>
      <c r="D225" s="39">
        <f>IF(E224&lt;=0,"",B225-C225)</f>
        <v/>
      </c>
      <c r="E225" s="39">
        <f>IF(E224&lt;=0,"",E224-D225)</f>
        <v/>
      </c>
    </row>
    <row r="226">
      <c r="A226" s="40" t="n">
        <v>202</v>
      </c>
      <c r="B226" s="41">
        <f>IF(E225&lt;=0,"",$B$13)</f>
        <v/>
      </c>
      <c r="C226" s="41">
        <f>IF(E225&lt;=0,"",E225*$B$11/12)</f>
        <v/>
      </c>
      <c r="D226" s="41">
        <f>IF(E225&lt;=0,"",B226-C226)</f>
        <v/>
      </c>
      <c r="E226" s="41">
        <f>IF(E225&lt;=0,"",E225-D226)</f>
        <v/>
      </c>
    </row>
    <row r="227">
      <c r="A227" s="38" t="n">
        <v>203</v>
      </c>
      <c r="B227" s="39">
        <f>IF(E226&lt;=0,"",$B$13)</f>
        <v/>
      </c>
      <c r="C227" s="39">
        <f>IF(E226&lt;=0,"",E226*$B$11/12)</f>
        <v/>
      </c>
      <c r="D227" s="39">
        <f>IF(E226&lt;=0,"",B227-C227)</f>
        <v/>
      </c>
      <c r="E227" s="39">
        <f>IF(E226&lt;=0,"",E226-D227)</f>
        <v/>
      </c>
    </row>
    <row r="228">
      <c r="A228" s="40" t="n">
        <v>204</v>
      </c>
      <c r="B228" s="41">
        <f>IF(E227&lt;=0,"",$B$13)</f>
        <v/>
      </c>
      <c r="C228" s="41">
        <f>IF(E227&lt;=0,"",E227*$B$11/12)</f>
        <v/>
      </c>
      <c r="D228" s="41">
        <f>IF(E227&lt;=0,"",B228-C228)</f>
        <v/>
      </c>
      <c r="E228" s="41">
        <f>IF(E227&lt;=0,"",E227-D228)</f>
        <v/>
      </c>
    </row>
    <row r="229">
      <c r="A229" s="38" t="n">
        <v>205</v>
      </c>
      <c r="B229" s="39">
        <f>IF(E228&lt;=0,"",$B$13)</f>
        <v/>
      </c>
      <c r="C229" s="39">
        <f>IF(E228&lt;=0,"",E228*$B$11/12)</f>
        <v/>
      </c>
      <c r="D229" s="39">
        <f>IF(E228&lt;=0,"",B229-C229)</f>
        <v/>
      </c>
      <c r="E229" s="39">
        <f>IF(E228&lt;=0,"",E228-D229)</f>
        <v/>
      </c>
    </row>
    <row r="230">
      <c r="A230" s="40" t="n">
        <v>206</v>
      </c>
      <c r="B230" s="41">
        <f>IF(E229&lt;=0,"",$B$13)</f>
        <v/>
      </c>
      <c r="C230" s="41">
        <f>IF(E229&lt;=0,"",E229*$B$11/12)</f>
        <v/>
      </c>
      <c r="D230" s="41">
        <f>IF(E229&lt;=0,"",B230-C230)</f>
        <v/>
      </c>
      <c r="E230" s="41">
        <f>IF(E229&lt;=0,"",E229-D230)</f>
        <v/>
      </c>
    </row>
    <row r="231">
      <c r="A231" s="38" t="n">
        <v>207</v>
      </c>
      <c r="B231" s="39">
        <f>IF(E230&lt;=0,"",$B$13)</f>
        <v/>
      </c>
      <c r="C231" s="39">
        <f>IF(E230&lt;=0,"",E230*$B$11/12)</f>
        <v/>
      </c>
      <c r="D231" s="39">
        <f>IF(E230&lt;=0,"",B231-C231)</f>
        <v/>
      </c>
      <c r="E231" s="39">
        <f>IF(E230&lt;=0,"",E230-D231)</f>
        <v/>
      </c>
    </row>
    <row r="232">
      <c r="A232" s="40" t="n">
        <v>208</v>
      </c>
      <c r="B232" s="41">
        <f>IF(E231&lt;=0,"",$B$13)</f>
        <v/>
      </c>
      <c r="C232" s="41">
        <f>IF(E231&lt;=0,"",E231*$B$11/12)</f>
        <v/>
      </c>
      <c r="D232" s="41">
        <f>IF(E231&lt;=0,"",B232-C232)</f>
        <v/>
      </c>
      <c r="E232" s="41">
        <f>IF(E231&lt;=0,"",E231-D232)</f>
        <v/>
      </c>
    </row>
    <row r="233">
      <c r="A233" s="38" t="n">
        <v>209</v>
      </c>
      <c r="B233" s="39">
        <f>IF(E232&lt;=0,"",$B$13)</f>
        <v/>
      </c>
      <c r="C233" s="39">
        <f>IF(E232&lt;=0,"",E232*$B$11/12)</f>
        <v/>
      </c>
      <c r="D233" s="39">
        <f>IF(E232&lt;=0,"",B233-C233)</f>
        <v/>
      </c>
      <c r="E233" s="39">
        <f>IF(E232&lt;=0,"",E232-D233)</f>
        <v/>
      </c>
    </row>
    <row r="234">
      <c r="A234" s="40" t="n">
        <v>210</v>
      </c>
      <c r="B234" s="41">
        <f>IF(E233&lt;=0,"",$B$13)</f>
        <v/>
      </c>
      <c r="C234" s="41">
        <f>IF(E233&lt;=0,"",E233*$B$11/12)</f>
        <v/>
      </c>
      <c r="D234" s="41">
        <f>IF(E233&lt;=0,"",B234-C234)</f>
        <v/>
      </c>
      <c r="E234" s="41">
        <f>IF(E233&lt;=0,"",E233-D234)</f>
        <v/>
      </c>
    </row>
    <row r="235">
      <c r="A235" s="38" t="n">
        <v>211</v>
      </c>
      <c r="B235" s="39">
        <f>IF(E234&lt;=0,"",$B$13)</f>
        <v/>
      </c>
      <c r="C235" s="39">
        <f>IF(E234&lt;=0,"",E234*$B$11/12)</f>
        <v/>
      </c>
      <c r="D235" s="39">
        <f>IF(E234&lt;=0,"",B235-C235)</f>
        <v/>
      </c>
      <c r="E235" s="39">
        <f>IF(E234&lt;=0,"",E234-D235)</f>
        <v/>
      </c>
    </row>
    <row r="236">
      <c r="A236" s="40" t="n">
        <v>212</v>
      </c>
      <c r="B236" s="41">
        <f>IF(E235&lt;=0,"",$B$13)</f>
        <v/>
      </c>
      <c r="C236" s="41">
        <f>IF(E235&lt;=0,"",E235*$B$11/12)</f>
        <v/>
      </c>
      <c r="D236" s="41">
        <f>IF(E235&lt;=0,"",B236-C236)</f>
        <v/>
      </c>
      <c r="E236" s="41">
        <f>IF(E235&lt;=0,"",E235-D236)</f>
        <v/>
      </c>
    </row>
    <row r="237">
      <c r="A237" s="38" t="n">
        <v>213</v>
      </c>
      <c r="B237" s="39">
        <f>IF(E236&lt;=0,"",$B$13)</f>
        <v/>
      </c>
      <c r="C237" s="39">
        <f>IF(E236&lt;=0,"",E236*$B$11/12)</f>
        <v/>
      </c>
      <c r="D237" s="39">
        <f>IF(E236&lt;=0,"",B237-C237)</f>
        <v/>
      </c>
      <c r="E237" s="39">
        <f>IF(E236&lt;=0,"",E236-D237)</f>
        <v/>
      </c>
    </row>
    <row r="238">
      <c r="A238" s="40" t="n">
        <v>214</v>
      </c>
      <c r="B238" s="41">
        <f>IF(E237&lt;=0,"",$B$13)</f>
        <v/>
      </c>
      <c r="C238" s="41">
        <f>IF(E237&lt;=0,"",E237*$B$11/12)</f>
        <v/>
      </c>
      <c r="D238" s="41">
        <f>IF(E237&lt;=0,"",B238-C238)</f>
        <v/>
      </c>
      <c r="E238" s="41">
        <f>IF(E237&lt;=0,"",E237-D238)</f>
        <v/>
      </c>
    </row>
    <row r="239">
      <c r="A239" s="38" t="n">
        <v>215</v>
      </c>
      <c r="B239" s="39">
        <f>IF(E238&lt;=0,"",$B$13)</f>
        <v/>
      </c>
      <c r="C239" s="39">
        <f>IF(E238&lt;=0,"",E238*$B$11/12)</f>
        <v/>
      </c>
      <c r="D239" s="39">
        <f>IF(E238&lt;=0,"",B239-C239)</f>
        <v/>
      </c>
      <c r="E239" s="39">
        <f>IF(E238&lt;=0,"",E238-D239)</f>
        <v/>
      </c>
    </row>
    <row r="240">
      <c r="A240" s="40" t="n">
        <v>216</v>
      </c>
      <c r="B240" s="41">
        <f>IF(E239&lt;=0,"",$B$13)</f>
        <v/>
      </c>
      <c r="C240" s="41">
        <f>IF(E239&lt;=0,"",E239*$B$11/12)</f>
        <v/>
      </c>
      <c r="D240" s="41">
        <f>IF(E239&lt;=0,"",B240-C240)</f>
        <v/>
      </c>
      <c r="E240" s="41">
        <f>IF(E239&lt;=0,"",E239-D240)</f>
        <v/>
      </c>
    </row>
    <row r="241">
      <c r="A241" s="38" t="n">
        <v>217</v>
      </c>
      <c r="B241" s="39">
        <f>IF(E240&lt;=0,"",$B$13)</f>
        <v/>
      </c>
      <c r="C241" s="39">
        <f>IF(E240&lt;=0,"",E240*$B$11/12)</f>
        <v/>
      </c>
      <c r="D241" s="39">
        <f>IF(E240&lt;=0,"",B241-C241)</f>
        <v/>
      </c>
      <c r="E241" s="39">
        <f>IF(E240&lt;=0,"",E240-D241)</f>
        <v/>
      </c>
    </row>
    <row r="242">
      <c r="A242" s="40" t="n">
        <v>218</v>
      </c>
      <c r="B242" s="41">
        <f>IF(E241&lt;=0,"",$B$13)</f>
        <v/>
      </c>
      <c r="C242" s="41">
        <f>IF(E241&lt;=0,"",E241*$B$11/12)</f>
        <v/>
      </c>
      <c r="D242" s="41">
        <f>IF(E241&lt;=0,"",B242-C242)</f>
        <v/>
      </c>
      <c r="E242" s="41">
        <f>IF(E241&lt;=0,"",E241-D242)</f>
        <v/>
      </c>
    </row>
    <row r="243">
      <c r="A243" s="38" t="n">
        <v>219</v>
      </c>
      <c r="B243" s="39">
        <f>IF(E242&lt;=0,"",$B$13)</f>
        <v/>
      </c>
      <c r="C243" s="39">
        <f>IF(E242&lt;=0,"",E242*$B$11/12)</f>
        <v/>
      </c>
      <c r="D243" s="39">
        <f>IF(E242&lt;=0,"",B243-C243)</f>
        <v/>
      </c>
      <c r="E243" s="39">
        <f>IF(E242&lt;=0,"",E242-D243)</f>
        <v/>
      </c>
    </row>
    <row r="244">
      <c r="A244" s="40" t="n">
        <v>220</v>
      </c>
      <c r="B244" s="41">
        <f>IF(E243&lt;=0,"",$B$13)</f>
        <v/>
      </c>
      <c r="C244" s="41">
        <f>IF(E243&lt;=0,"",E243*$B$11/12)</f>
        <v/>
      </c>
      <c r="D244" s="41">
        <f>IF(E243&lt;=0,"",B244-C244)</f>
        <v/>
      </c>
      <c r="E244" s="41">
        <f>IF(E243&lt;=0,"",E243-D244)</f>
        <v/>
      </c>
    </row>
    <row r="245">
      <c r="A245" s="38" t="n">
        <v>221</v>
      </c>
      <c r="B245" s="39">
        <f>IF(E244&lt;=0,"",$B$13)</f>
        <v/>
      </c>
      <c r="C245" s="39">
        <f>IF(E244&lt;=0,"",E244*$B$11/12)</f>
        <v/>
      </c>
      <c r="D245" s="39">
        <f>IF(E244&lt;=0,"",B245-C245)</f>
        <v/>
      </c>
      <c r="E245" s="39">
        <f>IF(E244&lt;=0,"",E244-D245)</f>
        <v/>
      </c>
    </row>
    <row r="246">
      <c r="A246" s="40" t="n">
        <v>222</v>
      </c>
      <c r="B246" s="41">
        <f>IF(E245&lt;=0,"",$B$13)</f>
        <v/>
      </c>
      <c r="C246" s="41">
        <f>IF(E245&lt;=0,"",E245*$B$11/12)</f>
        <v/>
      </c>
      <c r="D246" s="41">
        <f>IF(E245&lt;=0,"",B246-C246)</f>
        <v/>
      </c>
      <c r="E246" s="41">
        <f>IF(E245&lt;=0,"",E245-D246)</f>
        <v/>
      </c>
    </row>
    <row r="247">
      <c r="A247" s="38" t="n">
        <v>223</v>
      </c>
      <c r="B247" s="39">
        <f>IF(E246&lt;=0,"",$B$13)</f>
        <v/>
      </c>
      <c r="C247" s="39">
        <f>IF(E246&lt;=0,"",E246*$B$11/12)</f>
        <v/>
      </c>
      <c r="D247" s="39">
        <f>IF(E246&lt;=0,"",B247-C247)</f>
        <v/>
      </c>
      <c r="E247" s="39">
        <f>IF(E246&lt;=0,"",E246-D247)</f>
        <v/>
      </c>
    </row>
    <row r="248">
      <c r="A248" s="40" t="n">
        <v>224</v>
      </c>
      <c r="B248" s="41">
        <f>IF(E247&lt;=0,"",$B$13)</f>
        <v/>
      </c>
      <c r="C248" s="41">
        <f>IF(E247&lt;=0,"",E247*$B$11/12)</f>
        <v/>
      </c>
      <c r="D248" s="41">
        <f>IF(E247&lt;=0,"",B248-C248)</f>
        <v/>
      </c>
      <c r="E248" s="41">
        <f>IF(E247&lt;=0,"",E247-D248)</f>
        <v/>
      </c>
    </row>
    <row r="249">
      <c r="A249" s="38" t="n">
        <v>225</v>
      </c>
      <c r="B249" s="39">
        <f>IF(E248&lt;=0,"",$B$13)</f>
        <v/>
      </c>
      <c r="C249" s="39">
        <f>IF(E248&lt;=0,"",E248*$B$11/12)</f>
        <v/>
      </c>
      <c r="D249" s="39">
        <f>IF(E248&lt;=0,"",B249-C249)</f>
        <v/>
      </c>
      <c r="E249" s="39">
        <f>IF(E248&lt;=0,"",E248-D249)</f>
        <v/>
      </c>
    </row>
    <row r="250">
      <c r="A250" s="40" t="n">
        <v>226</v>
      </c>
      <c r="B250" s="41">
        <f>IF(E249&lt;=0,"",$B$13)</f>
        <v/>
      </c>
      <c r="C250" s="41">
        <f>IF(E249&lt;=0,"",E249*$B$11/12)</f>
        <v/>
      </c>
      <c r="D250" s="41">
        <f>IF(E249&lt;=0,"",B250-C250)</f>
        <v/>
      </c>
      <c r="E250" s="41">
        <f>IF(E249&lt;=0,"",E249-D250)</f>
        <v/>
      </c>
    </row>
    <row r="251">
      <c r="A251" s="38" t="n">
        <v>227</v>
      </c>
      <c r="B251" s="39">
        <f>IF(E250&lt;=0,"",$B$13)</f>
        <v/>
      </c>
      <c r="C251" s="39">
        <f>IF(E250&lt;=0,"",E250*$B$11/12)</f>
        <v/>
      </c>
      <c r="D251" s="39">
        <f>IF(E250&lt;=0,"",B251-C251)</f>
        <v/>
      </c>
      <c r="E251" s="39">
        <f>IF(E250&lt;=0,"",E250-D251)</f>
        <v/>
      </c>
    </row>
    <row r="252">
      <c r="A252" s="40" t="n">
        <v>228</v>
      </c>
      <c r="B252" s="41">
        <f>IF(E251&lt;=0,"",$B$13)</f>
        <v/>
      </c>
      <c r="C252" s="41">
        <f>IF(E251&lt;=0,"",E251*$B$11/12)</f>
        <v/>
      </c>
      <c r="D252" s="41">
        <f>IF(E251&lt;=0,"",B252-C252)</f>
        <v/>
      </c>
      <c r="E252" s="41">
        <f>IF(E251&lt;=0,"",E251-D252)</f>
        <v/>
      </c>
    </row>
    <row r="253">
      <c r="A253" s="38" t="n">
        <v>229</v>
      </c>
      <c r="B253" s="39">
        <f>IF(E252&lt;=0,"",$B$13)</f>
        <v/>
      </c>
      <c r="C253" s="39">
        <f>IF(E252&lt;=0,"",E252*$B$11/12)</f>
        <v/>
      </c>
      <c r="D253" s="39">
        <f>IF(E252&lt;=0,"",B253-C253)</f>
        <v/>
      </c>
      <c r="E253" s="39">
        <f>IF(E252&lt;=0,"",E252-D253)</f>
        <v/>
      </c>
    </row>
    <row r="254">
      <c r="A254" s="40" t="n">
        <v>230</v>
      </c>
      <c r="B254" s="41">
        <f>IF(E253&lt;=0,"",$B$13)</f>
        <v/>
      </c>
      <c r="C254" s="41">
        <f>IF(E253&lt;=0,"",E253*$B$11/12)</f>
        <v/>
      </c>
      <c r="D254" s="41">
        <f>IF(E253&lt;=0,"",B254-C254)</f>
        <v/>
      </c>
      <c r="E254" s="41">
        <f>IF(E253&lt;=0,"",E253-D254)</f>
        <v/>
      </c>
    </row>
    <row r="255">
      <c r="A255" s="38" t="n">
        <v>231</v>
      </c>
      <c r="B255" s="39">
        <f>IF(E254&lt;=0,"",$B$13)</f>
        <v/>
      </c>
      <c r="C255" s="39">
        <f>IF(E254&lt;=0,"",E254*$B$11/12)</f>
        <v/>
      </c>
      <c r="D255" s="39">
        <f>IF(E254&lt;=0,"",B255-C255)</f>
        <v/>
      </c>
      <c r="E255" s="39">
        <f>IF(E254&lt;=0,"",E254-D255)</f>
        <v/>
      </c>
    </row>
    <row r="256">
      <c r="A256" s="40" t="n">
        <v>232</v>
      </c>
      <c r="B256" s="41">
        <f>IF(E255&lt;=0,"",$B$13)</f>
        <v/>
      </c>
      <c r="C256" s="41">
        <f>IF(E255&lt;=0,"",E255*$B$11/12)</f>
        <v/>
      </c>
      <c r="D256" s="41">
        <f>IF(E255&lt;=0,"",B256-C256)</f>
        <v/>
      </c>
      <c r="E256" s="41">
        <f>IF(E255&lt;=0,"",E255-D256)</f>
        <v/>
      </c>
    </row>
    <row r="257">
      <c r="A257" s="38" t="n">
        <v>233</v>
      </c>
      <c r="B257" s="39">
        <f>IF(E256&lt;=0,"",$B$13)</f>
        <v/>
      </c>
      <c r="C257" s="39">
        <f>IF(E256&lt;=0,"",E256*$B$11/12)</f>
        <v/>
      </c>
      <c r="D257" s="39">
        <f>IF(E256&lt;=0,"",B257-C257)</f>
        <v/>
      </c>
      <c r="E257" s="39">
        <f>IF(E256&lt;=0,"",E256-D257)</f>
        <v/>
      </c>
    </row>
    <row r="258">
      <c r="A258" s="40" t="n">
        <v>234</v>
      </c>
      <c r="B258" s="41">
        <f>IF(E257&lt;=0,"",$B$13)</f>
        <v/>
      </c>
      <c r="C258" s="41">
        <f>IF(E257&lt;=0,"",E257*$B$11/12)</f>
        <v/>
      </c>
      <c r="D258" s="41">
        <f>IF(E257&lt;=0,"",B258-C258)</f>
        <v/>
      </c>
      <c r="E258" s="41">
        <f>IF(E257&lt;=0,"",E257-D258)</f>
        <v/>
      </c>
    </row>
    <row r="259">
      <c r="A259" s="38" t="n">
        <v>235</v>
      </c>
      <c r="B259" s="39">
        <f>IF(E258&lt;=0,"",$B$13)</f>
        <v/>
      </c>
      <c r="C259" s="39">
        <f>IF(E258&lt;=0,"",E258*$B$11/12)</f>
        <v/>
      </c>
      <c r="D259" s="39">
        <f>IF(E258&lt;=0,"",B259-C259)</f>
        <v/>
      </c>
      <c r="E259" s="39">
        <f>IF(E258&lt;=0,"",E258-D259)</f>
        <v/>
      </c>
    </row>
    <row r="260">
      <c r="A260" s="40" t="n">
        <v>236</v>
      </c>
      <c r="B260" s="41">
        <f>IF(E259&lt;=0,"",$B$13)</f>
        <v/>
      </c>
      <c r="C260" s="41">
        <f>IF(E259&lt;=0,"",E259*$B$11/12)</f>
        <v/>
      </c>
      <c r="D260" s="41">
        <f>IF(E259&lt;=0,"",B260-C260)</f>
        <v/>
      </c>
      <c r="E260" s="41">
        <f>IF(E259&lt;=0,"",E259-D260)</f>
        <v/>
      </c>
    </row>
    <row r="261">
      <c r="A261" s="38" t="n">
        <v>237</v>
      </c>
      <c r="B261" s="39">
        <f>IF(E260&lt;=0,"",$B$13)</f>
        <v/>
      </c>
      <c r="C261" s="39">
        <f>IF(E260&lt;=0,"",E260*$B$11/12)</f>
        <v/>
      </c>
      <c r="D261" s="39">
        <f>IF(E260&lt;=0,"",B261-C261)</f>
        <v/>
      </c>
      <c r="E261" s="39">
        <f>IF(E260&lt;=0,"",E260-D261)</f>
        <v/>
      </c>
    </row>
    <row r="262">
      <c r="A262" s="40" t="n">
        <v>238</v>
      </c>
      <c r="B262" s="41">
        <f>IF(E261&lt;=0,"",$B$13)</f>
        <v/>
      </c>
      <c r="C262" s="41">
        <f>IF(E261&lt;=0,"",E261*$B$11/12)</f>
        <v/>
      </c>
      <c r="D262" s="41">
        <f>IF(E261&lt;=0,"",B262-C262)</f>
        <v/>
      </c>
      <c r="E262" s="41">
        <f>IF(E261&lt;=0,"",E261-D262)</f>
        <v/>
      </c>
    </row>
    <row r="263">
      <c r="A263" s="38" t="n">
        <v>239</v>
      </c>
      <c r="B263" s="39">
        <f>IF(E262&lt;=0,"",$B$13)</f>
        <v/>
      </c>
      <c r="C263" s="39">
        <f>IF(E262&lt;=0,"",E262*$B$11/12)</f>
        <v/>
      </c>
      <c r="D263" s="39">
        <f>IF(E262&lt;=0,"",B263-C263)</f>
        <v/>
      </c>
      <c r="E263" s="39">
        <f>IF(E262&lt;=0,"",E262-D263)</f>
        <v/>
      </c>
    </row>
    <row r="264">
      <c r="A264" s="40" t="n">
        <v>240</v>
      </c>
      <c r="B264" s="41">
        <f>IF(E263&lt;=0,"",$B$13)</f>
        <v/>
      </c>
      <c r="C264" s="41">
        <f>IF(E263&lt;=0,"",E263*$B$11/12)</f>
        <v/>
      </c>
      <c r="D264" s="41">
        <f>IF(E263&lt;=0,"",B264-C264)</f>
        <v/>
      </c>
      <c r="E264" s="41">
        <f>IF(E263&lt;=0,"",E263-D264)</f>
        <v/>
      </c>
    </row>
    <row r="265">
      <c r="A265" s="38" t="n">
        <v>241</v>
      </c>
      <c r="B265" s="39">
        <f>IF(E264&lt;=0,"",$B$13)</f>
        <v/>
      </c>
      <c r="C265" s="39">
        <f>IF(E264&lt;=0,"",E264*$B$11/12)</f>
        <v/>
      </c>
      <c r="D265" s="39">
        <f>IF(E264&lt;=0,"",B265-C265)</f>
        <v/>
      </c>
      <c r="E265" s="39">
        <f>IF(E264&lt;=0,"",E264-D265)</f>
        <v/>
      </c>
    </row>
    <row r="266">
      <c r="A266" s="40" t="n">
        <v>242</v>
      </c>
      <c r="B266" s="41">
        <f>IF(E265&lt;=0,"",$B$13)</f>
        <v/>
      </c>
      <c r="C266" s="41">
        <f>IF(E265&lt;=0,"",E265*$B$11/12)</f>
        <v/>
      </c>
      <c r="D266" s="41">
        <f>IF(E265&lt;=0,"",B266-C266)</f>
        <v/>
      </c>
      <c r="E266" s="41">
        <f>IF(E265&lt;=0,"",E265-D266)</f>
        <v/>
      </c>
    </row>
    <row r="267">
      <c r="A267" s="38" t="n">
        <v>243</v>
      </c>
      <c r="B267" s="39">
        <f>IF(E266&lt;=0,"",$B$13)</f>
        <v/>
      </c>
      <c r="C267" s="39">
        <f>IF(E266&lt;=0,"",E266*$B$11/12)</f>
        <v/>
      </c>
      <c r="D267" s="39">
        <f>IF(E266&lt;=0,"",B267-C267)</f>
        <v/>
      </c>
      <c r="E267" s="39">
        <f>IF(E266&lt;=0,"",E266-D267)</f>
        <v/>
      </c>
    </row>
    <row r="268">
      <c r="A268" s="40" t="n">
        <v>244</v>
      </c>
      <c r="B268" s="41">
        <f>IF(E267&lt;=0,"",$B$13)</f>
        <v/>
      </c>
      <c r="C268" s="41">
        <f>IF(E267&lt;=0,"",E267*$B$11/12)</f>
        <v/>
      </c>
      <c r="D268" s="41">
        <f>IF(E267&lt;=0,"",B268-C268)</f>
        <v/>
      </c>
      <c r="E268" s="41">
        <f>IF(E267&lt;=0,"",E267-D268)</f>
        <v/>
      </c>
    </row>
    <row r="269">
      <c r="A269" s="38" t="n">
        <v>245</v>
      </c>
      <c r="B269" s="39">
        <f>IF(E268&lt;=0,"",$B$13)</f>
        <v/>
      </c>
      <c r="C269" s="39">
        <f>IF(E268&lt;=0,"",E268*$B$11/12)</f>
        <v/>
      </c>
      <c r="D269" s="39">
        <f>IF(E268&lt;=0,"",B269-C269)</f>
        <v/>
      </c>
      <c r="E269" s="39">
        <f>IF(E268&lt;=0,"",E268-D269)</f>
        <v/>
      </c>
    </row>
    <row r="270">
      <c r="A270" s="40" t="n">
        <v>246</v>
      </c>
      <c r="B270" s="41">
        <f>IF(E269&lt;=0,"",$B$13)</f>
        <v/>
      </c>
      <c r="C270" s="41">
        <f>IF(E269&lt;=0,"",E269*$B$11/12)</f>
        <v/>
      </c>
      <c r="D270" s="41">
        <f>IF(E269&lt;=0,"",B270-C270)</f>
        <v/>
      </c>
      <c r="E270" s="41">
        <f>IF(E269&lt;=0,"",E269-D270)</f>
        <v/>
      </c>
    </row>
    <row r="271">
      <c r="A271" s="38" t="n">
        <v>247</v>
      </c>
      <c r="B271" s="39">
        <f>IF(E270&lt;=0,"",$B$13)</f>
        <v/>
      </c>
      <c r="C271" s="39">
        <f>IF(E270&lt;=0,"",E270*$B$11/12)</f>
        <v/>
      </c>
      <c r="D271" s="39">
        <f>IF(E270&lt;=0,"",B271-C271)</f>
        <v/>
      </c>
      <c r="E271" s="39">
        <f>IF(E270&lt;=0,"",E270-D271)</f>
        <v/>
      </c>
    </row>
    <row r="272">
      <c r="A272" s="40" t="n">
        <v>248</v>
      </c>
      <c r="B272" s="41">
        <f>IF(E271&lt;=0,"",$B$13)</f>
        <v/>
      </c>
      <c r="C272" s="41">
        <f>IF(E271&lt;=0,"",E271*$B$11/12)</f>
        <v/>
      </c>
      <c r="D272" s="41">
        <f>IF(E271&lt;=0,"",B272-C272)</f>
        <v/>
      </c>
      <c r="E272" s="41">
        <f>IF(E271&lt;=0,"",E271-D272)</f>
        <v/>
      </c>
    </row>
    <row r="273">
      <c r="A273" s="38" t="n">
        <v>249</v>
      </c>
      <c r="B273" s="39">
        <f>IF(E272&lt;=0,"",$B$13)</f>
        <v/>
      </c>
      <c r="C273" s="39">
        <f>IF(E272&lt;=0,"",E272*$B$11/12)</f>
        <v/>
      </c>
      <c r="D273" s="39">
        <f>IF(E272&lt;=0,"",B273-C273)</f>
        <v/>
      </c>
      <c r="E273" s="39">
        <f>IF(E272&lt;=0,"",E272-D273)</f>
        <v/>
      </c>
    </row>
    <row r="274">
      <c r="A274" s="40" t="n">
        <v>250</v>
      </c>
      <c r="B274" s="41">
        <f>IF(E273&lt;=0,"",$B$13)</f>
        <v/>
      </c>
      <c r="C274" s="41">
        <f>IF(E273&lt;=0,"",E273*$B$11/12)</f>
        <v/>
      </c>
      <c r="D274" s="41">
        <f>IF(E273&lt;=0,"",B274-C274)</f>
        <v/>
      </c>
      <c r="E274" s="41">
        <f>IF(E273&lt;=0,"",E273-D274)</f>
        <v/>
      </c>
    </row>
    <row r="275">
      <c r="A275" s="38" t="n">
        <v>251</v>
      </c>
      <c r="B275" s="39">
        <f>IF(E274&lt;=0,"",$B$13)</f>
        <v/>
      </c>
      <c r="C275" s="39">
        <f>IF(E274&lt;=0,"",E274*$B$11/12)</f>
        <v/>
      </c>
      <c r="D275" s="39">
        <f>IF(E274&lt;=0,"",B275-C275)</f>
        <v/>
      </c>
      <c r="E275" s="39">
        <f>IF(E274&lt;=0,"",E274-D275)</f>
        <v/>
      </c>
    </row>
    <row r="276">
      <c r="A276" s="40" t="n">
        <v>252</v>
      </c>
      <c r="B276" s="41">
        <f>IF(E275&lt;=0,"",$B$13)</f>
        <v/>
      </c>
      <c r="C276" s="41">
        <f>IF(E275&lt;=0,"",E275*$B$11/12)</f>
        <v/>
      </c>
      <c r="D276" s="41">
        <f>IF(E275&lt;=0,"",B276-C276)</f>
        <v/>
      </c>
      <c r="E276" s="41">
        <f>IF(E275&lt;=0,"",E275-D276)</f>
        <v/>
      </c>
    </row>
    <row r="277">
      <c r="A277" s="38" t="n">
        <v>253</v>
      </c>
      <c r="B277" s="39">
        <f>IF(E276&lt;=0,"",$B$13)</f>
        <v/>
      </c>
      <c r="C277" s="39">
        <f>IF(E276&lt;=0,"",E276*$B$11/12)</f>
        <v/>
      </c>
      <c r="D277" s="39">
        <f>IF(E276&lt;=0,"",B277-C277)</f>
        <v/>
      </c>
      <c r="E277" s="39">
        <f>IF(E276&lt;=0,"",E276-D277)</f>
        <v/>
      </c>
    </row>
    <row r="278">
      <c r="A278" s="40" t="n">
        <v>254</v>
      </c>
      <c r="B278" s="41">
        <f>IF(E277&lt;=0,"",$B$13)</f>
        <v/>
      </c>
      <c r="C278" s="41">
        <f>IF(E277&lt;=0,"",E277*$B$11/12)</f>
        <v/>
      </c>
      <c r="D278" s="41">
        <f>IF(E277&lt;=0,"",B278-C278)</f>
        <v/>
      </c>
      <c r="E278" s="41">
        <f>IF(E277&lt;=0,"",E277-D278)</f>
        <v/>
      </c>
    </row>
    <row r="279">
      <c r="A279" s="38" t="n">
        <v>255</v>
      </c>
      <c r="B279" s="39">
        <f>IF(E278&lt;=0,"",$B$13)</f>
        <v/>
      </c>
      <c r="C279" s="39">
        <f>IF(E278&lt;=0,"",E278*$B$11/12)</f>
        <v/>
      </c>
      <c r="D279" s="39">
        <f>IF(E278&lt;=0,"",B279-C279)</f>
        <v/>
      </c>
      <c r="E279" s="39">
        <f>IF(E278&lt;=0,"",E278-D279)</f>
        <v/>
      </c>
    </row>
    <row r="280">
      <c r="A280" s="40" t="n">
        <v>256</v>
      </c>
      <c r="B280" s="41">
        <f>IF(E279&lt;=0,"",$B$13)</f>
        <v/>
      </c>
      <c r="C280" s="41">
        <f>IF(E279&lt;=0,"",E279*$B$11/12)</f>
        <v/>
      </c>
      <c r="D280" s="41">
        <f>IF(E279&lt;=0,"",B280-C280)</f>
        <v/>
      </c>
      <c r="E280" s="41">
        <f>IF(E279&lt;=0,"",E279-D280)</f>
        <v/>
      </c>
    </row>
    <row r="281">
      <c r="A281" s="38" t="n">
        <v>257</v>
      </c>
      <c r="B281" s="39">
        <f>IF(E280&lt;=0,"",$B$13)</f>
        <v/>
      </c>
      <c r="C281" s="39">
        <f>IF(E280&lt;=0,"",E280*$B$11/12)</f>
        <v/>
      </c>
      <c r="D281" s="39">
        <f>IF(E280&lt;=0,"",B281-C281)</f>
        <v/>
      </c>
      <c r="E281" s="39">
        <f>IF(E280&lt;=0,"",E280-D281)</f>
        <v/>
      </c>
    </row>
    <row r="282">
      <c r="A282" s="40" t="n">
        <v>258</v>
      </c>
      <c r="B282" s="41">
        <f>IF(E281&lt;=0,"",$B$13)</f>
        <v/>
      </c>
      <c r="C282" s="41">
        <f>IF(E281&lt;=0,"",E281*$B$11/12)</f>
        <v/>
      </c>
      <c r="D282" s="41">
        <f>IF(E281&lt;=0,"",B282-C282)</f>
        <v/>
      </c>
      <c r="E282" s="41">
        <f>IF(E281&lt;=0,"",E281-D282)</f>
        <v/>
      </c>
    </row>
    <row r="283">
      <c r="A283" s="38" t="n">
        <v>259</v>
      </c>
      <c r="B283" s="39">
        <f>IF(E282&lt;=0,"",$B$13)</f>
        <v/>
      </c>
      <c r="C283" s="39">
        <f>IF(E282&lt;=0,"",E282*$B$11/12)</f>
        <v/>
      </c>
      <c r="D283" s="39">
        <f>IF(E282&lt;=0,"",B283-C283)</f>
        <v/>
      </c>
      <c r="E283" s="39">
        <f>IF(E282&lt;=0,"",E282-D283)</f>
        <v/>
      </c>
    </row>
    <row r="284">
      <c r="A284" s="40" t="n">
        <v>260</v>
      </c>
      <c r="B284" s="41">
        <f>IF(E283&lt;=0,"",$B$13)</f>
        <v/>
      </c>
      <c r="C284" s="41">
        <f>IF(E283&lt;=0,"",E283*$B$11/12)</f>
        <v/>
      </c>
      <c r="D284" s="41">
        <f>IF(E283&lt;=0,"",B284-C284)</f>
        <v/>
      </c>
      <c r="E284" s="41">
        <f>IF(E283&lt;=0,"",E283-D284)</f>
        <v/>
      </c>
    </row>
    <row r="285">
      <c r="A285" s="38" t="n">
        <v>261</v>
      </c>
      <c r="B285" s="39">
        <f>IF(E284&lt;=0,"",$B$13)</f>
        <v/>
      </c>
      <c r="C285" s="39">
        <f>IF(E284&lt;=0,"",E284*$B$11/12)</f>
        <v/>
      </c>
      <c r="D285" s="39">
        <f>IF(E284&lt;=0,"",B285-C285)</f>
        <v/>
      </c>
      <c r="E285" s="39">
        <f>IF(E284&lt;=0,"",E284-D285)</f>
        <v/>
      </c>
    </row>
    <row r="286">
      <c r="A286" s="40" t="n">
        <v>262</v>
      </c>
      <c r="B286" s="41">
        <f>IF(E285&lt;=0,"",$B$13)</f>
        <v/>
      </c>
      <c r="C286" s="41">
        <f>IF(E285&lt;=0,"",E285*$B$11/12)</f>
        <v/>
      </c>
      <c r="D286" s="41">
        <f>IF(E285&lt;=0,"",B286-C286)</f>
        <v/>
      </c>
      <c r="E286" s="41">
        <f>IF(E285&lt;=0,"",E285-D286)</f>
        <v/>
      </c>
    </row>
    <row r="287">
      <c r="A287" s="38" t="n">
        <v>263</v>
      </c>
      <c r="B287" s="39">
        <f>IF(E286&lt;=0,"",$B$13)</f>
        <v/>
      </c>
      <c r="C287" s="39">
        <f>IF(E286&lt;=0,"",E286*$B$11/12)</f>
        <v/>
      </c>
      <c r="D287" s="39">
        <f>IF(E286&lt;=0,"",B287-C287)</f>
        <v/>
      </c>
      <c r="E287" s="39">
        <f>IF(E286&lt;=0,"",E286-D287)</f>
        <v/>
      </c>
    </row>
    <row r="288">
      <c r="A288" s="40" t="n">
        <v>264</v>
      </c>
      <c r="B288" s="41">
        <f>IF(E287&lt;=0,"",$B$13)</f>
        <v/>
      </c>
      <c r="C288" s="41">
        <f>IF(E287&lt;=0,"",E287*$B$11/12)</f>
        <v/>
      </c>
      <c r="D288" s="41">
        <f>IF(E287&lt;=0,"",B288-C288)</f>
        <v/>
      </c>
      <c r="E288" s="41">
        <f>IF(E287&lt;=0,"",E287-D288)</f>
        <v/>
      </c>
    </row>
    <row r="289">
      <c r="A289" s="38" t="n">
        <v>265</v>
      </c>
      <c r="B289" s="39">
        <f>IF(E288&lt;=0,"",$B$13)</f>
        <v/>
      </c>
      <c r="C289" s="39">
        <f>IF(E288&lt;=0,"",E288*$B$11/12)</f>
        <v/>
      </c>
      <c r="D289" s="39">
        <f>IF(E288&lt;=0,"",B289-C289)</f>
        <v/>
      </c>
      <c r="E289" s="39">
        <f>IF(E288&lt;=0,"",E288-D289)</f>
        <v/>
      </c>
    </row>
    <row r="290">
      <c r="A290" s="40" t="n">
        <v>266</v>
      </c>
      <c r="B290" s="41">
        <f>IF(E289&lt;=0,"",$B$13)</f>
        <v/>
      </c>
      <c r="C290" s="41">
        <f>IF(E289&lt;=0,"",E289*$B$11/12)</f>
        <v/>
      </c>
      <c r="D290" s="41">
        <f>IF(E289&lt;=0,"",B290-C290)</f>
        <v/>
      </c>
      <c r="E290" s="41">
        <f>IF(E289&lt;=0,"",E289-D290)</f>
        <v/>
      </c>
    </row>
    <row r="291">
      <c r="A291" s="38" t="n">
        <v>267</v>
      </c>
      <c r="B291" s="39">
        <f>IF(E290&lt;=0,"",$B$13)</f>
        <v/>
      </c>
      <c r="C291" s="39">
        <f>IF(E290&lt;=0,"",E290*$B$11/12)</f>
        <v/>
      </c>
      <c r="D291" s="39">
        <f>IF(E290&lt;=0,"",B291-C291)</f>
        <v/>
      </c>
      <c r="E291" s="39">
        <f>IF(E290&lt;=0,"",E290-D291)</f>
        <v/>
      </c>
    </row>
    <row r="292">
      <c r="A292" s="40" t="n">
        <v>268</v>
      </c>
      <c r="B292" s="41">
        <f>IF(E291&lt;=0,"",$B$13)</f>
        <v/>
      </c>
      <c r="C292" s="41">
        <f>IF(E291&lt;=0,"",E291*$B$11/12)</f>
        <v/>
      </c>
      <c r="D292" s="41">
        <f>IF(E291&lt;=0,"",B292-C292)</f>
        <v/>
      </c>
      <c r="E292" s="41">
        <f>IF(E291&lt;=0,"",E291-D292)</f>
        <v/>
      </c>
    </row>
    <row r="293">
      <c r="A293" s="38" t="n">
        <v>269</v>
      </c>
      <c r="B293" s="39">
        <f>IF(E292&lt;=0,"",$B$13)</f>
        <v/>
      </c>
      <c r="C293" s="39">
        <f>IF(E292&lt;=0,"",E292*$B$11/12)</f>
        <v/>
      </c>
      <c r="D293" s="39">
        <f>IF(E292&lt;=0,"",B293-C293)</f>
        <v/>
      </c>
      <c r="E293" s="39">
        <f>IF(E292&lt;=0,"",E292-D293)</f>
        <v/>
      </c>
    </row>
    <row r="294">
      <c r="A294" s="40" t="n">
        <v>270</v>
      </c>
      <c r="B294" s="41">
        <f>IF(E293&lt;=0,"",$B$13)</f>
        <v/>
      </c>
      <c r="C294" s="41">
        <f>IF(E293&lt;=0,"",E293*$B$11/12)</f>
        <v/>
      </c>
      <c r="D294" s="41">
        <f>IF(E293&lt;=0,"",B294-C294)</f>
        <v/>
      </c>
      <c r="E294" s="41">
        <f>IF(E293&lt;=0,"",E293-D294)</f>
        <v/>
      </c>
    </row>
    <row r="295">
      <c r="A295" s="38" t="n">
        <v>271</v>
      </c>
      <c r="B295" s="39">
        <f>IF(E294&lt;=0,"",$B$13)</f>
        <v/>
      </c>
      <c r="C295" s="39">
        <f>IF(E294&lt;=0,"",E294*$B$11/12)</f>
        <v/>
      </c>
      <c r="D295" s="39">
        <f>IF(E294&lt;=0,"",B295-C295)</f>
        <v/>
      </c>
      <c r="E295" s="39">
        <f>IF(E294&lt;=0,"",E294-D295)</f>
        <v/>
      </c>
    </row>
    <row r="296">
      <c r="A296" s="40" t="n">
        <v>272</v>
      </c>
      <c r="B296" s="41">
        <f>IF(E295&lt;=0,"",$B$13)</f>
        <v/>
      </c>
      <c r="C296" s="41">
        <f>IF(E295&lt;=0,"",E295*$B$11/12)</f>
        <v/>
      </c>
      <c r="D296" s="41">
        <f>IF(E295&lt;=0,"",B296-C296)</f>
        <v/>
      </c>
      <c r="E296" s="41">
        <f>IF(E295&lt;=0,"",E295-D296)</f>
        <v/>
      </c>
    </row>
    <row r="297">
      <c r="A297" s="38" t="n">
        <v>273</v>
      </c>
      <c r="B297" s="39">
        <f>IF(E296&lt;=0,"",$B$13)</f>
        <v/>
      </c>
      <c r="C297" s="39">
        <f>IF(E296&lt;=0,"",E296*$B$11/12)</f>
        <v/>
      </c>
      <c r="D297" s="39">
        <f>IF(E296&lt;=0,"",B297-C297)</f>
        <v/>
      </c>
      <c r="E297" s="39">
        <f>IF(E296&lt;=0,"",E296-D297)</f>
        <v/>
      </c>
    </row>
    <row r="298">
      <c r="A298" s="40" t="n">
        <v>274</v>
      </c>
      <c r="B298" s="41">
        <f>IF(E297&lt;=0,"",$B$13)</f>
        <v/>
      </c>
      <c r="C298" s="41">
        <f>IF(E297&lt;=0,"",E297*$B$11/12)</f>
        <v/>
      </c>
      <c r="D298" s="41">
        <f>IF(E297&lt;=0,"",B298-C298)</f>
        <v/>
      </c>
      <c r="E298" s="41">
        <f>IF(E297&lt;=0,"",E297-D298)</f>
        <v/>
      </c>
    </row>
    <row r="299">
      <c r="A299" s="38" t="n">
        <v>275</v>
      </c>
      <c r="B299" s="39">
        <f>IF(E298&lt;=0,"",$B$13)</f>
        <v/>
      </c>
      <c r="C299" s="39">
        <f>IF(E298&lt;=0,"",E298*$B$11/12)</f>
        <v/>
      </c>
      <c r="D299" s="39">
        <f>IF(E298&lt;=0,"",B299-C299)</f>
        <v/>
      </c>
      <c r="E299" s="39">
        <f>IF(E298&lt;=0,"",E298-D299)</f>
        <v/>
      </c>
    </row>
    <row r="300">
      <c r="A300" s="40" t="n">
        <v>276</v>
      </c>
      <c r="B300" s="41">
        <f>IF(E299&lt;=0,"",$B$13)</f>
        <v/>
      </c>
      <c r="C300" s="41">
        <f>IF(E299&lt;=0,"",E299*$B$11/12)</f>
        <v/>
      </c>
      <c r="D300" s="41">
        <f>IF(E299&lt;=0,"",B300-C300)</f>
        <v/>
      </c>
      <c r="E300" s="41">
        <f>IF(E299&lt;=0,"",E299-D300)</f>
        <v/>
      </c>
    </row>
    <row r="301">
      <c r="A301" s="38" t="n">
        <v>277</v>
      </c>
      <c r="B301" s="39">
        <f>IF(E300&lt;=0,"",$B$13)</f>
        <v/>
      </c>
      <c r="C301" s="39">
        <f>IF(E300&lt;=0,"",E300*$B$11/12)</f>
        <v/>
      </c>
      <c r="D301" s="39">
        <f>IF(E300&lt;=0,"",B301-C301)</f>
        <v/>
      </c>
      <c r="E301" s="39">
        <f>IF(E300&lt;=0,"",E300-D301)</f>
        <v/>
      </c>
    </row>
    <row r="302">
      <c r="A302" s="40" t="n">
        <v>278</v>
      </c>
      <c r="B302" s="41">
        <f>IF(E301&lt;=0,"",$B$13)</f>
        <v/>
      </c>
      <c r="C302" s="41">
        <f>IF(E301&lt;=0,"",E301*$B$11/12)</f>
        <v/>
      </c>
      <c r="D302" s="41">
        <f>IF(E301&lt;=0,"",B302-C302)</f>
        <v/>
      </c>
      <c r="E302" s="41">
        <f>IF(E301&lt;=0,"",E301-D302)</f>
        <v/>
      </c>
    </row>
    <row r="303">
      <c r="A303" s="38" t="n">
        <v>279</v>
      </c>
      <c r="B303" s="39">
        <f>IF(E302&lt;=0,"",$B$13)</f>
        <v/>
      </c>
      <c r="C303" s="39">
        <f>IF(E302&lt;=0,"",E302*$B$11/12)</f>
        <v/>
      </c>
      <c r="D303" s="39">
        <f>IF(E302&lt;=0,"",B303-C303)</f>
        <v/>
      </c>
      <c r="E303" s="39">
        <f>IF(E302&lt;=0,"",E302-D303)</f>
        <v/>
      </c>
    </row>
    <row r="304">
      <c r="A304" s="40" t="n">
        <v>280</v>
      </c>
      <c r="B304" s="41">
        <f>IF(E303&lt;=0,"",$B$13)</f>
        <v/>
      </c>
      <c r="C304" s="41">
        <f>IF(E303&lt;=0,"",E303*$B$11/12)</f>
        <v/>
      </c>
      <c r="D304" s="41">
        <f>IF(E303&lt;=0,"",B304-C304)</f>
        <v/>
      </c>
      <c r="E304" s="41">
        <f>IF(E303&lt;=0,"",E303-D304)</f>
        <v/>
      </c>
    </row>
    <row r="305">
      <c r="A305" s="38" t="n">
        <v>281</v>
      </c>
      <c r="B305" s="39">
        <f>IF(E304&lt;=0,"",$B$13)</f>
        <v/>
      </c>
      <c r="C305" s="39">
        <f>IF(E304&lt;=0,"",E304*$B$11/12)</f>
        <v/>
      </c>
      <c r="D305" s="39">
        <f>IF(E304&lt;=0,"",B305-C305)</f>
        <v/>
      </c>
      <c r="E305" s="39">
        <f>IF(E304&lt;=0,"",E304-D305)</f>
        <v/>
      </c>
    </row>
    <row r="306">
      <c r="A306" s="40" t="n">
        <v>282</v>
      </c>
      <c r="B306" s="41">
        <f>IF(E305&lt;=0,"",$B$13)</f>
        <v/>
      </c>
      <c r="C306" s="41">
        <f>IF(E305&lt;=0,"",E305*$B$11/12)</f>
        <v/>
      </c>
      <c r="D306" s="41">
        <f>IF(E305&lt;=0,"",B306-C306)</f>
        <v/>
      </c>
      <c r="E306" s="41">
        <f>IF(E305&lt;=0,"",E305-D306)</f>
        <v/>
      </c>
    </row>
    <row r="307">
      <c r="A307" s="38" t="n">
        <v>283</v>
      </c>
      <c r="B307" s="39">
        <f>IF(E306&lt;=0,"",$B$13)</f>
        <v/>
      </c>
      <c r="C307" s="39">
        <f>IF(E306&lt;=0,"",E306*$B$11/12)</f>
        <v/>
      </c>
      <c r="D307" s="39">
        <f>IF(E306&lt;=0,"",B307-C307)</f>
        <v/>
      </c>
      <c r="E307" s="39">
        <f>IF(E306&lt;=0,"",E306-D307)</f>
        <v/>
      </c>
    </row>
    <row r="308">
      <c r="A308" s="40" t="n">
        <v>284</v>
      </c>
      <c r="B308" s="41">
        <f>IF(E307&lt;=0,"",$B$13)</f>
        <v/>
      </c>
      <c r="C308" s="41">
        <f>IF(E307&lt;=0,"",E307*$B$11/12)</f>
        <v/>
      </c>
      <c r="D308" s="41">
        <f>IF(E307&lt;=0,"",B308-C308)</f>
        <v/>
      </c>
      <c r="E308" s="41">
        <f>IF(E307&lt;=0,"",E307-D308)</f>
        <v/>
      </c>
    </row>
    <row r="309">
      <c r="A309" s="38" t="n">
        <v>285</v>
      </c>
      <c r="B309" s="39">
        <f>IF(E308&lt;=0,"",$B$13)</f>
        <v/>
      </c>
      <c r="C309" s="39">
        <f>IF(E308&lt;=0,"",E308*$B$11/12)</f>
        <v/>
      </c>
      <c r="D309" s="39">
        <f>IF(E308&lt;=0,"",B309-C309)</f>
        <v/>
      </c>
      <c r="E309" s="39">
        <f>IF(E308&lt;=0,"",E308-D309)</f>
        <v/>
      </c>
    </row>
    <row r="310">
      <c r="A310" s="40" t="n">
        <v>286</v>
      </c>
      <c r="B310" s="41">
        <f>IF(E309&lt;=0,"",$B$13)</f>
        <v/>
      </c>
      <c r="C310" s="41">
        <f>IF(E309&lt;=0,"",E309*$B$11/12)</f>
        <v/>
      </c>
      <c r="D310" s="41">
        <f>IF(E309&lt;=0,"",B310-C310)</f>
        <v/>
      </c>
      <c r="E310" s="41">
        <f>IF(E309&lt;=0,"",E309-D310)</f>
        <v/>
      </c>
    </row>
    <row r="311">
      <c r="A311" s="38" t="n">
        <v>287</v>
      </c>
      <c r="B311" s="39">
        <f>IF(E310&lt;=0,"",$B$13)</f>
        <v/>
      </c>
      <c r="C311" s="39">
        <f>IF(E310&lt;=0,"",E310*$B$11/12)</f>
        <v/>
      </c>
      <c r="D311" s="39">
        <f>IF(E310&lt;=0,"",B311-C311)</f>
        <v/>
      </c>
      <c r="E311" s="39">
        <f>IF(E310&lt;=0,"",E310-D311)</f>
        <v/>
      </c>
    </row>
    <row r="312">
      <c r="A312" s="40" t="n">
        <v>288</v>
      </c>
      <c r="B312" s="41">
        <f>IF(E311&lt;=0,"",$B$13)</f>
        <v/>
      </c>
      <c r="C312" s="41">
        <f>IF(E311&lt;=0,"",E311*$B$11/12)</f>
        <v/>
      </c>
      <c r="D312" s="41">
        <f>IF(E311&lt;=0,"",B312-C312)</f>
        <v/>
      </c>
      <c r="E312" s="41">
        <f>IF(E311&lt;=0,"",E311-D312)</f>
        <v/>
      </c>
    </row>
    <row r="313">
      <c r="A313" s="38" t="n">
        <v>289</v>
      </c>
      <c r="B313" s="39">
        <f>IF(E312&lt;=0,"",$B$13)</f>
        <v/>
      </c>
      <c r="C313" s="39">
        <f>IF(E312&lt;=0,"",E312*$B$11/12)</f>
        <v/>
      </c>
      <c r="D313" s="39">
        <f>IF(E312&lt;=0,"",B313-C313)</f>
        <v/>
      </c>
      <c r="E313" s="39">
        <f>IF(E312&lt;=0,"",E312-D313)</f>
        <v/>
      </c>
    </row>
    <row r="314">
      <c r="A314" s="40" t="n">
        <v>290</v>
      </c>
      <c r="B314" s="41">
        <f>IF(E313&lt;=0,"",$B$13)</f>
        <v/>
      </c>
      <c r="C314" s="41">
        <f>IF(E313&lt;=0,"",E313*$B$11/12)</f>
        <v/>
      </c>
      <c r="D314" s="41">
        <f>IF(E313&lt;=0,"",B314-C314)</f>
        <v/>
      </c>
      <c r="E314" s="41">
        <f>IF(E313&lt;=0,"",E313-D314)</f>
        <v/>
      </c>
    </row>
    <row r="315">
      <c r="A315" s="38" t="n">
        <v>291</v>
      </c>
      <c r="B315" s="39">
        <f>IF(E314&lt;=0,"",$B$13)</f>
        <v/>
      </c>
      <c r="C315" s="39">
        <f>IF(E314&lt;=0,"",E314*$B$11/12)</f>
        <v/>
      </c>
      <c r="D315" s="39">
        <f>IF(E314&lt;=0,"",B315-C315)</f>
        <v/>
      </c>
      <c r="E315" s="39">
        <f>IF(E314&lt;=0,"",E314-D315)</f>
        <v/>
      </c>
    </row>
    <row r="316">
      <c r="A316" s="40" t="n">
        <v>292</v>
      </c>
      <c r="B316" s="41">
        <f>IF(E315&lt;=0,"",$B$13)</f>
        <v/>
      </c>
      <c r="C316" s="41">
        <f>IF(E315&lt;=0,"",E315*$B$11/12)</f>
        <v/>
      </c>
      <c r="D316" s="41">
        <f>IF(E315&lt;=0,"",B316-C316)</f>
        <v/>
      </c>
      <c r="E316" s="41">
        <f>IF(E315&lt;=0,"",E315-D316)</f>
        <v/>
      </c>
    </row>
    <row r="317">
      <c r="A317" s="38" t="n">
        <v>293</v>
      </c>
      <c r="B317" s="39">
        <f>IF(E316&lt;=0,"",$B$13)</f>
        <v/>
      </c>
      <c r="C317" s="39">
        <f>IF(E316&lt;=0,"",E316*$B$11/12)</f>
        <v/>
      </c>
      <c r="D317" s="39">
        <f>IF(E316&lt;=0,"",B317-C317)</f>
        <v/>
      </c>
      <c r="E317" s="39">
        <f>IF(E316&lt;=0,"",E316-D317)</f>
        <v/>
      </c>
    </row>
    <row r="318">
      <c r="A318" s="40" t="n">
        <v>294</v>
      </c>
      <c r="B318" s="41">
        <f>IF(E317&lt;=0,"",$B$13)</f>
        <v/>
      </c>
      <c r="C318" s="41">
        <f>IF(E317&lt;=0,"",E317*$B$11/12)</f>
        <v/>
      </c>
      <c r="D318" s="41">
        <f>IF(E317&lt;=0,"",B318-C318)</f>
        <v/>
      </c>
      <c r="E318" s="41">
        <f>IF(E317&lt;=0,"",E317-D318)</f>
        <v/>
      </c>
    </row>
    <row r="319">
      <c r="A319" s="38" t="n">
        <v>295</v>
      </c>
      <c r="B319" s="39">
        <f>IF(E318&lt;=0,"",$B$13)</f>
        <v/>
      </c>
      <c r="C319" s="39">
        <f>IF(E318&lt;=0,"",E318*$B$11/12)</f>
        <v/>
      </c>
      <c r="D319" s="39">
        <f>IF(E318&lt;=0,"",B319-C319)</f>
        <v/>
      </c>
      <c r="E319" s="39">
        <f>IF(E318&lt;=0,"",E318-D319)</f>
        <v/>
      </c>
    </row>
    <row r="320">
      <c r="A320" s="40" t="n">
        <v>296</v>
      </c>
      <c r="B320" s="41">
        <f>IF(E319&lt;=0,"",$B$13)</f>
        <v/>
      </c>
      <c r="C320" s="41">
        <f>IF(E319&lt;=0,"",E319*$B$11/12)</f>
        <v/>
      </c>
      <c r="D320" s="41">
        <f>IF(E319&lt;=0,"",B320-C320)</f>
        <v/>
      </c>
      <c r="E320" s="41">
        <f>IF(E319&lt;=0,"",E319-D320)</f>
        <v/>
      </c>
    </row>
    <row r="321">
      <c r="A321" s="38" t="n">
        <v>297</v>
      </c>
      <c r="B321" s="39">
        <f>IF(E320&lt;=0,"",$B$13)</f>
        <v/>
      </c>
      <c r="C321" s="39">
        <f>IF(E320&lt;=0,"",E320*$B$11/12)</f>
        <v/>
      </c>
      <c r="D321" s="39">
        <f>IF(E320&lt;=0,"",B321-C321)</f>
        <v/>
      </c>
      <c r="E321" s="39">
        <f>IF(E320&lt;=0,"",E320-D321)</f>
        <v/>
      </c>
    </row>
    <row r="322">
      <c r="A322" s="40" t="n">
        <v>298</v>
      </c>
      <c r="B322" s="41">
        <f>IF(E321&lt;=0,"",$B$13)</f>
        <v/>
      </c>
      <c r="C322" s="41">
        <f>IF(E321&lt;=0,"",E321*$B$11/12)</f>
        <v/>
      </c>
      <c r="D322" s="41">
        <f>IF(E321&lt;=0,"",B322-C322)</f>
        <v/>
      </c>
      <c r="E322" s="41">
        <f>IF(E321&lt;=0,"",E321-D322)</f>
        <v/>
      </c>
    </row>
    <row r="323">
      <c r="A323" s="38" t="n">
        <v>299</v>
      </c>
      <c r="B323" s="39">
        <f>IF(E322&lt;=0,"",$B$13)</f>
        <v/>
      </c>
      <c r="C323" s="39">
        <f>IF(E322&lt;=0,"",E322*$B$11/12)</f>
        <v/>
      </c>
      <c r="D323" s="39">
        <f>IF(E322&lt;=0,"",B323-C323)</f>
        <v/>
      </c>
      <c r="E323" s="39">
        <f>IF(E322&lt;=0,"",E322-D323)</f>
        <v/>
      </c>
    </row>
    <row r="324">
      <c r="A324" s="40" t="n">
        <v>300</v>
      </c>
      <c r="B324" s="41">
        <f>IF(E323&lt;=0,"",$B$13)</f>
        <v/>
      </c>
      <c r="C324" s="41">
        <f>IF(E323&lt;=0,"",E323*$B$11/12)</f>
        <v/>
      </c>
      <c r="D324" s="41">
        <f>IF(E323&lt;=0,"",B324-C324)</f>
        <v/>
      </c>
      <c r="E324" s="41">
        <f>IF(E323&lt;=0,"",E323-D324)</f>
        <v/>
      </c>
    </row>
    <row r="325">
      <c r="A325" s="38" t="n">
        <v>301</v>
      </c>
      <c r="B325" s="39">
        <f>IF(E324&lt;=0,"",$B$13)</f>
        <v/>
      </c>
      <c r="C325" s="39">
        <f>IF(E324&lt;=0,"",E324*$B$11/12)</f>
        <v/>
      </c>
      <c r="D325" s="39">
        <f>IF(E324&lt;=0,"",B325-C325)</f>
        <v/>
      </c>
      <c r="E325" s="39">
        <f>IF(E324&lt;=0,"",E324-D325)</f>
        <v/>
      </c>
    </row>
    <row r="326">
      <c r="A326" s="40" t="n">
        <v>302</v>
      </c>
      <c r="B326" s="41">
        <f>IF(E325&lt;=0,"",$B$13)</f>
        <v/>
      </c>
      <c r="C326" s="41">
        <f>IF(E325&lt;=0,"",E325*$B$11/12)</f>
        <v/>
      </c>
      <c r="D326" s="41">
        <f>IF(E325&lt;=0,"",B326-C326)</f>
        <v/>
      </c>
      <c r="E326" s="41">
        <f>IF(E325&lt;=0,"",E325-D326)</f>
        <v/>
      </c>
    </row>
    <row r="327">
      <c r="A327" s="38" t="n">
        <v>303</v>
      </c>
      <c r="B327" s="39">
        <f>IF(E326&lt;=0,"",$B$13)</f>
        <v/>
      </c>
      <c r="C327" s="39">
        <f>IF(E326&lt;=0,"",E326*$B$11/12)</f>
        <v/>
      </c>
      <c r="D327" s="39">
        <f>IF(E326&lt;=0,"",B327-C327)</f>
        <v/>
      </c>
      <c r="E327" s="39">
        <f>IF(E326&lt;=0,"",E326-D327)</f>
        <v/>
      </c>
    </row>
    <row r="328">
      <c r="A328" s="40" t="n">
        <v>304</v>
      </c>
      <c r="B328" s="41">
        <f>IF(E327&lt;=0,"",$B$13)</f>
        <v/>
      </c>
      <c r="C328" s="41">
        <f>IF(E327&lt;=0,"",E327*$B$11/12)</f>
        <v/>
      </c>
      <c r="D328" s="41">
        <f>IF(E327&lt;=0,"",B328-C328)</f>
        <v/>
      </c>
      <c r="E328" s="41">
        <f>IF(E327&lt;=0,"",E327-D328)</f>
        <v/>
      </c>
    </row>
    <row r="329">
      <c r="A329" s="38" t="n">
        <v>305</v>
      </c>
      <c r="B329" s="39">
        <f>IF(E328&lt;=0,"",$B$13)</f>
        <v/>
      </c>
      <c r="C329" s="39">
        <f>IF(E328&lt;=0,"",E328*$B$11/12)</f>
        <v/>
      </c>
      <c r="D329" s="39">
        <f>IF(E328&lt;=0,"",B329-C329)</f>
        <v/>
      </c>
      <c r="E329" s="39">
        <f>IF(E328&lt;=0,"",E328-D329)</f>
        <v/>
      </c>
    </row>
    <row r="330">
      <c r="A330" s="40" t="n">
        <v>306</v>
      </c>
      <c r="B330" s="41">
        <f>IF(E329&lt;=0,"",$B$13)</f>
        <v/>
      </c>
      <c r="C330" s="41">
        <f>IF(E329&lt;=0,"",E329*$B$11/12)</f>
        <v/>
      </c>
      <c r="D330" s="41">
        <f>IF(E329&lt;=0,"",B330-C330)</f>
        <v/>
      </c>
      <c r="E330" s="41">
        <f>IF(E329&lt;=0,"",E329-D330)</f>
        <v/>
      </c>
    </row>
    <row r="331">
      <c r="A331" s="38" t="n">
        <v>307</v>
      </c>
      <c r="B331" s="39">
        <f>IF(E330&lt;=0,"",$B$13)</f>
        <v/>
      </c>
      <c r="C331" s="39">
        <f>IF(E330&lt;=0,"",E330*$B$11/12)</f>
        <v/>
      </c>
      <c r="D331" s="39">
        <f>IF(E330&lt;=0,"",B331-C331)</f>
        <v/>
      </c>
      <c r="E331" s="39">
        <f>IF(E330&lt;=0,"",E330-D331)</f>
        <v/>
      </c>
    </row>
    <row r="332">
      <c r="A332" s="40" t="n">
        <v>308</v>
      </c>
      <c r="B332" s="41">
        <f>IF(E331&lt;=0,"",$B$13)</f>
        <v/>
      </c>
      <c r="C332" s="41">
        <f>IF(E331&lt;=0,"",E331*$B$11/12)</f>
        <v/>
      </c>
      <c r="D332" s="41">
        <f>IF(E331&lt;=0,"",B332-C332)</f>
        <v/>
      </c>
      <c r="E332" s="41">
        <f>IF(E331&lt;=0,"",E331-D332)</f>
        <v/>
      </c>
    </row>
    <row r="333">
      <c r="A333" s="38" t="n">
        <v>309</v>
      </c>
      <c r="B333" s="39">
        <f>IF(E332&lt;=0,"",$B$13)</f>
        <v/>
      </c>
      <c r="C333" s="39">
        <f>IF(E332&lt;=0,"",E332*$B$11/12)</f>
        <v/>
      </c>
      <c r="D333" s="39">
        <f>IF(E332&lt;=0,"",B333-C333)</f>
        <v/>
      </c>
      <c r="E333" s="39">
        <f>IF(E332&lt;=0,"",E332-D333)</f>
        <v/>
      </c>
    </row>
    <row r="334">
      <c r="A334" s="40" t="n">
        <v>310</v>
      </c>
      <c r="B334" s="41">
        <f>IF(E333&lt;=0,"",$B$13)</f>
        <v/>
      </c>
      <c r="C334" s="41">
        <f>IF(E333&lt;=0,"",E333*$B$11/12)</f>
        <v/>
      </c>
      <c r="D334" s="41">
        <f>IF(E333&lt;=0,"",B334-C334)</f>
        <v/>
      </c>
      <c r="E334" s="41">
        <f>IF(E333&lt;=0,"",E333-D334)</f>
        <v/>
      </c>
    </row>
    <row r="335">
      <c r="A335" s="38" t="n">
        <v>311</v>
      </c>
      <c r="B335" s="39">
        <f>IF(E334&lt;=0,"",$B$13)</f>
        <v/>
      </c>
      <c r="C335" s="39">
        <f>IF(E334&lt;=0,"",E334*$B$11/12)</f>
        <v/>
      </c>
      <c r="D335" s="39">
        <f>IF(E334&lt;=0,"",B335-C335)</f>
        <v/>
      </c>
      <c r="E335" s="39">
        <f>IF(E334&lt;=0,"",E334-D335)</f>
        <v/>
      </c>
    </row>
    <row r="336">
      <c r="A336" s="40" t="n">
        <v>312</v>
      </c>
      <c r="B336" s="41">
        <f>IF(E335&lt;=0,"",$B$13)</f>
        <v/>
      </c>
      <c r="C336" s="41">
        <f>IF(E335&lt;=0,"",E335*$B$11/12)</f>
        <v/>
      </c>
      <c r="D336" s="41">
        <f>IF(E335&lt;=0,"",B336-C336)</f>
        <v/>
      </c>
      <c r="E336" s="41">
        <f>IF(E335&lt;=0,"",E335-D336)</f>
        <v/>
      </c>
    </row>
    <row r="337">
      <c r="A337" s="38" t="n">
        <v>313</v>
      </c>
      <c r="B337" s="39">
        <f>IF(E336&lt;=0,"",$B$13)</f>
        <v/>
      </c>
      <c r="C337" s="39">
        <f>IF(E336&lt;=0,"",E336*$B$11/12)</f>
        <v/>
      </c>
      <c r="D337" s="39">
        <f>IF(E336&lt;=0,"",B337-C337)</f>
        <v/>
      </c>
      <c r="E337" s="39">
        <f>IF(E336&lt;=0,"",E336-D337)</f>
        <v/>
      </c>
    </row>
    <row r="338">
      <c r="A338" s="40" t="n">
        <v>314</v>
      </c>
      <c r="B338" s="41">
        <f>IF(E337&lt;=0,"",$B$13)</f>
        <v/>
      </c>
      <c r="C338" s="41">
        <f>IF(E337&lt;=0,"",E337*$B$11/12)</f>
        <v/>
      </c>
      <c r="D338" s="41">
        <f>IF(E337&lt;=0,"",B338-C338)</f>
        <v/>
      </c>
      <c r="E338" s="41">
        <f>IF(E337&lt;=0,"",E337-D338)</f>
        <v/>
      </c>
    </row>
    <row r="339">
      <c r="A339" s="38" t="n">
        <v>315</v>
      </c>
      <c r="B339" s="39">
        <f>IF(E338&lt;=0,"",$B$13)</f>
        <v/>
      </c>
      <c r="C339" s="39">
        <f>IF(E338&lt;=0,"",E338*$B$11/12)</f>
        <v/>
      </c>
      <c r="D339" s="39">
        <f>IF(E338&lt;=0,"",B339-C339)</f>
        <v/>
      </c>
      <c r="E339" s="39">
        <f>IF(E338&lt;=0,"",E338-D339)</f>
        <v/>
      </c>
    </row>
    <row r="340">
      <c r="A340" s="40" t="n">
        <v>316</v>
      </c>
      <c r="B340" s="41">
        <f>IF(E339&lt;=0,"",$B$13)</f>
        <v/>
      </c>
      <c r="C340" s="41">
        <f>IF(E339&lt;=0,"",E339*$B$11/12)</f>
        <v/>
      </c>
      <c r="D340" s="41">
        <f>IF(E339&lt;=0,"",B340-C340)</f>
        <v/>
      </c>
      <c r="E340" s="41">
        <f>IF(E339&lt;=0,"",E339-D340)</f>
        <v/>
      </c>
    </row>
    <row r="341">
      <c r="A341" s="38" t="n">
        <v>317</v>
      </c>
      <c r="B341" s="39">
        <f>IF(E340&lt;=0,"",$B$13)</f>
        <v/>
      </c>
      <c r="C341" s="39">
        <f>IF(E340&lt;=0,"",E340*$B$11/12)</f>
        <v/>
      </c>
      <c r="D341" s="39">
        <f>IF(E340&lt;=0,"",B341-C341)</f>
        <v/>
      </c>
      <c r="E341" s="39">
        <f>IF(E340&lt;=0,"",E340-D341)</f>
        <v/>
      </c>
    </row>
    <row r="342">
      <c r="A342" s="40" t="n">
        <v>318</v>
      </c>
      <c r="B342" s="41">
        <f>IF(E341&lt;=0,"",$B$13)</f>
        <v/>
      </c>
      <c r="C342" s="41">
        <f>IF(E341&lt;=0,"",E341*$B$11/12)</f>
        <v/>
      </c>
      <c r="D342" s="41">
        <f>IF(E341&lt;=0,"",B342-C342)</f>
        <v/>
      </c>
      <c r="E342" s="41">
        <f>IF(E341&lt;=0,"",E341-D342)</f>
        <v/>
      </c>
    </row>
    <row r="343">
      <c r="A343" s="38" t="n">
        <v>319</v>
      </c>
      <c r="B343" s="39">
        <f>IF(E342&lt;=0,"",$B$13)</f>
        <v/>
      </c>
      <c r="C343" s="39">
        <f>IF(E342&lt;=0,"",E342*$B$11/12)</f>
        <v/>
      </c>
      <c r="D343" s="39">
        <f>IF(E342&lt;=0,"",B343-C343)</f>
        <v/>
      </c>
      <c r="E343" s="39">
        <f>IF(E342&lt;=0,"",E342-D343)</f>
        <v/>
      </c>
    </row>
    <row r="344">
      <c r="A344" s="40" t="n">
        <v>320</v>
      </c>
      <c r="B344" s="41">
        <f>IF(E343&lt;=0,"",$B$13)</f>
        <v/>
      </c>
      <c r="C344" s="41">
        <f>IF(E343&lt;=0,"",E343*$B$11/12)</f>
        <v/>
      </c>
      <c r="D344" s="41">
        <f>IF(E343&lt;=0,"",B344-C344)</f>
        <v/>
      </c>
      <c r="E344" s="41">
        <f>IF(E343&lt;=0,"",E343-D344)</f>
        <v/>
      </c>
    </row>
    <row r="345">
      <c r="A345" s="38" t="n">
        <v>321</v>
      </c>
      <c r="B345" s="39">
        <f>IF(E344&lt;=0,"",$B$13)</f>
        <v/>
      </c>
      <c r="C345" s="39">
        <f>IF(E344&lt;=0,"",E344*$B$11/12)</f>
        <v/>
      </c>
      <c r="D345" s="39">
        <f>IF(E344&lt;=0,"",B345-C345)</f>
        <v/>
      </c>
      <c r="E345" s="39">
        <f>IF(E344&lt;=0,"",E344-D345)</f>
        <v/>
      </c>
    </row>
    <row r="346">
      <c r="A346" s="40" t="n">
        <v>322</v>
      </c>
      <c r="B346" s="41">
        <f>IF(E345&lt;=0,"",$B$13)</f>
        <v/>
      </c>
      <c r="C346" s="41">
        <f>IF(E345&lt;=0,"",E345*$B$11/12)</f>
        <v/>
      </c>
      <c r="D346" s="41">
        <f>IF(E345&lt;=0,"",B346-C346)</f>
        <v/>
      </c>
      <c r="E346" s="41">
        <f>IF(E345&lt;=0,"",E345-D346)</f>
        <v/>
      </c>
    </row>
    <row r="347">
      <c r="A347" s="38" t="n">
        <v>323</v>
      </c>
      <c r="B347" s="39">
        <f>IF(E346&lt;=0,"",$B$13)</f>
        <v/>
      </c>
      <c r="C347" s="39">
        <f>IF(E346&lt;=0,"",E346*$B$11/12)</f>
        <v/>
      </c>
      <c r="D347" s="39">
        <f>IF(E346&lt;=0,"",B347-C347)</f>
        <v/>
      </c>
      <c r="E347" s="39">
        <f>IF(E346&lt;=0,"",E346-D347)</f>
        <v/>
      </c>
    </row>
    <row r="348">
      <c r="A348" s="40" t="n">
        <v>324</v>
      </c>
      <c r="B348" s="41">
        <f>IF(E347&lt;=0,"",$B$13)</f>
        <v/>
      </c>
      <c r="C348" s="41">
        <f>IF(E347&lt;=0,"",E347*$B$11/12)</f>
        <v/>
      </c>
      <c r="D348" s="41">
        <f>IF(E347&lt;=0,"",B348-C348)</f>
        <v/>
      </c>
      <c r="E348" s="41">
        <f>IF(E347&lt;=0,"",E347-D348)</f>
        <v/>
      </c>
    </row>
    <row r="349">
      <c r="A349" s="38" t="n">
        <v>325</v>
      </c>
      <c r="B349" s="39">
        <f>IF(E348&lt;=0,"",$B$13)</f>
        <v/>
      </c>
      <c r="C349" s="39">
        <f>IF(E348&lt;=0,"",E348*$B$11/12)</f>
        <v/>
      </c>
      <c r="D349" s="39">
        <f>IF(E348&lt;=0,"",B349-C349)</f>
        <v/>
      </c>
      <c r="E349" s="39">
        <f>IF(E348&lt;=0,"",E348-D349)</f>
        <v/>
      </c>
    </row>
    <row r="350">
      <c r="A350" s="40" t="n">
        <v>326</v>
      </c>
      <c r="B350" s="41">
        <f>IF(E349&lt;=0,"",$B$13)</f>
        <v/>
      </c>
      <c r="C350" s="41">
        <f>IF(E349&lt;=0,"",E349*$B$11/12)</f>
        <v/>
      </c>
      <c r="D350" s="41">
        <f>IF(E349&lt;=0,"",B350-C350)</f>
        <v/>
      </c>
      <c r="E350" s="41">
        <f>IF(E349&lt;=0,"",E349-D350)</f>
        <v/>
      </c>
    </row>
    <row r="351">
      <c r="A351" s="38" t="n">
        <v>327</v>
      </c>
      <c r="B351" s="39">
        <f>IF(E350&lt;=0,"",$B$13)</f>
        <v/>
      </c>
      <c r="C351" s="39">
        <f>IF(E350&lt;=0,"",E350*$B$11/12)</f>
        <v/>
      </c>
      <c r="D351" s="39">
        <f>IF(E350&lt;=0,"",B351-C351)</f>
        <v/>
      </c>
      <c r="E351" s="39">
        <f>IF(E350&lt;=0,"",E350-D351)</f>
        <v/>
      </c>
    </row>
    <row r="352">
      <c r="A352" s="40" t="n">
        <v>328</v>
      </c>
      <c r="B352" s="41">
        <f>IF(E351&lt;=0,"",$B$13)</f>
        <v/>
      </c>
      <c r="C352" s="41">
        <f>IF(E351&lt;=0,"",E351*$B$11/12)</f>
        <v/>
      </c>
      <c r="D352" s="41">
        <f>IF(E351&lt;=0,"",B352-C352)</f>
        <v/>
      </c>
      <c r="E352" s="41">
        <f>IF(E351&lt;=0,"",E351-D352)</f>
        <v/>
      </c>
    </row>
    <row r="353">
      <c r="A353" s="38" t="n">
        <v>329</v>
      </c>
      <c r="B353" s="39">
        <f>IF(E352&lt;=0,"",$B$13)</f>
        <v/>
      </c>
      <c r="C353" s="39">
        <f>IF(E352&lt;=0,"",E352*$B$11/12)</f>
        <v/>
      </c>
      <c r="D353" s="39">
        <f>IF(E352&lt;=0,"",B353-C353)</f>
        <v/>
      </c>
      <c r="E353" s="39">
        <f>IF(E352&lt;=0,"",E352-D353)</f>
        <v/>
      </c>
    </row>
    <row r="354">
      <c r="A354" s="40" t="n">
        <v>330</v>
      </c>
      <c r="B354" s="41">
        <f>IF(E353&lt;=0,"",$B$13)</f>
        <v/>
      </c>
      <c r="C354" s="41">
        <f>IF(E353&lt;=0,"",E353*$B$11/12)</f>
        <v/>
      </c>
      <c r="D354" s="41">
        <f>IF(E353&lt;=0,"",B354-C354)</f>
        <v/>
      </c>
      <c r="E354" s="41">
        <f>IF(E353&lt;=0,"",E353-D354)</f>
        <v/>
      </c>
    </row>
    <row r="355">
      <c r="A355" s="38" t="n">
        <v>331</v>
      </c>
      <c r="B355" s="39">
        <f>IF(E354&lt;=0,"",$B$13)</f>
        <v/>
      </c>
      <c r="C355" s="39">
        <f>IF(E354&lt;=0,"",E354*$B$11/12)</f>
        <v/>
      </c>
      <c r="D355" s="39">
        <f>IF(E354&lt;=0,"",B355-C355)</f>
        <v/>
      </c>
      <c r="E355" s="39">
        <f>IF(E354&lt;=0,"",E354-D355)</f>
        <v/>
      </c>
    </row>
    <row r="356">
      <c r="A356" s="40" t="n">
        <v>332</v>
      </c>
      <c r="B356" s="41">
        <f>IF(E355&lt;=0,"",$B$13)</f>
        <v/>
      </c>
      <c r="C356" s="41">
        <f>IF(E355&lt;=0,"",E355*$B$11/12)</f>
        <v/>
      </c>
      <c r="D356" s="41">
        <f>IF(E355&lt;=0,"",B356-C356)</f>
        <v/>
      </c>
      <c r="E356" s="41">
        <f>IF(E355&lt;=0,"",E355-D356)</f>
        <v/>
      </c>
    </row>
    <row r="357">
      <c r="A357" s="38" t="n">
        <v>333</v>
      </c>
      <c r="B357" s="39">
        <f>IF(E356&lt;=0,"",$B$13)</f>
        <v/>
      </c>
      <c r="C357" s="39">
        <f>IF(E356&lt;=0,"",E356*$B$11/12)</f>
        <v/>
      </c>
      <c r="D357" s="39">
        <f>IF(E356&lt;=0,"",B357-C357)</f>
        <v/>
      </c>
      <c r="E357" s="39">
        <f>IF(E356&lt;=0,"",E356-D357)</f>
        <v/>
      </c>
    </row>
    <row r="358">
      <c r="A358" s="40" t="n">
        <v>334</v>
      </c>
      <c r="B358" s="41">
        <f>IF(E357&lt;=0,"",$B$13)</f>
        <v/>
      </c>
      <c r="C358" s="41">
        <f>IF(E357&lt;=0,"",E357*$B$11/12)</f>
        <v/>
      </c>
      <c r="D358" s="41">
        <f>IF(E357&lt;=0,"",B358-C358)</f>
        <v/>
      </c>
      <c r="E358" s="41">
        <f>IF(E357&lt;=0,"",E357-D358)</f>
        <v/>
      </c>
    </row>
    <row r="359">
      <c r="A359" s="38" t="n">
        <v>335</v>
      </c>
      <c r="B359" s="39">
        <f>IF(E358&lt;=0,"",$B$13)</f>
        <v/>
      </c>
      <c r="C359" s="39">
        <f>IF(E358&lt;=0,"",E358*$B$11/12)</f>
        <v/>
      </c>
      <c r="D359" s="39">
        <f>IF(E358&lt;=0,"",B359-C359)</f>
        <v/>
      </c>
      <c r="E359" s="39">
        <f>IF(E358&lt;=0,"",E358-D359)</f>
        <v/>
      </c>
    </row>
    <row r="360">
      <c r="A360" s="40" t="n">
        <v>336</v>
      </c>
      <c r="B360" s="41">
        <f>IF(E359&lt;=0,"",$B$13)</f>
        <v/>
      </c>
      <c r="C360" s="41">
        <f>IF(E359&lt;=0,"",E359*$B$11/12)</f>
        <v/>
      </c>
      <c r="D360" s="41">
        <f>IF(E359&lt;=0,"",B360-C360)</f>
        <v/>
      </c>
      <c r="E360" s="41">
        <f>IF(E359&lt;=0,"",E359-D360)</f>
        <v/>
      </c>
    </row>
    <row r="361">
      <c r="A361" s="38" t="n">
        <v>337</v>
      </c>
      <c r="B361" s="39">
        <f>IF(E360&lt;=0,"",$B$13)</f>
        <v/>
      </c>
      <c r="C361" s="39">
        <f>IF(E360&lt;=0,"",E360*$B$11/12)</f>
        <v/>
      </c>
      <c r="D361" s="39">
        <f>IF(E360&lt;=0,"",B361-C361)</f>
        <v/>
      </c>
      <c r="E361" s="39">
        <f>IF(E360&lt;=0,"",E360-D361)</f>
        <v/>
      </c>
    </row>
    <row r="362">
      <c r="A362" s="40" t="n">
        <v>338</v>
      </c>
      <c r="B362" s="41">
        <f>IF(E361&lt;=0,"",$B$13)</f>
        <v/>
      </c>
      <c r="C362" s="41">
        <f>IF(E361&lt;=0,"",E361*$B$11/12)</f>
        <v/>
      </c>
      <c r="D362" s="41">
        <f>IF(E361&lt;=0,"",B362-C362)</f>
        <v/>
      </c>
      <c r="E362" s="41">
        <f>IF(E361&lt;=0,"",E361-D362)</f>
        <v/>
      </c>
    </row>
    <row r="363">
      <c r="A363" s="38" t="n">
        <v>339</v>
      </c>
      <c r="B363" s="39">
        <f>IF(E362&lt;=0,"",$B$13)</f>
        <v/>
      </c>
      <c r="C363" s="39">
        <f>IF(E362&lt;=0,"",E362*$B$11/12)</f>
        <v/>
      </c>
      <c r="D363" s="39">
        <f>IF(E362&lt;=0,"",B363-C363)</f>
        <v/>
      </c>
      <c r="E363" s="39">
        <f>IF(E362&lt;=0,"",E362-D363)</f>
        <v/>
      </c>
    </row>
    <row r="364">
      <c r="A364" s="40" t="n">
        <v>340</v>
      </c>
      <c r="B364" s="41">
        <f>IF(E363&lt;=0,"",$B$13)</f>
        <v/>
      </c>
      <c r="C364" s="41">
        <f>IF(E363&lt;=0,"",E363*$B$11/12)</f>
        <v/>
      </c>
      <c r="D364" s="41">
        <f>IF(E363&lt;=0,"",B364-C364)</f>
        <v/>
      </c>
      <c r="E364" s="41">
        <f>IF(E363&lt;=0,"",E363-D364)</f>
        <v/>
      </c>
    </row>
    <row r="365">
      <c r="A365" s="38" t="n">
        <v>341</v>
      </c>
      <c r="B365" s="39">
        <f>IF(E364&lt;=0,"",$B$13)</f>
        <v/>
      </c>
      <c r="C365" s="39">
        <f>IF(E364&lt;=0,"",E364*$B$11/12)</f>
        <v/>
      </c>
      <c r="D365" s="39">
        <f>IF(E364&lt;=0,"",B365-C365)</f>
        <v/>
      </c>
      <c r="E365" s="39">
        <f>IF(E364&lt;=0,"",E364-D365)</f>
        <v/>
      </c>
    </row>
    <row r="366">
      <c r="A366" s="40" t="n">
        <v>342</v>
      </c>
      <c r="B366" s="41">
        <f>IF(E365&lt;=0,"",$B$13)</f>
        <v/>
      </c>
      <c r="C366" s="41">
        <f>IF(E365&lt;=0,"",E365*$B$11/12)</f>
        <v/>
      </c>
      <c r="D366" s="41">
        <f>IF(E365&lt;=0,"",B366-C366)</f>
        <v/>
      </c>
      <c r="E366" s="41">
        <f>IF(E365&lt;=0,"",E365-D366)</f>
        <v/>
      </c>
    </row>
    <row r="367">
      <c r="A367" s="38" t="n">
        <v>343</v>
      </c>
      <c r="B367" s="39">
        <f>IF(E366&lt;=0,"",$B$13)</f>
        <v/>
      </c>
      <c r="C367" s="39">
        <f>IF(E366&lt;=0,"",E366*$B$11/12)</f>
        <v/>
      </c>
      <c r="D367" s="39">
        <f>IF(E366&lt;=0,"",B367-C367)</f>
        <v/>
      </c>
      <c r="E367" s="39">
        <f>IF(E366&lt;=0,"",E366-D367)</f>
        <v/>
      </c>
    </row>
    <row r="368">
      <c r="A368" s="40" t="n">
        <v>344</v>
      </c>
      <c r="B368" s="41">
        <f>IF(E367&lt;=0,"",$B$13)</f>
        <v/>
      </c>
      <c r="C368" s="41">
        <f>IF(E367&lt;=0,"",E367*$B$11/12)</f>
        <v/>
      </c>
      <c r="D368" s="41">
        <f>IF(E367&lt;=0,"",B368-C368)</f>
        <v/>
      </c>
      <c r="E368" s="41">
        <f>IF(E367&lt;=0,"",E367-D368)</f>
        <v/>
      </c>
    </row>
    <row r="369">
      <c r="A369" s="38" t="n">
        <v>345</v>
      </c>
      <c r="B369" s="39">
        <f>IF(E368&lt;=0,"",$B$13)</f>
        <v/>
      </c>
      <c r="C369" s="39">
        <f>IF(E368&lt;=0,"",E368*$B$11/12)</f>
        <v/>
      </c>
      <c r="D369" s="39">
        <f>IF(E368&lt;=0,"",B369-C369)</f>
        <v/>
      </c>
      <c r="E369" s="39">
        <f>IF(E368&lt;=0,"",E368-D369)</f>
        <v/>
      </c>
    </row>
    <row r="370">
      <c r="A370" s="40" t="n">
        <v>346</v>
      </c>
      <c r="B370" s="41">
        <f>IF(E369&lt;=0,"",$B$13)</f>
        <v/>
      </c>
      <c r="C370" s="41">
        <f>IF(E369&lt;=0,"",E369*$B$11/12)</f>
        <v/>
      </c>
      <c r="D370" s="41">
        <f>IF(E369&lt;=0,"",B370-C370)</f>
        <v/>
      </c>
      <c r="E370" s="41">
        <f>IF(E369&lt;=0,"",E369-D370)</f>
        <v/>
      </c>
    </row>
    <row r="371">
      <c r="A371" s="38" t="n">
        <v>347</v>
      </c>
      <c r="B371" s="39">
        <f>IF(E370&lt;=0,"",$B$13)</f>
        <v/>
      </c>
      <c r="C371" s="39">
        <f>IF(E370&lt;=0,"",E370*$B$11/12)</f>
        <v/>
      </c>
      <c r="D371" s="39">
        <f>IF(E370&lt;=0,"",B371-C371)</f>
        <v/>
      </c>
      <c r="E371" s="39">
        <f>IF(E370&lt;=0,"",E370-D371)</f>
        <v/>
      </c>
    </row>
    <row r="372">
      <c r="A372" s="40" t="n">
        <v>348</v>
      </c>
      <c r="B372" s="41">
        <f>IF(E371&lt;=0,"",$B$13)</f>
        <v/>
      </c>
      <c r="C372" s="41">
        <f>IF(E371&lt;=0,"",E371*$B$11/12)</f>
        <v/>
      </c>
      <c r="D372" s="41">
        <f>IF(E371&lt;=0,"",B372-C372)</f>
        <v/>
      </c>
      <c r="E372" s="41">
        <f>IF(E371&lt;=0,"",E371-D372)</f>
        <v/>
      </c>
    </row>
    <row r="373">
      <c r="A373" s="38" t="n">
        <v>349</v>
      </c>
      <c r="B373" s="39">
        <f>IF(E372&lt;=0,"",$B$13)</f>
        <v/>
      </c>
      <c r="C373" s="39">
        <f>IF(E372&lt;=0,"",E372*$B$11/12)</f>
        <v/>
      </c>
      <c r="D373" s="39">
        <f>IF(E372&lt;=0,"",B373-C373)</f>
        <v/>
      </c>
      <c r="E373" s="39">
        <f>IF(E372&lt;=0,"",E372-D373)</f>
        <v/>
      </c>
    </row>
    <row r="374">
      <c r="A374" s="40" t="n">
        <v>350</v>
      </c>
      <c r="B374" s="41">
        <f>IF(E373&lt;=0,"",$B$13)</f>
        <v/>
      </c>
      <c r="C374" s="41">
        <f>IF(E373&lt;=0,"",E373*$B$11/12)</f>
        <v/>
      </c>
      <c r="D374" s="41">
        <f>IF(E373&lt;=0,"",B374-C374)</f>
        <v/>
      </c>
      <c r="E374" s="41">
        <f>IF(E373&lt;=0,"",E373-D374)</f>
        <v/>
      </c>
    </row>
    <row r="375">
      <c r="A375" s="38" t="n">
        <v>351</v>
      </c>
      <c r="B375" s="39">
        <f>IF(E374&lt;=0,"",$B$13)</f>
        <v/>
      </c>
      <c r="C375" s="39">
        <f>IF(E374&lt;=0,"",E374*$B$11/12)</f>
        <v/>
      </c>
      <c r="D375" s="39">
        <f>IF(E374&lt;=0,"",B375-C375)</f>
        <v/>
      </c>
      <c r="E375" s="39">
        <f>IF(E374&lt;=0,"",E374-D375)</f>
        <v/>
      </c>
    </row>
    <row r="376">
      <c r="A376" s="40" t="n">
        <v>352</v>
      </c>
      <c r="B376" s="41">
        <f>IF(E375&lt;=0,"",$B$13)</f>
        <v/>
      </c>
      <c r="C376" s="41">
        <f>IF(E375&lt;=0,"",E375*$B$11/12)</f>
        <v/>
      </c>
      <c r="D376" s="41">
        <f>IF(E375&lt;=0,"",B376-C376)</f>
        <v/>
      </c>
      <c r="E376" s="41">
        <f>IF(E375&lt;=0,"",E375-D376)</f>
        <v/>
      </c>
    </row>
    <row r="377">
      <c r="A377" s="38" t="n">
        <v>353</v>
      </c>
      <c r="B377" s="39">
        <f>IF(E376&lt;=0,"",$B$13)</f>
        <v/>
      </c>
      <c r="C377" s="39">
        <f>IF(E376&lt;=0,"",E376*$B$11/12)</f>
        <v/>
      </c>
      <c r="D377" s="39">
        <f>IF(E376&lt;=0,"",B377-C377)</f>
        <v/>
      </c>
      <c r="E377" s="39">
        <f>IF(E376&lt;=0,"",E376-D377)</f>
        <v/>
      </c>
    </row>
    <row r="378">
      <c r="A378" s="40" t="n">
        <v>354</v>
      </c>
      <c r="B378" s="41">
        <f>IF(E377&lt;=0,"",$B$13)</f>
        <v/>
      </c>
      <c r="C378" s="41">
        <f>IF(E377&lt;=0,"",E377*$B$11/12)</f>
        <v/>
      </c>
      <c r="D378" s="41">
        <f>IF(E377&lt;=0,"",B378-C378)</f>
        <v/>
      </c>
      <c r="E378" s="41">
        <f>IF(E377&lt;=0,"",E377-D378)</f>
        <v/>
      </c>
    </row>
    <row r="379">
      <c r="A379" s="38" t="n">
        <v>355</v>
      </c>
      <c r="B379" s="39">
        <f>IF(E378&lt;=0,"",$B$13)</f>
        <v/>
      </c>
      <c r="C379" s="39">
        <f>IF(E378&lt;=0,"",E378*$B$11/12)</f>
        <v/>
      </c>
      <c r="D379" s="39">
        <f>IF(E378&lt;=0,"",B379-C379)</f>
        <v/>
      </c>
      <c r="E379" s="39">
        <f>IF(E378&lt;=0,"",E378-D379)</f>
        <v/>
      </c>
    </row>
    <row r="380">
      <c r="A380" s="40" t="n">
        <v>356</v>
      </c>
      <c r="B380" s="41">
        <f>IF(E379&lt;=0,"",$B$13)</f>
        <v/>
      </c>
      <c r="C380" s="41">
        <f>IF(E379&lt;=0,"",E379*$B$11/12)</f>
        <v/>
      </c>
      <c r="D380" s="41">
        <f>IF(E379&lt;=0,"",B380-C380)</f>
        <v/>
      </c>
      <c r="E380" s="41">
        <f>IF(E379&lt;=0,"",E379-D380)</f>
        <v/>
      </c>
    </row>
    <row r="381">
      <c r="A381" s="38" t="n">
        <v>357</v>
      </c>
      <c r="B381" s="39">
        <f>IF(E380&lt;=0,"",$B$13)</f>
        <v/>
      </c>
      <c r="C381" s="39">
        <f>IF(E380&lt;=0,"",E380*$B$11/12)</f>
        <v/>
      </c>
      <c r="D381" s="39">
        <f>IF(E380&lt;=0,"",B381-C381)</f>
        <v/>
      </c>
      <c r="E381" s="39">
        <f>IF(E380&lt;=0,"",E380-D381)</f>
        <v/>
      </c>
    </row>
    <row r="382">
      <c r="A382" s="40" t="n">
        <v>358</v>
      </c>
      <c r="B382" s="41">
        <f>IF(E381&lt;=0,"",$B$13)</f>
        <v/>
      </c>
      <c r="C382" s="41">
        <f>IF(E381&lt;=0,"",E381*$B$11/12)</f>
        <v/>
      </c>
      <c r="D382" s="41">
        <f>IF(E381&lt;=0,"",B382-C382)</f>
        <v/>
      </c>
      <c r="E382" s="41">
        <f>IF(E381&lt;=0,"",E381-D382)</f>
        <v/>
      </c>
    </row>
    <row r="383">
      <c r="A383" s="38" t="n">
        <v>359</v>
      </c>
      <c r="B383" s="39">
        <f>IF(E382&lt;=0,"",$B$13)</f>
        <v/>
      </c>
      <c r="C383" s="39">
        <f>IF(E382&lt;=0,"",E382*$B$11/12)</f>
        <v/>
      </c>
      <c r="D383" s="39">
        <f>IF(E382&lt;=0,"",B383-C383)</f>
        <v/>
      </c>
      <c r="E383" s="39">
        <f>IF(E382&lt;=0,"",E382-D383)</f>
        <v/>
      </c>
    </row>
    <row r="384">
      <c r="A384" s="40" t="n">
        <v>360</v>
      </c>
      <c r="B384" s="41">
        <f>IF(E383&lt;=0,"",$B$13)</f>
        <v/>
      </c>
      <c r="C384" s="41">
        <f>IF(E383&lt;=0,"",E383*$B$11/12)</f>
        <v/>
      </c>
      <c r="D384" s="41">
        <f>IF(E383&lt;=0,"",B384-C384)</f>
        <v/>
      </c>
      <c r="E384" s="41">
        <f>IF(E383&lt;=0,"",E383-D384)</f>
        <v/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3">
    <mergeCell ref="A2:E2"/>
    <mergeCell ref="A22:E2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1" customWidth="1" min="4" max="4"/>
    <col width="10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🚗 Vehicle Costs</t>
        </is>
      </c>
    </row>
    <row r="2" ht="28" customHeight="1">
      <c r="A2" s="2" t="inlineStr">
        <is>
          <t>Track the true cost of each vehicle — including cost per mile — automatically.</t>
        </is>
      </c>
    </row>
    <row r="3">
      <c r="A3" s="14" t="inlineStr">
        <is>
          <t>Vehicle</t>
        </is>
      </c>
      <c r="B3" s="14" t="inlineStr">
        <is>
          <t>Owner</t>
        </is>
      </c>
      <c r="C3" s="14" t="inlineStr">
        <is>
          <t>Loan Payment</t>
        </is>
      </c>
      <c r="D3" s="14" t="inlineStr">
        <is>
          <t>Insurance</t>
        </is>
      </c>
      <c r="E3" s="14" t="inlineStr">
        <is>
          <t>Gas</t>
        </is>
      </c>
      <c r="F3" s="14" t="inlineStr">
        <is>
          <t>Maintenance</t>
        </is>
      </c>
      <c r="G3" s="14" t="inlineStr">
        <is>
          <t>Repairs</t>
        </is>
      </c>
      <c r="H3" s="14" t="inlineStr">
        <is>
          <t>Registration (ann)</t>
        </is>
      </c>
      <c r="I3" s="14" t="inlineStr">
        <is>
          <t>Tires (ann)</t>
        </is>
      </c>
      <c r="J3" s="14" t="inlineStr">
        <is>
          <t>Parking/Tolls</t>
        </is>
      </c>
      <c r="K3" s="14" t="inlineStr">
        <is>
          <t>Annual Miles</t>
        </is>
      </c>
      <c r="L3" s="14" t="inlineStr">
        <is>
          <t>Current Value</t>
        </is>
      </c>
      <c r="M3" s="14" t="inlineStr">
        <is>
          <t>Monthly Total</t>
        </is>
      </c>
      <c r="N3" s="14" t="inlineStr">
        <is>
          <t>Annual Total</t>
        </is>
      </c>
      <c r="O3" s="14" t="inlineStr">
        <is>
          <t>Cost per Mile</t>
        </is>
      </c>
    </row>
    <row r="4">
      <c r="A4" s="15" t="inlineStr">
        <is>
          <t>Toyota Camry</t>
        </is>
      </c>
      <c r="B4" s="19" t="inlineStr">
        <is>
          <t>Family</t>
        </is>
      </c>
      <c r="C4" s="19" t="n">
        <v>420</v>
      </c>
      <c r="D4" s="19" t="n">
        <v>85</v>
      </c>
      <c r="E4" s="19" t="n">
        <v>130</v>
      </c>
      <c r="F4" s="19" t="n">
        <v>60</v>
      </c>
      <c r="G4" s="19" t="n">
        <v>45</v>
      </c>
      <c r="H4" s="19" t="n">
        <v>120</v>
      </c>
      <c r="I4" s="19" t="n">
        <v>90</v>
      </c>
      <c r="J4" s="19" t="n">
        <v>30</v>
      </c>
      <c r="K4" s="33" t="n">
        <v>12000</v>
      </c>
      <c r="L4" s="19" t="n">
        <v>13500</v>
      </c>
      <c r="M4" s="16">
        <f>IF(C4="","",SUM(C4:G4,J4)+IF(H4="",0,H4/12)+IF(I4="",0,I4/12))</f>
        <v/>
      </c>
      <c r="N4" s="16">
        <f>IF(M4="","",M4*12)</f>
        <v/>
      </c>
      <c r="O4" s="16">
        <f>IF(OR(K4="",K4=0),"",N4/K4)</f>
        <v/>
      </c>
    </row>
    <row r="5">
      <c r="A5" s="15" t="inlineStr">
        <is>
          <t>Honda CR-V</t>
        </is>
      </c>
      <c r="B5" s="19" t="inlineStr">
        <is>
          <t>Parent 2</t>
        </is>
      </c>
      <c r="C5" s="19" t="n">
        <v>0</v>
      </c>
      <c r="D5" s="19" t="n">
        <v>75</v>
      </c>
      <c r="E5" s="19" t="n">
        <v>90</v>
      </c>
      <c r="F5" s="19" t="n">
        <v>50</v>
      </c>
      <c r="G5" s="19" t="n">
        <v>30</v>
      </c>
      <c r="H5" s="19" t="n">
        <v>100</v>
      </c>
      <c r="I5" s="19" t="n">
        <v>80</v>
      </c>
      <c r="J5" s="19" t="n">
        <v>20</v>
      </c>
      <c r="K5" s="33" t="n">
        <v>9000</v>
      </c>
      <c r="L5" s="19" t="n">
        <v>21000</v>
      </c>
      <c r="M5" s="16">
        <f>IF(C5="","",SUM(C5:G5,J5)+IF(H5="",0,H5/12)+IF(I5="",0,I5/12))</f>
        <v/>
      </c>
      <c r="N5" s="16">
        <f>IF(M5="","",M5*12)</f>
        <v/>
      </c>
      <c r="O5" s="16">
        <f>IF(OR(K5="",K5=0),"",N5/K5)</f>
        <v/>
      </c>
    </row>
    <row r="6">
      <c r="A6" s="15" t="n"/>
      <c r="B6" s="15" t="n"/>
      <c r="C6" s="19" t="n"/>
      <c r="D6" s="19" t="n"/>
      <c r="E6" s="19" t="n"/>
      <c r="F6" s="19" t="n"/>
      <c r="G6" s="19" t="n"/>
      <c r="H6" s="19" t="n"/>
      <c r="I6" s="19" t="n"/>
      <c r="J6" s="19" t="n"/>
      <c r="K6" s="33" t="n"/>
      <c r="L6" s="19" t="n"/>
      <c r="M6" s="16">
        <f>IF(C6="","",SUM(C6:G6,J6)+IF(H6="",0,H6/12)+IF(I6="",0,I6/12))</f>
        <v/>
      </c>
      <c r="N6" s="16">
        <f>IF(M6="","",M6*12)</f>
        <v/>
      </c>
      <c r="O6" s="16">
        <f>IF(OR(K6="",K6=0),"",N6/K6)</f>
        <v/>
      </c>
    </row>
    <row r="7">
      <c r="A7" s="15" t="n"/>
      <c r="B7" s="15" t="n"/>
      <c r="C7" s="19" t="n"/>
      <c r="D7" s="19" t="n"/>
      <c r="E7" s="19" t="n"/>
      <c r="F7" s="19" t="n"/>
      <c r="G7" s="19" t="n"/>
      <c r="H7" s="19" t="n"/>
      <c r="I7" s="19" t="n"/>
      <c r="J7" s="19" t="n"/>
      <c r="K7" s="33" t="n"/>
      <c r="L7" s="19" t="n"/>
      <c r="M7" s="16">
        <f>IF(C7="","",SUM(C7:G7,J7)+IF(H7="",0,H7/12)+IF(I7="",0,I7/12))</f>
        <v/>
      </c>
      <c r="N7" s="16">
        <f>IF(M7="","",M7*12)</f>
        <v/>
      </c>
      <c r="O7" s="16">
        <f>IF(OR(K7="",K7=0),"",N7/K7)</f>
        <v/>
      </c>
    </row>
    <row r="8">
      <c r="A8" s="15" t="n"/>
      <c r="B8" s="15" t="n"/>
      <c r="C8" s="19" t="n"/>
      <c r="D8" s="19" t="n"/>
      <c r="E8" s="19" t="n"/>
      <c r="F8" s="19" t="n"/>
      <c r="G8" s="19" t="n"/>
      <c r="H8" s="19" t="n"/>
      <c r="I8" s="19" t="n"/>
      <c r="J8" s="19" t="n"/>
      <c r="K8" s="33" t="n"/>
      <c r="L8" s="19" t="n"/>
      <c r="M8" s="16">
        <f>IF(C8="","",SUM(C8:G8,J8)+IF(H8="",0,H8/12)+IF(I8="",0,I8/12))</f>
        <v/>
      </c>
      <c r="N8" s="16">
        <f>IF(M8="","",M8*12)</f>
        <v/>
      </c>
      <c r="O8" s="16">
        <f>IF(OR(K8="",K8=0),"",N8/K8)</f>
        <v/>
      </c>
    </row>
    <row r="9">
      <c r="A9" s="15" t="n"/>
      <c r="B9" s="15" t="n"/>
      <c r="C9" s="19" t="n"/>
      <c r="D9" s="19" t="n"/>
      <c r="E9" s="19" t="n"/>
      <c r="F9" s="19" t="n"/>
      <c r="G9" s="19" t="n"/>
      <c r="H9" s="19" t="n"/>
      <c r="I9" s="19" t="n"/>
      <c r="J9" s="19" t="n"/>
      <c r="K9" s="33" t="n"/>
      <c r="L9" s="19" t="n"/>
      <c r="M9" s="16">
        <f>IF(C9="","",SUM(C9:G9,J9)+IF(H9="",0,H9/12)+IF(I9="",0,I9/12))</f>
        <v/>
      </c>
      <c r="N9" s="16">
        <f>IF(M9="","",M9*12)</f>
        <v/>
      </c>
      <c r="O9" s="16">
        <f>IF(OR(K9="",K9=0),"",N9/K9)</f>
        <v/>
      </c>
    </row>
    <row r="10">
      <c r="A10" s="15" t="n"/>
      <c r="B10" s="15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33" t="n"/>
      <c r="L10" s="19" t="n"/>
      <c r="M10" s="16">
        <f>IF(C10="","",SUM(C10:G10,J10)+IF(H10="",0,H10/12)+IF(I10="",0,I10/12))</f>
        <v/>
      </c>
      <c r="N10" s="16">
        <f>IF(M10="","",M10*12)</f>
        <v/>
      </c>
      <c r="O10" s="16">
        <f>IF(OR(K10="",K10=0),"",N10/K10)</f>
        <v/>
      </c>
    </row>
    <row r="11">
      <c r="A11" s="15" t="n"/>
      <c r="B11" s="15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33" t="n"/>
      <c r="L11" s="19" t="n"/>
      <c r="M11" s="16">
        <f>IF(C11="","",SUM(C11:G11,J11)+IF(H11="",0,H11/12)+IF(I11="",0,I11/12))</f>
        <v/>
      </c>
      <c r="N11" s="16">
        <f>IF(M11="","",M11*12)</f>
        <v/>
      </c>
      <c r="O11" s="16">
        <f>IF(OR(K11="",K11=0),"",N11/K11)</f>
        <v/>
      </c>
    </row>
    <row r="12">
      <c r="A12" s="15" t="n"/>
      <c r="B12" s="15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33" t="n"/>
      <c r="L12" s="19" t="n"/>
      <c r="M12" s="16">
        <f>IF(C12="","",SUM(C12:G12,J12)+IF(H12="",0,H12/12)+IF(I12="",0,I12/12))</f>
        <v/>
      </c>
      <c r="N12" s="16">
        <f>IF(M12="","",M12*12)</f>
        <v/>
      </c>
      <c r="O12" s="16">
        <f>IF(OR(K12="",K12=0),"",N12/K12)</f>
        <v/>
      </c>
    </row>
    <row r="13">
      <c r="A13" s="15" t="n"/>
      <c r="B13" s="15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33" t="n"/>
      <c r="L13" s="19" t="n"/>
      <c r="M13" s="16">
        <f>IF(C13="","",SUM(C13:G13,J13)+IF(H13="",0,H13/12)+IF(I13="",0,I13/12))</f>
        <v/>
      </c>
      <c r="N13" s="16">
        <f>IF(M13="","",M13*12)</f>
        <v/>
      </c>
      <c r="O13" s="16">
        <f>IF(OR(K13="",K13=0),"",N13/K13)</f>
        <v/>
      </c>
    </row>
    <row r="14">
      <c r="A14" s="15" t="n"/>
      <c r="B14" s="15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33" t="n"/>
      <c r="L14" s="19" t="n"/>
      <c r="M14" s="16">
        <f>IF(C14="","",SUM(C14:G14,J14)+IF(H14="",0,H14/12)+IF(I14="",0,I14/12))</f>
        <v/>
      </c>
      <c r="N14" s="16">
        <f>IF(M14="","",M14*12)</f>
        <v/>
      </c>
      <c r="O14" s="16">
        <f>IF(OR(K14="",K14=0),"",N14/K14)</f>
        <v/>
      </c>
    </row>
    <row r="15">
      <c r="A15" s="15" t="n"/>
      <c r="B15" s="15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33" t="n"/>
      <c r="L15" s="19" t="n"/>
      <c r="M15" s="16">
        <f>IF(C15="","",SUM(C15:G15,J15)+IF(H15="",0,H15/12)+IF(I15="",0,I15/12))</f>
        <v/>
      </c>
      <c r="N15" s="16">
        <f>IF(M15="","",M15*12)</f>
        <v/>
      </c>
      <c r="O15" s="16">
        <f>IF(OR(K15="",K15=0),"",N15/K15)</f>
        <v/>
      </c>
    </row>
    <row r="16">
      <c r="A16" s="15" t="n"/>
      <c r="B16" s="15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33" t="n"/>
      <c r="L16" s="19" t="n"/>
      <c r="M16" s="16">
        <f>IF(C16="","",SUM(C16:G16,J16)+IF(H16="",0,H16/12)+IF(I16="",0,I16/12))</f>
        <v/>
      </c>
      <c r="N16" s="16">
        <f>IF(M16="","",M16*12)</f>
        <v/>
      </c>
      <c r="O16" s="16">
        <f>IF(OR(K16="",K16=0),"",N16/K16)</f>
        <v/>
      </c>
    </row>
    <row r="17">
      <c r="A17" s="15" t="n"/>
      <c r="B17" s="15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33" t="n"/>
      <c r="L17" s="19" t="n"/>
      <c r="M17" s="16">
        <f>IF(C17="","",SUM(C17:G17,J17)+IF(H17="",0,H17/12)+IF(I17="",0,I17/12))</f>
        <v/>
      </c>
      <c r="N17" s="16">
        <f>IF(M17="","",M17*12)</f>
        <v/>
      </c>
      <c r="O17" s="16">
        <f>IF(OR(K17="",K17=0),"",N17/K17)</f>
        <v/>
      </c>
    </row>
    <row r="18">
      <c r="A18" s="15" t="n"/>
      <c r="B18" s="15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33" t="n"/>
      <c r="L18" s="19" t="n"/>
      <c r="M18" s="16">
        <f>IF(C18="","",SUM(C18:G18,J18)+IF(H18="",0,H18/12)+IF(I18="",0,I18/12))</f>
        <v/>
      </c>
      <c r="N18" s="16">
        <f>IF(M18="","",M18*12)</f>
        <v/>
      </c>
      <c r="O18" s="16">
        <f>IF(OR(K18="",K18=0),"",N18/K18)</f>
        <v/>
      </c>
    </row>
    <row r="19">
      <c r="A19" s="15" t="n"/>
      <c r="B19" s="15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33" t="n"/>
      <c r="L19" s="19" t="n"/>
      <c r="M19" s="16">
        <f>IF(C19="","",SUM(C19:G19,J19)+IF(H19="",0,H19/12)+IF(I19="",0,I19/12))</f>
        <v/>
      </c>
      <c r="N19" s="16">
        <f>IF(M19="","",M19*12)</f>
        <v/>
      </c>
      <c r="O19" s="16">
        <f>IF(OR(K19="",K19=0),"",N19/K19)</f>
        <v/>
      </c>
    </row>
    <row r="20">
      <c r="A20" s="15" t="n"/>
      <c r="B20" s="15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33" t="n"/>
      <c r="L20" s="19" t="n"/>
      <c r="M20" s="16">
        <f>IF(C20="","",SUM(C20:G20,J20)+IF(H20="",0,H20/12)+IF(I20="",0,I20/12))</f>
        <v/>
      </c>
      <c r="N20" s="16">
        <f>IF(M20="","",M20*12)</f>
        <v/>
      </c>
      <c r="O20" s="16">
        <f>IF(OR(K20="",K20=0),"",N20/K20)</f>
        <v/>
      </c>
    </row>
    <row r="21">
      <c r="A21" s="15" t="n"/>
      <c r="B21" s="15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33" t="n"/>
      <c r="L21" s="19" t="n"/>
      <c r="M21" s="16">
        <f>IF(C21="","",SUM(C21:G21,J21)+IF(H21="",0,H21/12)+IF(I21="",0,I21/12))</f>
        <v/>
      </c>
      <c r="N21" s="16">
        <f>IF(M21="","",M21*12)</f>
        <v/>
      </c>
      <c r="O21" s="16">
        <f>IF(OR(K21="",K21=0),"",N21/K21)</f>
        <v/>
      </c>
    </row>
    <row r="22">
      <c r="A22" s="15" t="n"/>
      <c r="B22" s="15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33" t="n"/>
      <c r="L22" s="19" t="n"/>
      <c r="M22" s="16">
        <f>IF(C22="","",SUM(C22:G22,J22)+IF(H22="",0,H22/12)+IF(I22="",0,I22/12))</f>
        <v/>
      </c>
      <c r="N22" s="16">
        <f>IF(M22="","",M22*12)</f>
        <v/>
      </c>
      <c r="O22" s="16">
        <f>IF(OR(K22="",K22=0),"",N22/K22)</f>
        <v/>
      </c>
    </row>
    <row r="23">
      <c r="A23" s="15" t="n"/>
      <c r="B23" s="15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33" t="n"/>
      <c r="L23" s="19" t="n"/>
      <c r="M23" s="16">
        <f>IF(C23="","",SUM(C23:G23,J23)+IF(H23="",0,H23/12)+IF(I23="",0,I23/12))</f>
        <v/>
      </c>
      <c r="N23" s="16">
        <f>IF(M23="","",M23*12)</f>
        <v/>
      </c>
      <c r="O23" s="16">
        <f>IF(OR(K23="",K23=0),"",N23/K23)</f>
        <v/>
      </c>
    </row>
    <row r="24">
      <c r="A24" s="15" t="n"/>
      <c r="B24" s="15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33" t="n"/>
      <c r="L24" s="19" t="n"/>
      <c r="M24" s="16">
        <f>IF(C24="","",SUM(C24:G24,J24)+IF(H24="",0,H24/12)+IF(I24="",0,I24/12))</f>
        <v/>
      </c>
      <c r="N24" s="16">
        <f>IF(M24="","",M24*12)</f>
        <v/>
      </c>
      <c r="O24" s="16">
        <f>IF(OR(K24="",K24=0),"",N24/K24)</f>
        <v/>
      </c>
    </row>
    <row r="25">
      <c r="A25" s="15" t="n"/>
      <c r="B25" s="15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33" t="n"/>
      <c r="L25" s="19" t="n"/>
      <c r="M25" s="16">
        <f>IF(C25="","",SUM(C25:G25,J25)+IF(H25="",0,H25/12)+IF(I25="",0,I25/12))</f>
        <v/>
      </c>
      <c r="N25" s="16">
        <f>IF(M25="","",M25*12)</f>
        <v/>
      </c>
      <c r="O25" s="16">
        <f>IF(OR(K25="",K25=0),"",N25/K25)</f>
        <v/>
      </c>
    </row>
    <row r="26">
      <c r="A26" s="15" t="n"/>
      <c r="B26" s="15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33" t="n"/>
      <c r="L26" s="19" t="n"/>
      <c r="M26" s="16">
        <f>IF(C26="","",SUM(C26:G26,J26)+IF(H26="",0,H26/12)+IF(I26="",0,I26/12))</f>
        <v/>
      </c>
      <c r="N26" s="16">
        <f>IF(M26="","",M26*12)</f>
        <v/>
      </c>
      <c r="O26" s="16">
        <f>IF(OR(K26="",K26=0),"",N26/K26)</f>
        <v/>
      </c>
    </row>
    <row r="27">
      <c r="A27" s="15" t="n"/>
      <c r="B27" s="15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33" t="n"/>
      <c r="L27" s="19" t="n"/>
      <c r="M27" s="16">
        <f>IF(C27="","",SUM(C27:G27,J27)+IF(H27="",0,H27/12)+IF(I27="",0,I27/12))</f>
        <v/>
      </c>
      <c r="N27" s="16">
        <f>IF(M27="","",M27*12)</f>
        <v/>
      </c>
      <c r="O27" s="16">
        <f>IF(OR(K27="",K27=0),"",N27/K27)</f>
        <v/>
      </c>
    </row>
    <row r="28">
      <c r="A28" s="15" t="n"/>
      <c r="B28" s="15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33" t="n"/>
      <c r="L28" s="19" t="n"/>
      <c r="M28" s="16">
        <f>IF(C28="","",SUM(C28:G28,J28)+IF(H28="",0,H28/12)+IF(I28="",0,I28/12))</f>
        <v/>
      </c>
      <c r="N28" s="16">
        <f>IF(M28="","",M28*12)</f>
        <v/>
      </c>
      <c r="O28" s="16">
        <f>IF(OR(K28="",K28=0),"",N28/K28)</f>
        <v/>
      </c>
    </row>
    <row r="29">
      <c r="A29" s="15" t="n"/>
      <c r="B29" s="15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33" t="n"/>
      <c r="L29" s="19" t="n"/>
      <c r="M29" s="16">
        <f>IF(C29="","",SUM(C29:G29,J29)+IF(H29="",0,H29/12)+IF(I29="",0,I29/12))</f>
        <v/>
      </c>
      <c r="N29" s="16">
        <f>IF(M29="","",M29*12)</f>
        <v/>
      </c>
      <c r="O29" s="16">
        <f>IF(OR(K29="",K29=0),"",N29/K29)</f>
        <v/>
      </c>
    </row>
    <row r="30">
      <c r="A30" s="15" t="n"/>
      <c r="B30" s="15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33" t="n"/>
      <c r="L30" s="19" t="n"/>
      <c r="M30" s="16">
        <f>IF(C30="","",SUM(C30:G30,J30)+IF(H30="",0,H30/12)+IF(I30="",0,I30/12))</f>
        <v/>
      </c>
      <c r="N30" s="16">
        <f>IF(M30="","",M30*12)</f>
        <v/>
      </c>
      <c r="O30" s="16">
        <f>IF(OR(K30="",K30=0),"",N30/K30)</f>
        <v/>
      </c>
    </row>
    <row r="31">
      <c r="A31" s="15" t="n"/>
      <c r="B31" s="15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33" t="n"/>
      <c r="L31" s="19" t="n"/>
      <c r="M31" s="16">
        <f>IF(C31="","",SUM(C31:G31,J31)+IF(H31="",0,H31/12)+IF(I31="",0,I31/12))</f>
        <v/>
      </c>
      <c r="N31" s="16">
        <f>IF(M31="","",M31*12)</f>
        <v/>
      </c>
      <c r="O31" s="16">
        <f>IF(OR(K31="",K31=0),"",N31/K31)</f>
        <v/>
      </c>
    </row>
    <row r="32">
      <c r="A32" s="15" t="n"/>
      <c r="B32" s="15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33" t="n"/>
      <c r="L32" s="19" t="n"/>
      <c r="M32" s="16">
        <f>IF(C32="","",SUM(C32:G32,J32)+IF(H32="",0,H32/12)+IF(I32="",0,I32/12))</f>
        <v/>
      </c>
      <c r="N32" s="16">
        <f>IF(M32="","",M32*12)</f>
        <v/>
      </c>
      <c r="O32" s="16">
        <f>IF(OR(K32="",K32=0),"",N32/K32)</f>
        <v/>
      </c>
    </row>
    <row r="33">
      <c r="A33" s="15" t="n"/>
      <c r="B33" s="15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33" t="n"/>
      <c r="L33" s="19" t="n"/>
      <c r="M33" s="16">
        <f>IF(C33="","",SUM(C33:G33,J33)+IF(H33="",0,H33/12)+IF(I33="",0,I33/12))</f>
        <v/>
      </c>
      <c r="N33" s="16">
        <f>IF(M33="","",M33*12)</f>
        <v/>
      </c>
      <c r="O33" s="16">
        <f>IF(OR(K33="",K33=0),"",N33/K33)</f>
        <v/>
      </c>
    </row>
  </sheetData>
  <sheetProtection selectLockedCells="1" selectUnlockedCells="1" sheet="1" objects="1" insertRows="0" insertHyperlinks="0" autoFilter="1" scenarios="1" formatColumns="0" deleteColumns="0" insertColumns="0" pivotTables="0" deleteRows="0" formatCells="0" formatRows="0" sort="1" password="EC7C"/>
  <autoFilter ref="A3:O33"/>
  <mergeCells count="2">
    <mergeCell ref="A1:O1"/>
    <mergeCell ref="A2:O2"/>
  </mergeCells>
  <dataValidations count="1">
    <dataValidation sqref="B4:B33" showDropDown="0" showInputMessage="0" showErrorMessage="1" allowBlank="1" type="list">
      <formula1>L_Family_Members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26" customWidth="1" min="7" max="7"/>
  </cols>
  <sheetData>
    <row r="1" ht="30" customHeight="1">
      <c r="A1" s="1" t="inlineStr">
        <is>
          <t>👨‍👩‍👧‍👦 Family &amp; Kids</t>
        </is>
      </c>
    </row>
    <row r="2" ht="28" customHeight="1">
      <c r="A2" s="2" t="inlineStr">
        <is>
          <t>Family-related spending at a glance, plus spending broken down by family member.</t>
        </is>
      </c>
    </row>
    <row r="3">
      <c r="A3" s="14" t="inlineStr">
        <is>
          <t>Category</t>
        </is>
      </c>
      <c r="B3" s="14" t="inlineStr">
        <is>
          <t>Subcategory</t>
        </is>
      </c>
      <c r="C3" s="14" t="inlineStr">
        <is>
          <t>Monthly Budget</t>
        </is>
      </c>
      <c r="D3" s="14" t="inlineStr">
        <is>
          <t>Actual This Month</t>
        </is>
      </c>
      <c r="E3" s="14" t="inlineStr">
        <is>
          <t>Actual YTD</t>
        </is>
      </c>
      <c r="F3" s="14" t="inlineStr">
        <is>
          <t>Variance</t>
        </is>
      </c>
      <c r="G3" s="14" t="inlineStr">
        <is>
          <t>Notes</t>
        </is>
      </c>
    </row>
    <row r="4">
      <c r="A4" s="15" t="inlineStr">
        <is>
          <t>Family</t>
        </is>
      </c>
      <c r="B4" s="15" t="inlineStr">
        <is>
          <t>Childcare</t>
        </is>
      </c>
      <c r="C4" s="19" t="n">
        <v>585</v>
      </c>
      <c r="D4" s="16">
        <f>SUMIFS('💳 Transactions'!$F$4:$F$403,'💳 Transactions'!$C$4:$C$403,"Family",'💳 Transactions'!$D$4:$D$403,B4,'💳 Transactions'!$B$4:$B$403,"Expense",'💳 Transactions'!$O$4:$O$403,C_Month,'💳 Transactions'!$P$4:$P$403,C_Year)</f>
        <v/>
      </c>
      <c r="E4" s="16">
        <f>SUMIFS('💳 Transactions'!$F$4:$F$403,'💳 Transactions'!$C$4:$C$403,"Family",'💳 Transactions'!$D$4:$D$403,B4,'💳 Transactions'!$B$4:$B$403,"Expense",'💳 Transactions'!$P$4:$P$403,C_Year)</f>
        <v/>
      </c>
      <c r="F4" s="16">
        <f>IF(C4="","",C4-D4)</f>
        <v/>
      </c>
      <c r="G4" s="15" t="n"/>
    </row>
    <row r="5">
      <c r="A5" s="15" t="inlineStr">
        <is>
          <t>Family</t>
        </is>
      </c>
      <c r="B5" s="15" t="inlineStr">
        <is>
          <t>School</t>
        </is>
      </c>
      <c r="C5" s="19" t="n">
        <v>60</v>
      </c>
      <c r="D5" s="16">
        <f>SUMIFS('💳 Transactions'!$F$4:$F$403,'💳 Transactions'!$C$4:$C$403,"Family",'💳 Transactions'!$D$4:$D$403,B5,'💳 Transactions'!$B$4:$B$403,"Expense",'💳 Transactions'!$O$4:$O$403,C_Month,'💳 Transactions'!$P$4:$P$403,C_Year)</f>
        <v/>
      </c>
      <c r="E5" s="16">
        <f>SUMIFS('💳 Transactions'!$F$4:$F$403,'💳 Transactions'!$C$4:$C$403,"Family",'💳 Transactions'!$D$4:$D$403,B5,'💳 Transactions'!$B$4:$B$403,"Expense",'💳 Transactions'!$P$4:$P$403,C_Year)</f>
        <v/>
      </c>
      <c r="F5" s="16">
        <f>IF(C5="","",C5-D5)</f>
        <v/>
      </c>
      <c r="G5" s="15" t="n"/>
    </row>
    <row r="6">
      <c r="A6" s="15" t="inlineStr">
        <is>
          <t>Family</t>
        </is>
      </c>
      <c r="B6" s="15" t="inlineStr">
        <is>
          <t>Activities/Sports</t>
        </is>
      </c>
      <c r="C6" s="19" t="n">
        <v>75</v>
      </c>
      <c r="D6" s="16">
        <f>SUMIFS('💳 Transactions'!$F$4:$F$403,'💳 Transactions'!$C$4:$C$403,"Family",'💳 Transactions'!$D$4:$D$403,B6,'💳 Transactions'!$B$4:$B$403,"Expense",'💳 Transactions'!$O$4:$O$403,C_Month,'💳 Transactions'!$P$4:$P$403,C_Year)</f>
        <v/>
      </c>
      <c r="E6" s="16">
        <f>SUMIFS('💳 Transactions'!$F$4:$F$403,'💳 Transactions'!$C$4:$C$403,"Family",'💳 Transactions'!$D$4:$D$403,B6,'💳 Transactions'!$B$4:$B$403,"Expense",'💳 Transactions'!$P$4:$P$403,C_Year)</f>
        <v/>
      </c>
      <c r="F6" s="16">
        <f>IF(C6="","",C6-D6)</f>
        <v/>
      </c>
      <c r="G6" s="15" t="n"/>
    </row>
    <row r="7">
      <c r="A7" s="15" t="inlineStr">
        <is>
          <t>Family</t>
        </is>
      </c>
      <c r="B7" s="15" t="inlineStr">
        <is>
          <t>Clothing</t>
        </is>
      </c>
      <c r="C7" s="19" t="n">
        <v>65</v>
      </c>
      <c r="D7" s="16">
        <f>SUMIFS('💳 Transactions'!$F$4:$F$403,'💳 Transactions'!$C$4:$C$403,"Family",'💳 Transactions'!$D$4:$D$403,B7,'💳 Transactions'!$B$4:$B$403,"Expense",'💳 Transactions'!$O$4:$O$403,C_Month,'💳 Transactions'!$P$4:$P$403,C_Year)</f>
        <v/>
      </c>
      <c r="E7" s="16">
        <f>SUMIFS('💳 Transactions'!$F$4:$F$403,'💳 Transactions'!$C$4:$C$403,"Family",'💳 Transactions'!$D$4:$D$403,B7,'💳 Transactions'!$B$4:$B$403,"Expense",'💳 Transactions'!$P$4:$P$403,C_Year)</f>
        <v/>
      </c>
      <c r="F7" s="16">
        <f>IF(C7="","",C7-D7)</f>
        <v/>
      </c>
      <c r="G7" s="15" t="n"/>
    </row>
    <row r="8">
      <c r="A8" s="15" t="inlineStr">
        <is>
          <t>Family</t>
        </is>
      </c>
      <c r="B8" s="15" t="inlineStr">
        <is>
          <t>Allowances</t>
        </is>
      </c>
      <c r="C8" s="19" t="n">
        <v>25</v>
      </c>
      <c r="D8" s="16">
        <f>SUMIFS('💳 Transactions'!$F$4:$F$403,'💳 Transactions'!$C$4:$C$403,"Family",'💳 Transactions'!$D$4:$D$403,B8,'💳 Transactions'!$B$4:$B$403,"Expense",'💳 Transactions'!$O$4:$O$403,C_Month,'💳 Transactions'!$P$4:$P$403,C_Year)</f>
        <v/>
      </c>
      <c r="E8" s="16">
        <f>SUMIFS('💳 Transactions'!$F$4:$F$403,'💳 Transactions'!$C$4:$C$403,"Family",'💳 Transactions'!$D$4:$D$403,B8,'💳 Transactions'!$B$4:$B$403,"Expense",'💳 Transactions'!$P$4:$P$403,C_Year)</f>
        <v/>
      </c>
      <c r="F8" s="16">
        <f>IF(C8="","",C8-D8)</f>
        <v/>
      </c>
      <c r="G8" s="15" t="n"/>
    </row>
    <row r="9">
      <c r="A9" s="15" t="inlineStr">
        <is>
          <t>Family</t>
        </is>
      </c>
      <c r="B9" s="15" t="inlineStr">
        <is>
          <t>Baby Expenses</t>
        </is>
      </c>
      <c r="C9" s="19" t="n">
        <v>40</v>
      </c>
      <c r="D9" s="16">
        <f>SUMIFS('💳 Transactions'!$F$4:$F$403,'💳 Transactions'!$C$4:$C$403,"Family",'💳 Transactions'!$D$4:$D$403,B9,'💳 Transactions'!$B$4:$B$403,"Expense",'💳 Transactions'!$O$4:$O$403,C_Month,'💳 Transactions'!$P$4:$P$403,C_Year)</f>
        <v/>
      </c>
      <c r="E9" s="16">
        <f>SUMIFS('💳 Transactions'!$F$4:$F$403,'💳 Transactions'!$C$4:$C$403,"Family",'💳 Transactions'!$D$4:$D$403,B9,'💳 Transactions'!$B$4:$B$403,"Expense",'💳 Transactions'!$P$4:$P$403,C_Year)</f>
        <v/>
      </c>
      <c r="F9" s="16">
        <f>IF(C9="","",C9-D9)</f>
        <v/>
      </c>
      <c r="G9" s="15" t="n"/>
    </row>
    <row r="10">
      <c r="A10" s="15" t="inlineStr">
        <is>
          <t>Family</t>
        </is>
      </c>
      <c r="B10" s="15" t="inlineStr">
        <is>
          <t>College Savings</t>
        </is>
      </c>
      <c r="C10" s="19" t="n">
        <v>125</v>
      </c>
      <c r="D10" s="16">
        <f>SUMIFS('💳 Transactions'!$F$4:$F$403,'💳 Transactions'!$C$4:$C$403,"Family",'💳 Transactions'!$D$4:$D$403,B10,'💳 Transactions'!$B$4:$B$403,"Expense",'💳 Transactions'!$O$4:$O$403,C_Month,'💳 Transactions'!$P$4:$P$403,C_Year)</f>
        <v/>
      </c>
      <c r="E10" s="16">
        <f>SUMIFS('💳 Transactions'!$F$4:$F$403,'💳 Transactions'!$C$4:$C$403,"Family",'💳 Transactions'!$D$4:$D$403,B10,'💳 Transactions'!$B$4:$B$403,"Expense",'💳 Transactions'!$P$4:$P$403,C_Year)</f>
        <v/>
      </c>
      <c r="F10" s="16">
        <f>IF(C10="","",C10-D10)</f>
        <v/>
      </c>
      <c r="G10" s="15" t="n"/>
    </row>
    <row r="11">
      <c r="A11" s="15" t="inlineStr">
        <is>
          <t>Family</t>
        </is>
      </c>
      <c r="B11" s="15" t="inlineStr">
        <is>
          <t>Other Family</t>
        </is>
      </c>
      <c r="C11" s="19" t="n"/>
      <c r="D11" s="16">
        <f>SUMIFS('💳 Transactions'!$F$4:$F$403,'💳 Transactions'!$C$4:$C$403,"Family",'💳 Transactions'!$D$4:$D$403,B11,'💳 Transactions'!$B$4:$B$403,"Expense",'💳 Transactions'!$O$4:$O$403,C_Month,'💳 Transactions'!$P$4:$P$403,C_Year)</f>
        <v/>
      </c>
      <c r="E11" s="16">
        <f>SUMIFS('💳 Transactions'!$F$4:$F$403,'💳 Transactions'!$C$4:$C$403,"Family",'💳 Transactions'!$D$4:$D$403,B11,'💳 Transactions'!$B$4:$B$403,"Expense",'💳 Transactions'!$P$4:$P$403,C_Year)</f>
        <v/>
      </c>
      <c r="F11" s="16">
        <f>IF(C11="","",C11-D11)</f>
        <v/>
      </c>
      <c r="G11" s="15" t="n"/>
    </row>
    <row r="13">
      <c r="A13" s="23" t="inlineStr">
        <is>
          <t>TOTAL</t>
        </is>
      </c>
      <c r="B13" s="23" t="inlineStr">
        <is>
          <t>Family Total</t>
        </is>
      </c>
      <c r="C13" s="24">
        <f>SUM(C4:C11)</f>
        <v/>
      </c>
      <c r="D13" s="24">
        <f>SUM(D4:D11)</f>
        <v/>
      </c>
      <c r="E13" s="24">
        <f>SUM(E4:E11)</f>
        <v/>
      </c>
    </row>
    <row r="16">
      <c r="A16" s="3" t="inlineStr">
        <is>
          <t>SPENDING BY FAMILY MEMBER (THIS MONTH)</t>
        </is>
      </c>
    </row>
    <row r="17">
      <c r="A17" s="14" t="inlineStr">
        <is>
          <t>Family Member</t>
        </is>
      </c>
      <c r="B17" s="14" t="inlineStr">
        <is>
          <t>This Month</t>
        </is>
      </c>
      <c r="C17" s="14" t="inlineStr">
        <is>
          <t>YTD</t>
        </is>
      </c>
    </row>
    <row r="18">
      <c r="A18" s="15" t="inlineStr">
        <is>
          <t>Parent 1</t>
        </is>
      </c>
      <c r="B18" s="16">
        <f>SUMIFS('💳 Transactions'!$F$4:$F$403,'💳 Transactions'!$B$4:$B$403,"Expense",'💳 Transactions'!$I$4:$I$403,A18,'💳 Transactions'!$O$4:$O$403,C_Month,'💳 Transactions'!$P$4:$P$403,C_Year)</f>
        <v/>
      </c>
      <c r="C18" s="16">
        <f>SUMIFS('💳 Transactions'!$F$4:$F$403,'💳 Transactions'!$B$4:$B$403,"Expense",'💳 Transactions'!$I$4:$I$403,A18,'💳 Transactions'!$P$4:$P$403,C_Year)</f>
        <v/>
      </c>
    </row>
    <row r="19">
      <c r="A19" s="15" t="inlineStr">
        <is>
          <t>Parent 2</t>
        </is>
      </c>
      <c r="B19" s="16">
        <f>SUMIFS('💳 Transactions'!$F$4:$F$403,'💳 Transactions'!$B$4:$B$403,"Expense",'💳 Transactions'!$I$4:$I$403,A19,'💳 Transactions'!$O$4:$O$403,C_Month,'💳 Transactions'!$P$4:$P$403,C_Year)</f>
        <v/>
      </c>
      <c r="C19" s="16">
        <f>SUMIFS('💳 Transactions'!$F$4:$F$403,'💳 Transactions'!$B$4:$B$403,"Expense",'💳 Transactions'!$I$4:$I$403,A19,'💳 Transactions'!$P$4:$P$403,C_Year)</f>
        <v/>
      </c>
    </row>
    <row r="20">
      <c r="A20" s="15" t="inlineStr">
        <is>
          <t>Child 1</t>
        </is>
      </c>
      <c r="B20" s="16">
        <f>SUMIFS('💳 Transactions'!$F$4:$F$403,'💳 Transactions'!$B$4:$B$403,"Expense",'💳 Transactions'!$I$4:$I$403,A20,'💳 Transactions'!$O$4:$O$403,C_Month,'💳 Transactions'!$P$4:$P$403,C_Year)</f>
        <v/>
      </c>
      <c r="C20" s="16">
        <f>SUMIFS('💳 Transactions'!$F$4:$F$403,'💳 Transactions'!$B$4:$B$403,"Expense",'💳 Transactions'!$I$4:$I$403,A20,'💳 Transactions'!$P$4:$P$403,C_Year)</f>
        <v/>
      </c>
    </row>
    <row r="21">
      <c r="A21" s="15" t="inlineStr">
        <is>
          <t>Child 2</t>
        </is>
      </c>
      <c r="B21" s="16">
        <f>SUMIFS('💳 Transactions'!$F$4:$F$403,'💳 Transactions'!$B$4:$B$403,"Expense",'💳 Transactions'!$I$4:$I$403,A21,'💳 Transactions'!$O$4:$O$403,C_Month,'💳 Transactions'!$P$4:$P$403,C_Year)</f>
        <v/>
      </c>
      <c r="C21" s="16">
        <f>SUMIFS('💳 Transactions'!$F$4:$F$403,'💳 Transactions'!$B$4:$B$403,"Expense",'💳 Transactions'!$I$4:$I$403,A21,'💳 Transactions'!$P$4:$P$403,C_Year)</f>
        <v/>
      </c>
    </row>
    <row r="22">
      <c r="A22" s="15" t="inlineStr">
        <is>
          <t>Household</t>
        </is>
      </c>
      <c r="B22" s="16">
        <f>SUMIFS('💳 Transactions'!$F$4:$F$403,'💳 Transactions'!$B$4:$B$403,"Expense",'💳 Transactions'!$I$4:$I$403,A22,'💳 Transactions'!$O$4:$O$403,C_Month,'💳 Transactions'!$P$4:$P$403,C_Year)</f>
        <v/>
      </c>
      <c r="C22" s="16">
        <f>SUMIFS('💳 Transactions'!$F$4:$F$403,'💳 Transactions'!$B$4:$B$403,"Expense",'💳 Transactions'!$I$4:$I$403,A22,'💳 Transactions'!$P$4:$P$403,C_Year)</f>
        <v/>
      </c>
    </row>
    <row r="23">
      <c r="A23" s="15" t="inlineStr">
        <is>
          <t>Other</t>
        </is>
      </c>
      <c r="B23" s="16">
        <f>SUMIFS('💳 Transactions'!$F$4:$F$403,'💳 Transactions'!$B$4:$B$403,"Expense",'💳 Transactions'!$I$4:$I$403,A23,'💳 Transactions'!$O$4:$O$403,C_Month,'💳 Transactions'!$P$4:$P$403,C_Year)</f>
        <v/>
      </c>
      <c r="C23" s="16">
        <f>SUMIFS('💳 Transactions'!$F$4:$F$403,'💳 Transactions'!$B$4:$B$403,"Expense",'💳 Transactions'!$I$4:$I$403,A23,'💳 Transactions'!$P$4:$P$403,C_Year)</f>
        <v/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26" customWidth="1" min="7" max="7"/>
  </cols>
  <sheetData>
    <row r="1" ht="30" customHeight="1">
      <c r="A1" s="1" t="inlineStr">
        <is>
          <t>🏥 Healthcare &amp; Insurance</t>
        </is>
      </c>
    </row>
    <row r="2" ht="28" customHeight="1">
      <c r="A2" s="2" t="inlineStr">
        <is>
          <t>Healthcare spending vs budget, plus every insurance premium in one place.</t>
        </is>
      </c>
    </row>
    <row r="3">
      <c r="A3" s="14" t="inlineStr">
        <is>
          <t>Category</t>
        </is>
      </c>
      <c r="B3" s="14" t="inlineStr">
        <is>
          <t>Subcategory</t>
        </is>
      </c>
      <c r="C3" s="14" t="inlineStr">
        <is>
          <t>Monthly Budget</t>
        </is>
      </c>
      <c r="D3" s="14" t="inlineStr">
        <is>
          <t>Actual This Month</t>
        </is>
      </c>
      <c r="E3" s="14" t="inlineStr">
        <is>
          <t>Actual YTD</t>
        </is>
      </c>
      <c r="F3" s="14" t="inlineStr">
        <is>
          <t>Variance</t>
        </is>
      </c>
      <c r="G3" s="14" t="inlineStr">
        <is>
          <t>Notes</t>
        </is>
      </c>
    </row>
    <row r="4">
      <c r="A4" s="15" t="inlineStr">
        <is>
          <t>Healthcare</t>
        </is>
      </c>
      <c r="B4" s="15" t="inlineStr">
        <is>
          <t>Health Insurance</t>
        </is>
      </c>
      <c r="C4" s="19" t="n">
        <v>290</v>
      </c>
      <c r="D4" s="16">
        <f>SUMIFS('💳 Transactions'!$F$4:$F$403,'💳 Transactions'!$C$4:$C$403,"Healthcare",'💳 Transactions'!$D$4:$D$403,B4,'💳 Transactions'!$B$4:$B$403,"Expense",'💳 Transactions'!$O$4:$O$403,C_Month,'💳 Transactions'!$P$4:$P$403,C_Year)</f>
        <v/>
      </c>
      <c r="E4" s="16">
        <f>SUMIFS('💳 Transactions'!$F$4:$F$403,'💳 Transactions'!$C$4:$C$403,"Healthcare",'💳 Transactions'!$D$4:$D$403,B4,'💳 Transactions'!$B$4:$B$403,"Expense",'💳 Transactions'!$P$4:$P$403,C_Year)</f>
        <v/>
      </c>
      <c r="F4" s="16">
        <f>IF(C4="","",C4-D4)</f>
        <v/>
      </c>
      <c r="G4" s="15" t="n"/>
    </row>
    <row r="5">
      <c r="A5" s="15" t="inlineStr">
        <is>
          <t>Healthcare</t>
        </is>
      </c>
      <c r="B5" s="15" t="inlineStr">
        <is>
          <t>Dental</t>
        </is>
      </c>
      <c r="C5" s="19" t="n">
        <v>20</v>
      </c>
      <c r="D5" s="16">
        <f>SUMIFS('💳 Transactions'!$F$4:$F$403,'💳 Transactions'!$C$4:$C$403,"Healthcare",'💳 Transactions'!$D$4:$D$403,B5,'💳 Transactions'!$B$4:$B$403,"Expense",'💳 Transactions'!$O$4:$O$403,C_Month,'💳 Transactions'!$P$4:$P$403,C_Year)</f>
        <v/>
      </c>
      <c r="E5" s="16">
        <f>SUMIFS('💳 Transactions'!$F$4:$F$403,'💳 Transactions'!$C$4:$C$403,"Healthcare",'💳 Transactions'!$D$4:$D$403,B5,'💳 Transactions'!$B$4:$B$403,"Expense",'💳 Transactions'!$P$4:$P$403,C_Year)</f>
        <v/>
      </c>
      <c r="F5" s="16">
        <f>IF(C5="","",C5-D5)</f>
        <v/>
      </c>
      <c r="G5" s="15" t="n"/>
    </row>
    <row r="6">
      <c r="A6" s="15" t="inlineStr">
        <is>
          <t>Healthcare</t>
        </is>
      </c>
      <c r="B6" s="15" t="inlineStr">
        <is>
          <t>Vision</t>
        </is>
      </c>
      <c r="C6" s="19" t="n">
        <v>15</v>
      </c>
      <c r="D6" s="16">
        <f>SUMIFS('💳 Transactions'!$F$4:$F$403,'💳 Transactions'!$C$4:$C$403,"Healthcare",'💳 Transactions'!$D$4:$D$403,B6,'💳 Transactions'!$B$4:$B$403,"Expense",'💳 Transactions'!$O$4:$O$403,C_Month,'💳 Transactions'!$P$4:$P$403,C_Year)</f>
        <v/>
      </c>
      <c r="E6" s="16">
        <f>SUMIFS('💳 Transactions'!$F$4:$F$403,'💳 Transactions'!$C$4:$C$403,"Healthcare",'💳 Transactions'!$D$4:$D$403,B6,'💳 Transactions'!$B$4:$B$403,"Expense",'💳 Transactions'!$P$4:$P$403,C_Year)</f>
        <v/>
      </c>
      <c r="F6" s="16">
        <f>IF(C6="","",C6-D6)</f>
        <v/>
      </c>
      <c r="G6" s="15" t="n"/>
    </row>
    <row r="7">
      <c r="A7" s="15" t="inlineStr">
        <is>
          <t>Healthcare</t>
        </is>
      </c>
      <c r="B7" s="15" t="inlineStr">
        <is>
          <t>Prescriptions</t>
        </is>
      </c>
      <c r="C7" s="19" t="n">
        <v>35</v>
      </c>
      <c r="D7" s="16">
        <f>SUMIFS('💳 Transactions'!$F$4:$F$403,'💳 Transactions'!$C$4:$C$403,"Healthcare",'💳 Transactions'!$D$4:$D$403,B7,'💳 Transactions'!$B$4:$B$403,"Expense",'💳 Transactions'!$O$4:$O$403,C_Month,'💳 Transactions'!$P$4:$P$403,C_Year)</f>
        <v/>
      </c>
      <c r="E7" s="16">
        <f>SUMIFS('💳 Transactions'!$F$4:$F$403,'💳 Transactions'!$C$4:$C$403,"Healthcare",'💳 Transactions'!$D$4:$D$403,B7,'💳 Transactions'!$B$4:$B$403,"Expense",'💳 Transactions'!$P$4:$P$403,C_Year)</f>
        <v/>
      </c>
      <c r="F7" s="16">
        <f>IF(C7="","",C7-D7)</f>
        <v/>
      </c>
      <c r="G7" s="15" t="n"/>
    </row>
    <row r="8">
      <c r="A8" s="15" t="inlineStr">
        <is>
          <t>Healthcare</t>
        </is>
      </c>
      <c r="B8" s="15" t="inlineStr">
        <is>
          <t>Medical Expenses</t>
        </is>
      </c>
      <c r="C8" s="19" t="n">
        <v>65</v>
      </c>
      <c r="D8" s="16">
        <f>SUMIFS('💳 Transactions'!$F$4:$F$403,'💳 Transactions'!$C$4:$C$403,"Healthcare",'💳 Transactions'!$D$4:$D$403,B8,'💳 Transactions'!$B$4:$B$403,"Expense",'💳 Transactions'!$O$4:$O$403,C_Month,'💳 Transactions'!$P$4:$P$403,C_Year)</f>
        <v/>
      </c>
      <c r="E8" s="16">
        <f>SUMIFS('💳 Transactions'!$F$4:$F$403,'💳 Transactions'!$C$4:$C$403,"Healthcare",'💳 Transactions'!$D$4:$D$403,B8,'💳 Transactions'!$B$4:$B$403,"Expense",'💳 Transactions'!$P$4:$P$403,C_Year)</f>
        <v/>
      </c>
      <c r="F8" s="16">
        <f>IF(C8="","",C8-D8)</f>
        <v/>
      </c>
      <c r="G8" s="15" t="n"/>
    </row>
    <row r="9">
      <c r="A9" s="15" t="inlineStr">
        <is>
          <t>Healthcare</t>
        </is>
      </c>
      <c r="B9" s="15" t="inlineStr">
        <is>
          <t>Other Healthcare</t>
        </is>
      </c>
      <c r="C9" s="19" t="n"/>
      <c r="D9" s="16">
        <f>SUMIFS('💳 Transactions'!$F$4:$F$403,'💳 Transactions'!$C$4:$C$403,"Healthcare",'💳 Transactions'!$D$4:$D$403,B9,'💳 Transactions'!$B$4:$B$403,"Expense",'💳 Transactions'!$O$4:$O$403,C_Month,'💳 Transactions'!$P$4:$P$403,C_Year)</f>
        <v/>
      </c>
      <c r="E9" s="16">
        <f>SUMIFS('💳 Transactions'!$F$4:$F$403,'💳 Transactions'!$C$4:$C$403,"Healthcare",'💳 Transactions'!$D$4:$D$403,B9,'💳 Transactions'!$B$4:$B$403,"Expense",'💳 Transactions'!$P$4:$P$403,C_Year)</f>
        <v/>
      </c>
      <c r="F9" s="16">
        <f>IF(C9="","",C9-D9)</f>
        <v/>
      </c>
      <c r="G9" s="15" t="n"/>
    </row>
    <row r="11">
      <c r="A11" s="23" t="inlineStr">
        <is>
          <t>TOTAL</t>
        </is>
      </c>
      <c r="B11" s="23" t="inlineStr">
        <is>
          <t>Healthcare Total</t>
        </is>
      </c>
      <c r="C11" s="24">
        <f>SUM(C4:C9)</f>
        <v/>
      </c>
      <c r="D11" s="24">
        <f>SUM(D4:D9)</f>
        <v/>
      </c>
      <c r="E11" s="24">
        <f>SUM(E4:E9)</f>
        <v/>
      </c>
    </row>
    <row r="14">
      <c r="A14" s="3" t="inlineStr">
        <is>
          <t>INSURANCE PREMIUMS &amp; HEALTH DETAILS</t>
        </is>
      </c>
    </row>
    <row r="15">
      <c r="A15" s="14" t="inlineStr">
        <is>
          <t>Policy</t>
        </is>
      </c>
      <c r="B15" s="14" t="inlineStr">
        <is>
          <t>Monthly Premium</t>
        </is>
      </c>
      <c r="C15" s="14" t="inlineStr">
        <is>
          <t>Annual Cost</t>
        </is>
      </c>
      <c r="D15" s="14" t="inlineStr">
        <is>
          <t>Deductible</t>
        </is>
      </c>
      <c r="E15" s="14" t="inlineStr">
        <is>
          <t>OOP Max</t>
        </is>
      </c>
      <c r="F15" s="14" t="inlineStr">
        <is>
          <t>HSA/FSA</t>
        </is>
      </c>
      <c r="G15" s="14" t="inlineStr">
        <is>
          <t>Notes</t>
        </is>
      </c>
    </row>
    <row r="16">
      <c r="A16" s="15" t="inlineStr">
        <is>
          <t>Health Insurance</t>
        </is>
      </c>
      <c r="B16" s="19" t="n">
        <v>420</v>
      </c>
      <c r="C16" s="16">
        <f>IF(B16="","",B16*12)</f>
        <v/>
      </c>
      <c r="D16" s="19" t="n"/>
      <c r="E16" s="19" t="n">
        <v>3000</v>
      </c>
      <c r="F16" s="19" t="n">
        <v>9200</v>
      </c>
      <c r="G16" s="15" t="inlineStr"/>
    </row>
    <row r="17">
      <c r="A17" s="15" t="inlineStr">
        <is>
          <t>Dental</t>
        </is>
      </c>
      <c r="B17" s="19" t="n">
        <v>30</v>
      </c>
      <c r="C17" s="16">
        <f>IF(B17="","",B17*12)</f>
        <v/>
      </c>
      <c r="D17" s="19" t="n"/>
      <c r="E17" s="19" t="n">
        <v>150</v>
      </c>
      <c r="F17" s="19" t="n">
        <v>1500</v>
      </c>
      <c r="G17" s="15" t="inlineStr"/>
    </row>
    <row r="18">
      <c r="A18" s="15" t="inlineStr">
        <is>
          <t>Vision</t>
        </is>
      </c>
      <c r="B18" s="19" t="n">
        <v>20</v>
      </c>
      <c r="C18" s="16">
        <f>IF(B18="","",B18*12)</f>
        <v/>
      </c>
      <c r="D18" s="19" t="n"/>
      <c r="E18" s="19" t="n">
        <v>25</v>
      </c>
      <c r="F18" s="19" t="n">
        <v>500</v>
      </c>
      <c r="G18" s="15" t="inlineStr"/>
    </row>
    <row r="19">
      <c r="A19" s="15" t="inlineStr">
        <is>
          <t>Life Insurance</t>
        </is>
      </c>
      <c r="B19" s="19" t="n">
        <v>55</v>
      </c>
      <c r="C19" s="16">
        <f>IF(B19="","",B19*12)</f>
        <v/>
      </c>
      <c r="D19" s="19" t="n"/>
      <c r="E19" s="19" t="n"/>
      <c r="F19" s="19" t="n"/>
      <c r="G19" s="15" t="inlineStr"/>
    </row>
    <row r="20">
      <c r="A20" s="15" t="inlineStr">
        <is>
          <t>Disability</t>
        </is>
      </c>
      <c r="B20" s="19" t="n">
        <v>40</v>
      </c>
      <c r="C20" s="16">
        <f>IF(B20="","",B20*12)</f>
        <v/>
      </c>
      <c r="D20" s="19" t="n"/>
      <c r="E20" s="19" t="n"/>
      <c r="F20" s="19" t="n"/>
      <c r="G20" s="15" t="inlineStr"/>
    </row>
    <row r="21">
      <c r="A21" s="15" t="inlineStr">
        <is>
          <t>Auto Insurance</t>
        </is>
      </c>
      <c r="B21" s="19" t="n">
        <v>130</v>
      </c>
      <c r="C21" s="16">
        <f>IF(B21="","",B21*12)</f>
        <v/>
      </c>
      <c r="D21" s="19" t="n"/>
      <c r="E21" s="19" t="n">
        <v>500</v>
      </c>
      <c r="F21" s="19" t="n"/>
      <c r="G21" s="15" t="inlineStr"/>
    </row>
    <row r="22">
      <c r="A22" s="15" t="inlineStr">
        <is>
          <t>Home / Renters</t>
        </is>
      </c>
      <c r="B22" s="19" t="n">
        <v>120</v>
      </c>
      <c r="C22" s="16">
        <f>IF(B22="","",B22*12)</f>
        <v/>
      </c>
      <c r="D22" s="19" t="n"/>
      <c r="E22" s="19" t="n">
        <v>1000</v>
      </c>
      <c r="F22" s="19" t="n"/>
      <c r="G22" s="15" t="inlineStr"/>
    </row>
    <row r="24">
      <c r="A24" s="23" t="inlineStr">
        <is>
          <t>TOTAL PREMIUMS</t>
        </is>
      </c>
      <c r="B24" s="24">
        <f>SUM(B16:B22)</f>
        <v/>
      </c>
      <c r="C24" s="24">
        <f>SUM(C16:C22)</f>
        <v/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18" customWidth="1" min="4" max="4"/>
  </cols>
  <sheetData>
    <row r="1" ht="30" customHeight="1">
      <c r="A1" s="1" t="inlineStr">
        <is>
          <t>🇺🇸 U.S. Tax Center</t>
        </is>
      </c>
    </row>
    <row r="2" ht="28" customHeight="1">
      <c r="A2" s="2" t="inlineStr">
        <is>
          <t>ESTIMATE ONLY — simplified federal + FICA estimate. Update brackets &amp; deductions when tax rules change.</t>
        </is>
      </c>
    </row>
    <row r="4">
      <c r="A4" s="3" t="inlineStr">
        <is>
          <t>INPUTS</t>
        </is>
      </c>
    </row>
    <row r="5">
      <c r="A5" s="6" t="inlineStr">
        <is>
          <t>Filing Status</t>
        </is>
      </c>
      <c r="B5" s="15" t="n"/>
    </row>
    <row r="6">
      <c r="A6" s="6" t="inlineStr">
        <is>
          <t>Gross Income (YTD)</t>
        </is>
      </c>
      <c r="B6" s="16">
        <f>SUMIFS('💰 Income'!$E$4:$E$203,'💰 Income'!$P$4:$P$203,C_Year)</f>
        <v/>
      </c>
    </row>
    <row r="7">
      <c r="A7" s="6" t="inlineStr">
        <is>
          <t>401(k)/403(b) pre-tax (YTD)</t>
        </is>
      </c>
      <c r="B7" s="16">
        <f>SUMIFS('💰 Income'!$J$4:$J$203,'💰 Income'!$P$4:$P$203,C_Year)</f>
        <v/>
      </c>
    </row>
    <row r="8">
      <c r="A8" s="6" t="inlineStr">
        <is>
          <t>HSA pre-tax (YTD)</t>
        </is>
      </c>
      <c r="B8" s="16">
        <f>SUMIFS('💰 Income'!$K$4:$K$203,'💰 Income'!$P$4:$P$203,C_Year)</f>
        <v/>
      </c>
    </row>
    <row r="9">
      <c r="A9" s="6" t="inlineStr">
        <is>
          <t>Federal Withheld (YTD)</t>
        </is>
      </c>
      <c r="B9" s="16">
        <f>SUMIFS('💰 Income'!$F$4:$F$203,'💰 Income'!$P$4:$P$203,C_Year)</f>
        <v/>
      </c>
    </row>
    <row r="10">
      <c r="A10" s="6" t="inlineStr">
        <is>
          <t>State/Local Withheld (YTD)</t>
        </is>
      </c>
      <c r="B10" s="16">
        <f>SUMIFS('💰 Income'!$G$4:$G$203,'💰 Income'!$P$4:$P$203,C_Year)</f>
        <v/>
      </c>
    </row>
    <row r="11">
      <c r="A11" s="6" t="inlineStr">
        <is>
          <t>FICA Withheld (YTD)</t>
        </is>
      </c>
      <c r="B11" s="16">
        <f>SUMIFS('💰 Income'!$H$4:$H$203,'💰 Income'!$P$4:$P$203,C_Year)+SUMIFS('💰 Income'!$I$4:$I$203,'💰 Income'!$P$4:$P$203,C_Year)</f>
        <v/>
      </c>
    </row>
    <row r="12">
      <c r="A12" s="6" t="inlineStr">
        <is>
          <t>Other Taxable Income (YTD)</t>
        </is>
      </c>
      <c r="B12" s="19" t="n"/>
    </row>
    <row r="13">
      <c r="A13" s="6" t="inlineStr">
        <is>
          <t>Dependents (count)</t>
        </is>
      </c>
      <c r="B13" s="19" t="n"/>
    </row>
    <row r="14">
      <c r="A14" s="6" t="inlineStr">
        <is>
          <t>Charitable Donations</t>
        </is>
      </c>
      <c r="B14" s="19" t="n"/>
    </row>
    <row r="15">
      <c r="A15" s="6" t="inlineStr">
        <is>
          <t>Mortgage Interest</t>
        </is>
      </c>
      <c r="B15" s="19" t="n"/>
    </row>
    <row r="16">
      <c r="A16" s="6" t="inlineStr">
        <is>
          <t>Property Taxes Paid</t>
        </is>
      </c>
      <c r="B16" s="19" t="n"/>
    </row>
    <row r="17">
      <c r="A17" s="6" t="inlineStr">
        <is>
          <t>State &amp; Local Taxes (SALT)</t>
        </is>
      </c>
      <c r="B17" s="16">
        <f>B10</f>
        <v/>
      </c>
    </row>
    <row r="20">
      <c r="A20" s="42" t="inlineStr">
        <is>
          <t>STANDARD DEDUCTION</t>
        </is>
      </c>
      <c r="B20" s="16">
        <f>IF(B5="Married Filing Jointly",30000,IF(B5="Qualifying Surviving Spouse",30000,IF(B5="Head of Household",22500,15000)))</f>
        <v/>
      </c>
    </row>
    <row r="21">
      <c r="A21" s="42" t="inlineStr">
        <is>
          <t>ITEMIZED ESTIMATE</t>
        </is>
      </c>
      <c r="B21" s="16">
        <f>B14+B15+B16+MIN(10000,B17)</f>
        <v/>
      </c>
    </row>
    <row r="22">
      <c r="A22" s="42" t="inlineStr">
        <is>
          <t>DEDUCTION USED</t>
        </is>
      </c>
      <c r="B22" s="16">
        <f>MAX(B20,B21)</f>
        <v/>
      </c>
    </row>
    <row r="25">
      <c r="A25" s="3" t="inlineStr">
        <is>
          <t>ESTIMATED TAX POSITION</t>
        </is>
      </c>
    </row>
    <row r="26">
      <c r="A26" s="6" t="inlineStr">
        <is>
          <t>Adjusted Gross Income (AGI)</t>
        </is>
      </c>
      <c r="B26" s="16">
        <f>B6-B7-B8</f>
        <v/>
      </c>
    </row>
    <row r="27">
      <c r="A27" s="6" t="inlineStr">
        <is>
          <t>Taxable Income</t>
        </is>
      </c>
      <c r="B27" s="16">
        <f>MAX(0,B26-$B$22)</f>
        <v/>
      </c>
    </row>
    <row r="28">
      <c r="A28" s="6" t="inlineStr">
        <is>
          <t>Estimated Federal Tax</t>
        </is>
      </c>
      <c r="B28" s="16">
        <f>IF($B$5="Married Filing Jointly",IF(B27&lt;=23850,0+(B27-0)*0.1,IF(B27&lt;=96950,2385.0+(B27-23850)*0.12,IF(B27&lt;=206700,11157.0+(B27-96950)*0.22,IF(B27&lt;=394600,35302.0+(B27-206700)*0.24,IF(B27&lt;=501050,80398.0+(B27-394600)*0.32,IF(B27&lt;=751600,114462.0+(B27-501050)*0.35,202154.5+(B27-751600)*0.37)))))),IF($B$5="Qualifying Surviving Spouse",IF(B27&lt;=23850,0+(B27-0)*0.1,IF(B27&lt;=96950,2385.0+(B27-23850)*0.12,IF(B27&lt;=206700,11157.0+(B27-96950)*0.22,IF(B27&lt;=394600,35302.0+(B27-206700)*0.24,IF(B27&lt;=501050,80398.0+(B27-394600)*0.32,IF(B27&lt;=751600,114462.0+(B27-501050)*0.35,202154.5+(B27-751600)*0.37)))))),IF($B$5="Head of Household",IF(B27&lt;=17000,0+(B27-0)*0.1,IF(B27&lt;=64850,1700.0+(B27-17000)*0.12,IF(B27&lt;=103350,7442.0+(B27-64850)*0.22,IF(B27&lt;=197300,15912.0+(B27-103350)*0.24,IF(B27&lt;=250525,38460.0+(B27-197300)*0.32,IF(B27&lt;=626350,55492.0+(B27-250525)*0.35,187030.75+(B27-626350)*0.37)))))),IF(B27&lt;=11925,0+(B27-0)*0.1,IF(B27&lt;=48475,1192.5+(B27-11925)*0.12,IF(B27&lt;=103350,5578.5+(B27-48475)*0.22,IF(B27&lt;=197300,17651.0+(B27-103350)*0.24,IF(B27&lt;=250525,40199.0+(B27-197300)*0.32,IF(B27&lt;=626350,57231.0+(B27-250525)*0.35,188769.75+(B27-626350)*0.37)))))))))</f>
        <v/>
      </c>
    </row>
    <row r="29">
      <c r="A29" s="6" t="inlineStr">
        <is>
          <t>Estimated FICA (employee)</t>
        </is>
      </c>
      <c r="B29" s="16">
        <f>IF(B6="","",MIN(B6,176100)*0.062+B6*0.0145)</f>
        <v/>
      </c>
    </row>
    <row r="30">
      <c r="A30" s="23" t="inlineStr">
        <is>
          <t>Total Estimated Tax</t>
        </is>
      </c>
      <c r="B30" s="24">
        <f>B28+B29</f>
        <v/>
      </c>
    </row>
    <row r="31">
      <c r="A31" s="6" t="inlineStr">
        <is>
          <t>Total Withheld (Fed + State + FICA)</t>
        </is>
      </c>
      <c r="B31" s="16">
        <f>B9+B10+B11</f>
        <v/>
      </c>
    </row>
    <row r="32">
      <c r="A32" s="6" t="inlineStr">
        <is>
          <t>EST. REFUND / (AMOUNT OWED)</t>
        </is>
      </c>
      <c r="B32" s="34">
        <f>B31-B30</f>
        <v/>
      </c>
      <c r="D32" s="43" t="inlineStr">
        <is>
          <t>Positive = refund. Negative = you may owe.</t>
        </is>
      </c>
    </row>
    <row r="34">
      <c r="A34" s="44" t="inlineStr">
        <is>
          <t>⚠️ This is a simplified ESTIMATE only. It ignores many credits, deductions, and phaseouts, and represents old tax rules. Update the brackets, standard deduction and formulas when tax law changes, or consult a professional.</t>
        </is>
      </c>
      <c r="B34" s="45" t="n"/>
      <c r="C34" s="45" t="n"/>
      <c r="D34" s="45" t="n"/>
    </row>
    <row r="35">
      <c r="A35" s="45" t="n"/>
      <c r="B35" s="45" t="n"/>
      <c r="C35" s="45" t="n"/>
      <c r="D35" s="45" t="n"/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3">
    <mergeCell ref="A1:D1"/>
    <mergeCell ref="A34:D35"/>
    <mergeCell ref="A2:D2"/>
  </mergeCells>
  <dataValidations count="1">
    <dataValidation sqref="B5" showDropDown="0" showInputMessage="0" showErrorMessage="1" allowBlank="0" type="list">
      <formula1>L_Filing_Status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 ht="30" customHeight="1">
      <c r="A1" s="1" t="inlineStr">
        <is>
          <t>📊 Financial Analytics</t>
        </is>
      </c>
    </row>
    <row r="2" ht="28" customHeight="1">
      <c r="A2" s="2" t="inlineStr">
        <is>
          <t>Automatic answers — where the money went, trends, needs vs wants, savings rate, debt, and per-person spend.</t>
        </is>
      </c>
    </row>
    <row r="4">
      <c r="A4" s="3" t="inlineStr">
        <is>
          <t>YEAR-TO-DATE SUMMARY</t>
        </is>
      </c>
    </row>
    <row r="5">
      <c r="A5" s="46" t="inlineStr">
        <is>
          <t>Total Income</t>
        </is>
      </c>
      <c r="B5" s="46" t="inlineStr">
        <is>
          <t>Total Spending</t>
        </is>
      </c>
      <c r="C5" s="46" t="inlineStr">
        <is>
          <t>Net Savings</t>
        </is>
      </c>
      <c r="D5" s="46" t="inlineStr">
        <is>
          <t>Savings Rate</t>
        </is>
      </c>
      <c r="E5" s="46" t="inlineStr">
        <is>
          <t>This Month Spending</t>
        </is>
      </c>
      <c r="F5" s="46" t="inlineStr">
        <is>
          <t>This Month Net</t>
        </is>
      </c>
      <c r="G5" s="46" t="inlineStr">
        <is>
          <t>Total Debt</t>
        </is>
      </c>
      <c r="H5" s="46" t="inlineStr">
        <is>
          <t>Avg Monthly Spend</t>
        </is>
      </c>
    </row>
    <row r="6">
      <c r="A6" s="16">
        <f>SUMIFS('💰 Income'!$M$4:$M$203,'💰 Income'!$P$4:$P$203,C_Year)</f>
        <v/>
      </c>
      <c r="B6" s="16">
        <f>SUMIFS('💳 Transactions'!$F$4:$F$403,'💳 Transactions'!$B$4:$B$403,"Expense",'💳 Transactions'!$P$4:$P$403,C_Year)</f>
        <v/>
      </c>
      <c r="C6" s="16">
        <f>A6-B6</f>
        <v/>
      </c>
      <c r="D6" s="22">
        <f>IF(A6=0,"",C6/A6)</f>
        <v/>
      </c>
      <c r="E6" s="16">
        <f>SUMIFS('💳 Transactions'!$F$4:$F$403,'💳 Transactions'!$B$4:$B$403,"Expense",'💳 Transactions'!$O$4:$O$403,C_Month,'💳 Transactions'!$P$4:$P$403,C_Year)</f>
        <v/>
      </c>
      <c r="F6" s="16">
        <f>SUMIFS('💰 Income'!$M$4:$M$203,'💰 Income'!$O$4:$O$203,C_Month,'💰 Income'!$P$4:$P$203,C_Year)-E6</f>
        <v/>
      </c>
      <c r="G6" s="16">
        <f>SUM('💸 Debt Manager'!$D$8:$D$107)</f>
        <v/>
      </c>
      <c r="H6" s="16">
        <f>IFERROR(AVERAGEIF($C$24:$C$35,"&gt;0"),0)</f>
        <v/>
      </c>
    </row>
    <row r="8">
      <c r="A8" s="3" t="inlineStr">
        <is>
          <t>SPENDING BY CATEGORY (YTD)</t>
        </is>
      </c>
    </row>
    <row r="9">
      <c r="A9" s="14" t="inlineStr">
        <is>
          <t>Category</t>
        </is>
      </c>
      <c r="B9" s="14" t="inlineStr">
        <is>
          <t>Monthly Budget</t>
        </is>
      </c>
      <c r="C9" s="14" t="inlineStr">
        <is>
          <t>Actual YTD</t>
        </is>
      </c>
      <c r="D9" s="14" t="inlineStr">
        <is>
          <t>Actual This Month</t>
        </is>
      </c>
      <c r="E9" s="14" t="inlineStr">
        <is>
          <t>Variance</t>
        </is>
      </c>
      <c r="F9" s="14" t="inlineStr">
        <is>
          <t>% of Total</t>
        </is>
      </c>
      <c r="G9" s="14" t="inlineStr">
        <is>
          <t>Rank</t>
        </is>
      </c>
    </row>
    <row r="10">
      <c r="A10" s="15" t="inlineStr">
        <is>
          <t>Housing</t>
        </is>
      </c>
      <c r="B10" s="16">
        <f>'📋 Budget'!$C$11</f>
        <v/>
      </c>
      <c r="C10" s="16">
        <f>SUMIFS('💳 Transactions'!$F$4:$F$403,'💳 Transactions'!$C$4:$C$403,A10,'💳 Transactions'!$B$4:$B$403,"Expense",'💳 Transactions'!$P$4:$P$403,C_Year)</f>
        <v/>
      </c>
      <c r="D10" s="16">
        <f>SUMIFS('💳 Transactions'!$F$4:$F$403,'💳 Transactions'!$C$4:$C$403,A10,'💳 Transactions'!$B$4:$B$403,"Expense",'💳 Transactions'!$O$4:$O$403,C_Month,'💳 Transactions'!$P$4:$P$403,C_Year)</f>
        <v/>
      </c>
      <c r="E10" s="16">
        <f>B10-C10</f>
        <v/>
      </c>
      <c r="F10" s="22">
        <f>IF($B$6=0,"",C10/$B$6)</f>
        <v/>
      </c>
      <c r="G10" s="20">
        <f>IF(C10="","",RANK(C10,$C$10:$C$20,0))</f>
        <v/>
      </c>
    </row>
    <row r="11">
      <c r="A11" s="15" t="inlineStr">
        <is>
          <t>Transportation</t>
        </is>
      </c>
      <c r="B11" s="16">
        <f>'📋 Budget'!$C$19</f>
        <v/>
      </c>
      <c r="C11" s="16">
        <f>SUMIFS('💳 Transactions'!$F$4:$F$403,'💳 Transactions'!$C$4:$C$403,A11,'💳 Transactions'!$B$4:$B$403,"Expense",'💳 Transactions'!$P$4:$P$403,C_Year)</f>
        <v/>
      </c>
      <c r="D11" s="16">
        <f>SUMIFS('💳 Transactions'!$F$4:$F$403,'💳 Transactions'!$C$4:$C$403,A11,'💳 Transactions'!$B$4:$B$403,"Expense",'💳 Transactions'!$O$4:$O$403,C_Month,'💳 Transactions'!$P$4:$P$403,C_Year)</f>
        <v/>
      </c>
      <c r="E11" s="16">
        <f>B11-C11</f>
        <v/>
      </c>
      <c r="F11" s="22">
        <f>IF($B$6=0,"",C11/$B$6)</f>
        <v/>
      </c>
      <c r="G11" s="20">
        <f>IF(C11="","",RANK(C11,$C$10:$C$20,0))</f>
        <v/>
      </c>
    </row>
    <row r="12">
      <c r="A12" s="15" t="inlineStr">
        <is>
          <t>Food</t>
        </is>
      </c>
      <c r="B12" s="16">
        <f>'📋 Budget'!$C$25</f>
        <v/>
      </c>
      <c r="C12" s="16">
        <f>SUMIFS('💳 Transactions'!$F$4:$F$403,'💳 Transactions'!$C$4:$C$403,A12,'💳 Transactions'!$B$4:$B$403,"Expense",'💳 Transactions'!$P$4:$P$403,C_Year)</f>
        <v/>
      </c>
      <c r="D12" s="16">
        <f>SUMIFS('💳 Transactions'!$F$4:$F$403,'💳 Transactions'!$C$4:$C$403,A12,'💳 Transactions'!$B$4:$B$403,"Expense",'💳 Transactions'!$O$4:$O$403,C_Month,'💳 Transactions'!$P$4:$P$403,C_Year)</f>
        <v/>
      </c>
      <c r="E12" s="16">
        <f>B12-C12</f>
        <v/>
      </c>
      <c r="F12" s="22">
        <f>IF($B$6=0,"",C12/$B$6)</f>
        <v/>
      </c>
      <c r="G12" s="20">
        <f>IF(C12="","",RANK(C12,$C$10:$C$20,0))</f>
        <v/>
      </c>
    </row>
    <row r="13">
      <c r="A13" s="15" t="inlineStr">
        <is>
          <t>Family</t>
        </is>
      </c>
      <c r="B13" s="16">
        <f>'📋 Budget'!$C$34</f>
        <v/>
      </c>
      <c r="C13" s="16">
        <f>SUMIFS('💳 Transactions'!$F$4:$F$403,'💳 Transactions'!$C$4:$C$403,A13,'💳 Transactions'!$B$4:$B$403,"Expense",'💳 Transactions'!$P$4:$P$403,C_Year)</f>
        <v/>
      </c>
      <c r="D13" s="16">
        <f>SUMIFS('💳 Transactions'!$F$4:$F$403,'💳 Transactions'!$C$4:$C$403,A13,'💳 Transactions'!$B$4:$B$403,"Expense",'💳 Transactions'!$O$4:$O$403,C_Month,'💳 Transactions'!$P$4:$P$403,C_Year)</f>
        <v/>
      </c>
      <c r="E13" s="16">
        <f>B13-C13</f>
        <v/>
      </c>
      <c r="F13" s="22">
        <f>IF($B$6=0,"",C13/$B$6)</f>
        <v/>
      </c>
      <c r="G13" s="20">
        <f>IF(C13="","",RANK(C13,$C$10:$C$20,0))</f>
        <v/>
      </c>
    </row>
    <row r="14">
      <c r="A14" s="15" t="inlineStr">
        <is>
          <t>Healthcare</t>
        </is>
      </c>
      <c r="B14" s="16">
        <f>'📋 Budget'!$C$41</f>
        <v/>
      </c>
      <c r="C14" s="16">
        <f>SUMIFS('💳 Transactions'!$F$4:$F$403,'💳 Transactions'!$C$4:$C$403,A14,'💳 Transactions'!$B$4:$B$403,"Expense",'💳 Transactions'!$P$4:$P$403,C_Year)</f>
        <v/>
      </c>
      <c r="D14" s="16">
        <f>SUMIFS('💳 Transactions'!$F$4:$F$403,'💳 Transactions'!$C$4:$C$403,A14,'💳 Transactions'!$B$4:$B$403,"Expense",'💳 Transactions'!$O$4:$O$403,C_Month,'💳 Transactions'!$P$4:$P$403,C_Year)</f>
        <v/>
      </c>
      <c r="E14" s="16">
        <f>B14-C14</f>
        <v/>
      </c>
      <c r="F14" s="22">
        <f>IF($B$6=0,"",C14/$B$6)</f>
        <v/>
      </c>
      <c r="G14" s="20">
        <f>IF(C14="","",RANK(C14,$C$10:$C$20,0))</f>
        <v/>
      </c>
    </row>
    <row r="15">
      <c r="A15" s="15" t="inlineStr">
        <is>
          <t>Lifestyle</t>
        </is>
      </c>
      <c r="B15" s="16">
        <f>'📋 Budget'!$C$49</f>
        <v/>
      </c>
      <c r="C15" s="16">
        <f>SUMIFS('💳 Transactions'!$F$4:$F$403,'💳 Transactions'!$C$4:$C$403,A15,'💳 Transactions'!$B$4:$B$403,"Expense",'💳 Transactions'!$P$4:$P$403,C_Year)</f>
        <v/>
      </c>
      <c r="D15" s="16">
        <f>SUMIFS('💳 Transactions'!$F$4:$F$403,'💳 Transactions'!$C$4:$C$403,A15,'💳 Transactions'!$B$4:$B$403,"Expense",'💳 Transactions'!$O$4:$O$403,C_Month,'💳 Transactions'!$P$4:$P$403,C_Year)</f>
        <v/>
      </c>
      <c r="E15" s="16">
        <f>B15-C15</f>
        <v/>
      </c>
      <c r="F15" s="22">
        <f>IF($B$6=0,"",C15/$B$6)</f>
        <v/>
      </c>
      <c r="G15" s="20">
        <f>IF(C15="","",RANK(C15,$C$10:$C$20,0))</f>
        <v/>
      </c>
    </row>
    <row r="16">
      <c r="A16" s="15" t="inlineStr">
        <is>
          <t>Financial</t>
        </is>
      </c>
      <c r="B16" s="16">
        <f>'📋 Budget'!$C$58</f>
        <v/>
      </c>
      <c r="C16" s="16">
        <f>SUMIFS('💳 Transactions'!$F$4:$F$403,'💳 Transactions'!$C$4:$C$403,A16,'💳 Transactions'!$B$4:$B$403,"Expense",'💳 Transactions'!$P$4:$P$403,C_Year)</f>
        <v/>
      </c>
      <c r="D16" s="16">
        <f>SUMIFS('💳 Transactions'!$F$4:$F$403,'💳 Transactions'!$C$4:$C$403,A16,'💳 Transactions'!$B$4:$B$403,"Expense",'💳 Transactions'!$O$4:$O$403,C_Month,'💳 Transactions'!$P$4:$P$403,C_Year)</f>
        <v/>
      </c>
      <c r="E16" s="16">
        <f>B16-C16</f>
        <v/>
      </c>
      <c r="F16" s="22">
        <f>IF($B$6=0,"",C16/$B$6)</f>
        <v/>
      </c>
      <c r="G16" s="20">
        <f>IF(C16="","",RANK(C16,$C$10:$C$20,0))</f>
        <v/>
      </c>
    </row>
    <row r="17">
      <c r="A17" s="15" t="inlineStr">
        <is>
          <t>Giving</t>
        </is>
      </c>
      <c r="B17" s="16">
        <f>'📋 Budget'!$C$63</f>
        <v/>
      </c>
      <c r="C17" s="16">
        <f>SUMIFS('💳 Transactions'!$F$4:$F$403,'💳 Transactions'!$C$4:$C$403,A17,'💳 Transactions'!$B$4:$B$403,"Expense",'💳 Transactions'!$P$4:$P$403,C_Year)</f>
        <v/>
      </c>
      <c r="D17" s="16">
        <f>SUMIFS('💳 Transactions'!$F$4:$F$403,'💳 Transactions'!$C$4:$C$403,A17,'💳 Transactions'!$B$4:$B$403,"Expense",'💳 Transactions'!$O$4:$O$403,C_Month,'💳 Transactions'!$P$4:$P$403,C_Year)</f>
        <v/>
      </c>
      <c r="E17" s="16">
        <f>B17-C17</f>
        <v/>
      </c>
      <c r="F17" s="22">
        <f>IF($B$6=0,"",C17/$B$6)</f>
        <v/>
      </c>
      <c r="G17" s="20">
        <f>IF(C17="","",RANK(C17,$C$10:$C$20,0))</f>
        <v/>
      </c>
    </row>
    <row r="18">
      <c r="A18" s="15" t="inlineStr">
        <is>
          <t>Pets</t>
        </is>
      </c>
      <c r="B18" s="16">
        <f>'📋 Budget'!$C$69</f>
        <v/>
      </c>
      <c r="C18" s="16">
        <f>SUMIFS('💳 Transactions'!$F$4:$F$403,'💳 Transactions'!$C$4:$C$403,A18,'💳 Transactions'!$B$4:$B$403,"Expense",'💳 Transactions'!$P$4:$P$403,C_Year)</f>
        <v/>
      </c>
      <c r="D18" s="16">
        <f>SUMIFS('💳 Transactions'!$F$4:$F$403,'💳 Transactions'!$C$4:$C$403,A18,'💳 Transactions'!$B$4:$B$403,"Expense",'💳 Transactions'!$O$4:$O$403,C_Month,'💳 Transactions'!$P$4:$P$403,C_Year)</f>
        <v/>
      </c>
      <c r="E18" s="16">
        <f>B18-C18</f>
        <v/>
      </c>
      <c r="F18" s="22">
        <f>IF($B$6=0,"",C18/$B$6)</f>
        <v/>
      </c>
      <c r="G18" s="20">
        <f>IF(C18="","",RANK(C18,$C$10:$C$20,0))</f>
        <v/>
      </c>
    </row>
    <row r="19">
      <c r="A19" s="15" t="inlineStr">
        <is>
          <t>Travel</t>
        </is>
      </c>
      <c r="B19" s="16">
        <f>'📋 Budget'!$C$75</f>
        <v/>
      </c>
      <c r="C19" s="16">
        <f>SUMIFS('💳 Transactions'!$F$4:$F$403,'💳 Transactions'!$C$4:$C$403,A19,'💳 Transactions'!$B$4:$B$403,"Expense",'💳 Transactions'!$P$4:$P$403,C_Year)</f>
        <v/>
      </c>
      <c r="D19" s="16">
        <f>SUMIFS('💳 Transactions'!$F$4:$F$403,'💳 Transactions'!$C$4:$C$403,A19,'💳 Transactions'!$B$4:$B$403,"Expense",'💳 Transactions'!$O$4:$O$403,C_Month,'💳 Transactions'!$P$4:$P$403,C_Year)</f>
        <v/>
      </c>
      <c r="E19" s="16">
        <f>B19-C19</f>
        <v/>
      </c>
      <c r="F19" s="22">
        <f>IF($B$6=0,"",C19/$B$6)</f>
        <v/>
      </c>
      <c r="G19" s="20">
        <f>IF(C19="","",RANK(C19,$C$10:$C$20,0))</f>
        <v/>
      </c>
    </row>
    <row r="20">
      <c r="A20" s="15" t="inlineStr">
        <is>
          <t>Miscellaneous</t>
        </is>
      </c>
      <c r="B20" s="16">
        <f>'📋 Budget'!$C$79</f>
        <v/>
      </c>
      <c r="C20" s="16">
        <f>SUMIFS('💳 Transactions'!$F$4:$F$403,'💳 Transactions'!$C$4:$C$403,A20,'💳 Transactions'!$B$4:$B$403,"Expense",'💳 Transactions'!$P$4:$P$403,C_Year)</f>
        <v/>
      </c>
      <c r="D20" s="16">
        <f>SUMIFS('💳 Transactions'!$F$4:$F$403,'💳 Transactions'!$C$4:$C$403,A20,'💳 Transactions'!$B$4:$B$403,"Expense",'💳 Transactions'!$O$4:$O$403,C_Month,'💳 Transactions'!$P$4:$P$403,C_Year)</f>
        <v/>
      </c>
      <c r="E20" s="16">
        <f>B20-C20</f>
        <v/>
      </c>
      <c r="F20" s="22">
        <f>IF($B$6=0,"",C20/$B$6)</f>
        <v/>
      </c>
      <c r="G20" s="20">
        <f>IF(C20="","",RANK(C20,$C$10:$C$20,0))</f>
        <v/>
      </c>
    </row>
    <row r="22">
      <c r="A22" s="3" t="inlineStr">
        <is>
          <t>MONTHLY CASH FLOW TREND</t>
        </is>
      </c>
    </row>
    <row r="23">
      <c r="A23" s="14" t="inlineStr">
        <is>
          <t>Month</t>
        </is>
      </c>
      <c r="B23" s="14" t="inlineStr">
        <is>
          <t>Income</t>
        </is>
      </c>
      <c r="C23" s="14" t="inlineStr">
        <is>
          <t>Spending</t>
        </is>
      </c>
      <c r="D23" s="14" t="inlineStr">
        <is>
          <t>Net</t>
        </is>
      </c>
    </row>
    <row r="24">
      <c r="A24" s="15" t="inlineStr">
        <is>
          <t>January</t>
        </is>
      </c>
      <c r="B24" s="16">
        <f>SUMIFS('💰 Income'!$M$4:$M$203,'💰 Income'!$O$4:$O$203,1,'💰 Income'!$P$4:$P$203,C_Year)</f>
        <v/>
      </c>
      <c r="C24" s="16">
        <f>SUMIFS('💳 Transactions'!$F$4:$F$403,'💳 Transactions'!$B$4:$B$403,"Expense",'💳 Transactions'!$O$4:$O$403,1,'💳 Transactions'!$P$4:$P$403,C_Year)</f>
        <v/>
      </c>
      <c r="D24" s="16">
        <f>B24-C24</f>
        <v/>
      </c>
    </row>
    <row r="25">
      <c r="A25" s="15" t="inlineStr">
        <is>
          <t>February</t>
        </is>
      </c>
      <c r="B25" s="16">
        <f>SUMIFS('💰 Income'!$M$4:$M$203,'💰 Income'!$O$4:$O$203,2,'💰 Income'!$P$4:$P$203,C_Year)</f>
        <v/>
      </c>
      <c r="C25" s="16">
        <f>SUMIFS('💳 Transactions'!$F$4:$F$403,'💳 Transactions'!$B$4:$B$403,"Expense",'💳 Transactions'!$O$4:$O$403,2,'💳 Transactions'!$P$4:$P$403,C_Year)</f>
        <v/>
      </c>
      <c r="D25" s="16">
        <f>B25-C25</f>
        <v/>
      </c>
    </row>
    <row r="26">
      <c r="A26" s="15" t="inlineStr">
        <is>
          <t>March</t>
        </is>
      </c>
      <c r="B26" s="16">
        <f>SUMIFS('💰 Income'!$M$4:$M$203,'💰 Income'!$O$4:$O$203,3,'💰 Income'!$P$4:$P$203,C_Year)</f>
        <v/>
      </c>
      <c r="C26" s="16">
        <f>SUMIFS('💳 Transactions'!$F$4:$F$403,'💳 Transactions'!$B$4:$B$403,"Expense",'💳 Transactions'!$O$4:$O$403,3,'💳 Transactions'!$P$4:$P$403,C_Year)</f>
        <v/>
      </c>
      <c r="D26" s="16">
        <f>B26-C26</f>
        <v/>
      </c>
    </row>
    <row r="27">
      <c r="A27" s="15" t="inlineStr">
        <is>
          <t>April</t>
        </is>
      </c>
      <c r="B27" s="16">
        <f>SUMIFS('💰 Income'!$M$4:$M$203,'💰 Income'!$O$4:$O$203,4,'💰 Income'!$P$4:$P$203,C_Year)</f>
        <v/>
      </c>
      <c r="C27" s="16">
        <f>SUMIFS('💳 Transactions'!$F$4:$F$403,'💳 Transactions'!$B$4:$B$403,"Expense",'💳 Transactions'!$O$4:$O$403,4,'💳 Transactions'!$P$4:$P$403,C_Year)</f>
        <v/>
      </c>
      <c r="D27" s="16">
        <f>B27-C27</f>
        <v/>
      </c>
    </row>
    <row r="28">
      <c r="A28" s="15" t="inlineStr">
        <is>
          <t>May</t>
        </is>
      </c>
      <c r="B28" s="16">
        <f>SUMIFS('💰 Income'!$M$4:$M$203,'💰 Income'!$O$4:$O$203,5,'💰 Income'!$P$4:$P$203,C_Year)</f>
        <v/>
      </c>
      <c r="C28" s="16">
        <f>SUMIFS('💳 Transactions'!$F$4:$F$403,'💳 Transactions'!$B$4:$B$403,"Expense",'💳 Transactions'!$O$4:$O$403,5,'💳 Transactions'!$P$4:$P$403,C_Year)</f>
        <v/>
      </c>
      <c r="D28" s="16">
        <f>B28-C28</f>
        <v/>
      </c>
    </row>
    <row r="29">
      <c r="A29" s="15" t="inlineStr">
        <is>
          <t>June</t>
        </is>
      </c>
      <c r="B29" s="16">
        <f>SUMIFS('💰 Income'!$M$4:$M$203,'💰 Income'!$O$4:$O$203,6,'💰 Income'!$P$4:$P$203,C_Year)</f>
        <v/>
      </c>
      <c r="C29" s="16">
        <f>SUMIFS('💳 Transactions'!$F$4:$F$403,'💳 Transactions'!$B$4:$B$403,"Expense",'💳 Transactions'!$O$4:$O$403,6,'💳 Transactions'!$P$4:$P$403,C_Year)</f>
        <v/>
      </c>
      <c r="D29" s="16">
        <f>B29-C29</f>
        <v/>
      </c>
    </row>
    <row r="30">
      <c r="A30" s="15" t="inlineStr">
        <is>
          <t>July</t>
        </is>
      </c>
      <c r="B30" s="16">
        <f>SUMIFS('💰 Income'!$M$4:$M$203,'💰 Income'!$O$4:$O$203,7,'💰 Income'!$P$4:$P$203,C_Year)</f>
        <v/>
      </c>
      <c r="C30" s="16">
        <f>SUMIFS('💳 Transactions'!$F$4:$F$403,'💳 Transactions'!$B$4:$B$403,"Expense",'💳 Transactions'!$O$4:$O$403,7,'💳 Transactions'!$P$4:$P$403,C_Year)</f>
        <v/>
      </c>
      <c r="D30" s="16">
        <f>B30-C30</f>
        <v/>
      </c>
    </row>
    <row r="31">
      <c r="A31" s="15" t="inlineStr">
        <is>
          <t>August</t>
        </is>
      </c>
      <c r="B31" s="16">
        <f>SUMIFS('💰 Income'!$M$4:$M$203,'💰 Income'!$O$4:$O$203,8,'💰 Income'!$P$4:$P$203,C_Year)</f>
        <v/>
      </c>
      <c r="C31" s="16">
        <f>SUMIFS('💳 Transactions'!$F$4:$F$403,'💳 Transactions'!$B$4:$B$403,"Expense",'💳 Transactions'!$O$4:$O$403,8,'💳 Transactions'!$P$4:$P$403,C_Year)</f>
        <v/>
      </c>
      <c r="D31" s="16">
        <f>B31-C31</f>
        <v/>
      </c>
    </row>
    <row r="32">
      <c r="A32" s="15" t="inlineStr">
        <is>
          <t>September</t>
        </is>
      </c>
      <c r="B32" s="16">
        <f>SUMIFS('💰 Income'!$M$4:$M$203,'💰 Income'!$O$4:$O$203,9,'💰 Income'!$P$4:$P$203,C_Year)</f>
        <v/>
      </c>
      <c r="C32" s="16">
        <f>SUMIFS('💳 Transactions'!$F$4:$F$403,'💳 Transactions'!$B$4:$B$403,"Expense",'💳 Transactions'!$O$4:$O$403,9,'💳 Transactions'!$P$4:$P$403,C_Year)</f>
        <v/>
      </c>
      <c r="D32" s="16">
        <f>B32-C32</f>
        <v/>
      </c>
    </row>
    <row r="33">
      <c r="A33" s="15" t="inlineStr">
        <is>
          <t>October</t>
        </is>
      </c>
      <c r="B33" s="16">
        <f>SUMIFS('💰 Income'!$M$4:$M$203,'💰 Income'!$O$4:$O$203,10,'💰 Income'!$P$4:$P$203,C_Year)</f>
        <v/>
      </c>
      <c r="C33" s="16">
        <f>SUMIFS('💳 Transactions'!$F$4:$F$403,'💳 Transactions'!$B$4:$B$403,"Expense",'💳 Transactions'!$O$4:$O$403,10,'💳 Transactions'!$P$4:$P$403,C_Year)</f>
        <v/>
      </c>
      <c r="D33" s="16">
        <f>B33-C33</f>
        <v/>
      </c>
    </row>
    <row r="34">
      <c r="A34" s="15" t="inlineStr">
        <is>
          <t>November</t>
        </is>
      </c>
      <c r="B34" s="16">
        <f>SUMIFS('💰 Income'!$M$4:$M$203,'💰 Income'!$O$4:$O$203,11,'💰 Income'!$P$4:$P$203,C_Year)</f>
        <v/>
      </c>
      <c r="C34" s="16">
        <f>SUMIFS('💳 Transactions'!$F$4:$F$403,'💳 Transactions'!$B$4:$B$403,"Expense",'💳 Transactions'!$O$4:$O$403,11,'💳 Transactions'!$P$4:$P$403,C_Year)</f>
        <v/>
      </c>
      <c r="D34" s="16">
        <f>B34-C34</f>
        <v/>
      </c>
    </row>
    <row r="35">
      <c r="A35" s="15" t="inlineStr">
        <is>
          <t>December</t>
        </is>
      </c>
      <c r="B35" s="16">
        <f>SUMIFS('💰 Income'!$M$4:$M$203,'💰 Income'!$O$4:$O$203,12,'💰 Income'!$P$4:$P$203,C_Year)</f>
        <v/>
      </c>
      <c r="C35" s="16">
        <f>SUMIFS('💳 Transactions'!$F$4:$F$403,'💳 Transactions'!$B$4:$B$403,"Expense",'💳 Transactions'!$O$4:$O$403,12,'💳 Transactions'!$P$4:$P$403,C_Year)</f>
        <v/>
      </c>
      <c r="D35" s="16">
        <f>B35-C35</f>
        <v/>
      </c>
    </row>
    <row r="38">
      <c r="A38" s="3" t="inlineStr">
        <is>
          <t>NEEDS vs WANTS (YTD)</t>
        </is>
      </c>
    </row>
    <row r="39">
      <c r="A39" s="14" t="inlineStr">
        <is>
          <t>Type</t>
        </is>
      </c>
      <c r="B39" s="14" t="inlineStr">
        <is>
          <t>Actual</t>
        </is>
      </c>
      <c r="C39" s="14" t="inlineStr">
        <is>
          <t>% of Total</t>
        </is>
      </c>
    </row>
    <row r="40">
      <c r="A40" s="15" t="inlineStr">
        <is>
          <t>Essential</t>
        </is>
      </c>
      <c r="B40" s="16">
        <f>SUMIFS('💳 Transactions'!$F$4:$F$403,'💳 Transactions'!$B$4:$B$403,"Expense",'💳 Transactions'!$K$4:$K$403,"Essential",'💳 Transactions'!$P$4:$P$403,C_Year)</f>
        <v/>
      </c>
      <c r="C40" s="22">
        <f>IF($B$6=0,"",B40/$B$6)</f>
        <v/>
      </c>
    </row>
    <row r="41">
      <c r="A41" s="15" t="inlineStr">
        <is>
          <t>Discretionary</t>
        </is>
      </c>
      <c r="B41" s="16">
        <f>SUMIFS('💳 Transactions'!$F$4:$F$403,'💳 Transactions'!$B$4:$B$403,"Expense",'💳 Transactions'!$K$4:$K$403,"Discretionary",'💳 Transactions'!$P$4:$P$403,C_Year)</f>
        <v/>
      </c>
      <c r="C41" s="22">
        <f>IF($B$6=0,"",B41/$B$6)</f>
        <v/>
      </c>
    </row>
    <row r="42">
      <c r="A42" s="23" t="inlineStr">
        <is>
          <t>TOTAL</t>
        </is>
      </c>
      <c r="B42" s="24">
        <f>SUM(B40:B41)</f>
        <v/>
      </c>
      <c r="C42" s="25">
        <f>IF($B$6=0,"",B42/$B$6)</f>
        <v/>
      </c>
    </row>
    <row r="45">
      <c r="A45" s="3" t="inlineStr">
        <is>
          <t>SPENDING BY FAMILY MEMBER (THIS MONTH)</t>
        </is>
      </c>
    </row>
    <row r="46">
      <c r="A46" s="14" t="inlineStr">
        <is>
          <t>Family Member</t>
        </is>
      </c>
      <c r="B46" s="14" t="inlineStr">
        <is>
          <t>This Month</t>
        </is>
      </c>
      <c r="C46" s="14" t="inlineStr">
        <is>
          <t>YTD</t>
        </is>
      </c>
    </row>
    <row r="47">
      <c r="A47" s="15" t="inlineStr">
        <is>
          <t>Parent 1</t>
        </is>
      </c>
      <c r="B47" s="16">
        <f>SUMIFS('💳 Transactions'!$F$4:$F$403,'💳 Transactions'!$B$4:$B$403,"Expense",'💳 Transactions'!$I$4:$I$403,A47,'💳 Transactions'!$O$4:$O$403,C_Month,'💳 Transactions'!$P$4:$P$403,C_Year)</f>
        <v/>
      </c>
      <c r="C47" s="16">
        <f>SUMIFS('💳 Transactions'!$F$4:$F$403,'💳 Transactions'!$B$4:$B$403,"Expense",'💳 Transactions'!$I$4:$I$403,A47,'💳 Transactions'!$P$4:$P$403,C_Year)</f>
        <v/>
      </c>
    </row>
    <row r="48">
      <c r="A48" s="15" t="inlineStr">
        <is>
          <t>Parent 2</t>
        </is>
      </c>
      <c r="B48" s="16">
        <f>SUMIFS('💳 Transactions'!$F$4:$F$403,'💳 Transactions'!$B$4:$B$403,"Expense",'💳 Transactions'!$I$4:$I$403,A48,'💳 Transactions'!$O$4:$O$403,C_Month,'💳 Transactions'!$P$4:$P$403,C_Year)</f>
        <v/>
      </c>
      <c r="C48" s="16">
        <f>SUMIFS('💳 Transactions'!$F$4:$F$403,'💳 Transactions'!$B$4:$B$403,"Expense",'💳 Transactions'!$I$4:$I$403,A48,'💳 Transactions'!$P$4:$P$403,C_Year)</f>
        <v/>
      </c>
    </row>
    <row r="49">
      <c r="A49" s="15" t="inlineStr">
        <is>
          <t>Child 1</t>
        </is>
      </c>
      <c r="B49" s="16">
        <f>SUMIFS('💳 Transactions'!$F$4:$F$403,'💳 Transactions'!$B$4:$B$403,"Expense",'💳 Transactions'!$I$4:$I$403,A49,'💳 Transactions'!$O$4:$O$403,C_Month,'💳 Transactions'!$P$4:$P$403,C_Year)</f>
        <v/>
      </c>
      <c r="C49" s="16">
        <f>SUMIFS('💳 Transactions'!$F$4:$F$403,'💳 Transactions'!$B$4:$B$403,"Expense",'💳 Transactions'!$I$4:$I$403,A49,'💳 Transactions'!$P$4:$P$403,C_Year)</f>
        <v/>
      </c>
    </row>
    <row r="50">
      <c r="A50" s="15" t="inlineStr">
        <is>
          <t>Child 2</t>
        </is>
      </c>
      <c r="B50" s="16">
        <f>SUMIFS('💳 Transactions'!$F$4:$F$403,'💳 Transactions'!$B$4:$B$403,"Expense",'💳 Transactions'!$I$4:$I$403,A50,'💳 Transactions'!$O$4:$O$403,C_Month,'💳 Transactions'!$P$4:$P$403,C_Year)</f>
        <v/>
      </c>
      <c r="C50" s="16">
        <f>SUMIFS('💳 Transactions'!$F$4:$F$403,'💳 Transactions'!$B$4:$B$403,"Expense",'💳 Transactions'!$I$4:$I$403,A50,'💳 Transactions'!$P$4:$P$403,C_Year)</f>
        <v/>
      </c>
    </row>
    <row r="51">
      <c r="A51" s="15" t="inlineStr">
        <is>
          <t>Household</t>
        </is>
      </c>
      <c r="B51" s="16">
        <f>SUMIFS('💳 Transactions'!$F$4:$F$403,'💳 Transactions'!$B$4:$B$403,"Expense",'💳 Transactions'!$I$4:$I$403,A51,'💳 Transactions'!$O$4:$O$403,C_Month,'💳 Transactions'!$P$4:$P$403,C_Year)</f>
        <v/>
      </c>
      <c r="C51" s="16">
        <f>SUMIFS('💳 Transactions'!$F$4:$F$403,'💳 Transactions'!$B$4:$B$403,"Expense",'💳 Transactions'!$I$4:$I$403,A51,'💳 Transactions'!$P$4:$P$403,C_Year)</f>
        <v/>
      </c>
    </row>
    <row r="52">
      <c r="A52" s="15" t="inlineStr">
        <is>
          <t>Other</t>
        </is>
      </c>
      <c r="B52" s="16">
        <f>SUMIFS('💳 Transactions'!$F$4:$F$403,'💳 Transactions'!$B$4:$B$403,"Expense",'💳 Transactions'!$I$4:$I$403,A52,'💳 Transactions'!$O$4:$O$403,C_Month,'💳 Transactions'!$P$4:$P$403,C_Year)</f>
        <v/>
      </c>
      <c r="C52" s="16">
        <f>SUMIFS('💳 Transactions'!$F$4:$F$403,'💳 Transactions'!$B$4:$B$403,"Expense",'💳 Transactions'!$I$4:$I$403,A52,'💳 Transactions'!$P$4:$P$403,C_Year)</f>
        <v/>
      </c>
    </row>
    <row r="55">
      <c r="A55" s="3" t="inlineStr">
        <is>
          <t>QUICK ANSWERS (YTD)</t>
        </is>
      </c>
    </row>
    <row r="56">
      <c r="A56" s="6" t="inlineStr">
        <is>
          <t>Subscriptions</t>
        </is>
      </c>
      <c r="B56" s="16">
        <f>SUMIFS('💳 Transactions'!$F$4:$F$403,'💳 Transactions'!$D$4:$D$403,"Subscriptions",'💳 Transactions'!$P$4:$P$403,C_Year)</f>
        <v/>
      </c>
    </row>
    <row r="57">
      <c r="A57" s="6" t="inlineStr">
        <is>
          <t>Restaurants</t>
        </is>
      </c>
      <c r="B57" s="16">
        <f>SUMIFS('💳 Transactions'!$F$4:$F$403,'💳 Transactions'!$D$4:$D$403,"Restaurants",'💳 Transactions'!$P$4:$P$403,C_Year)</f>
        <v/>
      </c>
    </row>
    <row r="58">
      <c r="A58" s="6" t="inlineStr">
        <is>
          <t>Groceries</t>
        </is>
      </c>
      <c r="B58" s="16">
        <f>SUMIFS('💳 Transactions'!$F$4:$F$403,'💳 Transactions'!$D$4:$D$403,"Groceries",'💳 Transactions'!$P$4:$P$403,C_Year)</f>
        <v/>
      </c>
    </row>
    <row r="59">
      <c r="A59" s="6" t="inlineStr">
        <is>
          <t>Gas / Fuel</t>
        </is>
      </c>
      <c r="B59" s="16">
        <f>SUMIFS('💳 Transactions'!$F$4:$F$403,'💳 Transactions'!$D$4:$D$403,"Gas",'💳 Transactions'!$P$4:$P$403,C_Year)</f>
        <v/>
      </c>
    </row>
    <row r="60">
      <c r="A60" s="6" t="inlineStr">
        <is>
          <t>Top Category</t>
        </is>
      </c>
      <c r="B60" s="47">
        <f>INDEX(A10:A20,MATCH(MAX(C10:C20),C10:C20,0))</f>
        <v/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📅 Financial Calendar</t>
        </is>
      </c>
    </row>
    <row r="2" ht="28" customHeight="1">
      <c r="A2" s="2" t="inlineStr">
        <is>
          <t>Everything due on each day of the C_Year / C_Month — bills, paydays, debt payments and subscriptions.</t>
        </is>
      </c>
    </row>
    <row r="3">
      <c r="A3" s="14" t="inlineStr">
        <is>
          <t>Day</t>
        </is>
      </c>
      <c r="B3" s="14" t="inlineStr">
        <is>
          <t>Bills Due</t>
        </is>
      </c>
      <c r="C3" s="14" t="inlineStr">
        <is>
          <t>Paydays / Income</t>
        </is>
      </c>
      <c r="D3" s="14" t="inlineStr">
        <is>
          <t>Debt Minimums</t>
        </is>
      </c>
      <c r="E3" s="14" t="inlineStr">
        <is>
          <t>Subscriptions</t>
        </is>
      </c>
      <c r="F3" s="14" t="inlineStr">
        <is>
          <t>Notes</t>
        </is>
      </c>
    </row>
    <row r="4">
      <c r="A4" s="48" t="n">
        <v>1</v>
      </c>
      <c r="B4" s="49">
        <f>SUMIFS('🧾 Bills &amp; Subs'!$B$4:$B$303,'🧾 Bills &amp; Subs'!$K$4:$K$303,C_Month,'🧾 Bills &amp; Subs'!$L$4:$L$303,C_Year,'🧾 Bills &amp; Subs'!$M$4:$M$303,A4)</f>
        <v/>
      </c>
      <c r="C4" s="49">
        <f>SUMIFS('💰 Income'!$M$4:$M$203,'💰 Income'!$O$4:$O$203,C_Month,'💰 Income'!$P$4:$P$203,C_Year,'💰 Income'!$Q$4:$Q$203,A4)</f>
        <v/>
      </c>
      <c r="D4" s="49">
        <f>SUMIFS('💸 Debt Manager'!$G$8:$G$107,'💸 Debt Manager'!$J$8:$J$107,C_Month,'💸 Debt Manager'!$K$8:$K$107,C_Year,'💸 Debt Manager'!$L$8:$L$107,A4)</f>
        <v/>
      </c>
      <c r="E4" s="49">
        <f>SUMIFS('💳 Transactions'!$F$4:$F$403,'💳 Transactions'!$D$4:$D$403,"Subscriptions",'💳 Transactions'!$O$4:$O$403,C_Month,'💳 Transactions'!$P$4:$P$403,C_Year,'💳 Transactions'!$Q$4:$Q$403,A4)</f>
        <v/>
      </c>
      <c r="F4" s="15" t="n"/>
    </row>
    <row r="5">
      <c r="A5" s="48" t="n">
        <v>2</v>
      </c>
      <c r="B5" s="49">
        <f>SUMIFS('🧾 Bills &amp; Subs'!$B$4:$B$303,'🧾 Bills &amp; Subs'!$K$4:$K$303,C_Month,'🧾 Bills &amp; Subs'!$L$4:$L$303,C_Year,'🧾 Bills &amp; Subs'!$M$4:$M$303,A5)</f>
        <v/>
      </c>
      <c r="C5" s="49">
        <f>SUMIFS('💰 Income'!$M$4:$M$203,'💰 Income'!$O$4:$O$203,C_Month,'💰 Income'!$P$4:$P$203,C_Year,'💰 Income'!$Q$4:$Q$203,A5)</f>
        <v/>
      </c>
      <c r="D5" s="49">
        <f>SUMIFS('💸 Debt Manager'!$G$8:$G$107,'💸 Debt Manager'!$J$8:$J$107,C_Month,'💸 Debt Manager'!$K$8:$K$107,C_Year,'💸 Debt Manager'!$L$8:$L$107,A5)</f>
        <v/>
      </c>
      <c r="E5" s="49">
        <f>SUMIFS('💳 Transactions'!$F$4:$F$403,'💳 Transactions'!$D$4:$D$403,"Subscriptions",'💳 Transactions'!$O$4:$O$403,C_Month,'💳 Transactions'!$P$4:$P$403,C_Year,'💳 Transactions'!$Q$4:$Q$403,A5)</f>
        <v/>
      </c>
      <c r="F5" s="15" t="n"/>
    </row>
    <row r="6">
      <c r="A6" s="48" t="n">
        <v>3</v>
      </c>
      <c r="B6" s="49">
        <f>SUMIFS('🧾 Bills &amp; Subs'!$B$4:$B$303,'🧾 Bills &amp; Subs'!$K$4:$K$303,C_Month,'🧾 Bills &amp; Subs'!$L$4:$L$303,C_Year,'🧾 Bills &amp; Subs'!$M$4:$M$303,A6)</f>
        <v/>
      </c>
      <c r="C6" s="49">
        <f>SUMIFS('💰 Income'!$M$4:$M$203,'💰 Income'!$O$4:$O$203,C_Month,'💰 Income'!$P$4:$P$203,C_Year,'💰 Income'!$Q$4:$Q$203,A6)</f>
        <v/>
      </c>
      <c r="D6" s="49">
        <f>SUMIFS('💸 Debt Manager'!$G$8:$G$107,'💸 Debt Manager'!$J$8:$J$107,C_Month,'💸 Debt Manager'!$K$8:$K$107,C_Year,'💸 Debt Manager'!$L$8:$L$107,A6)</f>
        <v/>
      </c>
      <c r="E6" s="49">
        <f>SUMIFS('💳 Transactions'!$F$4:$F$403,'💳 Transactions'!$D$4:$D$403,"Subscriptions",'💳 Transactions'!$O$4:$O$403,C_Month,'💳 Transactions'!$P$4:$P$403,C_Year,'💳 Transactions'!$Q$4:$Q$403,A6)</f>
        <v/>
      </c>
      <c r="F6" s="15" t="n"/>
    </row>
    <row r="7">
      <c r="A7" s="48" t="n">
        <v>4</v>
      </c>
      <c r="B7" s="49">
        <f>SUMIFS('🧾 Bills &amp; Subs'!$B$4:$B$303,'🧾 Bills &amp; Subs'!$K$4:$K$303,C_Month,'🧾 Bills &amp; Subs'!$L$4:$L$303,C_Year,'🧾 Bills &amp; Subs'!$M$4:$M$303,A7)</f>
        <v/>
      </c>
      <c r="C7" s="49">
        <f>SUMIFS('💰 Income'!$M$4:$M$203,'💰 Income'!$O$4:$O$203,C_Month,'💰 Income'!$P$4:$P$203,C_Year,'💰 Income'!$Q$4:$Q$203,A7)</f>
        <v/>
      </c>
      <c r="D7" s="49">
        <f>SUMIFS('💸 Debt Manager'!$G$8:$G$107,'💸 Debt Manager'!$J$8:$J$107,C_Month,'💸 Debt Manager'!$K$8:$K$107,C_Year,'💸 Debt Manager'!$L$8:$L$107,A7)</f>
        <v/>
      </c>
      <c r="E7" s="49">
        <f>SUMIFS('💳 Transactions'!$F$4:$F$403,'💳 Transactions'!$D$4:$D$403,"Subscriptions",'💳 Transactions'!$O$4:$O$403,C_Month,'💳 Transactions'!$P$4:$P$403,C_Year,'💳 Transactions'!$Q$4:$Q$403,A7)</f>
        <v/>
      </c>
      <c r="F7" s="15" t="n"/>
    </row>
    <row r="8">
      <c r="A8" s="48" t="n">
        <v>5</v>
      </c>
      <c r="B8" s="49">
        <f>SUMIFS('🧾 Bills &amp; Subs'!$B$4:$B$303,'🧾 Bills &amp; Subs'!$K$4:$K$303,C_Month,'🧾 Bills &amp; Subs'!$L$4:$L$303,C_Year,'🧾 Bills &amp; Subs'!$M$4:$M$303,A8)</f>
        <v/>
      </c>
      <c r="C8" s="49">
        <f>SUMIFS('💰 Income'!$M$4:$M$203,'💰 Income'!$O$4:$O$203,C_Month,'💰 Income'!$P$4:$P$203,C_Year,'💰 Income'!$Q$4:$Q$203,A8)</f>
        <v/>
      </c>
      <c r="D8" s="49">
        <f>SUMIFS('💸 Debt Manager'!$G$8:$G$107,'💸 Debt Manager'!$J$8:$J$107,C_Month,'💸 Debt Manager'!$K$8:$K$107,C_Year,'💸 Debt Manager'!$L$8:$L$107,A8)</f>
        <v/>
      </c>
      <c r="E8" s="49">
        <f>SUMIFS('💳 Transactions'!$F$4:$F$403,'💳 Transactions'!$D$4:$D$403,"Subscriptions",'💳 Transactions'!$O$4:$O$403,C_Month,'💳 Transactions'!$P$4:$P$403,C_Year,'💳 Transactions'!$Q$4:$Q$403,A8)</f>
        <v/>
      </c>
      <c r="F8" s="15" t="n"/>
    </row>
    <row r="9">
      <c r="A9" s="48" t="n">
        <v>6</v>
      </c>
      <c r="B9" s="49">
        <f>SUMIFS('🧾 Bills &amp; Subs'!$B$4:$B$303,'🧾 Bills &amp; Subs'!$K$4:$K$303,C_Month,'🧾 Bills &amp; Subs'!$L$4:$L$303,C_Year,'🧾 Bills &amp; Subs'!$M$4:$M$303,A9)</f>
        <v/>
      </c>
      <c r="C9" s="49">
        <f>SUMIFS('💰 Income'!$M$4:$M$203,'💰 Income'!$O$4:$O$203,C_Month,'💰 Income'!$P$4:$P$203,C_Year,'💰 Income'!$Q$4:$Q$203,A9)</f>
        <v/>
      </c>
      <c r="D9" s="49">
        <f>SUMIFS('💸 Debt Manager'!$G$8:$G$107,'💸 Debt Manager'!$J$8:$J$107,C_Month,'💸 Debt Manager'!$K$8:$K$107,C_Year,'💸 Debt Manager'!$L$8:$L$107,A9)</f>
        <v/>
      </c>
      <c r="E9" s="49">
        <f>SUMIFS('💳 Transactions'!$F$4:$F$403,'💳 Transactions'!$D$4:$D$403,"Subscriptions",'💳 Transactions'!$O$4:$O$403,C_Month,'💳 Transactions'!$P$4:$P$403,C_Year,'💳 Transactions'!$Q$4:$Q$403,A9)</f>
        <v/>
      </c>
      <c r="F9" s="15" t="n"/>
    </row>
    <row r="10">
      <c r="A10" s="48" t="n">
        <v>7</v>
      </c>
      <c r="B10" s="49">
        <f>SUMIFS('🧾 Bills &amp; Subs'!$B$4:$B$303,'🧾 Bills &amp; Subs'!$K$4:$K$303,C_Month,'🧾 Bills &amp; Subs'!$L$4:$L$303,C_Year,'🧾 Bills &amp; Subs'!$M$4:$M$303,A10)</f>
        <v/>
      </c>
      <c r="C10" s="49">
        <f>SUMIFS('💰 Income'!$M$4:$M$203,'💰 Income'!$O$4:$O$203,C_Month,'💰 Income'!$P$4:$P$203,C_Year,'💰 Income'!$Q$4:$Q$203,A10)</f>
        <v/>
      </c>
      <c r="D10" s="49">
        <f>SUMIFS('💸 Debt Manager'!$G$8:$G$107,'💸 Debt Manager'!$J$8:$J$107,C_Month,'💸 Debt Manager'!$K$8:$K$107,C_Year,'💸 Debt Manager'!$L$8:$L$107,A10)</f>
        <v/>
      </c>
      <c r="E10" s="49">
        <f>SUMIFS('💳 Transactions'!$F$4:$F$403,'💳 Transactions'!$D$4:$D$403,"Subscriptions",'💳 Transactions'!$O$4:$O$403,C_Month,'💳 Transactions'!$P$4:$P$403,C_Year,'💳 Transactions'!$Q$4:$Q$403,A10)</f>
        <v/>
      </c>
      <c r="F10" s="15" t="n"/>
    </row>
    <row r="11">
      <c r="A11" s="48" t="n">
        <v>8</v>
      </c>
      <c r="B11" s="49">
        <f>SUMIFS('🧾 Bills &amp; Subs'!$B$4:$B$303,'🧾 Bills &amp; Subs'!$K$4:$K$303,C_Month,'🧾 Bills &amp; Subs'!$L$4:$L$303,C_Year,'🧾 Bills &amp; Subs'!$M$4:$M$303,A11)</f>
        <v/>
      </c>
      <c r="C11" s="49">
        <f>SUMIFS('💰 Income'!$M$4:$M$203,'💰 Income'!$O$4:$O$203,C_Month,'💰 Income'!$P$4:$P$203,C_Year,'💰 Income'!$Q$4:$Q$203,A11)</f>
        <v/>
      </c>
      <c r="D11" s="49">
        <f>SUMIFS('💸 Debt Manager'!$G$8:$G$107,'💸 Debt Manager'!$J$8:$J$107,C_Month,'💸 Debt Manager'!$K$8:$K$107,C_Year,'💸 Debt Manager'!$L$8:$L$107,A11)</f>
        <v/>
      </c>
      <c r="E11" s="49">
        <f>SUMIFS('💳 Transactions'!$F$4:$F$403,'💳 Transactions'!$D$4:$D$403,"Subscriptions",'💳 Transactions'!$O$4:$O$403,C_Month,'💳 Transactions'!$P$4:$P$403,C_Year,'💳 Transactions'!$Q$4:$Q$403,A11)</f>
        <v/>
      </c>
      <c r="F11" s="15" t="n"/>
    </row>
    <row r="12">
      <c r="A12" s="48" t="n">
        <v>9</v>
      </c>
      <c r="B12" s="49">
        <f>SUMIFS('🧾 Bills &amp; Subs'!$B$4:$B$303,'🧾 Bills &amp; Subs'!$K$4:$K$303,C_Month,'🧾 Bills &amp; Subs'!$L$4:$L$303,C_Year,'🧾 Bills &amp; Subs'!$M$4:$M$303,A12)</f>
        <v/>
      </c>
      <c r="C12" s="49">
        <f>SUMIFS('💰 Income'!$M$4:$M$203,'💰 Income'!$O$4:$O$203,C_Month,'💰 Income'!$P$4:$P$203,C_Year,'💰 Income'!$Q$4:$Q$203,A12)</f>
        <v/>
      </c>
      <c r="D12" s="49">
        <f>SUMIFS('💸 Debt Manager'!$G$8:$G$107,'💸 Debt Manager'!$J$8:$J$107,C_Month,'💸 Debt Manager'!$K$8:$K$107,C_Year,'💸 Debt Manager'!$L$8:$L$107,A12)</f>
        <v/>
      </c>
      <c r="E12" s="49">
        <f>SUMIFS('💳 Transactions'!$F$4:$F$403,'💳 Transactions'!$D$4:$D$403,"Subscriptions",'💳 Transactions'!$O$4:$O$403,C_Month,'💳 Transactions'!$P$4:$P$403,C_Year,'💳 Transactions'!$Q$4:$Q$403,A12)</f>
        <v/>
      </c>
      <c r="F12" s="15" t="n"/>
    </row>
    <row r="13">
      <c r="A13" s="48" t="n">
        <v>10</v>
      </c>
      <c r="B13" s="49">
        <f>SUMIFS('🧾 Bills &amp; Subs'!$B$4:$B$303,'🧾 Bills &amp; Subs'!$K$4:$K$303,C_Month,'🧾 Bills &amp; Subs'!$L$4:$L$303,C_Year,'🧾 Bills &amp; Subs'!$M$4:$M$303,A13)</f>
        <v/>
      </c>
      <c r="C13" s="49">
        <f>SUMIFS('💰 Income'!$M$4:$M$203,'💰 Income'!$O$4:$O$203,C_Month,'💰 Income'!$P$4:$P$203,C_Year,'💰 Income'!$Q$4:$Q$203,A13)</f>
        <v/>
      </c>
      <c r="D13" s="49">
        <f>SUMIFS('💸 Debt Manager'!$G$8:$G$107,'💸 Debt Manager'!$J$8:$J$107,C_Month,'💸 Debt Manager'!$K$8:$K$107,C_Year,'💸 Debt Manager'!$L$8:$L$107,A13)</f>
        <v/>
      </c>
      <c r="E13" s="49">
        <f>SUMIFS('💳 Transactions'!$F$4:$F$403,'💳 Transactions'!$D$4:$D$403,"Subscriptions",'💳 Transactions'!$O$4:$O$403,C_Month,'💳 Transactions'!$P$4:$P$403,C_Year,'💳 Transactions'!$Q$4:$Q$403,A13)</f>
        <v/>
      </c>
      <c r="F13" s="15" t="n"/>
    </row>
    <row r="14">
      <c r="A14" s="48" t="n">
        <v>11</v>
      </c>
      <c r="B14" s="49">
        <f>SUMIFS('🧾 Bills &amp; Subs'!$B$4:$B$303,'🧾 Bills &amp; Subs'!$K$4:$K$303,C_Month,'🧾 Bills &amp; Subs'!$L$4:$L$303,C_Year,'🧾 Bills &amp; Subs'!$M$4:$M$303,A14)</f>
        <v/>
      </c>
      <c r="C14" s="49">
        <f>SUMIFS('💰 Income'!$M$4:$M$203,'💰 Income'!$O$4:$O$203,C_Month,'💰 Income'!$P$4:$P$203,C_Year,'💰 Income'!$Q$4:$Q$203,A14)</f>
        <v/>
      </c>
      <c r="D14" s="49">
        <f>SUMIFS('💸 Debt Manager'!$G$8:$G$107,'💸 Debt Manager'!$J$8:$J$107,C_Month,'💸 Debt Manager'!$K$8:$K$107,C_Year,'💸 Debt Manager'!$L$8:$L$107,A14)</f>
        <v/>
      </c>
      <c r="E14" s="49">
        <f>SUMIFS('💳 Transactions'!$F$4:$F$403,'💳 Transactions'!$D$4:$D$403,"Subscriptions",'💳 Transactions'!$O$4:$O$403,C_Month,'💳 Transactions'!$P$4:$P$403,C_Year,'💳 Transactions'!$Q$4:$Q$403,A14)</f>
        <v/>
      </c>
      <c r="F14" s="15" t="n"/>
    </row>
    <row r="15">
      <c r="A15" s="48" t="n">
        <v>12</v>
      </c>
      <c r="B15" s="49">
        <f>SUMIFS('🧾 Bills &amp; Subs'!$B$4:$B$303,'🧾 Bills &amp; Subs'!$K$4:$K$303,C_Month,'🧾 Bills &amp; Subs'!$L$4:$L$303,C_Year,'🧾 Bills &amp; Subs'!$M$4:$M$303,A15)</f>
        <v/>
      </c>
      <c r="C15" s="49">
        <f>SUMIFS('💰 Income'!$M$4:$M$203,'💰 Income'!$O$4:$O$203,C_Month,'💰 Income'!$P$4:$P$203,C_Year,'💰 Income'!$Q$4:$Q$203,A15)</f>
        <v/>
      </c>
      <c r="D15" s="49">
        <f>SUMIFS('💸 Debt Manager'!$G$8:$G$107,'💸 Debt Manager'!$J$8:$J$107,C_Month,'💸 Debt Manager'!$K$8:$K$107,C_Year,'💸 Debt Manager'!$L$8:$L$107,A15)</f>
        <v/>
      </c>
      <c r="E15" s="49">
        <f>SUMIFS('💳 Transactions'!$F$4:$F$403,'💳 Transactions'!$D$4:$D$403,"Subscriptions",'💳 Transactions'!$O$4:$O$403,C_Month,'💳 Transactions'!$P$4:$P$403,C_Year,'💳 Transactions'!$Q$4:$Q$403,A15)</f>
        <v/>
      </c>
      <c r="F15" s="15" t="n"/>
    </row>
    <row r="16">
      <c r="A16" s="48" t="n">
        <v>13</v>
      </c>
      <c r="B16" s="49">
        <f>SUMIFS('🧾 Bills &amp; Subs'!$B$4:$B$303,'🧾 Bills &amp; Subs'!$K$4:$K$303,C_Month,'🧾 Bills &amp; Subs'!$L$4:$L$303,C_Year,'🧾 Bills &amp; Subs'!$M$4:$M$303,A16)</f>
        <v/>
      </c>
      <c r="C16" s="49">
        <f>SUMIFS('💰 Income'!$M$4:$M$203,'💰 Income'!$O$4:$O$203,C_Month,'💰 Income'!$P$4:$P$203,C_Year,'💰 Income'!$Q$4:$Q$203,A16)</f>
        <v/>
      </c>
      <c r="D16" s="49">
        <f>SUMIFS('💸 Debt Manager'!$G$8:$G$107,'💸 Debt Manager'!$J$8:$J$107,C_Month,'💸 Debt Manager'!$K$8:$K$107,C_Year,'💸 Debt Manager'!$L$8:$L$107,A16)</f>
        <v/>
      </c>
      <c r="E16" s="49">
        <f>SUMIFS('💳 Transactions'!$F$4:$F$403,'💳 Transactions'!$D$4:$D$403,"Subscriptions",'💳 Transactions'!$O$4:$O$403,C_Month,'💳 Transactions'!$P$4:$P$403,C_Year,'💳 Transactions'!$Q$4:$Q$403,A16)</f>
        <v/>
      </c>
      <c r="F16" s="15" t="n"/>
    </row>
    <row r="17">
      <c r="A17" s="48" t="n">
        <v>14</v>
      </c>
      <c r="B17" s="49">
        <f>SUMIFS('🧾 Bills &amp; Subs'!$B$4:$B$303,'🧾 Bills &amp; Subs'!$K$4:$K$303,C_Month,'🧾 Bills &amp; Subs'!$L$4:$L$303,C_Year,'🧾 Bills &amp; Subs'!$M$4:$M$303,A17)</f>
        <v/>
      </c>
      <c r="C17" s="49">
        <f>SUMIFS('💰 Income'!$M$4:$M$203,'💰 Income'!$O$4:$O$203,C_Month,'💰 Income'!$P$4:$P$203,C_Year,'💰 Income'!$Q$4:$Q$203,A17)</f>
        <v/>
      </c>
      <c r="D17" s="49">
        <f>SUMIFS('💸 Debt Manager'!$G$8:$G$107,'💸 Debt Manager'!$J$8:$J$107,C_Month,'💸 Debt Manager'!$K$8:$K$107,C_Year,'💸 Debt Manager'!$L$8:$L$107,A17)</f>
        <v/>
      </c>
      <c r="E17" s="49">
        <f>SUMIFS('💳 Transactions'!$F$4:$F$403,'💳 Transactions'!$D$4:$D$403,"Subscriptions",'💳 Transactions'!$O$4:$O$403,C_Month,'💳 Transactions'!$P$4:$P$403,C_Year,'💳 Transactions'!$Q$4:$Q$403,A17)</f>
        <v/>
      </c>
      <c r="F17" s="15" t="n"/>
    </row>
    <row r="18">
      <c r="A18" s="48" t="n">
        <v>15</v>
      </c>
      <c r="B18" s="49">
        <f>SUMIFS('🧾 Bills &amp; Subs'!$B$4:$B$303,'🧾 Bills &amp; Subs'!$K$4:$K$303,C_Month,'🧾 Bills &amp; Subs'!$L$4:$L$303,C_Year,'🧾 Bills &amp; Subs'!$M$4:$M$303,A18)</f>
        <v/>
      </c>
      <c r="C18" s="49">
        <f>SUMIFS('💰 Income'!$M$4:$M$203,'💰 Income'!$O$4:$O$203,C_Month,'💰 Income'!$P$4:$P$203,C_Year,'💰 Income'!$Q$4:$Q$203,A18)</f>
        <v/>
      </c>
      <c r="D18" s="49">
        <f>SUMIFS('💸 Debt Manager'!$G$8:$G$107,'💸 Debt Manager'!$J$8:$J$107,C_Month,'💸 Debt Manager'!$K$8:$K$107,C_Year,'💸 Debt Manager'!$L$8:$L$107,A18)</f>
        <v/>
      </c>
      <c r="E18" s="49">
        <f>SUMIFS('💳 Transactions'!$F$4:$F$403,'💳 Transactions'!$D$4:$D$403,"Subscriptions",'💳 Transactions'!$O$4:$O$403,C_Month,'💳 Transactions'!$P$4:$P$403,C_Year,'💳 Transactions'!$Q$4:$Q$403,A18)</f>
        <v/>
      </c>
      <c r="F18" s="15" t="n"/>
    </row>
    <row r="19">
      <c r="A19" s="48" t="n">
        <v>16</v>
      </c>
      <c r="B19" s="49">
        <f>SUMIFS('🧾 Bills &amp; Subs'!$B$4:$B$303,'🧾 Bills &amp; Subs'!$K$4:$K$303,C_Month,'🧾 Bills &amp; Subs'!$L$4:$L$303,C_Year,'🧾 Bills &amp; Subs'!$M$4:$M$303,A19)</f>
        <v/>
      </c>
      <c r="C19" s="49">
        <f>SUMIFS('💰 Income'!$M$4:$M$203,'💰 Income'!$O$4:$O$203,C_Month,'💰 Income'!$P$4:$P$203,C_Year,'💰 Income'!$Q$4:$Q$203,A19)</f>
        <v/>
      </c>
      <c r="D19" s="49">
        <f>SUMIFS('💸 Debt Manager'!$G$8:$G$107,'💸 Debt Manager'!$J$8:$J$107,C_Month,'💸 Debt Manager'!$K$8:$K$107,C_Year,'💸 Debt Manager'!$L$8:$L$107,A19)</f>
        <v/>
      </c>
      <c r="E19" s="49">
        <f>SUMIFS('💳 Transactions'!$F$4:$F$403,'💳 Transactions'!$D$4:$D$403,"Subscriptions",'💳 Transactions'!$O$4:$O$403,C_Month,'💳 Transactions'!$P$4:$P$403,C_Year,'💳 Transactions'!$Q$4:$Q$403,A19)</f>
        <v/>
      </c>
      <c r="F19" s="15" t="n"/>
    </row>
    <row r="20">
      <c r="A20" s="48" t="n">
        <v>17</v>
      </c>
      <c r="B20" s="49">
        <f>SUMIFS('🧾 Bills &amp; Subs'!$B$4:$B$303,'🧾 Bills &amp; Subs'!$K$4:$K$303,C_Month,'🧾 Bills &amp; Subs'!$L$4:$L$303,C_Year,'🧾 Bills &amp; Subs'!$M$4:$M$303,A20)</f>
        <v/>
      </c>
      <c r="C20" s="49">
        <f>SUMIFS('💰 Income'!$M$4:$M$203,'💰 Income'!$O$4:$O$203,C_Month,'💰 Income'!$P$4:$P$203,C_Year,'💰 Income'!$Q$4:$Q$203,A20)</f>
        <v/>
      </c>
      <c r="D20" s="49">
        <f>SUMIFS('💸 Debt Manager'!$G$8:$G$107,'💸 Debt Manager'!$J$8:$J$107,C_Month,'💸 Debt Manager'!$K$8:$K$107,C_Year,'💸 Debt Manager'!$L$8:$L$107,A20)</f>
        <v/>
      </c>
      <c r="E20" s="49">
        <f>SUMIFS('💳 Transactions'!$F$4:$F$403,'💳 Transactions'!$D$4:$D$403,"Subscriptions",'💳 Transactions'!$O$4:$O$403,C_Month,'💳 Transactions'!$P$4:$P$403,C_Year,'💳 Transactions'!$Q$4:$Q$403,A20)</f>
        <v/>
      </c>
      <c r="F20" s="15" t="n"/>
    </row>
    <row r="21">
      <c r="A21" s="48" t="n">
        <v>18</v>
      </c>
      <c r="B21" s="49">
        <f>SUMIFS('🧾 Bills &amp; Subs'!$B$4:$B$303,'🧾 Bills &amp; Subs'!$K$4:$K$303,C_Month,'🧾 Bills &amp; Subs'!$L$4:$L$303,C_Year,'🧾 Bills &amp; Subs'!$M$4:$M$303,A21)</f>
        <v/>
      </c>
      <c r="C21" s="49">
        <f>SUMIFS('💰 Income'!$M$4:$M$203,'💰 Income'!$O$4:$O$203,C_Month,'💰 Income'!$P$4:$P$203,C_Year,'💰 Income'!$Q$4:$Q$203,A21)</f>
        <v/>
      </c>
      <c r="D21" s="49">
        <f>SUMIFS('💸 Debt Manager'!$G$8:$G$107,'💸 Debt Manager'!$J$8:$J$107,C_Month,'💸 Debt Manager'!$K$8:$K$107,C_Year,'💸 Debt Manager'!$L$8:$L$107,A21)</f>
        <v/>
      </c>
      <c r="E21" s="49">
        <f>SUMIFS('💳 Transactions'!$F$4:$F$403,'💳 Transactions'!$D$4:$D$403,"Subscriptions",'💳 Transactions'!$O$4:$O$403,C_Month,'💳 Transactions'!$P$4:$P$403,C_Year,'💳 Transactions'!$Q$4:$Q$403,A21)</f>
        <v/>
      </c>
      <c r="F21" s="15" t="n"/>
    </row>
    <row r="22">
      <c r="A22" s="48" t="n">
        <v>19</v>
      </c>
      <c r="B22" s="49">
        <f>SUMIFS('🧾 Bills &amp; Subs'!$B$4:$B$303,'🧾 Bills &amp; Subs'!$K$4:$K$303,C_Month,'🧾 Bills &amp; Subs'!$L$4:$L$303,C_Year,'🧾 Bills &amp; Subs'!$M$4:$M$303,A22)</f>
        <v/>
      </c>
      <c r="C22" s="49">
        <f>SUMIFS('💰 Income'!$M$4:$M$203,'💰 Income'!$O$4:$O$203,C_Month,'💰 Income'!$P$4:$P$203,C_Year,'💰 Income'!$Q$4:$Q$203,A22)</f>
        <v/>
      </c>
      <c r="D22" s="49">
        <f>SUMIFS('💸 Debt Manager'!$G$8:$G$107,'💸 Debt Manager'!$J$8:$J$107,C_Month,'💸 Debt Manager'!$K$8:$K$107,C_Year,'💸 Debt Manager'!$L$8:$L$107,A22)</f>
        <v/>
      </c>
      <c r="E22" s="49">
        <f>SUMIFS('💳 Transactions'!$F$4:$F$403,'💳 Transactions'!$D$4:$D$403,"Subscriptions",'💳 Transactions'!$O$4:$O$403,C_Month,'💳 Transactions'!$P$4:$P$403,C_Year,'💳 Transactions'!$Q$4:$Q$403,A22)</f>
        <v/>
      </c>
      <c r="F22" s="15" t="n"/>
    </row>
    <row r="23">
      <c r="A23" s="48" t="n">
        <v>20</v>
      </c>
      <c r="B23" s="49">
        <f>SUMIFS('🧾 Bills &amp; Subs'!$B$4:$B$303,'🧾 Bills &amp; Subs'!$K$4:$K$303,C_Month,'🧾 Bills &amp; Subs'!$L$4:$L$303,C_Year,'🧾 Bills &amp; Subs'!$M$4:$M$303,A23)</f>
        <v/>
      </c>
      <c r="C23" s="49">
        <f>SUMIFS('💰 Income'!$M$4:$M$203,'💰 Income'!$O$4:$O$203,C_Month,'💰 Income'!$P$4:$P$203,C_Year,'💰 Income'!$Q$4:$Q$203,A23)</f>
        <v/>
      </c>
      <c r="D23" s="49">
        <f>SUMIFS('💸 Debt Manager'!$G$8:$G$107,'💸 Debt Manager'!$J$8:$J$107,C_Month,'💸 Debt Manager'!$K$8:$K$107,C_Year,'💸 Debt Manager'!$L$8:$L$107,A23)</f>
        <v/>
      </c>
      <c r="E23" s="49">
        <f>SUMIFS('💳 Transactions'!$F$4:$F$403,'💳 Transactions'!$D$4:$D$403,"Subscriptions",'💳 Transactions'!$O$4:$O$403,C_Month,'💳 Transactions'!$P$4:$P$403,C_Year,'💳 Transactions'!$Q$4:$Q$403,A23)</f>
        <v/>
      </c>
      <c r="F23" s="15" t="n"/>
    </row>
    <row r="24">
      <c r="A24" s="48" t="n">
        <v>21</v>
      </c>
      <c r="B24" s="49">
        <f>SUMIFS('🧾 Bills &amp; Subs'!$B$4:$B$303,'🧾 Bills &amp; Subs'!$K$4:$K$303,C_Month,'🧾 Bills &amp; Subs'!$L$4:$L$303,C_Year,'🧾 Bills &amp; Subs'!$M$4:$M$303,A24)</f>
        <v/>
      </c>
      <c r="C24" s="49">
        <f>SUMIFS('💰 Income'!$M$4:$M$203,'💰 Income'!$O$4:$O$203,C_Month,'💰 Income'!$P$4:$P$203,C_Year,'💰 Income'!$Q$4:$Q$203,A24)</f>
        <v/>
      </c>
      <c r="D24" s="49">
        <f>SUMIFS('💸 Debt Manager'!$G$8:$G$107,'💸 Debt Manager'!$J$8:$J$107,C_Month,'💸 Debt Manager'!$K$8:$K$107,C_Year,'💸 Debt Manager'!$L$8:$L$107,A24)</f>
        <v/>
      </c>
      <c r="E24" s="49">
        <f>SUMIFS('💳 Transactions'!$F$4:$F$403,'💳 Transactions'!$D$4:$D$403,"Subscriptions",'💳 Transactions'!$O$4:$O$403,C_Month,'💳 Transactions'!$P$4:$P$403,C_Year,'💳 Transactions'!$Q$4:$Q$403,A24)</f>
        <v/>
      </c>
      <c r="F24" s="15" t="n"/>
    </row>
    <row r="25">
      <c r="A25" s="48" t="n">
        <v>22</v>
      </c>
      <c r="B25" s="49">
        <f>SUMIFS('🧾 Bills &amp; Subs'!$B$4:$B$303,'🧾 Bills &amp; Subs'!$K$4:$K$303,C_Month,'🧾 Bills &amp; Subs'!$L$4:$L$303,C_Year,'🧾 Bills &amp; Subs'!$M$4:$M$303,A25)</f>
        <v/>
      </c>
      <c r="C25" s="49">
        <f>SUMIFS('💰 Income'!$M$4:$M$203,'💰 Income'!$O$4:$O$203,C_Month,'💰 Income'!$P$4:$P$203,C_Year,'💰 Income'!$Q$4:$Q$203,A25)</f>
        <v/>
      </c>
      <c r="D25" s="49">
        <f>SUMIFS('💸 Debt Manager'!$G$8:$G$107,'💸 Debt Manager'!$J$8:$J$107,C_Month,'💸 Debt Manager'!$K$8:$K$107,C_Year,'💸 Debt Manager'!$L$8:$L$107,A25)</f>
        <v/>
      </c>
      <c r="E25" s="49">
        <f>SUMIFS('💳 Transactions'!$F$4:$F$403,'💳 Transactions'!$D$4:$D$403,"Subscriptions",'💳 Transactions'!$O$4:$O$403,C_Month,'💳 Transactions'!$P$4:$P$403,C_Year,'💳 Transactions'!$Q$4:$Q$403,A25)</f>
        <v/>
      </c>
      <c r="F25" s="15" t="n"/>
    </row>
    <row r="26">
      <c r="A26" s="48" t="n">
        <v>23</v>
      </c>
      <c r="B26" s="49">
        <f>SUMIFS('🧾 Bills &amp; Subs'!$B$4:$B$303,'🧾 Bills &amp; Subs'!$K$4:$K$303,C_Month,'🧾 Bills &amp; Subs'!$L$4:$L$303,C_Year,'🧾 Bills &amp; Subs'!$M$4:$M$303,A26)</f>
        <v/>
      </c>
      <c r="C26" s="49">
        <f>SUMIFS('💰 Income'!$M$4:$M$203,'💰 Income'!$O$4:$O$203,C_Month,'💰 Income'!$P$4:$P$203,C_Year,'💰 Income'!$Q$4:$Q$203,A26)</f>
        <v/>
      </c>
      <c r="D26" s="49">
        <f>SUMIFS('💸 Debt Manager'!$G$8:$G$107,'💸 Debt Manager'!$J$8:$J$107,C_Month,'💸 Debt Manager'!$K$8:$K$107,C_Year,'💸 Debt Manager'!$L$8:$L$107,A26)</f>
        <v/>
      </c>
      <c r="E26" s="49">
        <f>SUMIFS('💳 Transactions'!$F$4:$F$403,'💳 Transactions'!$D$4:$D$403,"Subscriptions",'💳 Transactions'!$O$4:$O$403,C_Month,'💳 Transactions'!$P$4:$P$403,C_Year,'💳 Transactions'!$Q$4:$Q$403,A26)</f>
        <v/>
      </c>
      <c r="F26" s="15" t="n"/>
    </row>
    <row r="27">
      <c r="A27" s="48" t="n">
        <v>24</v>
      </c>
      <c r="B27" s="49">
        <f>SUMIFS('🧾 Bills &amp; Subs'!$B$4:$B$303,'🧾 Bills &amp; Subs'!$K$4:$K$303,C_Month,'🧾 Bills &amp; Subs'!$L$4:$L$303,C_Year,'🧾 Bills &amp; Subs'!$M$4:$M$303,A27)</f>
        <v/>
      </c>
      <c r="C27" s="49">
        <f>SUMIFS('💰 Income'!$M$4:$M$203,'💰 Income'!$O$4:$O$203,C_Month,'💰 Income'!$P$4:$P$203,C_Year,'💰 Income'!$Q$4:$Q$203,A27)</f>
        <v/>
      </c>
      <c r="D27" s="49">
        <f>SUMIFS('💸 Debt Manager'!$G$8:$G$107,'💸 Debt Manager'!$J$8:$J$107,C_Month,'💸 Debt Manager'!$K$8:$K$107,C_Year,'💸 Debt Manager'!$L$8:$L$107,A27)</f>
        <v/>
      </c>
      <c r="E27" s="49">
        <f>SUMIFS('💳 Transactions'!$F$4:$F$403,'💳 Transactions'!$D$4:$D$403,"Subscriptions",'💳 Transactions'!$O$4:$O$403,C_Month,'💳 Transactions'!$P$4:$P$403,C_Year,'💳 Transactions'!$Q$4:$Q$403,A27)</f>
        <v/>
      </c>
      <c r="F27" s="15" t="n"/>
    </row>
    <row r="28">
      <c r="A28" s="48" t="n">
        <v>25</v>
      </c>
      <c r="B28" s="49">
        <f>SUMIFS('🧾 Bills &amp; Subs'!$B$4:$B$303,'🧾 Bills &amp; Subs'!$K$4:$K$303,C_Month,'🧾 Bills &amp; Subs'!$L$4:$L$303,C_Year,'🧾 Bills &amp; Subs'!$M$4:$M$303,A28)</f>
        <v/>
      </c>
      <c r="C28" s="49">
        <f>SUMIFS('💰 Income'!$M$4:$M$203,'💰 Income'!$O$4:$O$203,C_Month,'💰 Income'!$P$4:$P$203,C_Year,'💰 Income'!$Q$4:$Q$203,A28)</f>
        <v/>
      </c>
      <c r="D28" s="49">
        <f>SUMIFS('💸 Debt Manager'!$G$8:$G$107,'💸 Debt Manager'!$J$8:$J$107,C_Month,'💸 Debt Manager'!$K$8:$K$107,C_Year,'💸 Debt Manager'!$L$8:$L$107,A28)</f>
        <v/>
      </c>
      <c r="E28" s="49">
        <f>SUMIFS('💳 Transactions'!$F$4:$F$403,'💳 Transactions'!$D$4:$D$403,"Subscriptions",'💳 Transactions'!$O$4:$O$403,C_Month,'💳 Transactions'!$P$4:$P$403,C_Year,'💳 Transactions'!$Q$4:$Q$403,A28)</f>
        <v/>
      </c>
      <c r="F28" s="15" t="n"/>
    </row>
    <row r="29">
      <c r="A29" s="50" t="n">
        <v>26</v>
      </c>
      <c r="B29" s="51">
        <f>SUMIFS('🧾 Bills &amp; Subs'!$B$4:$B$303,'🧾 Bills &amp; Subs'!$K$4:$K$303,C_Month,'🧾 Bills &amp; Subs'!$L$4:$L$303,C_Year,'🧾 Bills &amp; Subs'!$M$4:$M$303,A29)</f>
        <v/>
      </c>
      <c r="C29" s="51">
        <f>SUMIFS('💰 Income'!$M$4:$M$203,'💰 Income'!$O$4:$O$203,C_Month,'💰 Income'!$P$4:$P$203,C_Year,'💰 Income'!$Q$4:$Q$203,A29)</f>
        <v/>
      </c>
      <c r="D29" s="51">
        <f>SUMIFS('💸 Debt Manager'!$G$8:$G$107,'💸 Debt Manager'!$J$8:$J$107,C_Month,'💸 Debt Manager'!$K$8:$K$107,C_Year,'💸 Debt Manager'!$L$8:$L$107,A29)</f>
        <v/>
      </c>
      <c r="E29" s="51">
        <f>SUMIFS('💳 Transactions'!$F$4:$F$403,'💳 Transactions'!$D$4:$D$403,"Subscriptions",'💳 Transactions'!$O$4:$O$403,C_Month,'💳 Transactions'!$P$4:$P$403,C_Year,'💳 Transactions'!$Q$4:$Q$403,A29)</f>
        <v/>
      </c>
      <c r="F29" s="52" t="n"/>
    </row>
    <row r="30">
      <c r="A30" s="48" t="n">
        <v>27</v>
      </c>
      <c r="B30" s="49">
        <f>SUMIFS('🧾 Bills &amp; Subs'!$B$4:$B$303,'🧾 Bills &amp; Subs'!$K$4:$K$303,C_Month,'🧾 Bills &amp; Subs'!$L$4:$L$303,C_Year,'🧾 Bills &amp; Subs'!$M$4:$M$303,A30)</f>
        <v/>
      </c>
      <c r="C30" s="49">
        <f>SUMIFS('💰 Income'!$M$4:$M$203,'💰 Income'!$O$4:$O$203,C_Month,'💰 Income'!$P$4:$P$203,C_Year,'💰 Income'!$Q$4:$Q$203,A30)</f>
        <v/>
      </c>
      <c r="D30" s="49">
        <f>SUMIFS('💸 Debt Manager'!$G$8:$G$107,'💸 Debt Manager'!$J$8:$J$107,C_Month,'💸 Debt Manager'!$K$8:$K$107,C_Year,'💸 Debt Manager'!$L$8:$L$107,A30)</f>
        <v/>
      </c>
      <c r="E30" s="49">
        <f>SUMIFS('💳 Transactions'!$F$4:$F$403,'💳 Transactions'!$D$4:$D$403,"Subscriptions",'💳 Transactions'!$O$4:$O$403,C_Month,'💳 Transactions'!$P$4:$P$403,C_Year,'💳 Transactions'!$Q$4:$Q$403,A30)</f>
        <v/>
      </c>
      <c r="F30" s="15" t="n"/>
    </row>
    <row r="31">
      <c r="A31" s="48" t="n">
        <v>28</v>
      </c>
      <c r="B31" s="49">
        <f>SUMIFS('🧾 Bills &amp; Subs'!$B$4:$B$303,'🧾 Bills &amp; Subs'!$K$4:$K$303,C_Month,'🧾 Bills &amp; Subs'!$L$4:$L$303,C_Year,'🧾 Bills &amp; Subs'!$M$4:$M$303,A31)</f>
        <v/>
      </c>
      <c r="C31" s="49">
        <f>SUMIFS('💰 Income'!$M$4:$M$203,'💰 Income'!$O$4:$O$203,C_Month,'💰 Income'!$P$4:$P$203,C_Year,'💰 Income'!$Q$4:$Q$203,A31)</f>
        <v/>
      </c>
      <c r="D31" s="49">
        <f>SUMIFS('💸 Debt Manager'!$G$8:$G$107,'💸 Debt Manager'!$J$8:$J$107,C_Month,'💸 Debt Manager'!$K$8:$K$107,C_Year,'💸 Debt Manager'!$L$8:$L$107,A31)</f>
        <v/>
      </c>
      <c r="E31" s="49">
        <f>SUMIFS('💳 Transactions'!$F$4:$F$403,'💳 Transactions'!$D$4:$D$403,"Subscriptions",'💳 Transactions'!$O$4:$O$403,C_Month,'💳 Transactions'!$P$4:$P$403,C_Year,'💳 Transactions'!$Q$4:$Q$403,A31)</f>
        <v/>
      </c>
      <c r="F31" s="15" t="n"/>
    </row>
    <row r="32">
      <c r="A32" s="48" t="n">
        <v>29</v>
      </c>
      <c r="B32" s="49">
        <f>SUMIFS('🧾 Bills &amp; Subs'!$B$4:$B$303,'🧾 Bills &amp; Subs'!$K$4:$K$303,C_Month,'🧾 Bills &amp; Subs'!$L$4:$L$303,C_Year,'🧾 Bills &amp; Subs'!$M$4:$M$303,A32)</f>
        <v/>
      </c>
      <c r="C32" s="49">
        <f>SUMIFS('💰 Income'!$M$4:$M$203,'💰 Income'!$O$4:$O$203,C_Month,'💰 Income'!$P$4:$P$203,C_Year,'💰 Income'!$Q$4:$Q$203,A32)</f>
        <v/>
      </c>
      <c r="D32" s="49">
        <f>SUMIFS('💸 Debt Manager'!$G$8:$G$107,'💸 Debt Manager'!$J$8:$J$107,C_Month,'💸 Debt Manager'!$K$8:$K$107,C_Year,'💸 Debt Manager'!$L$8:$L$107,A32)</f>
        <v/>
      </c>
      <c r="E32" s="49">
        <f>SUMIFS('💳 Transactions'!$F$4:$F$403,'💳 Transactions'!$D$4:$D$403,"Subscriptions",'💳 Transactions'!$O$4:$O$403,C_Month,'💳 Transactions'!$P$4:$P$403,C_Year,'💳 Transactions'!$Q$4:$Q$403,A32)</f>
        <v/>
      </c>
      <c r="F32" s="15" t="n"/>
    </row>
    <row r="33">
      <c r="A33" s="48" t="n">
        <v>30</v>
      </c>
      <c r="B33" s="49">
        <f>SUMIFS('🧾 Bills &amp; Subs'!$B$4:$B$303,'🧾 Bills &amp; Subs'!$K$4:$K$303,C_Month,'🧾 Bills &amp; Subs'!$L$4:$L$303,C_Year,'🧾 Bills &amp; Subs'!$M$4:$M$303,A33)</f>
        <v/>
      </c>
      <c r="C33" s="49">
        <f>SUMIFS('💰 Income'!$M$4:$M$203,'💰 Income'!$O$4:$O$203,C_Month,'💰 Income'!$P$4:$P$203,C_Year,'💰 Income'!$Q$4:$Q$203,A33)</f>
        <v/>
      </c>
      <c r="D33" s="49">
        <f>SUMIFS('💸 Debt Manager'!$G$8:$G$107,'💸 Debt Manager'!$J$8:$J$107,C_Month,'💸 Debt Manager'!$K$8:$K$107,C_Year,'💸 Debt Manager'!$L$8:$L$107,A33)</f>
        <v/>
      </c>
      <c r="E33" s="49">
        <f>SUMIFS('💳 Transactions'!$F$4:$F$403,'💳 Transactions'!$D$4:$D$403,"Subscriptions",'💳 Transactions'!$O$4:$O$403,C_Month,'💳 Transactions'!$P$4:$P$403,C_Year,'💳 Transactions'!$Q$4:$Q$403,A33)</f>
        <v/>
      </c>
      <c r="F33" s="15" t="n"/>
    </row>
    <row r="34">
      <c r="A34" s="48" t="n">
        <v>31</v>
      </c>
      <c r="B34" s="49">
        <f>SUMIFS('🧾 Bills &amp; Subs'!$B$4:$B$303,'🧾 Bills &amp; Subs'!$K$4:$K$303,C_Month,'🧾 Bills &amp; Subs'!$L$4:$L$303,C_Year,'🧾 Bills &amp; Subs'!$M$4:$M$303,A34)</f>
        <v/>
      </c>
      <c r="C34" s="49">
        <f>SUMIFS('💰 Income'!$M$4:$M$203,'💰 Income'!$O$4:$O$203,C_Month,'💰 Income'!$P$4:$P$203,C_Year,'💰 Income'!$Q$4:$Q$203,A34)</f>
        <v/>
      </c>
      <c r="D34" s="49">
        <f>SUMIFS('💸 Debt Manager'!$G$8:$G$107,'💸 Debt Manager'!$J$8:$J$107,C_Month,'💸 Debt Manager'!$K$8:$K$107,C_Year,'💸 Debt Manager'!$L$8:$L$107,A34)</f>
        <v/>
      </c>
      <c r="E34" s="49">
        <f>SUMIFS('💳 Transactions'!$F$4:$F$403,'💳 Transactions'!$D$4:$D$403,"Subscriptions",'💳 Transactions'!$O$4:$O$403,C_Month,'💳 Transactions'!$P$4:$P$403,C_Year,'💳 Transactions'!$Q$4:$Q$403,A34)</f>
        <v/>
      </c>
      <c r="F34" s="15" t="n"/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20" customWidth="1" min="9" max="9"/>
    <col width="12" customWidth="1" min="10" max="10"/>
    <col width="20" customWidth="1" min="11" max="11"/>
    <col width="12" customWidth="1" min="12" max="12"/>
    <col width="20" customWidth="1" min="13" max="13"/>
    <col width="12" customWidth="1" min="14" max="14"/>
    <col width="20" customWidth="1" min="15" max="15"/>
    <col width="12" customWidth="1" min="16" max="16"/>
    <col width="20" customWidth="1" min="17" max="17"/>
    <col width="12" customWidth="1" min="18" max="18"/>
    <col width="20" customWidth="1" min="19" max="19"/>
    <col width="12" customWidth="1" min="20" max="20"/>
    <col width="20" customWidth="1" min="21" max="21"/>
    <col width="12" customWidth="1" min="22" max="22"/>
    <col width="20" customWidth="1" min="23" max="23"/>
    <col width="12" customWidth="1" min="24" max="24"/>
    <col width="22" customWidth="1" min="25" max="25"/>
  </cols>
  <sheetData>
    <row r="1" ht="30" customHeight="1">
      <c r="A1" s="1" t="inlineStr">
        <is>
          <t>⚙️ Settings / Setup</t>
        </is>
      </c>
    </row>
    <row r="2" ht="28" customHeight="1">
      <c r="A2" s="2" t="inlineStr">
        <is>
          <t>Set once — every dropdown, formula and chart reads from here. Only the cream cells are editable.</t>
        </is>
      </c>
    </row>
    <row r="4">
      <c r="A4" s="3" t="inlineStr">
        <is>
          <t>REPORTING CONTROL</t>
        </is>
      </c>
      <c r="B4" s="53" t="inlineStr"/>
    </row>
    <row r="5">
      <c r="A5" s="6" t="inlineStr">
        <is>
          <t>Current Date</t>
        </is>
      </c>
      <c r="B5" s="54">
        <f>TODAY()</f>
        <v/>
      </c>
    </row>
    <row r="6">
      <c r="A6" s="6" t="inlineStr">
        <is>
          <t>Current Month</t>
        </is>
      </c>
      <c r="B6" s="55">
        <f>MONTH(B5)</f>
        <v/>
      </c>
    </row>
    <row r="7">
      <c r="A7" s="6" t="inlineStr">
        <is>
          <t>Current Year</t>
        </is>
      </c>
      <c r="B7" s="55">
        <f>YEAR(B5)</f>
        <v/>
      </c>
    </row>
    <row r="8">
      <c r="A8" s="43" t="inlineStr">
        <is>
          <t>Tip: the Dashboard uses 'Current Month' &amp; 'Current Year' to pick the</t>
        </is>
      </c>
    </row>
    <row r="9">
      <c r="A9" s="43" t="inlineStr">
        <is>
          <t>reporting period automatically. Change the date to re-baseline it.</t>
        </is>
      </c>
    </row>
    <row r="12">
      <c r="A12" s="3" t="inlineStr">
        <is>
          <t>Family Members</t>
        </is>
      </c>
      <c r="C12" s="3" t="inlineStr">
        <is>
          <t>Account Master</t>
        </is>
      </c>
      <c r="E12" s="3" t="inlineStr">
        <is>
          <t>Categories</t>
        </is>
      </c>
      <c r="G12" s="3" t="inlineStr">
        <is>
          <t>Subcategories</t>
        </is>
      </c>
      <c r="I12" s="3" t="inlineStr">
        <is>
          <t>Income Sources</t>
        </is>
      </c>
      <c r="K12" s="3" t="inlineStr">
        <is>
          <t>Pay Frequencies</t>
        </is>
      </c>
      <c r="M12" s="3" t="inlineStr">
        <is>
          <t>Account Types</t>
        </is>
      </c>
      <c r="O12" s="3" t="inlineStr">
        <is>
          <t>Payment Methods</t>
        </is>
      </c>
      <c r="Q12" s="3" t="inlineStr">
        <is>
          <t>Transaction Types</t>
        </is>
      </c>
      <c r="S12" s="3" t="inlineStr">
        <is>
          <t>Bill Frequencies</t>
        </is>
      </c>
      <c r="U12" s="3" t="inlineStr">
        <is>
          <t>Yes / No</t>
        </is>
      </c>
      <c r="W12" s="3" t="inlineStr">
        <is>
          <t>Essential / Discretionary</t>
        </is>
      </c>
      <c r="Y12" s="3" t="inlineStr">
        <is>
          <t>Months</t>
        </is>
      </c>
      <c r="AA12" s="3" t="inlineStr">
        <is>
          <t>Filing Status</t>
        </is>
      </c>
      <c r="AC12" s="3" t="inlineStr">
        <is>
          <t>Debt Types</t>
        </is>
      </c>
      <c r="AE12" s="3" t="inlineStr">
        <is>
          <t>Goal Types</t>
        </is>
      </c>
      <c r="AG12" s="3" t="inlineStr">
        <is>
          <t>Investment Types</t>
        </is>
      </c>
    </row>
    <row r="13">
      <c r="A13" s="56" t="inlineStr">
        <is>
          <t>Parent 1</t>
        </is>
      </c>
      <c r="C13" s="56" t="inlineStr">
        <is>
          <t>Checking</t>
        </is>
      </c>
      <c r="E13" s="56" t="inlineStr">
        <is>
          <t>Housing</t>
        </is>
      </c>
      <c r="G13" s="56" t="inlineStr">
        <is>
          <t>Mortgage/Rent</t>
        </is>
      </c>
      <c r="I13" s="56" t="inlineStr">
        <is>
          <t>Salary</t>
        </is>
      </c>
      <c r="K13" s="56" t="inlineStr">
        <is>
          <t>Weekly</t>
        </is>
      </c>
      <c r="M13" s="56" t="inlineStr">
        <is>
          <t>Checking</t>
        </is>
      </c>
      <c r="O13" s="56" t="inlineStr">
        <is>
          <t>Checking</t>
        </is>
      </c>
      <c r="Q13" s="56" t="inlineStr">
        <is>
          <t>Expense</t>
        </is>
      </c>
      <c r="S13" s="56" t="inlineStr">
        <is>
          <t>Weekly</t>
        </is>
      </c>
      <c r="U13" s="56" t="inlineStr">
        <is>
          <t>Yes</t>
        </is>
      </c>
      <c r="W13" s="56" t="inlineStr">
        <is>
          <t>Essential</t>
        </is>
      </c>
      <c r="Y13" s="56" t="inlineStr">
        <is>
          <t>January</t>
        </is>
      </c>
      <c r="AA13" s="56" t="inlineStr">
        <is>
          <t>Single</t>
        </is>
      </c>
      <c r="AC13" s="56" t="inlineStr">
        <is>
          <t>Credit Card</t>
        </is>
      </c>
      <c r="AE13" s="56" t="inlineStr">
        <is>
          <t>Emergency Fund</t>
        </is>
      </c>
      <c r="AG13" s="56" t="inlineStr">
        <is>
          <t>401(k)</t>
        </is>
      </c>
    </row>
    <row r="14">
      <c r="A14" s="56" t="inlineStr">
        <is>
          <t>Parent 2</t>
        </is>
      </c>
      <c r="C14" s="56" t="inlineStr">
        <is>
          <t>Savings</t>
        </is>
      </c>
      <c r="E14" s="56" t="inlineStr">
        <is>
          <t>Transportation</t>
        </is>
      </c>
      <c r="G14" s="56" t="inlineStr">
        <is>
          <t>Property Tax</t>
        </is>
      </c>
      <c r="I14" s="56" t="inlineStr">
        <is>
          <t>Hourly</t>
        </is>
      </c>
      <c r="K14" s="56" t="inlineStr">
        <is>
          <t>Biweekly</t>
        </is>
      </c>
      <c r="M14" s="56" t="inlineStr">
        <is>
          <t>Savings</t>
        </is>
      </c>
      <c r="O14" s="56" t="inlineStr">
        <is>
          <t>Savings</t>
        </is>
      </c>
      <c r="Q14" s="56" t="inlineStr">
        <is>
          <t>Income</t>
        </is>
      </c>
      <c r="S14" s="56" t="inlineStr">
        <is>
          <t>Biweekly</t>
        </is>
      </c>
      <c r="U14" s="56" t="inlineStr">
        <is>
          <t>No</t>
        </is>
      </c>
      <c r="W14" s="56" t="inlineStr">
        <is>
          <t>Discretionary</t>
        </is>
      </c>
      <c r="Y14" s="56" t="inlineStr">
        <is>
          <t>February</t>
        </is>
      </c>
      <c r="AA14" s="56" t="inlineStr">
        <is>
          <t>Married Filing Jointly</t>
        </is>
      </c>
      <c r="AC14" s="56" t="inlineStr">
        <is>
          <t>Student Loan</t>
        </is>
      </c>
      <c r="AE14" s="56" t="inlineStr">
        <is>
          <t>Vacation</t>
        </is>
      </c>
      <c r="AG14" s="56" t="inlineStr">
        <is>
          <t>403(b)</t>
        </is>
      </c>
    </row>
    <row r="15">
      <c r="A15" s="56" t="inlineStr">
        <is>
          <t>Child 1</t>
        </is>
      </c>
      <c r="C15" s="56" t="inlineStr">
        <is>
          <t>HYSA</t>
        </is>
      </c>
      <c r="E15" s="56" t="inlineStr">
        <is>
          <t>Food</t>
        </is>
      </c>
      <c r="G15" s="56" t="inlineStr">
        <is>
          <t>HOA</t>
        </is>
      </c>
      <c r="I15" s="56" t="inlineStr">
        <is>
          <t>Bonus</t>
        </is>
      </c>
      <c r="K15" s="56" t="inlineStr">
        <is>
          <t>Twice Monthly</t>
        </is>
      </c>
      <c r="M15" s="56" t="inlineStr">
        <is>
          <t>HYSA</t>
        </is>
      </c>
      <c r="O15" s="56" t="inlineStr">
        <is>
          <t>Credit Card</t>
        </is>
      </c>
      <c r="Q15" s="56" t="inlineStr">
        <is>
          <t>Transfer</t>
        </is>
      </c>
      <c r="S15" s="56" t="inlineStr">
        <is>
          <t>Twice Monthly</t>
        </is>
      </c>
      <c r="Y15" s="56" t="inlineStr">
        <is>
          <t>March</t>
        </is>
      </c>
      <c r="AA15" s="56" t="inlineStr">
        <is>
          <t>Married Filing Separately</t>
        </is>
      </c>
      <c r="AC15" s="56" t="inlineStr">
        <is>
          <t>Auto Loan</t>
        </is>
      </c>
      <c r="AE15" s="56" t="inlineStr">
        <is>
          <t>Christmas</t>
        </is>
      </c>
      <c r="AG15" s="56" t="inlineStr">
        <is>
          <t>IRA</t>
        </is>
      </c>
    </row>
    <row r="16">
      <c r="A16" s="56" t="inlineStr">
        <is>
          <t>Child 2</t>
        </is>
      </c>
      <c r="C16" s="56" t="inlineStr">
        <is>
          <t>Cash</t>
        </is>
      </c>
      <c r="E16" s="56" t="inlineStr">
        <is>
          <t>Family</t>
        </is>
      </c>
      <c r="G16" s="56" t="inlineStr">
        <is>
          <t>Home Insurance</t>
        </is>
      </c>
      <c r="I16" s="56" t="inlineStr">
        <is>
          <t>Overtime</t>
        </is>
      </c>
      <c r="K16" s="56" t="inlineStr">
        <is>
          <t>Monthly</t>
        </is>
      </c>
      <c r="M16" s="56" t="inlineStr">
        <is>
          <t>Cash</t>
        </is>
      </c>
      <c r="O16" s="56" t="inlineStr">
        <is>
          <t>Cash</t>
        </is>
      </c>
      <c r="S16" s="56" t="inlineStr">
        <is>
          <t>Monthly</t>
        </is>
      </c>
      <c r="Y16" s="56" t="inlineStr">
        <is>
          <t>April</t>
        </is>
      </c>
      <c r="AA16" s="56" t="inlineStr">
        <is>
          <t>Head of Household</t>
        </is>
      </c>
      <c r="AC16" s="56" t="inlineStr">
        <is>
          <t>Personal Loan</t>
        </is>
      </c>
      <c r="AE16" s="56" t="inlineStr">
        <is>
          <t>Birthdays</t>
        </is>
      </c>
      <c r="AG16" s="56" t="inlineStr">
        <is>
          <t>Roth IRA</t>
        </is>
      </c>
    </row>
    <row r="17">
      <c r="A17" s="56" t="inlineStr">
        <is>
          <t>Household</t>
        </is>
      </c>
      <c r="C17" s="56" t="inlineStr">
        <is>
          <t>Credit Card</t>
        </is>
      </c>
      <c r="E17" s="56" t="inlineStr">
        <is>
          <t>Healthcare</t>
        </is>
      </c>
      <c r="G17" s="56" t="inlineStr">
        <is>
          <t>Repairs/Maintenance</t>
        </is>
      </c>
      <c r="I17" s="56" t="inlineStr">
        <is>
          <t>Commission</t>
        </is>
      </c>
      <c r="K17" s="56" t="inlineStr">
        <is>
          <t>Irregular</t>
        </is>
      </c>
      <c r="M17" s="56" t="inlineStr">
        <is>
          <t>Credit Card</t>
        </is>
      </c>
      <c r="O17" s="56" t="inlineStr">
        <is>
          <t>Autopay</t>
        </is>
      </c>
      <c r="S17" s="56" t="inlineStr">
        <is>
          <t>Quarterly</t>
        </is>
      </c>
      <c r="Y17" s="56" t="inlineStr">
        <is>
          <t>May</t>
        </is>
      </c>
      <c r="AA17" s="56" t="inlineStr">
        <is>
          <t>Qualifying Surviving Spouse</t>
        </is>
      </c>
      <c r="AC17" s="56" t="inlineStr">
        <is>
          <t>Mortgage</t>
        </is>
      </c>
      <c r="AE17" s="56" t="inlineStr">
        <is>
          <t>Car Repairs</t>
        </is>
      </c>
      <c r="AG17" s="56" t="inlineStr">
        <is>
          <t>Brokerage</t>
        </is>
      </c>
    </row>
    <row r="18">
      <c r="A18" s="56" t="inlineStr">
        <is>
          <t>Other</t>
        </is>
      </c>
      <c r="C18" s="56" t="inlineStr">
        <is>
          <t>401(k)</t>
        </is>
      </c>
      <c r="E18" s="56" t="inlineStr">
        <is>
          <t>Lifestyle</t>
        </is>
      </c>
      <c r="G18" s="56" t="inlineStr">
        <is>
          <t>Utilities</t>
        </is>
      </c>
      <c r="I18" s="56" t="inlineStr">
        <is>
          <t>Freelance/Side Hustle</t>
        </is>
      </c>
      <c r="M18" s="56" t="inlineStr">
        <is>
          <t>401(k)</t>
        </is>
      </c>
      <c r="O18" s="56" t="inlineStr">
        <is>
          <t>Debit Card</t>
        </is>
      </c>
      <c r="S18" s="56" t="inlineStr">
        <is>
          <t>Annually</t>
        </is>
      </c>
      <c r="Y18" s="56" t="inlineStr">
        <is>
          <t>June</t>
        </is>
      </c>
      <c r="AC18" s="56" t="inlineStr">
        <is>
          <t>Other</t>
        </is>
      </c>
      <c r="AE18" s="56" t="inlineStr">
        <is>
          <t>Home Repairs</t>
        </is>
      </c>
      <c r="AG18" s="56" t="inlineStr">
        <is>
          <t>HSA</t>
        </is>
      </c>
    </row>
    <row r="19">
      <c r="C19" s="56" t="inlineStr">
        <is>
          <t>403(b)</t>
        </is>
      </c>
      <c r="E19" s="56" t="inlineStr">
        <is>
          <t>Financial</t>
        </is>
      </c>
      <c r="G19" s="56" t="inlineStr">
        <is>
          <t>Other Housing</t>
        </is>
      </c>
      <c r="I19" s="56" t="inlineStr">
        <is>
          <t>Child Support</t>
        </is>
      </c>
      <c r="M19" s="56" t="inlineStr">
        <is>
          <t>403(b)</t>
        </is>
      </c>
      <c r="O19" s="56" t="inlineStr">
        <is>
          <t>Other</t>
        </is>
      </c>
      <c r="S19" s="56" t="inlineStr">
        <is>
          <t>One-time</t>
        </is>
      </c>
      <c r="Y19" s="56" t="inlineStr">
        <is>
          <t>July</t>
        </is>
      </c>
      <c r="AE19" s="56" t="inlineStr">
        <is>
          <t>Insurance</t>
        </is>
      </c>
      <c r="AG19" s="56" t="inlineStr">
        <is>
          <t>529</t>
        </is>
      </c>
    </row>
    <row r="20">
      <c r="C20" s="56" t="inlineStr">
        <is>
          <t>IRA</t>
        </is>
      </c>
      <c r="E20" s="56" t="inlineStr">
        <is>
          <t>Giving</t>
        </is>
      </c>
      <c r="G20" s="56" t="inlineStr">
        <is>
          <t>Car Payments</t>
        </is>
      </c>
      <c r="I20" s="56" t="inlineStr">
        <is>
          <t>Social Security</t>
        </is>
      </c>
      <c r="M20" s="56" t="inlineStr">
        <is>
          <t>IRA</t>
        </is>
      </c>
      <c r="Y20" s="56" t="inlineStr">
        <is>
          <t>August</t>
        </is>
      </c>
      <c r="AE20" s="56" t="inlineStr">
        <is>
          <t>Property Taxes</t>
        </is>
      </c>
      <c r="AG20" s="56" t="inlineStr">
        <is>
          <t>CD</t>
        </is>
      </c>
    </row>
    <row r="21">
      <c r="C21" s="56" t="inlineStr">
        <is>
          <t>Roth IRA</t>
        </is>
      </c>
      <c r="E21" s="56" t="inlineStr">
        <is>
          <t>Pets</t>
        </is>
      </c>
      <c r="G21" s="56" t="inlineStr">
        <is>
          <t>Gas</t>
        </is>
      </c>
      <c r="I21" s="56" t="inlineStr">
        <is>
          <t>Retirement</t>
        </is>
      </c>
      <c r="M21" s="56" t="inlineStr">
        <is>
          <t>Roth IRA</t>
        </is>
      </c>
      <c r="Y21" s="56" t="inlineStr">
        <is>
          <t>September</t>
        </is>
      </c>
      <c r="AE21" s="56" t="inlineStr">
        <is>
          <t>College</t>
        </is>
      </c>
      <c r="AG21" s="56" t="inlineStr">
        <is>
          <t>HYSA</t>
        </is>
      </c>
    </row>
    <row r="22">
      <c r="C22" s="56" t="inlineStr">
        <is>
          <t>Brokerage</t>
        </is>
      </c>
      <c r="E22" s="56" t="inlineStr">
        <is>
          <t>Travel</t>
        </is>
      </c>
      <c r="G22" s="56" t="inlineStr">
        <is>
          <t>Auto Insurance</t>
        </is>
      </c>
      <c r="I22" s="56" t="inlineStr">
        <is>
          <t>Government Benefits</t>
        </is>
      </c>
      <c r="M22" s="56" t="inlineStr">
        <is>
          <t>Brokerage</t>
        </is>
      </c>
      <c r="Y22" s="56" t="inlineStr">
        <is>
          <t>October</t>
        </is>
      </c>
      <c r="AE22" s="56" t="inlineStr">
        <is>
          <t>Major Purchase</t>
        </is>
      </c>
      <c r="AG22" s="56" t="inlineStr">
        <is>
          <t>Cash</t>
        </is>
      </c>
    </row>
    <row r="23">
      <c r="C23" s="56" t="inlineStr">
        <is>
          <t>529</t>
        </is>
      </c>
      <c r="E23" s="56" t="inlineStr">
        <is>
          <t>Miscellaneous</t>
        </is>
      </c>
      <c r="G23" s="56" t="inlineStr">
        <is>
          <t>Maintenance/Repairs</t>
        </is>
      </c>
      <c r="I23" s="56" t="inlineStr">
        <is>
          <t>Other</t>
        </is>
      </c>
      <c r="M23" s="56" t="inlineStr">
        <is>
          <t>529</t>
        </is>
      </c>
      <c r="Y23" s="56" t="inlineStr">
        <is>
          <t>November</t>
        </is>
      </c>
      <c r="AE23" s="56" t="inlineStr">
        <is>
          <t>Custom</t>
        </is>
      </c>
      <c r="AG23" s="56" t="inlineStr">
        <is>
          <t>Emergency Fund</t>
        </is>
      </c>
    </row>
    <row r="24">
      <c r="C24" s="56" t="inlineStr">
        <is>
          <t>HSA</t>
        </is>
      </c>
      <c r="G24" s="56" t="inlineStr">
        <is>
          <t>Registration</t>
        </is>
      </c>
      <c r="M24" s="56" t="inlineStr">
        <is>
          <t>HSA</t>
        </is>
      </c>
      <c r="Y24" s="56" t="inlineStr">
        <is>
          <t>December</t>
        </is>
      </c>
    </row>
    <row r="25">
      <c r="C25" s="56" t="inlineStr">
        <is>
          <t>FSA</t>
        </is>
      </c>
      <c r="G25" s="56" t="inlineStr">
        <is>
          <t>Parking/Tolls</t>
        </is>
      </c>
      <c r="M25" s="56" t="inlineStr">
        <is>
          <t>FSA</t>
        </is>
      </c>
    </row>
    <row r="26">
      <c r="C26" s="56" t="inlineStr">
        <is>
          <t>CD</t>
        </is>
      </c>
      <c r="G26" s="56" t="inlineStr">
        <is>
          <t>Public Transportation</t>
        </is>
      </c>
      <c r="M26" s="56" t="inlineStr">
        <is>
          <t>CD</t>
        </is>
      </c>
    </row>
    <row r="27">
      <c r="C27" s="56" t="inlineStr">
        <is>
          <t>Other Investment</t>
        </is>
      </c>
      <c r="G27" s="56" t="inlineStr">
        <is>
          <t>Groceries</t>
        </is>
      </c>
      <c r="M27" s="56" t="inlineStr">
        <is>
          <t>Other Investment</t>
        </is>
      </c>
    </row>
    <row r="28">
      <c r="C28" s="56" t="inlineStr">
        <is>
          <t>Other</t>
        </is>
      </c>
      <c r="G28" s="56" t="inlineStr">
        <is>
          <t>Restaurants</t>
        </is>
      </c>
      <c r="M28" s="56" t="inlineStr">
        <is>
          <t>Other</t>
        </is>
      </c>
    </row>
    <row r="29">
      <c r="G29" s="56" t="inlineStr">
        <is>
          <t>Takeout/Delivery</t>
        </is>
      </c>
    </row>
    <row r="30">
      <c r="G30" s="56" t="inlineStr">
        <is>
          <t>Coffee</t>
        </is>
      </c>
    </row>
    <row r="31">
      <c r="G31" s="56" t="inlineStr">
        <is>
          <t>Other Food</t>
        </is>
      </c>
    </row>
    <row r="32">
      <c r="G32" s="56" t="inlineStr">
        <is>
          <t>Childcare</t>
        </is>
      </c>
    </row>
    <row r="33">
      <c r="G33" s="56" t="inlineStr">
        <is>
          <t>School</t>
        </is>
      </c>
    </row>
    <row r="34">
      <c r="G34" s="56" t="inlineStr">
        <is>
          <t>Activities/Sports</t>
        </is>
      </c>
    </row>
    <row r="35">
      <c r="G35" s="56" t="inlineStr">
        <is>
          <t>Clothing</t>
        </is>
      </c>
    </row>
    <row r="36">
      <c r="G36" s="56" t="inlineStr">
        <is>
          <t>Allowances</t>
        </is>
      </c>
    </row>
    <row r="37">
      <c r="G37" s="56" t="inlineStr">
        <is>
          <t>Baby Expenses</t>
        </is>
      </c>
    </row>
    <row r="38">
      <c r="G38" s="56" t="inlineStr">
        <is>
          <t>College Savings</t>
        </is>
      </c>
    </row>
    <row r="39">
      <c r="G39" s="56" t="inlineStr">
        <is>
          <t>Other Family</t>
        </is>
      </c>
    </row>
    <row r="40">
      <c r="G40" s="56" t="inlineStr">
        <is>
          <t>Health Insurance</t>
        </is>
      </c>
    </row>
    <row r="41">
      <c r="G41" s="56" t="inlineStr">
        <is>
          <t>Dental</t>
        </is>
      </c>
    </row>
    <row r="42">
      <c r="G42" s="56" t="inlineStr">
        <is>
          <t>Vision</t>
        </is>
      </c>
    </row>
    <row r="43">
      <c r="G43" s="56" t="inlineStr">
        <is>
          <t>Prescriptions</t>
        </is>
      </c>
    </row>
    <row r="44">
      <c r="G44" s="56" t="inlineStr">
        <is>
          <t>Medical Expenses</t>
        </is>
      </c>
    </row>
    <row r="45">
      <c r="G45" s="56" t="inlineStr">
        <is>
          <t>Other Healthcare</t>
        </is>
      </c>
    </row>
    <row r="46">
      <c r="G46" s="56" t="inlineStr">
        <is>
          <t>Entertainment</t>
        </is>
      </c>
    </row>
    <row r="47">
      <c r="G47" s="56" t="inlineStr">
        <is>
          <t>Subscriptions</t>
        </is>
      </c>
    </row>
    <row r="48">
      <c r="G48" s="56" t="inlineStr">
        <is>
          <t>Travel</t>
        </is>
      </c>
    </row>
    <row r="49">
      <c r="G49" s="56" t="inlineStr">
        <is>
          <t>Hobbies</t>
        </is>
      </c>
    </row>
    <row r="50">
      <c r="G50" s="56" t="inlineStr">
        <is>
          <t>Personal Care</t>
        </is>
      </c>
    </row>
    <row r="51">
      <c r="G51" s="56" t="inlineStr">
        <is>
          <t>Shopping</t>
        </is>
      </c>
    </row>
    <row r="52">
      <c r="G52" s="56" t="inlineStr">
        <is>
          <t>Other Lifestyle</t>
        </is>
      </c>
    </row>
    <row r="53">
      <c r="G53" s="56" t="inlineStr">
        <is>
          <t>Credit Cards</t>
        </is>
      </c>
    </row>
    <row r="54">
      <c r="G54" s="56" t="inlineStr">
        <is>
          <t>Student Loans</t>
        </is>
      </c>
    </row>
    <row r="55">
      <c r="G55" s="56" t="inlineStr">
        <is>
          <t>Auto Loans</t>
        </is>
      </c>
    </row>
    <row r="56">
      <c r="G56" s="56" t="inlineStr">
        <is>
          <t>Personal Loans</t>
        </is>
      </c>
    </row>
    <row r="57">
      <c r="G57" s="56" t="inlineStr">
        <is>
          <t>Savings</t>
        </is>
      </c>
    </row>
    <row r="58">
      <c r="G58" s="56" t="inlineStr">
        <is>
          <t>Investments</t>
        </is>
      </c>
    </row>
    <row r="59">
      <c r="G59" s="56" t="inlineStr">
        <is>
          <t>Retirement</t>
        </is>
      </c>
    </row>
    <row r="60">
      <c r="G60" s="56" t="inlineStr">
        <is>
          <t>Other Financial</t>
        </is>
      </c>
    </row>
    <row r="61">
      <c r="G61" s="56" t="inlineStr">
        <is>
          <t>Charity</t>
        </is>
      </c>
    </row>
    <row r="62">
      <c r="G62" s="56" t="inlineStr">
        <is>
          <t>Gifts</t>
        </is>
      </c>
    </row>
    <row r="63">
      <c r="G63" s="56" t="inlineStr">
        <is>
          <t>Tithe</t>
        </is>
      </c>
    </row>
    <row r="64">
      <c r="G64" s="56" t="inlineStr">
        <is>
          <t>Other Giving</t>
        </is>
      </c>
    </row>
    <row r="65">
      <c r="G65" s="56" t="inlineStr">
        <is>
          <t>Food</t>
        </is>
      </c>
    </row>
    <row r="66">
      <c r="G66" s="56" t="inlineStr">
        <is>
          <t>Vet</t>
        </is>
      </c>
    </row>
    <row r="67">
      <c r="G67" s="56" t="inlineStr">
        <is>
          <t>Grooming</t>
        </is>
      </c>
    </row>
    <row r="68">
      <c r="G68" s="56" t="inlineStr">
        <is>
          <t>Supplies</t>
        </is>
      </c>
    </row>
    <row r="69">
      <c r="G69" s="56" t="inlineStr">
        <is>
          <t>Other Pets</t>
        </is>
      </c>
    </row>
    <row r="70">
      <c r="G70" s="56" t="inlineStr">
        <is>
          <t>Transport</t>
        </is>
      </c>
    </row>
    <row r="71">
      <c r="G71" s="56" t="inlineStr">
        <is>
          <t>Lodging</t>
        </is>
      </c>
    </row>
    <row r="72">
      <c r="G72" s="56" t="inlineStr">
        <is>
          <t>Food &amp; Dining</t>
        </is>
      </c>
    </row>
    <row r="73">
      <c r="G73" s="56" t="inlineStr">
        <is>
          <t>Activities</t>
        </is>
      </c>
    </row>
    <row r="74">
      <c r="G74" s="56" t="inlineStr">
        <is>
          <t>Other Travel</t>
        </is>
      </c>
    </row>
    <row r="75">
      <c r="G75" s="56" t="inlineStr">
        <is>
          <t>Fees</t>
        </is>
      </c>
    </row>
    <row r="76">
      <c r="G76" s="56" t="inlineStr">
        <is>
          <t>Gifts</t>
        </is>
      </c>
    </row>
    <row r="77">
      <c r="G77" s="56" t="inlineStr">
        <is>
          <t>Other Misc</t>
        </is>
      </c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2">
    <mergeCell ref="A2:Y2"/>
    <mergeCell ref="A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📖 Instructions &amp; Help</t>
        </is>
      </c>
    </row>
    <row r="2" ht="28" customHeight="1">
      <c r="A2" s="2" t="inlineStr">
        <is>
          <t>How to use the Novality Premium Family Budget. Green cells are formulas; cream cells are where you type.</t>
        </is>
      </c>
    </row>
    <row r="4">
      <c r="A4" s="57" t="inlineStr">
        <is>
          <t>HOW IT WORKS</t>
        </is>
      </c>
      <c r="B4" s="43" t="inlineStr">
        <is>
          <t>You only enter information ONCE. The Transaction Ledger, Income and Bills tabs feed every else automatically.</t>
        </is>
      </c>
    </row>
    <row r="6">
      <c r="A6" s="6" t="inlineStr">
        <is>
          <t>1. ⚙️ Settings</t>
        </is>
      </c>
      <c r="B6" s="58" t="inlineStr">
        <is>
          <t>List your Family Members, Accounts, Categories, Income Sources, Pay Frequencies, Goal Types etc. here once. These fill every dropdown.</t>
        </is>
      </c>
      <c r="C6" s="59" t="n"/>
      <c r="D6" s="59" t="n"/>
      <c r="E6" s="59" t="n"/>
      <c r="F6" s="60" t="n"/>
    </row>
    <row r="7">
      <c r="A7" s="6" t="inlineStr">
        <is>
          <t>2. 💳 Transactions</t>
        </is>
      </c>
      <c r="B7" s="58" t="inlineStr">
        <is>
          <t>This is the master ledger. Pick the Type, Category, Subcategory, Account, Family Member from dropdowns. Month / Year / Day are automatic. Enter each expense/income once.</t>
        </is>
      </c>
      <c r="C7" s="59" t="n"/>
      <c r="D7" s="59" t="n"/>
      <c r="E7" s="59" t="n"/>
      <c r="F7" s="60" t="n"/>
    </row>
    <row r="8">
      <c r="A8" s="6" t="inlineStr">
        <is>
          <t>3. 💰 Income</t>
        </is>
      </c>
      <c r="B8" s="58" t="inlineStr">
        <is>
          <t>Enter each paycheck with gross, federal/state/FICA withholding, 401k/HSA. Net take-home is automatic. Date drives Month/Year/Day.</t>
        </is>
      </c>
      <c r="C8" s="59" t="n"/>
      <c r="D8" s="59" t="n"/>
      <c r="E8" s="59" t="n"/>
      <c r="F8" s="60" t="n"/>
    </row>
    <row r="9">
      <c r="A9" s="6" t="inlineStr">
        <is>
          <t>4. 🧾 Bills &amp; Subs</t>
        </is>
      </c>
      <c r="B9" s="58" t="inlineStr">
        <is>
          <t>List recurring bills with due date &amp; frequency. Annual cost is computed. The 📅 Calendar shows what is due each day.</t>
        </is>
      </c>
      <c r="C9" s="59" t="n"/>
      <c r="D9" s="59" t="n"/>
      <c r="E9" s="59" t="n"/>
      <c r="F9" s="60" t="n"/>
    </row>
    <row r="10">
      <c r="A10" s="6" t="inlineStr">
        <is>
          <t>5. 🏦 Accounts</t>
        </is>
      </c>
      <c r="B10" s="58" t="inlineStr">
        <is>
          <t>Enter every account's current balance. Available credit and Month tracking are automatic.</t>
        </is>
      </c>
      <c r="C10" s="59" t="n"/>
      <c r="D10" s="59" t="n"/>
      <c r="E10" s="59" t="n"/>
      <c r="F10" s="60" t="n"/>
    </row>
    <row r="11">
      <c r="A11" s="6" t="inlineStr">
        <is>
          <t>6. 💸 Debt Manager</t>
        </is>
      </c>
      <c r="B11" s="58" t="inlineStr">
        <is>
          <t>Enter balances, APR, min &amp; extra payments. Snowball &amp; avalanche order, payoff date and interest saved are automatic.</t>
        </is>
      </c>
      <c r="C11" s="59" t="n"/>
      <c r="D11" s="59" t="n"/>
      <c r="E11" s="59" t="n"/>
      <c r="F11" s="60" t="n"/>
    </row>
    <row r="12">
      <c r="A12" s="6" t="inlineStr">
        <is>
          <t>7. 🎯 Goals &amp; Funds</t>
        </is>
      </c>
      <c r="B12" s="58" t="inlineStr">
        <is>
          <t>Set a target, current saved and monthly contribution. % complete, per-paycheck amount and projected completion are automatic.</t>
        </is>
      </c>
      <c r="C12" s="59" t="n"/>
      <c r="D12" s="59" t="n"/>
      <c r="E12" s="59" t="n"/>
      <c r="F12" s="60" t="n"/>
    </row>
    <row r="13">
      <c r="A13" s="6" t="inlineStr">
        <is>
          <t>8. 📋 Budget</t>
        </is>
      </c>
      <c r="B13" s="58" t="inlineStr">
        <is>
          <t>Set a monthly limit per subcategory. Actuals pull from the ledger automatically; over-budget turns red.</t>
        </is>
      </c>
      <c r="C13" s="59" t="n"/>
      <c r="D13" s="59" t="n"/>
      <c r="E13" s="59" t="n"/>
      <c r="F13" s="60" t="n"/>
    </row>
    <row r="15">
      <c r="A15" s="6" t="inlineStr">
        <is>
          <t>ONLY EDIT THE CREAM CELLS</t>
        </is>
      </c>
      <c r="B15" s="58" t="inlineStr">
        <is>
          <t>Formula cells (green) are locked and protected. To change formulas or add more rows: Review → Unprotect Sheet → password: premium.</t>
        </is>
      </c>
      <c r="C15" s="59" t="n"/>
      <c r="D15" s="59" t="n"/>
      <c r="E15" s="59" t="n"/>
      <c r="F15" s="60" t="n"/>
    </row>
    <row r="16">
      <c r="A16" s="6" t="inlineStr">
        <is>
          <t>🧪 Sample data</t>
        </is>
      </c>
      <c r="B16" s="58" t="inlineStr">
        <is>
          <t>Sample data is pre-loaded so you can see everything working. Delete it and add your own, or keep adding rows in the cream areas.</t>
        </is>
      </c>
      <c r="C16" s="59" t="n"/>
      <c r="D16" s="59" t="n"/>
      <c r="E16" s="59" t="n"/>
      <c r="F16" s="60" t="n"/>
    </row>
    <row r="17">
      <c r="A17" s="6" t="inlineStr">
        <is>
          <t>📊 Analytics &amp; 🏠 Dashboard</t>
        </is>
      </c>
      <c r="B17" s="58" t="inlineStr">
        <is>
          <t>All charts and KPI cards read the ledgers automatically. No manual totals needed.</t>
        </is>
      </c>
      <c r="C17" s="59" t="n"/>
      <c r="D17" s="59" t="n"/>
      <c r="E17" s="59" t="n"/>
      <c r="F17" s="60" t="n"/>
    </row>
    <row r="18">
      <c r="A18" s="6" t="inlineStr">
        <is>
          <t>🇺🇸 Taxes</t>
        </is>
      </c>
      <c r="B18" s="58" t="inlineStr">
        <is>
          <t>The Tax Center is an ESTIMATE only. Update the brackets/standard deduction whenever tax law changes.</t>
        </is>
      </c>
      <c r="C18" s="59" t="n"/>
      <c r="D18" s="59" t="n"/>
      <c r="E18" s="59" t="n"/>
      <c r="F18" s="60" t="n"/>
    </row>
    <row r="19">
      <c r="A19" s="6" t="inlineStr">
        <is>
          <t>🔒 Protection</t>
        </is>
      </c>
      <c r="B19" s="58" t="inlineStr">
        <is>
          <t>Every tab is protected. Password = premium. Unlocked (cream) input cells remain editable.</t>
        </is>
      </c>
      <c r="C19" s="59" t="n"/>
      <c r="D19" s="59" t="n"/>
      <c r="E19" s="59" t="n"/>
      <c r="F19" s="60" t="n"/>
    </row>
    <row r="21">
      <c r="A21" s="3" t="inlineStr">
        <is>
          <t>🔐 Protection settings</t>
        </is>
      </c>
      <c r="B21" s="58" t="inlineStr">
        <is>
          <t>Password: premium   ·   Select unlocked cells = ON   ·   Filtering/Sorting = ON</t>
        </is>
      </c>
      <c r="C21" s="59" t="n"/>
      <c r="D21" s="59" t="n"/>
      <c r="E21" s="59" t="n"/>
      <c r="F21" s="60" t="n"/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EC7C"/>
  <mergeCells count="16">
    <mergeCell ref="B21:F21"/>
    <mergeCell ref="A2:F2"/>
    <mergeCell ref="B12:F12"/>
    <mergeCell ref="B7:F7"/>
    <mergeCell ref="B6:F6"/>
    <mergeCell ref="B16:F16"/>
    <mergeCell ref="B15:F15"/>
    <mergeCell ref="B10:F10"/>
    <mergeCell ref="A1:F1"/>
    <mergeCell ref="B11:F11"/>
    <mergeCell ref="B18:F18"/>
    <mergeCell ref="B19:F19"/>
    <mergeCell ref="B8:F8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:title>Novality Premium Family Budget</dc:title>
  <dc:description>Premium family budget Google Sheet / Excel workbook by Novality Store</dc:description>
  <dc:subject>Complete U.S. household financial dashboard</dc:subject>
  <dcterms:created xsi:type="dcterms:W3CDTF">2026-08-26T09:44:00Z</dcterms:created>
  <dcterms:modified xsi:type="dcterms:W3CDTF">2026-08-26T09:44:03Z</dcterms:modified>
</cp:coreProperties>
</file>