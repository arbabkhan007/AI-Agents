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lcome" sheetId="1" state="visible" r:id="rId1"/>
    <sheet name="Project Dashboard" sheetId="2" state="visible" r:id="rId2"/>
    <sheet name="Client &amp; Project Profile" sheetId="3" state="visible" r:id="rId3"/>
    <sheet name="Room List - Area Tracker" sheetId="4" state="visible" r:id="rId4"/>
    <sheet name="Master FF&amp;E Schedule" sheetId="5" state="visible" r:id="rId5"/>
    <sheet name="Furniture Schedule" sheetId="6" state="visible" r:id="rId6"/>
    <sheet name="Fixtures Schedule" sheetId="7" state="visible" r:id="rId7"/>
    <sheet name="Finishes Schedule" sheetId="8" state="visible" r:id="rId8"/>
    <sheet name="Product Sourcing Tracker" sheetId="9" state="visible" r:id="rId9"/>
    <sheet name="Vendor &amp; Supplier Database" sheetId="10" state="visible" r:id="rId10"/>
    <sheet name="Budget Tracker" sheetId="11" state="visible" r:id="rId11"/>
    <sheet name="Purchase Order - Order Tracker" sheetId="12" state="visible" r:id="rId12"/>
    <sheet name="Delivery &amp; Installation Tracker" sheetId="13" state="visible" r:id="rId13"/>
    <sheet name="Client Approval Tracker" sheetId="14" state="visible" r:id="rId14"/>
    <sheet name="Project Timeline - Gantt" sheetId="15" state="visible" r:id="rId15"/>
    <sheet name="Task &amp; To-Do List" sheetId="16" state="visible" r:id="rId16"/>
    <sheet name="Measurement Log" sheetId="17" state="visible" r:id="rId17"/>
    <sheet name="Contractor - Installer Tracker" sheetId="18" state="visible" r:id="rId18"/>
    <sheet name="Invoice &amp; Payment Tracker" sheetId="19" state="visible" r:id="rId19"/>
    <sheet name="Project Notes - Meeting Notes" sheetId="20" state="visible" r:id="rId20"/>
    <sheet name="Client FF&amp;E Report" sheetId="21" state="visible" r:id="rId21"/>
    <sheet name="Room-by-Room Budget Report" sheetId="22" state="visible" r:id="rId22"/>
    <sheet name="Vendor Order Report" sheetId="23" state="visible" r:id="rId23"/>
    <sheet name="Installation Checklist" sheetId="24" state="visible" r:id="rId24"/>
    <sheet name="Final Punch List" sheetId="25" state="visible" r:id="rId25"/>
    <sheet name="Lists &amp; Helpers" sheetId="26" state="hidden" r:id="rId26"/>
    <sheet name="Dashboard Data" sheetId="27" state="hidden" r:id="rId27"/>
  </sheets>
  <definedNames>
    <definedName name="ProjectTypes">'Lists &amp; Helpers'!$A$2:$A$7</definedName>
    <definedName name="ProjectStatuses">'Lists &amp; Helpers'!$B$2:$B$6</definedName>
    <definedName name="YesNo">'Lists &amp; Helpers'!$C$2:$C$3</definedName>
    <definedName name="BillingMethods">'Lists &amp; Helpers'!$D$2:$D$5</definedName>
    <definedName name="RoomTypes">'Lists &amp; Helpers'!$E$2:$E$12</definedName>
    <definedName name="DesignStatuses">'Lists &amp; Helpers'!$F$2:$F$8</definedName>
    <definedName name="PriorityLevels">'Lists &amp; Helpers'!$G$2:$G$5</definedName>
    <definedName name="FFECategories">'Lists &amp; Helpers'!$H$2:$H$19</definedName>
    <definedName name="OrderStatuses">'Lists &amp; Helpers'!$I$2:$I$14</definedName>
    <definedName name="ApprovalStatuses">'Lists &amp; Helpers'!$J$2:$J$7</definedName>
    <definedName name="DeliveryStatuses">'Lists &amp; Helpers'!$K$2:$K$9</definedName>
    <definedName name="InstallStatuses">'Lists &amp; Helpers'!$L$2:$L$7</definedName>
    <definedName name="FixtureTypes">'Lists &amp; Helpers'!$M$2:$M$12</definedName>
    <definedName name="FinishTypes">'Lists &amp; Helpers'!$N$2:$N$14</definedName>
    <definedName name="SurfaceApplications">'Lists &amp; Helpers'!$O$2:$O$10</definedName>
    <definedName name="PreferredOptions">'Lists &amp; Helpers'!$P$2:$P$6</definedName>
    <definedName name="VendorTypes">'Lists &amp; Helpers'!$Q$2:$Q$15</definedName>
    <definedName name="POStatuses">'Lists &amp; Helpers'!$R$2:$R$10</definedName>
    <definedName name="DamageChecks">'Lists &amp; Helpers'!$S$2:$S$6</definedName>
    <definedName name="TimelinePhases">'Lists &amp; Helpers'!$T$2:$T$13</definedName>
    <definedName name="TaskStatuses">'Lists &amp; Helpers'!$U$2:$U$7</definedName>
    <definedName name="MeasurementTypes">'Lists &amp; Helpers'!$V$2:$V$9</definedName>
    <definedName name="Trades">'Lists &amp; Helpers'!$W$2:$W$13</definedName>
    <definedName name="PaymentStatuses">'Lists &amp; Helpers'!$X$2:$X$7</definedName>
    <definedName name="PaymentMethods">'Lists &amp; Helpers'!$Y$2:$Y$7</definedName>
    <definedName name="MeetingTypes">'Lists &amp; Helpers'!$Z$2:$Z$7</definedName>
    <definedName name="TaskCategories">'Lists &amp; Helpers'!$AA$2:$AA$10</definedName>
    <definedName name="RoomNames">'Room List - Area Tracker'!$A$7:$A$56</definedName>
    <definedName name="VendorNames">'Vendor &amp; Supplier Database'!$A$7:$A$106</definedName>
    <definedName name="BudgetCategories">'Lists &amp; Helpers'!$AB$2:$AB$15</definedName>
    <definedName name="ApprovalTypes">'Lists &amp; Helpers'!$AC$2:$AC$9</definedName>
    <definedName name="_xlnm._FilterDatabase" localSheetId="3" hidden="1">'Room List - Area Tracker'!$A$6:$K$56</definedName>
    <definedName name="_xlnm.Print_Titles" localSheetId="3">'Room List - Area Tracker'!$1:$6</definedName>
    <definedName name="_xlnm._FilterDatabase" localSheetId="4" hidden="1">'Master FF&amp;E Schedule'!$A$6:$AA$306</definedName>
    <definedName name="_xlnm.Print_Titles" localSheetId="4">'Master FF&amp;E Schedule'!$1:$6</definedName>
    <definedName name="_xlnm._FilterDatabase" localSheetId="5" hidden="1">'Furniture Schedule'!$A$6:$M$156</definedName>
    <definedName name="_xlnm.Print_Titles" localSheetId="5">'Furniture Schedule'!$1:$6</definedName>
    <definedName name="_xlnm._FilterDatabase" localSheetId="6" hidden="1">'Fixtures Schedule'!$A$6:$N$156</definedName>
    <definedName name="_xlnm.Print_Titles" localSheetId="6">'Fixtures Schedule'!$1:$6</definedName>
    <definedName name="_xlnm._FilterDatabase" localSheetId="7" hidden="1">'Finishes Schedule'!$A$6:$O$156</definedName>
    <definedName name="_xlnm.Print_Titles" localSheetId="7">'Finishes Schedule'!$1:$6</definedName>
    <definedName name="_xlnm._FilterDatabase" localSheetId="8" hidden="1">'Product Sourcing Tracker'!$A$6:$M$156</definedName>
    <definedName name="_xlnm.Print_Titles" localSheetId="8">'Product Sourcing Tracker'!$1:$6</definedName>
    <definedName name="_xlnm._FilterDatabase" localSheetId="9" hidden="1">'Vendor &amp; Supplier Database'!$A$6:$L$106</definedName>
    <definedName name="_xlnm.Print_Titles" localSheetId="9">'Vendor &amp; Supplier Database'!$1:$6</definedName>
    <definedName name="_xlnm._FilterDatabase" localSheetId="10" hidden="1">'Budget Tracker'!$A$6:$I$306</definedName>
    <definedName name="_xlnm.Print_Titles" localSheetId="10">'Budget Tracker'!$1:$6</definedName>
    <definedName name="_xlnm._FilterDatabase" localSheetId="11" hidden="1">'Purchase Order - Order Tracker'!$A$6:$P$306</definedName>
    <definedName name="_xlnm.Print_Titles" localSheetId="11">'Purchase Order - Order Tracker'!$1:$6</definedName>
    <definedName name="_xlnm._FilterDatabase" localSheetId="12" hidden="1">'Delivery &amp; Installation Tracker'!$A$6:$O$306</definedName>
    <definedName name="_xlnm.Print_Titles" localSheetId="12">'Delivery &amp; Installation Tracker'!$1:$6</definedName>
    <definedName name="_xlnm._FilterDatabase" localSheetId="13" hidden="1">'Client Approval Tracker'!$A$6:$J$206</definedName>
    <definedName name="_xlnm.Print_Titles" localSheetId="13">'Client Approval Tracker'!$1:$6</definedName>
    <definedName name="_xlnm._FilterDatabase" localSheetId="14" hidden="1">'Project Timeline - Gantt'!$A$6:$J$206</definedName>
    <definedName name="_xlnm.Print_Titles" localSheetId="14">'Project Timeline - Gantt'!$1:$6</definedName>
    <definedName name="_xlnm._FilterDatabase" localSheetId="15" hidden="1">'Task &amp; To-Do List'!$A$6:$H$306</definedName>
    <definedName name="_xlnm.Print_Titles" localSheetId="15">'Task &amp; To-Do List'!$1:$6</definedName>
    <definedName name="_xlnm._FilterDatabase" localSheetId="16" hidden="1">'Measurement Log'!$A$6:$K$206</definedName>
    <definedName name="_xlnm.Print_Titles" localSheetId="16">'Measurement Log'!$1:$6</definedName>
    <definedName name="_xlnm._FilterDatabase" localSheetId="17" hidden="1">'Contractor - Installer Tracker'!$A$6:$K$156</definedName>
    <definedName name="_xlnm.Print_Titles" localSheetId="17">'Contractor - Installer Tracker'!$1:$6</definedName>
    <definedName name="_xlnm._FilterDatabase" localSheetId="18" hidden="1">'Invoice &amp; Payment Tracker'!$A$6:$J$206</definedName>
    <definedName name="_xlnm.Print_Titles" localSheetId="18">'Invoice &amp; Payment Tracker'!$1:$6</definedName>
    <definedName name="_xlnm._FilterDatabase" localSheetId="19" hidden="1">'Project Notes - Meeting Notes'!$A$6:$H$206</definedName>
    <definedName name="_xlnm.Print_Titles" localSheetId="19">'Project Notes - Meeting Notes'!$1:$6</definedName>
    <definedName name="_xlnm._FilterDatabase" localSheetId="20" hidden="1">'Client FF&amp;E Report'!$A$6:$H$106</definedName>
    <definedName name="_xlnm.Print_Titles" localSheetId="20">'Client FF&amp;E Report'!$1:$6</definedName>
    <definedName name="_xlnm._FilterDatabase" localSheetId="21" hidden="1">'Room-by-Room Budget Report'!$A$6:$H$56</definedName>
    <definedName name="_xlnm.Print_Titles" localSheetId="21">'Room-by-Room Budget Report'!$1:$6</definedName>
    <definedName name="_xlnm._FilterDatabase" localSheetId="22" hidden="1">'Vendor Order Report'!$A$6:$I$106</definedName>
    <definedName name="_xlnm.Print_Titles" localSheetId="22">'Vendor Order Report'!$1:$6</definedName>
    <definedName name="_xlnm._FilterDatabase" localSheetId="23" hidden="1">'Installation Checklist'!$A$6:$J$106</definedName>
    <definedName name="_xlnm.Print_Titles" localSheetId="23">'Installation Checklist'!$1:$6</definedName>
    <definedName name="_xlnm._FilterDatabase" localSheetId="24" hidden="1">'Final Punch List'!$A$6:$F$106</definedName>
    <definedName name="_xlnm.Print_Titles" localSheetId="24">'Final Punch List'!$1:$6</definedName>
  </definedNames>
  <calcPr calcId="124519" calcMode="auto" fullCalcOnLoad="1" forceFullCalc="1"/>
</workbook>
</file>

<file path=xl/styles.xml><?xml version="1.0" encoding="utf-8"?>
<styleSheet xmlns="http://schemas.openxmlformats.org/spreadsheetml/2006/main">
  <numFmts count="4">
    <numFmt numFmtId="164" formatCode="m/d/yy"/>
    <numFmt numFmtId="165" formatCode="$#,##0;[Red]-$#,##0;-"/>
    <numFmt numFmtId="166" formatCode="$#,##0.00;[Red]-$#,##0.00;-"/>
    <numFmt numFmtId="167" formatCode="0.0%"/>
  </numFmts>
  <fonts count="18">
    <font>
      <name val="Calibri"/>
      <family val="2"/>
      <color theme="1"/>
      <sz val="11"/>
      <scheme val="minor"/>
    </font>
    <font>
      <b val="1"/>
      <color rgb="00FFFFFF"/>
    </font>
    <font>
      <name val="Aptos Display"/>
      <b val="1"/>
      <color rgb="00FFFFFF"/>
      <sz val="20"/>
    </font>
    <font>
      <name val="Aptos"/>
      <i val="1"/>
      <color rgb="002F6F73"/>
      <sz val="10"/>
    </font>
    <font>
      <b val="1"/>
      <color rgb="00263238"/>
      <sz val="12"/>
    </font>
    <font>
      <name val="Aptos"/>
      <b val="1"/>
      <color rgb="00FFFFFF"/>
      <sz val="11"/>
    </font>
    <font>
      <b val="1"/>
      <color rgb="002F6F73"/>
    </font>
    <font>
      <b val="1"/>
      <color rgb="00263238"/>
    </font>
    <font>
      <name val="Aptos"/>
      <i val="1"/>
      <color rgb="002F6F73"/>
      <sz val="9"/>
    </font>
    <font>
      <name val="Aptos"/>
      <b val="1"/>
      <color rgb="00FFFFFF"/>
      <sz val="10"/>
    </font>
    <font>
      <name val="Aptos"/>
      <color rgb="00263238"/>
      <sz val="10"/>
    </font>
    <font>
      <name val="Aptos"/>
      <b val="1"/>
      <color rgb="001F2A44"/>
      <sz val="10"/>
    </font>
    <font>
      <sz val="9"/>
    </font>
    <font>
      <i val="1"/>
      <color rgb="002F6F73"/>
      <sz val="9"/>
    </font>
    <font>
      <b val="1"/>
      <color rgb="00FFFFFF"/>
      <sz val="9"/>
    </font>
    <font>
      <b val="1"/>
      <color rgb="001F2A44"/>
      <sz val="17"/>
    </font>
    <font>
      <b val="1"/>
      <color rgb="00FFFFFF"/>
      <sz val="12"/>
    </font>
    <font>
      <name val="Aptos"/>
      <i val="1"/>
      <color rgb="002F6F73"/>
      <sz val="10"/>
      <u val="single"/>
    </font>
  </fonts>
  <fills count="12">
    <fill>
      <patternFill/>
    </fill>
    <fill>
      <patternFill patternType="gray125"/>
    </fill>
    <fill>
      <patternFill patternType="solid">
        <fgColor rgb="001F2A44"/>
      </patternFill>
    </fill>
    <fill>
      <patternFill patternType="solid">
        <fgColor rgb="00EAF3F3"/>
      </patternFill>
    </fill>
    <fill>
      <patternFill patternType="solid">
        <fgColor rgb="002F6F73"/>
      </patternFill>
    </fill>
    <fill>
      <patternFill patternType="solid">
        <fgColor rgb="00EAF3F8"/>
      </patternFill>
    </fill>
    <fill>
      <patternFill patternType="solid">
        <fgColor rgb="00FFF8E7"/>
      </patternFill>
    </fill>
    <fill>
      <patternFill patternType="solid">
        <fgColor rgb="00FFFFFF"/>
      </patternFill>
    </fill>
    <fill>
      <patternFill patternType="solid">
        <fgColor rgb="00E2F0D9"/>
      </patternFill>
    </fill>
    <fill>
      <patternFill patternType="solid">
        <fgColor rgb="00FFF2CC"/>
      </patternFill>
    </fill>
    <fill>
      <patternFill patternType="solid">
        <fgColor rgb="00FCE4D6"/>
      </patternFill>
    </fill>
    <fill>
      <patternFill patternType="solid">
        <fgColor rgb="00E7E6E6"/>
      </patternFill>
    </fill>
  </fills>
  <borders count="5">
    <border>
      <left/>
      <right/>
      <top/>
      <bottom/>
      <diagonal/>
    </border>
    <border>
      <bottom style="thin">
        <color rgb="00D6DDE5"/>
      </bottom>
    </border>
    <border>
      <left/>
      <right/>
      <top/>
      <bottom style="thin">
        <color rgb="00D6DDE5"/>
      </bottom>
      <diagonal/>
    </border>
    <border>
      <top style="medium">
        <color rgb="001F2A44"/>
      </top>
      <bottom style="medium">
        <color rgb="001F2A44"/>
      </bottom>
    </border>
    <border>
      <left style="thin">
        <color rgb="00D6DDE5"/>
      </left>
      <right style="thin">
        <color rgb="00D6DDE5"/>
      </right>
      <top style="thin">
        <color rgb="00D6DDE5"/>
      </top>
      <bottom style="thin">
        <color rgb="00D6DDE5"/>
      </bottom>
    </border>
  </borders>
  <cellStyleXfs count="1">
    <xf numFmtId="0" fontId="0" fillId="0" borderId="0"/>
  </cellStyleXfs>
  <cellXfs count="50">
    <xf numFmtId="0" fontId="0"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wrapText="1"/>
    </xf>
    <xf numFmtId="0" fontId="4" fillId="3" borderId="0" applyAlignment="1" pivotButton="0" quotePrefix="0" xfId="0">
      <alignment vertical="center" wrapText="1"/>
    </xf>
    <xf numFmtId="0" fontId="5" fillId="4" borderId="0" applyAlignment="1" pivotButton="0" quotePrefix="0" xfId="0">
      <alignment horizontal="left" vertical="center"/>
    </xf>
    <xf numFmtId="0" fontId="6" fillId="5" borderId="1" pivotButton="0" quotePrefix="0" xfId="0"/>
    <xf numFmtId="0" fontId="7" fillId="6" borderId="1" pivotButton="0" quotePrefix="0" xfId="0"/>
    <xf numFmtId="0" fontId="0" fillId="6" borderId="1" applyAlignment="1" pivotButton="0" quotePrefix="0" xfId="0">
      <alignment vertical="center" wrapText="1"/>
    </xf>
    <xf numFmtId="0" fontId="0" fillId="0" borderId="1" pivotButton="0" quotePrefix="0" xfId="0"/>
    <xf numFmtId="0" fontId="1" fillId="2" borderId="0" applyAlignment="1" pivotButton="0" quotePrefix="0" xfId="0">
      <alignment horizontal="center"/>
    </xf>
    <xf numFmtId="0" fontId="6" fillId="0" borderId="1" pivotButton="0" quotePrefix="0" xfId="0"/>
    <xf numFmtId="0" fontId="0" fillId="0" borderId="1" applyAlignment="1" pivotButton="0" quotePrefix="0" xfId="0">
      <alignment wrapText="1"/>
    </xf>
    <xf numFmtId="0" fontId="0" fillId="0" borderId="2" pivotButton="0" quotePrefix="0" xfId="0"/>
    <xf numFmtId="0" fontId="7" fillId="6" borderId="0" pivotButton="0" quotePrefix="0" xfId="0"/>
    <xf numFmtId="0" fontId="0" fillId="7" borderId="0" applyAlignment="1" pivotButton="0" quotePrefix="0" xfId="0">
      <alignment wrapText="1"/>
    </xf>
    <xf numFmtId="0" fontId="7" fillId="5" borderId="0" pivotButton="0" quotePrefix="0" xfId="0"/>
    <xf numFmtId="0" fontId="7" fillId="8" borderId="0" pivotButton="0" quotePrefix="0" xfId="0"/>
    <xf numFmtId="0" fontId="7" fillId="9" borderId="0" pivotButton="0" quotePrefix="0" xfId="0"/>
    <xf numFmtId="0" fontId="7" fillId="10" borderId="0" pivotButton="0" quotePrefix="0" xfId="0"/>
    <xf numFmtId="0" fontId="7" fillId="11" borderId="0" pivotButton="0" quotePrefix="0" xfId="0"/>
    <xf numFmtId="0" fontId="0" fillId="7" borderId="0" applyAlignment="1" pivotButton="0" quotePrefix="0" xfId="0">
      <alignment vertical="top" wrapText="1"/>
    </xf>
    <xf numFmtId="0" fontId="0" fillId="3"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17" fillId="3" borderId="0" applyAlignment="1" pivotButton="0" quotePrefix="0" xfId="0">
      <alignment horizontal="left" vertical="center" wrapText="1"/>
    </xf>
    <xf numFmtId="0" fontId="13" fillId="0" borderId="0" applyAlignment="1" pivotButton="0" quotePrefix="0" xfId="0">
      <alignment wrapText="1"/>
    </xf>
    <xf numFmtId="0" fontId="14" fillId="4" borderId="4" applyAlignment="1" pivotButton="0" quotePrefix="0" xfId="0">
      <alignment horizontal="center" vertical="center" wrapText="1"/>
    </xf>
    <xf numFmtId="0" fontId="0" fillId="0" borderId="4" pivotButton="0" quotePrefix="0" xfId="0"/>
    <xf numFmtId="165" fontId="15" fillId="5" borderId="4" applyAlignment="1" pivotButton="0" quotePrefix="0" xfId="0">
      <alignment horizontal="center" vertical="center"/>
    </xf>
    <xf numFmtId="167" fontId="15" fillId="5" borderId="4" applyAlignment="1" pivotButton="0" quotePrefix="0" xfId="0">
      <alignment horizontal="center" vertical="center"/>
    </xf>
    <xf numFmtId="1" fontId="15" fillId="5" borderId="4" applyAlignment="1" pivotButton="0" quotePrefix="0" xfId="0">
      <alignment horizontal="center" vertical="center"/>
    </xf>
    <xf numFmtId="0" fontId="16" fillId="2" borderId="0" applyAlignment="1" pivotButton="0" quotePrefix="0" xfId="0">
      <alignment horizontal="left"/>
    </xf>
    <xf numFmtId="0" fontId="7" fillId="3" borderId="0" pivotButton="0" quotePrefix="0" xfId="0"/>
    <xf numFmtId="0" fontId="0" fillId="6" borderId="1" applyAlignment="1" pivotButton="0" quotePrefix="0" xfId="0">
      <alignment vertical="top" wrapText="1"/>
    </xf>
    <xf numFmtId="164" fontId="0" fillId="6" borderId="1" applyAlignment="1" pivotButton="0" quotePrefix="0" xfId="0">
      <alignment vertical="top" wrapText="1"/>
    </xf>
    <xf numFmtId="165" fontId="0" fillId="6" borderId="1" applyAlignment="1" pivotButton="0" quotePrefix="0" xfId="0">
      <alignment vertical="top" wrapText="1"/>
    </xf>
    <xf numFmtId="0" fontId="8" fillId="0" borderId="0" applyAlignment="1" pivotButton="0" quotePrefix="0" xfId="0">
      <alignment wrapText="1"/>
    </xf>
    <xf numFmtId="0" fontId="9" fillId="2" borderId="3" applyAlignment="1" pivotButton="0" quotePrefix="0" xfId="0">
      <alignment horizontal="center" vertical="center" wrapText="1"/>
    </xf>
    <xf numFmtId="0" fontId="10" fillId="6" borderId="1" applyAlignment="1" pivotButton="0" quotePrefix="0" xfId="0">
      <alignment vertical="top" wrapText="1"/>
    </xf>
    <xf numFmtId="4" fontId="10" fillId="6" borderId="1" applyAlignment="1" pivotButton="0" quotePrefix="0" xfId="0">
      <alignment vertical="top" wrapText="1"/>
    </xf>
    <xf numFmtId="166" fontId="10" fillId="6" borderId="1" applyAlignment="1" pivotButton="0" quotePrefix="0" xfId="0">
      <alignment vertical="top" wrapText="1"/>
    </xf>
    <xf numFmtId="166" fontId="10" fillId="5" borderId="1" applyAlignment="1" pivotButton="0" quotePrefix="0" xfId="0">
      <alignment vertical="top" wrapText="1"/>
    </xf>
    <xf numFmtId="164" fontId="10" fillId="6" borderId="1" applyAlignment="1" pivotButton="0" quotePrefix="0" xfId="0">
      <alignment vertical="top" wrapText="1"/>
    </xf>
    <xf numFmtId="167" fontId="10" fillId="6" borderId="1" applyAlignment="1" pivotButton="0" quotePrefix="0" xfId="0">
      <alignment vertical="top" wrapText="1"/>
    </xf>
    <xf numFmtId="0" fontId="11" fillId="5" borderId="3" applyAlignment="1" pivotButton="0" quotePrefix="0" xfId="0">
      <alignment vertical="center" wrapText="1"/>
    </xf>
    <xf numFmtId="166" fontId="11" fillId="5" borderId="3" applyAlignment="1" pivotButton="0" quotePrefix="0" xfId="0">
      <alignment vertical="center" wrapText="1"/>
    </xf>
    <xf numFmtId="0" fontId="10" fillId="5" borderId="1" applyAlignment="1" pivotButton="0" quotePrefix="0" xfId="0">
      <alignment vertical="top" wrapText="1"/>
    </xf>
    <xf numFmtId="164" fontId="10" fillId="5" borderId="1" applyAlignment="1" pivotButton="0" quotePrefix="0" xfId="0">
      <alignment vertical="top" wrapText="1"/>
    </xf>
    <xf numFmtId="0" fontId="1" fillId="2" borderId="0" pivotButton="0" quotePrefix="0" xfId="0"/>
    <xf numFmtId="0" fontId="12" fillId="0" borderId="0" pivotButton="0" quotePrefix="0" xfId="0"/>
  </cellXfs>
  <cellStyles count="1">
    <cellStyle name="Normal" xfId="0" builtinId="0" hidden="0"/>
  </cellStyles>
  <dxfs count="4">
    <dxf>
      <fill>
        <patternFill patternType="solid">
          <fgColor rgb="00FCE4D6"/>
        </patternFill>
      </fill>
    </dxf>
    <dxf>
      <fill>
        <patternFill patternType="solid">
          <fgColor rgb="00FFF2CC"/>
        </patternFill>
      </fill>
    </dxf>
    <dxf>
      <fill>
        <patternFill patternType="solid">
          <fgColor rgb="00E2F0D9"/>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style val="10"/>
  <chart>
    <title>
      <tx>
        <rich>
          <a:bodyPr/>
          <a:p>
            <a:pPr>
              <a:defRPr/>
            </a:pPr>
            <a:r>
              <a:t>Budget by Room</a:t>
            </a:r>
          </a:p>
        </rich>
      </tx>
    </title>
    <plotArea>
      <barChart>
        <barDir val="bar"/>
        <grouping val="clustered"/>
        <varyColors val="0"/>
        <ser>
          <idx val="0"/>
          <order val="0"/>
          <tx>
            <strRef>
              <f>'Dashboard Data'!B1</f>
            </strRef>
          </tx>
          <spPr>
            <a:solidFill>
              <a:srgbClr val="2F6F73"/>
            </a:solidFill>
            <a:ln>
              <a:solidFill>
                <a:srgbClr val="2F6F73"/>
              </a:solidFill>
              <a:prstDash val="solid"/>
            </a:ln>
          </spPr>
          <cat>
            <numRef>
              <f>'Dashboard Data'!$A$2:$A$51</f>
            </numRef>
          </cat>
          <val>
            <numRef>
              <f>'Dashboard Data'!$B$2:$B$51</f>
            </numRef>
          </val>
        </ser>
        <gapWidth val="150"/>
        <axId val="10"/>
        <axId val="100"/>
      </barChart>
      <catAx>
        <axId val="10"/>
        <scaling>
          <orientation val="minMax"/>
        </scaling>
        <axPos val="l"/>
        <title>
          <tx>
            <rich>
              <a:bodyPr/>
              <a:p>
                <a:pPr>
                  <a:defRPr/>
                </a:pPr>
                <a:r>
                  <a:t>Budget</a:t>
                </a:r>
              </a:p>
            </rich>
          </tx>
        </title>
        <majorTickMark val="none"/>
        <minorTickMark val="none"/>
        <crossAx val="100"/>
        <lblOffset val="100"/>
      </catAx>
      <valAx>
        <axId val="100"/>
        <scaling>
          <orientation val="minMax"/>
        </scaling>
        <axPos val="l"/>
        <majorGridlines/>
        <title>
          <tx>
            <rich>
              <a:bodyPr/>
              <a:p>
                <a:pPr>
                  <a:defRPr/>
                </a:pPr>
                <a:r>
                  <a:t>Room</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1"/>
  <chart>
    <title>
      <tx>
        <rich>
          <a:bodyPr/>
          <a:p>
            <a:pPr>
              <a:defRPr/>
            </a:pPr>
            <a:r>
              <a:t>Budget vs Actual</a:t>
            </a:r>
          </a:p>
        </rich>
      </tx>
    </title>
    <plotArea>
      <barChart>
        <barDir val="col"/>
        <grouping val="clustered"/>
        <ser>
          <idx val="0"/>
          <order val="0"/>
          <tx>
            <strRef>
              <f>'Dashboard Data'!E1</f>
            </strRef>
          </tx>
          <spPr>
            <a:solidFill>
              <a:srgbClr val="D6A756"/>
            </a:solidFill>
            <a:ln>
              <a:solidFill>
                <a:srgbClr val="D6A756"/>
              </a:solidFill>
              <a:prstDash val="solid"/>
            </a:ln>
          </spPr>
          <cat>
            <numRef>
              <f>'Dashboard Data'!$D$2:$D$4</f>
            </numRef>
          </cat>
          <val>
            <numRef>
              <f>'Dashboard Data'!$E$2:$E$4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Item Status Breakdown</a:t>
            </a:r>
          </a:p>
        </rich>
      </tx>
    </title>
    <plotArea>
      <pieChart>
        <varyColors val="1"/>
        <ser>
          <idx val="0"/>
          <order val="0"/>
          <tx>
            <strRef>
              <f>'Dashboard Data'!H1</f>
            </strRef>
          </tx>
          <spPr>
            <a:ln>
              <a:prstDash val="solid"/>
            </a:ln>
          </spPr>
          <cat>
            <numRef>
              <f>'Dashboard Data'!$G$2:$G$14</f>
            </numRef>
          </cat>
          <val>
            <numRef>
              <f>'Dashboard Data'!$H$2:$H$14</f>
            </numRef>
          </val>
        </ser>
        <dLbls>
          <showPercent val="1"/>
          <showLeaderLines val="1"/>
        </dLbls>
        <firstSliceAng val="0"/>
      </pieChart>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Delivery Status Breakdown</a:t>
            </a:r>
          </a:p>
        </rich>
      </tx>
    </title>
    <plotArea>
      <pieChart>
        <varyColors val="1"/>
        <ser>
          <idx val="0"/>
          <order val="0"/>
          <tx>
            <strRef>
              <f>'Dashboard Data'!K1</f>
            </strRef>
          </tx>
          <spPr>
            <a:ln>
              <a:prstDash val="solid"/>
            </a:ln>
          </spPr>
          <cat>
            <numRef>
              <f>'Dashboard Data'!$J$2:$J$9</f>
            </numRef>
          </cat>
          <val>
            <numRef>
              <f>'Dashboard Data'!$K$2:$K$9</f>
            </numRef>
          </val>
        </ser>
        <dLbls>
          <showPercent val="1"/>
        </dLbls>
        <firstSliceAng val="0"/>
      </pieChart>
    </plotArea>
    <legend>
      <legendPos val="r"/>
    </legend>
    <plotVisOnly val="1"/>
    <dispBlanksAs val="gap"/>
  </chart>
</chartSpace>
</file>

<file path=xl/charts/chart5.xml><?xml version="1.0" encoding="utf-8"?>
<chartSpace xmlns:a="http://schemas.openxmlformats.org/drawingml/2006/main" xmlns="http://schemas.openxmlformats.org/drawingml/2006/chart">
  <style val="12"/>
  <chart>
    <title>
      <tx>
        <rich>
          <a:bodyPr/>
          <a:p>
            <a:pPr>
              <a:defRPr/>
            </a:pPr>
            <a:r>
              <a:t>Category Spend Breakdown</a:t>
            </a:r>
          </a:p>
        </rich>
      </tx>
    </title>
    <plotArea>
      <barChart>
        <barDir val="bar"/>
        <grouping val="clustered"/>
        <ser>
          <idx val="0"/>
          <order val="0"/>
          <tx>
            <strRef>
              <f>'Dashboard Data'!N1</f>
            </strRef>
          </tx>
          <spPr>
            <a:solidFill>
              <a:srgbClr val="2F6F73"/>
            </a:solidFill>
            <a:ln>
              <a:solidFill>
                <a:srgbClr val="2F6F73"/>
              </a:solidFill>
              <a:prstDash val="solid"/>
            </a:ln>
          </spPr>
          <cat>
            <numRef>
              <f>'Dashboard Data'!$M$2:$M$19</f>
            </numRef>
          </cat>
          <val>
            <numRef>
              <f>'Dashboard Data'!$N$2:$N$19</f>
            </numRef>
          </val>
        </ser>
        <gapWidth val="150"/>
        <axId val="10"/>
        <axId val="100"/>
      </barChart>
      <catAx>
        <axId val="10"/>
        <scaling>
          <orientation val="minMax"/>
        </scaling>
        <axPos val="l"/>
        <title>
          <tx>
            <rich>
              <a:bodyPr/>
              <a:p>
                <a:pPr>
                  <a:defRPr/>
                </a:pPr>
                <a:r>
                  <a:t>Final cost</a:t>
                </a:r>
              </a:p>
            </rich>
          </tx>
        </title>
        <majorTickMark val="none"/>
        <minorTickMark val="none"/>
        <crossAx val="100"/>
        <lblOffset val="100"/>
      </catAx>
      <valAx>
        <axId val="100"/>
        <scaling>
          <orientation val="minMax"/>
        </scaling>
        <axPos val="l"/>
        <majorGridlines/>
        <title>
          <tx>
            <rich>
              <a:bodyPr/>
              <a:p>
                <a:pPr>
                  <a:defRPr/>
                </a:pPr>
                <a:r>
                  <a:t>Category</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17</row>
      <rowOff>0</rowOff>
    </from>
    <ext cx="3780000" cy="2592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17</row>
      <rowOff>0</rowOff>
    </from>
    <ext cx="3420000" cy="2592000"/>
    <graphicFrame>
      <nvGraphicFramePr>
        <cNvPr id="2" name="Chart 2"/>
        <cNvGraphicFramePr/>
      </nvGraphicFramePr>
      <xfrm/>
      <a:graphic>
        <a:graphicData uri="http://schemas.openxmlformats.org/drawingml/2006/chart">
          <c:chart r:id="rId2"/>
        </a:graphicData>
      </a:graphic>
    </graphicFrame>
    <clientData/>
  </oneCellAnchor>
  <oneCellAnchor>
    <from>
      <col>10</col>
      <colOff>0</colOff>
      <row>32</row>
      <rowOff>0</rowOff>
    </from>
    <ext cx="3420000" cy="2592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32</row>
      <rowOff>0</rowOff>
    </from>
    <ext cx="3420000" cy="2592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48</row>
      <rowOff>0</rowOff>
    </from>
    <ext cx="6660000" cy="2880000"/>
    <graphicFrame>
      <nvGraphicFramePr>
        <cNvPr id="5" name="Chart 5"/>
        <cNvGraphicFramePr/>
      </nvGraphicFramePr>
      <xfrm/>
      <a:graphic>
        <a:graphicData uri="http://schemas.openxmlformats.org/drawingml/2006/chart">
          <c:chart r:id="rId5"/>
        </a:graphicData>
      </a:graphic>
    </graphicFrame>
    <clientData/>
  </oneCellAnchor>
</wsDr>
</file>

<file path=xl/tables/table1.xml><?xml version="1.0" encoding="utf-8"?>
<table xmlns="http://schemas.openxmlformats.org/spreadsheetml/2006/main" id="1" name="RoomAreaTracker" displayName="RoomAreaTracker" ref="A6:K56" headerRowCount="1">
  <autoFilter ref="A6:K56"/>
  <tableColumns count="11">
    <tableColumn id="1" name="Room name"/>
    <tableColumn id="2" name="Room type"/>
    <tableColumn id="3" name="Floor/level"/>
    <tableColumn id="4" name="Square footage"/>
    <tableColumn id="5" name="Design status"/>
    <tableColumn id="6" name="Budget allocation"/>
    <tableColumn id="7" name="Estimated spend"/>
    <tableColumn id="8" name="Actual spend"/>
    <tableColumn id="9" name="Remaining budget"/>
    <tableColumn id="10" name="Priority level"/>
    <tableColumn id="11" name="Notes"/>
  </tableColumns>
  <tableStyleInfo name="TableStyleMedium2" showFirstColumn="0" showLastColumn="0" showRowStripes="1" showColumnStripes="0"/>
</table>
</file>

<file path=xl/tables/table2.xml><?xml version="1.0" encoding="utf-8"?>
<table xmlns="http://schemas.openxmlformats.org/spreadsheetml/2006/main" id="2" name="MasterFFE" displayName="MasterFFE" ref="A6:AA306" headerRowCount="1">
  <autoFilter ref="A6:AA306"/>
  <tableColumns count="27">
    <tableColumn id="1" name="Item ID"/>
    <tableColumn id="2" name="Room"/>
    <tableColumn id="3" name="Category"/>
    <tableColumn id="4" name="Item name"/>
    <tableColumn id="5" name="Description"/>
    <tableColumn id="6" name="Quantity"/>
    <tableColumn id="7" name="Dimensions"/>
    <tableColumn id="8" name="Material"/>
    <tableColumn id="9" name="Finish"/>
    <tableColumn id="10" name="Color"/>
    <tableColumn id="11" name="Vendor"/>
    <tableColumn id="12" name="Brand"/>
    <tableColumn id="13" name="Product link"/>
    <tableColumn id="14" name="SKU/model number"/>
    <tableColumn id="15" name="Unit cost"/>
    <tableColumn id="16" name="Total cost"/>
    <tableColumn id="17" name="Tax"/>
    <tableColumn id="18" name="Shipping"/>
    <tableColumn id="19" name="Discount"/>
    <tableColumn id="20" name="Final cost"/>
    <tableColumn id="21" name="Lead time"/>
    <tableColumn id="22" name="Order status"/>
    <tableColumn id="23" name="Approval status"/>
    <tableColumn id="24" name="Delivery status"/>
    <tableColumn id="25" name="Install status"/>
    <tableColumn id="26" name="Notes"/>
    <tableColumn id="27" name="Image link"/>
  </tableColumns>
  <tableStyleInfo name="TableStyleMedium2" showFirstColumn="0" showLastColumn="0" showRowStripes="1" showColumnStripes="0"/>
</table>
</file>

<file path=xl/tables/table3.xml><?xml version="1.0" encoding="utf-8"?>
<table xmlns="http://schemas.openxmlformats.org/spreadsheetml/2006/main" id="3" name="FurnitureSchedule" displayName="FurnitureSchedule" ref="A6:M156" headerRowCount="1">
  <autoFilter ref="A6:M156"/>
  <tableColumns count="13">
    <tableColumn id="1" name="Room"/>
    <tableColumn id="2" name="Furniture item"/>
    <tableColumn id="3" name="Dimensions"/>
    <tableColumn id="4" name="Quantity"/>
    <tableColumn id="5" name="Vendor"/>
    <tableColumn id="6" name="Product link"/>
    <tableColumn id="7" name="Fabric/material"/>
    <tableColumn id="8" name="Finish"/>
    <tableColumn id="9" name="Cost"/>
    <tableColumn id="10" name="Approval status"/>
    <tableColumn id="11" name="Order status"/>
    <tableColumn id="12" name="Delivery date"/>
    <tableColumn id="13" name="Install date"/>
  </tableColumns>
  <tableStyleInfo name="TableStyleMedium2" showFirstColumn="0" showLastColumn="0" showRowStripes="1" showColumnStripes="0"/>
</table>
</file>

<file path=xl/tables/table4.xml><?xml version="1.0" encoding="utf-8"?>
<table xmlns="http://schemas.openxmlformats.org/spreadsheetml/2006/main" id="4" name="FixturesSchedule" displayName="FixturesSchedule" ref="A6:N156" headerRowCount="1">
  <autoFilter ref="A6:N156"/>
  <tableColumns count="14">
    <tableColumn id="1" name="Room"/>
    <tableColumn id="2" name="Fixture type"/>
    <tableColumn id="3" name="Item name"/>
    <tableColumn id="4" name="Finish"/>
    <tableColumn id="5" name="Size"/>
    <tableColumn id="6" name="Vendor"/>
    <tableColumn id="7" name="Model/SKU"/>
    <tableColumn id="8" name="Quantity"/>
    <tableColumn id="9" name="Unit cost"/>
    <tableColumn id="10" name="Total cost"/>
    <tableColumn id="11" name="Required rough-in date"/>
    <tableColumn id="12" name="Order deadline"/>
    <tableColumn id="13" name="Delivery date"/>
    <tableColumn id="14" name="Installer notes"/>
  </tableColumns>
  <tableStyleInfo name="TableStyleMedium2" showFirstColumn="0" showLastColumn="0" showRowStripes="1" showColumnStripes="0"/>
</table>
</file>

<file path=xl/tables/table5.xml><?xml version="1.0" encoding="utf-8"?>
<table xmlns="http://schemas.openxmlformats.org/spreadsheetml/2006/main" id="5" name="FinishesSchedule" displayName="FinishesSchedule" ref="A6:O156" headerRowCount="1">
  <autoFilter ref="A6:O156"/>
  <tableColumns count="15">
    <tableColumn id="1" name="Room"/>
    <tableColumn id="2" name="Surface/application"/>
    <tableColumn id="3" name="Finish type"/>
    <tableColumn id="4" name="Product name"/>
    <tableColumn id="5" name="Color/finish"/>
    <tableColumn id="6" name="Material"/>
    <tableColumn id="7" name="Vendor"/>
    <tableColumn id="8" name="Product link"/>
    <tableColumn id="9" name="SKU"/>
    <tableColumn id="10" name="Quantity needed"/>
    <tableColumn id="11" name="Unit cost"/>
    <tableColumn id="12" name="Total cost"/>
    <tableColumn id="13" name="Sample ordered"/>
    <tableColumn id="14" name="Sample approved"/>
    <tableColumn id="15" name="Installer notes"/>
  </tableColumns>
  <tableStyleInfo name="TableStyleMedium2" showFirstColumn="0" showLastColumn="0" showRowStripes="1" showColumnStripes="0"/>
</table>
</file>

<file path=xl/tables/table6.xml><?xml version="1.0" encoding="utf-8"?>
<table xmlns="http://schemas.openxmlformats.org/spreadsheetml/2006/main" id="6" name="ProductSourcing" displayName="ProductSourcing" ref="A6:M156" headerRowCount="1">
  <autoFilter ref="A6:M156"/>
  <tableColumns count="13">
    <tableColumn id="1" name="Room"/>
    <tableColumn id="2" name="Item needed"/>
    <tableColumn id="3" name="Option 1 link"/>
    <tableColumn id="4" name="Option 1 price"/>
    <tableColumn id="5" name="Option 2 link"/>
    <tableColumn id="6" name="Option 2 price"/>
    <tableColumn id="7" name="Option 3 link"/>
    <tableColumn id="8" name="Option 3 price"/>
    <tableColumn id="9" name="Preferred option"/>
    <tableColumn id="10" name="Pros"/>
    <tableColumn id="11" name="Cons"/>
    <tableColumn id="12" name="Client feedback"/>
    <tableColumn id="13" name="Final selection"/>
  </tableColumns>
  <tableStyleInfo name="TableStyleMedium2" showFirstColumn="0" showLastColumn="0" showRowStripes="1" showColumnStripes="0"/>
</table>
</file>

<file path=xl/tables/table7.xml><?xml version="1.0" encoding="utf-8"?>
<table xmlns="http://schemas.openxmlformats.org/spreadsheetml/2006/main" id="7" name="VendorDatabase" displayName="VendorDatabase" ref="A6:L106" headerRowCount="1">
  <autoFilter ref="A6:L106"/>
  <tableColumns count="12">
    <tableColumn id="1" name="Vendor name"/>
    <tableColumn id="2" name="Vendor type"/>
    <tableColumn id="3" name="Contact person"/>
    <tableColumn id="4" name="Email"/>
    <tableColumn id="5" name="Phone"/>
    <tableColumn id="6" name="Website"/>
    <tableColumn id="7" name="Account number"/>
    <tableColumn id="8" name="Trade discount %"/>
    <tableColumn id="9" name="Lead time"/>
    <tableColumn id="10" name="Shipping terms"/>
    <tableColumn id="11" name="Return policy"/>
    <tableColumn id="12" name="Notes"/>
  </tableColumns>
  <tableStyleInfo name="TableStyleMedium2" showFirstColumn="0" showLastColumn="0" showRowStripes="1" showColumnStripes="0"/>
</table>
</file>

<file path=xl/tables/table8.xml><?xml version="1.0" encoding="utf-8"?>
<table xmlns="http://schemas.openxmlformats.org/spreadsheetml/2006/main" id="8" name="BudgetTracker" displayName="BudgetTracker" ref="A6:I306" headerRowCount="1">
  <autoFilter ref="A6:I306"/>
  <tableColumns count="9">
    <tableColumn id="1" name="Budget category"/>
    <tableColumn id="2" name="Budgeted amount"/>
    <tableColumn id="3" name="Estimated amount"/>
    <tableColumn id="4" name="Actual amount"/>
    <tableColumn id="5" name="Difference"/>
    <tableColumn id="6" name="Paid amount"/>
    <tableColumn id="7" name="Balance due"/>
    <tableColumn id="8" name="Payment status"/>
    <tableColumn id="9" name="Notes"/>
  </tableColumns>
  <tableStyleInfo name="TableStyleMedium2" showFirstColumn="0" showLastColumn="0" showRowStripes="1" showColumnStripes="0"/>
</table>
</file>

<file path=xl/tables/table9.xml><?xml version="1.0" encoding="utf-8"?>
<table xmlns="http://schemas.openxmlformats.org/spreadsheetml/2006/main" id="9" name="PurchaseOrderTracker" displayName="PurchaseOrderTracker" ref="A6:P306" headerRowCount="1">
  <autoFilter ref="A6:P306"/>
  <tableColumns count="16">
    <tableColumn id="1" name="PO number"/>
    <tableColumn id="2" name="Vendor"/>
    <tableColumn id="3" name="Room"/>
    <tableColumn id="4" name="Item"/>
    <tableColumn id="5" name="Quantity"/>
    <tableColumn id="6" name="Order date"/>
    <tableColumn id="7" name="Expected ship date"/>
    <tableColumn id="8" name="Expected delivery date"/>
    <tableColumn id="9" name="Actual delivery date"/>
    <tableColumn id="10" name="Order status"/>
    <tableColumn id="11" name="Tracking number"/>
    <tableColumn id="12" name="Carrier"/>
    <tableColumn id="13" name="Invoice number"/>
    <tableColumn id="14" name="Amount"/>
    <tableColumn id="15" name="Paid status"/>
    <tableColumn id="16" name="Notes"/>
  </tableColumns>
  <tableStyleInfo name="TableStyleMedium2" showFirstColumn="0" showLastColumn="0" showRowStripes="1" showColumnStripes="0"/>
</table>
</file>

<file path=xl/tables/table10.xml><?xml version="1.0" encoding="utf-8"?>
<table xmlns="http://schemas.openxmlformats.org/spreadsheetml/2006/main" id="10" name="DeliveryInstallationTracker" displayName="DeliveryInstallationTracker" ref="A6:O306" headerRowCount="1">
  <autoFilter ref="A6:O306"/>
  <tableColumns count="15">
    <tableColumn id="1" name="Item"/>
    <tableColumn id="2" name="Room"/>
    <tableColumn id="3" name="Vendor"/>
    <tableColumn id="4" name="Delivery address"/>
    <tableColumn id="5" name="Expected delivery date"/>
    <tableColumn id="6" name="Actual delivery date"/>
    <tableColumn id="7" name="Delivery status"/>
    <tableColumn id="8" name="Received by"/>
    <tableColumn id="9" name="Damage check"/>
    <tableColumn id="10" name="Damage notes"/>
    <tableColumn id="11" name="Storage location"/>
    <tableColumn id="12" name="Install date"/>
    <tableColumn id="13" name="Installer"/>
    <tableColumn id="14" name="Installation status"/>
    <tableColumn id="15" name="Punch list notes"/>
  </tableColumns>
  <tableStyleInfo name="TableStyleMedium2" showFirstColumn="0" showLastColumn="0" showRowStripes="1" showColumnStripes="0"/>
</table>
</file>

<file path=xl/tables/table11.xml><?xml version="1.0" encoding="utf-8"?>
<table xmlns="http://schemas.openxmlformats.org/spreadsheetml/2006/main" id="11" name="ClientApprovalTracker" displayName="ClientApprovalTracker" ref="A6:J206" headerRowCount="1">
  <autoFilter ref="A6:J206"/>
  <tableColumns count="10">
    <tableColumn id="1" name="Item/design decision"/>
    <tableColumn id="2" name="Room"/>
    <tableColumn id="3" name="Approval type"/>
    <tableColumn id="4" name="Sent to client date"/>
    <tableColumn id="5" name="Client response date"/>
    <tableColumn id="6" name="Status"/>
    <tableColumn id="7" name="Approved option"/>
    <tableColumn id="8" name="Client comments"/>
    <tableColumn id="9" name="Revision needed"/>
    <tableColumn id="10" name="Final approval date"/>
  </tableColumns>
  <tableStyleInfo name="TableStyleMedium2" showFirstColumn="0" showLastColumn="0" showRowStripes="1" showColumnStripes="0"/>
</table>
</file>

<file path=xl/tables/table12.xml><?xml version="1.0" encoding="utf-8"?>
<table xmlns="http://schemas.openxmlformats.org/spreadsheetml/2006/main" id="12" name="ProjectTimeline" displayName="ProjectTimeline" ref="A6:J206" headerRowCount="1">
  <autoFilter ref="A6:J206"/>
  <tableColumns count="10">
    <tableColumn id="1" name="Phase"/>
    <tableColumn id="2" name="Task"/>
    <tableColumn id="3" name="Assigned to"/>
    <tableColumn id="4" name="Start date"/>
    <tableColumn id="5" name="Due date"/>
    <tableColumn id="6" name="Completion date"/>
    <tableColumn id="7" name="Status"/>
    <tableColumn id="8" name="Priority"/>
    <tableColumn id="9" name="Dependencies"/>
    <tableColumn id="10" name="Notes"/>
  </tableColumns>
  <tableStyleInfo name="TableStyleMedium2" showFirstColumn="0" showLastColumn="0" showRowStripes="1" showColumnStripes="0"/>
</table>
</file>

<file path=xl/tables/table13.xml><?xml version="1.0" encoding="utf-8"?>
<table xmlns="http://schemas.openxmlformats.org/spreadsheetml/2006/main" id="13" name="TaskTodoList" displayName="TaskTodoList" ref="A6:H306" headerRowCount="1">
  <autoFilter ref="A6:H306"/>
  <tableColumns count="8">
    <tableColumn id="1" name="Task"/>
    <tableColumn id="2" name="Room"/>
    <tableColumn id="3" name="Category"/>
    <tableColumn id="4" name="Assigned to"/>
    <tableColumn id="5" name="Priority"/>
    <tableColumn id="6" name="Due date"/>
    <tableColumn id="7" name="Status"/>
    <tableColumn id="8" name="Notes"/>
  </tableColumns>
  <tableStyleInfo name="TableStyleMedium2" showFirstColumn="0" showLastColumn="0" showRowStripes="1" showColumnStripes="0"/>
</table>
</file>

<file path=xl/tables/table14.xml><?xml version="1.0" encoding="utf-8"?>
<table xmlns="http://schemas.openxmlformats.org/spreadsheetml/2006/main" id="14" name="MeasurementLog" displayName="MeasurementLog" ref="A6:K206" headerRowCount="1">
  <autoFilter ref="A6:K206"/>
  <tableColumns count="11">
    <tableColumn id="1" name="Room"/>
    <tableColumn id="2" name="Measurement type"/>
    <tableColumn id="3" name="Width"/>
    <tableColumn id="4" name="Height"/>
    <tableColumn id="5" name="Depth"/>
    <tableColumn id="6" name="Length"/>
    <tableColumn id="7" name="Ceiling height"/>
    <tableColumn id="8" name="Window size"/>
    <tableColumn id="9" name="Door size"/>
    <tableColumn id="10" name="Wall length"/>
    <tableColumn id="11" name="Notes"/>
  </tableColumns>
  <tableStyleInfo name="TableStyleMedium2" showFirstColumn="0" showLastColumn="0" showRowStripes="1" showColumnStripes="0"/>
</table>
</file>

<file path=xl/tables/table15.xml><?xml version="1.0" encoding="utf-8"?>
<table xmlns="http://schemas.openxmlformats.org/spreadsheetml/2006/main" id="15" name="ContractorInstallerTracker" displayName="ContractorInstallerTracker" ref="A6:K156" headerRowCount="1">
  <autoFilter ref="A6:K156"/>
  <tableColumns count="11">
    <tableColumn id="1" name="Contractor/vendor name"/>
    <tableColumn id="2" name="Trade"/>
    <tableColumn id="3" name="Contact"/>
    <tableColumn id="4" name="Scope"/>
    <tableColumn id="5" name="Quote amount"/>
    <tableColumn id="6" name="Start date"/>
    <tableColumn id="7" name="End date"/>
    <tableColumn id="8" name="Payment status"/>
    <tableColumn id="9" name="Insurance received"/>
    <tableColumn id="10" name="Contract signed"/>
    <tableColumn id="11" name="Notes"/>
  </tableColumns>
  <tableStyleInfo name="TableStyleMedium2" showFirstColumn="0" showLastColumn="0" showRowStripes="1" showColumnStripes="0"/>
</table>
</file>

<file path=xl/tables/table16.xml><?xml version="1.0" encoding="utf-8"?>
<table xmlns="http://schemas.openxmlformats.org/spreadsheetml/2006/main" id="16" name="InvoicePaymentTracker" displayName="InvoicePaymentTracker" ref="A6:J206" headerRowCount="1">
  <autoFilter ref="A6:J206"/>
  <tableColumns count="10">
    <tableColumn id="1" name="Invoice number"/>
    <tableColumn id="2" name="Invoice date"/>
    <tableColumn id="3" name="Client"/>
    <tableColumn id="4" name="Description"/>
    <tableColumn id="5" name="Amount"/>
    <tableColumn id="6" name="Due date"/>
    <tableColumn id="7" name="Paid date"/>
    <tableColumn id="8" name="Payment status"/>
    <tableColumn id="9" name="Payment method"/>
    <tableColumn id="10" name="Notes"/>
  </tableColumns>
  <tableStyleInfo name="TableStyleMedium2" showFirstColumn="0" showLastColumn="0" showRowStripes="1" showColumnStripes="0"/>
</table>
</file>

<file path=xl/tables/table17.xml><?xml version="1.0" encoding="utf-8"?>
<table xmlns="http://schemas.openxmlformats.org/spreadsheetml/2006/main" id="17" name="ProjectMeetingNotes" displayName="ProjectMeetingNotes" ref="A6:H206" headerRowCount="1">
  <autoFilter ref="A6:H206"/>
  <tableColumns count="8">
    <tableColumn id="1" name="Date"/>
    <tableColumn id="2" name="Meeting type"/>
    <tableColumn id="3" name="Attendees"/>
    <tableColumn id="4" name="Discussion points"/>
    <tableColumn id="5" name="Decisions made"/>
    <tableColumn id="6" name="Action items"/>
    <tableColumn id="7" name="Follow-up date"/>
    <tableColumn id="8" name="Notes"/>
  </tableColumns>
  <tableStyleInfo name="TableStyleMedium2" showFirstColumn="0" showLastColumn="0" showRowStripes="1" showColumnStripes="0"/>
</table>
</file>

<file path=xl/tables/table18.xml><?xml version="1.0" encoding="utf-8"?>
<table xmlns="http://schemas.openxmlformats.org/spreadsheetml/2006/main" id="18" name="ClientFFEReport" displayName="ClientFFEReport" ref="A6:H106" headerRowCount="1">
  <autoFilter ref="A6:H106"/>
  <tableColumns count="8">
    <tableColumn id="1" name="Room"/>
    <tableColumn id="2" name="Category"/>
    <tableColumn id="3" name="Item"/>
    <tableColumn id="4" name="Description"/>
    <tableColumn id="5" name="Brand / Vendor"/>
    <tableColumn id="6" name="Product link"/>
    <tableColumn id="7" name="Final cost"/>
    <tableColumn id="8" name="Approval status"/>
  </tableColumns>
  <tableStyleInfo name="TableStyleMedium2" showFirstColumn="0" showLastColumn="0" showRowStripes="1" showColumnStripes="0"/>
</table>
</file>

<file path=xl/tables/table19.xml><?xml version="1.0" encoding="utf-8"?>
<table xmlns="http://schemas.openxmlformats.org/spreadsheetml/2006/main" id="19" name="RoomBudgetReport" displayName="RoomBudgetReport" ref="A6:H56" headerRowCount="1">
  <autoFilter ref="A6:H56"/>
  <tableColumns count="8">
    <tableColumn id="1" name="Room"/>
    <tableColumn id="2" name="Budget allocation"/>
    <tableColumn id="3" name="Estimated spend"/>
    <tableColumn id="4" name="Actual spend"/>
    <tableColumn id="5" name="Remaining budget"/>
    <tableColumn id="6" name="Design status"/>
    <tableColumn id="7" name="Priority"/>
    <tableColumn id="8" name="Notes"/>
  </tableColumns>
  <tableStyleInfo name="TableStyleMedium2" showFirstColumn="0" showLastColumn="0" showRowStripes="1" showColumnStripes="0"/>
</table>
</file>

<file path=xl/tables/table20.xml><?xml version="1.0" encoding="utf-8"?>
<table xmlns="http://schemas.openxmlformats.org/spreadsheetml/2006/main" id="20" name="VendorOrderReport" displayName="VendorOrderReport" ref="A6:I106" headerRowCount="1">
  <autoFilter ref="A6:I106"/>
  <tableColumns count="9">
    <tableColumn id="1" name="PO number"/>
    <tableColumn id="2" name="Vendor"/>
    <tableColumn id="3" name="Room"/>
    <tableColumn id="4" name="Item"/>
    <tableColumn id="5" name="Expected delivery"/>
    <tableColumn id="6" name="Order status"/>
    <tableColumn id="7" name="Tracking number"/>
    <tableColumn id="8" name="Amount"/>
    <tableColumn id="9" name="Paid status"/>
  </tableColumns>
  <tableStyleInfo name="TableStyleMedium2" showFirstColumn="0" showLastColumn="0" showRowStripes="1" showColumnStripes="0"/>
</table>
</file>

<file path=xl/tables/table21.xml><?xml version="1.0" encoding="utf-8"?>
<table xmlns="http://schemas.openxmlformats.org/spreadsheetml/2006/main" id="21" name="InstallationChecklist" displayName="InstallationChecklist" ref="A6:J106" headerRowCount="1">
  <autoFilter ref="A6:J106"/>
  <tableColumns count="10">
    <tableColumn id="1" name="Item"/>
    <tableColumn id="2" name="Room"/>
    <tableColumn id="3" name="Vendor"/>
    <tableColumn id="4" name="Expected delivery"/>
    <tableColumn id="5" name="Delivery status"/>
    <tableColumn id="6" name="Damage check"/>
    <tableColumn id="7" name="Install date"/>
    <tableColumn id="8" name="Installer"/>
    <tableColumn id="9" name="Installation status"/>
    <tableColumn id="10" name="Punch list notes"/>
  </tableColumns>
  <tableStyleInfo name="TableStyleMedium2" showFirstColumn="0" showLastColumn="0" showRowStripes="1" showColumnStripes="0"/>
</table>
</file>

<file path=xl/tables/table22.xml><?xml version="1.0" encoding="utf-8"?>
<table xmlns="http://schemas.openxmlformats.org/spreadsheetml/2006/main" id="22" name="FinalPunchList" displayName="FinalPunchList" ref="A6:F106" headerRowCount="1">
  <autoFilter ref="A6:F106"/>
  <tableColumns count="6">
    <tableColumn id="1" name="Punch-list item"/>
    <tableColumn id="2" name="Room"/>
    <tableColumn id="3" name="Due date"/>
    <tableColumn id="4" name="Assigned to"/>
    <tableColumn id="5" name="Status"/>
    <tableColumn id="6"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drawing" Target="/xl/drawings/drawing1.xml" Id="rId2" /></Relationships>
</file>

<file path=xl/worksheets/_rels/sheet3.xml.rels><Relationships xmlns="http://schemas.openxmlformats.org/package/2006/relationships"><Relationship Type="http://schemas.openxmlformats.org/officeDocument/2006/relationships/hyperlink" Target="#'Welcome'!A1" TargetMode="External" Id="rId1" /></Relationships>
</file>

<file path=xl/worksheets/_rels/sheet4.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1.xml" Id="rId2" /></Relationships>
</file>

<file path=xl/worksheets/_rels/sheet5.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2.xml" Id="rId2" /></Relationships>
</file>

<file path=xl/worksheets/_rels/sheet6.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3.xml" Id="rId2" /></Relationships>
</file>

<file path=xl/worksheets/_rels/sheet7.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4.xml" Id="rId2" /></Relationships>
</file>

<file path=xl/worksheets/_rels/sheet8.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5.xml" Id="rId2" /></Relationships>
</file>

<file path=xl/worksheets/_rels/sheet9.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6.xml" Id="rId2" /></Relationships>
</file>

<file path=xl/worksheets/_rels/sheet10.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7.xml" Id="rId2" /></Relationships>
</file>

<file path=xl/worksheets/_rels/sheet11.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8.xml" Id="rId2" /></Relationships>
</file>

<file path=xl/worksheets/_rels/sheet12.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9.xml" Id="rId2" /></Relationships>
</file>

<file path=xl/worksheets/_rels/sheet13.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10.xml" Id="rId2" /></Relationships>
</file>

<file path=xl/worksheets/_rels/sheet14.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11.xml" Id="rId2" /></Relationships>
</file>

<file path=xl/worksheets/_rels/sheet15.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12.xml" Id="rId2" /></Relationships>
</file>

<file path=xl/worksheets/_rels/sheet16.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13.xml" Id="rId2" /></Relationships>
</file>

<file path=xl/worksheets/_rels/sheet17.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14.xml" Id="rId2" /></Relationships>
</file>

<file path=xl/worksheets/_rels/sheet18.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15.xml" Id="rId2" /></Relationships>
</file>

<file path=xl/worksheets/_rels/sheet19.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16.xml" Id="rId2" /></Relationships>
</file>

<file path=xl/worksheets/_rels/sheet20.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17.xml" Id="rId2" /></Relationships>
</file>

<file path=xl/worksheets/_rels/sheet21.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18.xml" Id="rId2" /></Relationships>
</file>

<file path=xl/worksheets/_rels/sheet22.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19.xml" Id="rId2" /></Relationships>
</file>

<file path=xl/worksheets/_rels/sheet23.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20.xml" Id="rId2" /></Relationships>
</file>

<file path=xl/worksheets/_rels/sheet24.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21.xml" Id="rId2" /></Relationships>
</file>

<file path=xl/worksheets/_rels/sheet25.xml.rels><Relationships xmlns="http://schemas.openxmlformats.org/package/2006/relationships"><Relationship Type="http://schemas.openxmlformats.org/officeDocument/2006/relationships/hyperlink" Target="#'Welcome'!A1" TargetMode="External" Id="rId1" /><Relationship Type="http://schemas.openxmlformats.org/officeDocument/2006/relationships/table" Target="/xl/tables/table22.xml" Id="rId2" /></Relationships>
</file>

<file path=xl/worksheets/sheet1.xml><?xml version="1.0" encoding="utf-8"?>
<worksheet xmlns="http://schemas.openxmlformats.org/spreadsheetml/2006/main">
  <sheetPr>
    <tabColor rgb="00D6A756"/>
    <outlinePr summaryBelow="1" summaryRight="1"/>
    <pageSetUpPr fitToPage="1"/>
  </sheetPr>
  <dimension ref="A1:J51"/>
  <sheetViews>
    <sheetView showGridLines="0" zoomScale="85" workbookViewId="0">
      <pane ySplit="6" topLeftCell="A7" activePane="bottomLeft" state="frozen"/>
      <selection pane="bottomLeft" activeCell="A1" sqref="A1"/>
    </sheetView>
  </sheetViews>
  <sheetFormatPr baseColWidth="8" defaultRowHeight="15"/>
  <cols>
    <col width="25" customWidth="1" min="1" max="1"/>
    <col width="27" customWidth="1" min="2" max="2"/>
    <col width="27" customWidth="1" min="3" max="3"/>
    <col width="27" customWidth="1" min="4" max="4"/>
    <col width="25" customWidth="1" min="5" max="5"/>
    <col width="25" customWidth="1" min="6" max="6"/>
    <col width="25" customWidth="1" min="7" max="7"/>
    <col width="25" customWidth="1" min="8" max="8"/>
    <col width="20" customWidth="1" min="9" max="9"/>
    <col width="20" customWidth="1" min="10" max="10"/>
  </cols>
  <sheetData>
    <row r="1" ht="30" customHeight="1">
      <c r="A1" s="1" t="inlineStr">
        <is>
          <t>INTERIOR DESIGN PROJECT HUB</t>
        </is>
      </c>
    </row>
    <row r="2" ht="30" customHeight="1"/>
    <row r="3" ht="21" customHeight="1">
      <c r="A3" s="2" t="inlineStr">
        <is>
          <t>A polished, editable project tracker for interior designers • compatible with Microsoft Excel + Google Sheets</t>
        </is>
      </c>
    </row>
    <row r="4" ht="21" customHeight="1"/>
    <row r="5" ht="30" customHeight="1">
      <c r="A5" s="3" t="inlineStr">
        <is>
          <t>Welcome! Start with the five steps below, then use the dashboard to see the whole project at a glance.</t>
        </is>
      </c>
    </row>
    <row r="6" ht="21" customHeight="1"/>
    <row r="7" ht="22" customHeight="1">
      <c r="A7" s="4" t="inlineStr">
        <is>
          <t>QUICK START GUIDE</t>
        </is>
      </c>
    </row>
    <row r="8" ht="32" customHeight="1">
      <c r="A8" s="5" t="inlineStr">
        <is>
          <t>Step 1</t>
        </is>
      </c>
      <c r="B8" s="6" t="inlineStr">
        <is>
          <t>Add client/project details</t>
        </is>
      </c>
      <c r="C8" s="7" t="inlineStr">
        <is>
          <t>Complete the Client &amp; Project Profile tab. The project name, budget, dates, and status flow into the dashboard.</t>
        </is>
      </c>
      <c r="D8" s="8" t="n"/>
      <c r="E8" s="8" t="n"/>
      <c r="F8" s="8" t="n"/>
      <c r="G8" s="8" t="n"/>
      <c r="H8" s="8" t="n"/>
      <c r="I8" s="8" t="n"/>
      <c r="J8" s="8" t="n"/>
    </row>
    <row r="9" ht="32" customHeight="1">
      <c r="A9" s="5" t="inlineStr">
        <is>
          <t>Step 2</t>
        </is>
      </c>
      <c r="B9" s="6" t="inlineStr">
        <is>
          <t>Add rooms</t>
        </is>
      </c>
      <c r="C9" s="7" t="inlineStr">
        <is>
          <t>List each area in Room List - Area Tracker. Use the room type, design status, budget allocation, and priority dropdowns.</t>
        </is>
      </c>
      <c r="D9" s="8" t="n"/>
      <c r="E9" s="8" t="n"/>
      <c r="F9" s="8" t="n"/>
      <c r="G9" s="8" t="n"/>
      <c r="H9" s="8" t="n"/>
      <c r="I9" s="8" t="n"/>
      <c r="J9" s="8" t="n"/>
    </row>
    <row r="10" ht="32" customHeight="1">
      <c r="A10" s="5" t="inlineStr">
        <is>
          <t>Step 3</t>
        </is>
      </c>
      <c r="B10" s="6" t="inlineStr">
        <is>
          <t>Add FF&amp;E items</t>
        </is>
      </c>
      <c r="C10" s="7" t="inlineStr">
        <is>
          <t>Enter furniture, fixtures, and equipment in Master FF&amp;E Schedule. Total cost and final cost calculate automatically.</t>
        </is>
      </c>
      <c r="D10" s="8" t="n"/>
      <c r="E10" s="8" t="n"/>
      <c r="F10" s="8" t="n"/>
      <c r="G10" s="8" t="n"/>
      <c r="H10" s="8" t="n"/>
      <c r="I10" s="8" t="n"/>
      <c r="J10" s="8" t="n"/>
    </row>
    <row r="11" ht="32" customHeight="1">
      <c r="A11" s="5" t="inlineStr">
        <is>
          <t>Step 4</t>
        </is>
      </c>
      <c r="B11" s="6" t="inlineStr">
        <is>
          <t>Track budget, orders, approvals, and delivery</t>
        </is>
      </c>
      <c r="C11" s="7" t="inlineStr">
        <is>
          <t>Use the Budget, Purchase Order, Client Approval, Delivery, Timeline, and Task tabs as work progresses.</t>
        </is>
      </c>
      <c r="D11" s="8" t="n"/>
      <c r="E11" s="8" t="n"/>
      <c r="F11" s="8" t="n"/>
      <c r="G11" s="8" t="n"/>
      <c r="H11" s="8" t="n"/>
      <c r="I11" s="8" t="n"/>
      <c r="J11" s="8" t="n"/>
    </row>
    <row r="12" ht="32" customHeight="1">
      <c r="A12" s="5" t="inlineStr">
        <is>
          <t>Step 5</t>
        </is>
      </c>
      <c r="B12" s="6" t="inlineStr">
        <is>
          <t>Use dashboard for overview</t>
        </is>
      </c>
      <c r="C12" s="7" t="inlineStr">
        <is>
          <t>Review KPIs and charts for budget, item status, delivery, rooms, approvals, and open orders.</t>
        </is>
      </c>
      <c r="D12" s="8" t="n"/>
      <c r="E12" s="8" t="n"/>
      <c r="F12" s="8" t="n"/>
      <c r="G12" s="8" t="n"/>
      <c r="H12" s="8" t="n"/>
      <c r="I12" s="8" t="n"/>
      <c r="J12" s="8" t="n"/>
    </row>
    <row r="13" ht="21" customHeight="1"/>
    <row r="14" ht="21" customHeight="1"/>
    <row r="15" ht="22" customHeight="1">
      <c r="A15" s="4" t="inlineStr">
        <is>
          <t>WHAT EACH TAB IS USED FOR</t>
        </is>
      </c>
    </row>
    <row r="16" ht="21" customHeight="1">
      <c r="A16" s="9" t="inlineStr">
        <is>
          <t>Tab</t>
        </is>
      </c>
      <c r="B16" s="9" t="inlineStr">
        <is>
          <t>Use it for</t>
        </is>
      </c>
      <c r="C16" s="9" t="n"/>
      <c r="D16" s="9" t="n"/>
      <c r="E16" s="9" t="n"/>
      <c r="F16" s="9" t="n"/>
      <c r="G16" s="9" t="n"/>
      <c r="H16" s="9" t="n"/>
      <c r="I16" s="9" t="n"/>
      <c r="J16" s="9" t="n"/>
    </row>
    <row r="17" ht="28" customHeight="1">
      <c r="A17" s="10" t="inlineStr">
        <is>
          <t>Project Dashboard</t>
        </is>
      </c>
      <c r="B17" s="11" t="inlineStr">
        <is>
          <t>Main overview: KPI cards and charts for budget, items, approvals, delivery, and orders.</t>
        </is>
      </c>
      <c r="C17" s="12" t="n"/>
      <c r="D17" s="12" t="n"/>
      <c r="E17" s="12" t="n"/>
      <c r="F17" s="12" t="n"/>
      <c r="G17" s="12" t="n"/>
      <c r="H17" s="12" t="n"/>
      <c r="I17" s="12" t="n"/>
      <c r="J17" s="12" t="n"/>
    </row>
    <row r="18" ht="28" customHeight="1">
      <c r="A18" s="10" t="inlineStr">
        <is>
          <t>Client &amp; Project Profile</t>
        </is>
      </c>
      <c r="B18" s="11" t="inlineStr">
        <is>
          <t>Project summary, client contact details, dates, budget, scope, notes, and status.</t>
        </is>
      </c>
      <c r="C18" s="12" t="n"/>
      <c r="D18" s="12" t="n"/>
      <c r="E18" s="12" t="n"/>
      <c r="F18" s="12" t="n"/>
      <c r="G18" s="12" t="n"/>
      <c r="H18" s="12" t="n"/>
      <c r="I18" s="12" t="n"/>
      <c r="J18" s="12" t="n"/>
    </row>
    <row r="19" ht="28" customHeight="1">
      <c r="A19" s="10" t="inlineStr">
        <is>
          <t>Room List - Area Tracker</t>
        </is>
      </c>
      <c r="B19" s="11" t="inlineStr">
        <is>
          <t>Room-by-room planning, budget allocation, estimated/actual spend, design status, and priorities.</t>
        </is>
      </c>
      <c r="C19" s="12" t="n"/>
      <c r="D19" s="12" t="n"/>
      <c r="E19" s="12" t="n"/>
      <c r="F19" s="12" t="n"/>
      <c r="G19" s="12" t="n"/>
      <c r="H19" s="12" t="n"/>
      <c r="I19" s="12" t="n"/>
      <c r="J19" s="12" t="n"/>
    </row>
    <row r="20" ht="28" customHeight="1">
      <c r="A20" s="10" t="inlineStr">
        <is>
          <t>Master FF&amp;E Schedule</t>
        </is>
      </c>
      <c r="B20" s="11" t="inlineStr">
        <is>
          <t>Core Furniture, Fixtures &amp; Equipment register with pricing, links, vendors, approvals, delivery, and install status.</t>
        </is>
      </c>
      <c r="C20" s="12" t="n"/>
      <c r="D20" s="12" t="n"/>
      <c r="E20" s="12" t="n"/>
      <c r="F20" s="12" t="n"/>
      <c r="G20" s="12" t="n"/>
      <c r="H20" s="12" t="n"/>
      <c r="I20" s="12" t="n"/>
      <c r="J20" s="12" t="n"/>
    </row>
    <row r="21" ht="28" customHeight="1">
      <c r="A21" s="10" t="inlineStr">
        <is>
          <t>Furniture Schedule</t>
        </is>
      </c>
      <c r="B21" s="11" t="inlineStr">
        <is>
          <t>Furniture-only view for quick sourcing and purchasing.</t>
        </is>
      </c>
      <c r="C21" s="12" t="n"/>
      <c r="D21" s="12" t="n"/>
      <c r="E21" s="12" t="n"/>
      <c r="F21" s="12" t="n"/>
      <c r="G21" s="12" t="n"/>
      <c r="H21" s="12" t="n"/>
      <c r="I21" s="12" t="n"/>
      <c r="J21" s="12" t="n"/>
    </row>
    <row r="22" ht="28" customHeight="1">
      <c r="A22" s="10" t="inlineStr">
        <is>
          <t>Fixtures Schedule</t>
        </is>
      </c>
      <c r="B22" s="11" t="inlineStr">
        <is>
          <t>Lighting, plumbing, hardware, appliances, and built-in fixtures.</t>
        </is>
      </c>
      <c r="C22" s="12" t="n"/>
      <c r="D22" s="12" t="n"/>
      <c r="E22" s="12" t="n"/>
      <c r="F22" s="12" t="n"/>
      <c r="G22" s="12" t="n"/>
      <c r="H22" s="12" t="n"/>
      <c r="I22" s="12" t="n"/>
      <c r="J22" s="12" t="n"/>
    </row>
    <row r="23" ht="28" customHeight="1">
      <c r="A23" s="10" t="inlineStr">
        <is>
          <t>Finishes Schedule</t>
        </is>
      </c>
      <c r="B23" s="11" t="inlineStr">
        <is>
          <t>Paint, wallpaper, flooring, tile, stone, fabric, and other finish selections.</t>
        </is>
      </c>
      <c r="C23" s="12" t="n"/>
      <c r="D23" s="12" t="n"/>
      <c r="E23" s="12" t="n"/>
      <c r="F23" s="12" t="n"/>
      <c r="G23" s="12" t="n"/>
      <c r="H23" s="12" t="n"/>
      <c r="I23" s="12" t="n"/>
      <c r="J23" s="12" t="n"/>
    </row>
    <row r="24" ht="28" customHeight="1">
      <c r="A24" s="10" t="inlineStr">
        <is>
          <t>Product Sourcing Tracker</t>
        </is>
      </c>
      <c r="B24" s="11" t="inlineStr">
        <is>
          <t>Compare up to three product options before selecting a final item.</t>
        </is>
      </c>
      <c r="C24" s="12" t="n"/>
      <c r="D24" s="12" t="n"/>
      <c r="E24" s="12" t="n"/>
      <c r="F24" s="12" t="n"/>
      <c r="G24" s="12" t="n"/>
      <c r="H24" s="12" t="n"/>
      <c r="I24" s="12" t="n"/>
      <c r="J24" s="12" t="n"/>
    </row>
    <row r="25" ht="28" customHeight="1">
      <c r="A25" s="10" t="inlineStr">
        <is>
          <t>Vendor &amp; Supplier Database</t>
        </is>
      </c>
      <c r="B25" s="11" t="inlineStr">
        <is>
          <t>Central vendor contacts, trade terms, discounts, lead times, and policies.</t>
        </is>
      </c>
      <c r="C25" s="12" t="n"/>
      <c r="D25" s="12" t="n"/>
      <c r="E25" s="12" t="n"/>
      <c r="F25" s="12" t="n"/>
      <c r="G25" s="12" t="n"/>
      <c r="H25" s="12" t="n"/>
      <c r="I25" s="12" t="n"/>
      <c r="J25" s="12" t="n"/>
    </row>
    <row r="26" ht="28" customHeight="1">
      <c r="A26" s="10" t="inlineStr">
        <is>
          <t>Budget Tracker</t>
        </is>
      </c>
      <c r="B26" s="11" t="inlineStr">
        <is>
          <t>Category budget, estimated/actual spend, paid amount, and balance due.</t>
        </is>
      </c>
      <c r="C26" s="12" t="n"/>
      <c r="D26" s="12" t="n"/>
      <c r="E26" s="12" t="n"/>
      <c r="F26" s="12" t="n"/>
      <c r="G26" s="12" t="n"/>
      <c r="H26" s="12" t="n"/>
      <c r="I26" s="12" t="n"/>
      <c r="J26" s="12" t="n"/>
    </row>
    <row r="27" ht="28" customHeight="1">
      <c r="A27" s="10" t="inlineStr">
        <is>
          <t>Purchase Order - Order Tracker</t>
        </is>
      </c>
      <c r="B27" s="11" t="inlineStr">
        <is>
          <t>POs, order dates, delivery expectations, tracking, invoices, and paid status.</t>
        </is>
      </c>
      <c r="C27" s="12" t="n"/>
      <c r="D27" s="12" t="n"/>
      <c r="E27" s="12" t="n"/>
      <c r="F27" s="12" t="n"/>
      <c r="G27" s="12" t="n"/>
      <c r="H27" s="12" t="n"/>
      <c r="I27" s="12" t="n"/>
      <c r="J27" s="12" t="n"/>
    </row>
    <row r="28" ht="28" customHeight="1">
      <c r="A28" s="10" t="inlineStr">
        <is>
          <t>Delivery &amp; Installation Tracker</t>
        </is>
      </c>
      <c r="B28" s="11" t="inlineStr">
        <is>
          <t>Expected/actual delivery, damage checks, storage, installers, and installation status.</t>
        </is>
      </c>
      <c r="C28" s="12" t="n"/>
      <c r="D28" s="12" t="n"/>
      <c r="E28" s="12" t="n"/>
      <c r="F28" s="12" t="n"/>
      <c r="G28" s="12" t="n"/>
      <c r="H28" s="12" t="n"/>
      <c r="I28" s="12" t="n"/>
      <c r="J28" s="12" t="n"/>
    </row>
    <row r="29" ht="28" customHeight="1">
      <c r="A29" s="10" t="inlineStr">
        <is>
          <t>Client Approval Tracker</t>
        </is>
      </c>
      <c r="B29" s="11" t="inlineStr">
        <is>
          <t>Items and decisions sent to clients, responses, revisions, comments, and final approval.</t>
        </is>
      </c>
      <c r="C29" s="12" t="n"/>
      <c r="D29" s="12" t="n"/>
      <c r="E29" s="12" t="n"/>
      <c r="F29" s="12" t="n"/>
      <c r="G29" s="12" t="n"/>
      <c r="H29" s="12" t="n"/>
      <c r="I29" s="12" t="n"/>
      <c r="J29" s="12" t="n"/>
    </row>
    <row r="30" ht="28" customHeight="1">
      <c r="A30" s="10" t="inlineStr">
        <is>
          <t>Project Timeline - Gantt</t>
        </is>
      </c>
      <c r="B30" s="11" t="inlineStr">
        <is>
          <t>Phases, tasks, owners, dates, dependencies, priority, and status.</t>
        </is>
      </c>
      <c r="C30" s="12" t="n"/>
      <c r="D30" s="12" t="n"/>
      <c r="E30" s="12" t="n"/>
      <c r="F30" s="12" t="n"/>
      <c r="G30" s="12" t="n"/>
      <c r="H30" s="12" t="n"/>
      <c r="I30" s="12" t="n"/>
      <c r="J30" s="12" t="n"/>
    </row>
    <row r="31" ht="28" customHeight="1">
      <c r="A31" s="10" t="inlineStr">
        <is>
          <t>Task &amp; To-Do List</t>
        </is>
      </c>
      <c r="B31" s="11" t="inlineStr">
        <is>
          <t>Daily task list with room, category, owner, due date, priority, and status.</t>
        </is>
      </c>
      <c r="C31" s="12" t="n"/>
      <c r="D31" s="12" t="n"/>
      <c r="E31" s="12" t="n"/>
      <c r="F31" s="12" t="n"/>
      <c r="G31" s="12" t="n"/>
      <c r="H31" s="12" t="n"/>
      <c r="I31" s="12" t="n"/>
      <c r="J31" s="12" t="n"/>
    </row>
    <row r="32" ht="28" customHeight="1">
      <c r="A32" s="10" t="inlineStr">
        <is>
          <t>Measurement Log</t>
        </is>
      </c>
      <c r="B32" s="11" t="inlineStr">
        <is>
          <t>Room, wall, window, door, cabinet, rug, furniture-space, and lighting measurements.</t>
        </is>
      </c>
      <c r="C32" s="12" t="n"/>
      <c r="D32" s="12" t="n"/>
      <c r="E32" s="12" t="n"/>
      <c r="F32" s="12" t="n"/>
      <c r="G32" s="12" t="n"/>
      <c r="H32" s="12" t="n"/>
      <c r="I32" s="12" t="n"/>
      <c r="J32" s="12" t="n"/>
    </row>
    <row r="33" ht="28" customHeight="1">
      <c r="A33" s="10" t="inlineStr">
        <is>
          <t>Contractor - Installer Tracker</t>
        </is>
      </c>
      <c r="B33" s="11" t="inlineStr">
        <is>
          <t>Trades, scope, quotes, schedule, insurance, contracts, and payment status.</t>
        </is>
      </c>
      <c r="C33" s="12" t="n"/>
      <c r="D33" s="12" t="n"/>
      <c r="E33" s="12" t="n"/>
      <c r="F33" s="12" t="n"/>
      <c r="G33" s="12" t="n"/>
      <c r="H33" s="12" t="n"/>
      <c r="I33" s="12" t="n"/>
      <c r="J33" s="12" t="n"/>
    </row>
    <row r="34" ht="28" customHeight="1">
      <c r="A34" s="10" t="inlineStr">
        <is>
          <t>Invoice &amp; Payment Tracker</t>
        </is>
      </c>
      <c r="B34" s="11" t="inlineStr">
        <is>
          <t>Client invoices, dates, amounts, due dates, paid dates, and payment method.</t>
        </is>
      </c>
      <c r="C34" s="12" t="n"/>
      <c r="D34" s="12" t="n"/>
      <c r="E34" s="12" t="n"/>
      <c r="F34" s="12" t="n"/>
      <c r="G34" s="12" t="n"/>
      <c r="H34" s="12" t="n"/>
      <c r="I34" s="12" t="n"/>
      <c r="J34" s="12" t="n"/>
    </row>
    <row r="35" ht="28" customHeight="1">
      <c r="A35" s="10" t="inlineStr">
        <is>
          <t>Project Notes - Meeting Notes</t>
        </is>
      </c>
      <c r="B35" s="11" t="inlineStr">
        <is>
          <t>Meeting attendees, discussion points, decisions, actions, and follow-up dates.</t>
        </is>
      </c>
      <c r="C35" s="12" t="n"/>
      <c r="D35" s="12" t="n"/>
      <c r="E35" s="12" t="n"/>
      <c r="F35" s="12" t="n"/>
      <c r="G35" s="12" t="n"/>
      <c r="H35" s="12" t="n"/>
      <c r="I35" s="12" t="n"/>
      <c r="J35" s="12" t="n"/>
    </row>
    <row r="36" ht="28" customHeight="1">
      <c r="A36" s="10" t="inlineStr">
        <is>
          <t>Printable Reports</t>
        </is>
      </c>
      <c r="B36" s="11" t="inlineStr">
        <is>
          <t>Client-facing FF&amp;E, room budget, vendor order, installation, and final punch-list print views.</t>
        </is>
      </c>
      <c r="C36" s="12" t="n"/>
      <c r="D36" s="12" t="n"/>
      <c r="E36" s="12" t="n"/>
      <c r="F36" s="12" t="n"/>
      <c r="G36" s="12" t="n"/>
      <c r="H36" s="12" t="n"/>
      <c r="I36" s="12" t="n"/>
      <c r="J36" s="12" t="n"/>
    </row>
    <row r="37" ht="21" customHeight="1"/>
    <row r="38" ht="22" customHeight="1">
      <c r="A38" s="4" t="inlineStr">
        <is>
          <t>HOW TO ENTER DATA</t>
        </is>
      </c>
    </row>
    <row r="39" ht="28" customHeight="1">
      <c r="A39" s="13" t="inlineStr">
        <is>
          <t>Warm cream cells</t>
        </is>
      </c>
      <c r="B39" s="14" t="inlineStr">
        <is>
          <t>Editable input cells. Click a cell and type; use dropdown arrows wherever they appear.</t>
        </is>
      </c>
    </row>
    <row r="40" ht="28" customHeight="1">
      <c r="A40" s="15" t="inlineStr">
        <is>
          <t>Blue cells</t>
        </is>
      </c>
      <c r="B40" s="14" t="inlineStr">
        <is>
          <t>Formula cells. They calculate automatically; you can still edit the workbook because this is an unlocked template.</t>
        </is>
      </c>
    </row>
    <row r="41" ht="28" customHeight="1">
      <c r="A41" s="13" t="inlineStr">
        <is>
          <t>Dropdowns</t>
        </is>
      </c>
      <c r="B41" s="14" t="inlineStr">
        <is>
          <t>Choose a value from the dropdown for consistent reporting. Add rooms and vendors in their dedicated tabs first; those lists power the dropdowns.</t>
        </is>
      </c>
    </row>
    <row r="42" ht="28" customHeight="1">
      <c r="A42" s="13" t="inlineStr">
        <is>
          <t>Links</t>
        </is>
      </c>
      <c r="B42" s="14" t="inlineStr">
        <is>
          <t>Paste full product, image, website, tracking, or invoice links. Keep links in the dedicated link columns.</t>
        </is>
      </c>
    </row>
    <row r="43" ht="21" customHeight="1"/>
    <row r="44" ht="22" customHeight="1">
      <c r="A44" s="4" t="inlineStr">
        <is>
          <t>COLOR CODING</t>
        </is>
      </c>
    </row>
    <row r="45" ht="21" customHeight="1">
      <c r="A45" s="16" t="inlineStr">
        <is>
          <t>Green</t>
        </is>
      </c>
      <c r="B45" s="17" t="inlineStr">
        <is>
          <t>Yellow</t>
        </is>
      </c>
      <c r="C45" s="18" t="inlineStr">
        <is>
          <t>Red</t>
        </is>
      </c>
      <c r="D45" s="19" t="inlineStr">
        <is>
          <t>Gray</t>
        </is>
      </c>
    </row>
    <row r="46" ht="38" customHeight="1">
      <c r="A46" s="20" t="inlineStr">
        <is>
          <t>Complete / approved / delivered / installed / paid / on budget</t>
        </is>
      </c>
      <c r="C46" s="20" t="inlineStr">
        <is>
          <t>Overdue / over budget / delayed / damaged / rejected</t>
        </is>
      </c>
    </row>
    <row r="47" ht="21" customHeight="1"/>
    <row r="48" ht="22" customHeight="1">
      <c r="A48" s="4" t="inlineStr">
        <is>
          <t>COMPATIBILITY, EDITING &amp; SUPPORT</t>
        </is>
      </c>
    </row>
    <row r="49" ht="42" customHeight="1">
      <c r="A49" s="21" t="inlineStr">
        <is>
          <t>Compatibility note: this workbook is designed for Microsoft Excel and Google Sheets. Upload the .xlsx file to Google Drive and choose Open with Google Sheets. Standard formulas, filters, dropdowns, conditional formatting, and charts are used for broad compatibility.</t>
        </is>
      </c>
    </row>
    <row r="50" ht="42" customHeight="1">
      <c r="A50" s="22" t="inlineStr">
        <is>
          <t>Editable / unlocked version: no sheet protection is applied. Update labels, formulas, colors, dropdown source lists, and layouts to fit your studio workflow. Keep formula cells intact if you want the dashboard to stay accurate.</t>
        </is>
      </c>
    </row>
    <row r="51" ht="30" customHeight="1">
      <c r="A51" s="23" t="inlineStr">
        <is>
          <t>Support / contact: replace this line with your studio name, support email, website, or template help desk before sharing with clients.</t>
        </is>
      </c>
    </row>
    <row r="52" ht="21" customHeight="1"/>
    <row r="53" ht="21" customHeight="1"/>
    <row r="54" ht="21" customHeight="1"/>
    <row r="55" ht="21" customHeight="1"/>
    <row r="56" ht="21" customHeight="1"/>
    <row r="57" ht="21" customHeight="1"/>
    <row r="58" ht="21" customHeight="1"/>
    <row r="59" ht="21" customHeight="1"/>
  </sheetData>
  <mergeCells count="44">
    <mergeCell ref="A5:J5"/>
    <mergeCell ref="A1:J2"/>
    <mergeCell ref="B42:J42"/>
    <mergeCell ref="B17:J17"/>
    <mergeCell ref="B23:J23"/>
    <mergeCell ref="B29:J29"/>
    <mergeCell ref="B19:J19"/>
    <mergeCell ref="B34:J34"/>
    <mergeCell ref="B28:J28"/>
    <mergeCell ref="C10:J10"/>
    <mergeCell ref="A46:B46"/>
    <mergeCell ref="B40:J40"/>
    <mergeCell ref="A15:J15"/>
    <mergeCell ref="A48:J48"/>
    <mergeCell ref="B24:J24"/>
    <mergeCell ref="B30:J30"/>
    <mergeCell ref="C9:J9"/>
    <mergeCell ref="A49:J49"/>
    <mergeCell ref="B33:J33"/>
    <mergeCell ref="A51:J51"/>
    <mergeCell ref="C12:J12"/>
    <mergeCell ref="C46:D46"/>
    <mergeCell ref="B20:J20"/>
    <mergeCell ref="E46:F46"/>
    <mergeCell ref="C11:J11"/>
    <mergeCell ref="B36:J36"/>
    <mergeCell ref="B32:J32"/>
    <mergeCell ref="B26:J26"/>
    <mergeCell ref="B41:J41"/>
    <mergeCell ref="A7:J7"/>
    <mergeCell ref="B35:J35"/>
    <mergeCell ref="C8:J8"/>
    <mergeCell ref="B25:J25"/>
    <mergeCell ref="A38:E38"/>
    <mergeCell ref="B22:J22"/>
    <mergeCell ref="A3:J3"/>
    <mergeCell ref="B31:J31"/>
    <mergeCell ref="B18:J18"/>
    <mergeCell ref="B27:J27"/>
    <mergeCell ref="A50:J50"/>
    <mergeCell ref="G46:H46"/>
    <mergeCell ref="A44:E44"/>
    <mergeCell ref="B39:J39"/>
    <mergeCell ref="B21:J21"/>
  </mergeCells>
  <pageMargins left="0.25" right="0.25" top="0.5" bottom="0.5" header="0.2" footer="0.2"/>
  <pageSetup orientation="landscape" fitToHeight="0" fitToWidth="1"/>
  <headerFooter>
    <oddHeader/>
    <oddFooter>&amp;C&amp;8 &amp;A&amp;R&amp;8 Page &amp;P of &amp;N</oddFooter>
    <evenHeader/>
    <evenFooter/>
    <firstHeader/>
    <firstFooter/>
  </headerFooter>
</worksheet>
</file>

<file path=xl/worksheets/sheet2.xml><?xml version="1.0" encoding="utf-8"?>
<worksheet xmlns="http://schemas.openxmlformats.org/spreadsheetml/2006/main">
  <sheetPr>
    <tabColor rgb="001F2A44"/>
    <outlinePr summaryBelow="1" summaryRight="1"/>
    <pageSetUpPr fitToPage="1"/>
  </sheetPr>
  <dimension ref="A1:R66"/>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26" customHeight="1">
      <c r="A1" s="1" t="inlineStr">
        <is>
          <t>PROJECT DASHBOARD</t>
        </is>
      </c>
    </row>
    <row r="2" ht="26" customHeight="1"/>
    <row r="3" ht="26" customHeight="1">
      <c r="A3" s="24" t="inlineStr">
        <is>
          <t>A decision-ready overview of budget, scope, approvals, orders, deliveries, and installation.</t>
        </is>
      </c>
    </row>
    <row r="4">
      <c r="A4" s="25" t="inlineStr">
        <is>
          <t>Tip: enter data in the warm cream cells on the project tabs. Dashboard formulas recalculate automatically.</t>
        </is>
      </c>
    </row>
    <row r="5" ht="25" customHeight="1">
      <c r="A5" s="26" t="inlineStr">
        <is>
          <t>Total project budget</t>
        </is>
      </c>
      <c r="B5" s="27" t="n"/>
      <c r="C5" s="27" t="n"/>
      <c r="D5" s="26" t="inlineStr">
        <is>
          <t>Total estimated cost</t>
        </is>
      </c>
      <c r="E5" s="27" t="n"/>
      <c r="F5" s="27" t="n"/>
      <c r="G5" s="26" t="inlineStr">
        <is>
          <t>Total actual cost</t>
        </is>
      </c>
      <c r="H5" s="27" t="n"/>
      <c r="I5" s="27" t="n"/>
      <c r="J5" s="26" t="inlineStr">
        <is>
          <t>Remaining budget</t>
        </is>
      </c>
      <c r="K5" s="27" t="n"/>
      <c r="L5" s="27" t="n"/>
      <c r="M5" s="26" t="inlineStr">
        <is>
          <t>Budget used %</t>
        </is>
      </c>
      <c r="N5" s="27" t="n"/>
      <c r="O5" s="27" t="n"/>
      <c r="P5" s="26" t="inlineStr">
        <is>
          <t>Number of rooms</t>
        </is>
      </c>
      <c r="Q5" s="27" t="n"/>
      <c r="R5" s="27" t="n"/>
    </row>
    <row r="6" ht="25" customHeight="1">
      <c r="A6" s="28">
        <f>IFERROR(IF('Client &amp; Project Profile'!$B$15&gt;0,'Client &amp; Project Profile'!$B$15,SUM('Budget Tracker'!$B$7:$B$306)),0)</f>
        <v/>
      </c>
      <c r="B6" s="27" t="n"/>
      <c r="C6" s="27" t="n"/>
      <c r="D6" s="28">
        <f>SUM('Budget Tracker'!$C$7:$C$306)</f>
        <v/>
      </c>
      <c r="E6" s="27" t="n"/>
      <c r="F6" s="27" t="n"/>
      <c r="G6" s="28">
        <f>SUM('Budget Tracker'!$D$7:$D$306)</f>
        <v/>
      </c>
      <c r="H6" s="27" t="n"/>
      <c r="I6" s="27" t="n"/>
      <c r="J6" s="28">
        <f>A6-G6</f>
        <v/>
      </c>
      <c r="K6" s="27" t="n"/>
      <c r="L6" s="27" t="n"/>
      <c r="M6" s="29">
        <f>IFERROR(G6/A6,0)</f>
        <v/>
      </c>
      <c r="N6" s="27" t="n"/>
      <c r="O6" s="27" t="n"/>
      <c r="P6" s="30">
        <f>COUNTIF('Room List - Area Tracker'!$A$7:$A$56,"&lt;&gt;")</f>
        <v/>
      </c>
      <c r="Q6" s="27" t="n"/>
      <c r="R6" s="27" t="n"/>
    </row>
    <row r="7" ht="20" customHeight="1">
      <c r="A7" s="27" t="n"/>
      <c r="B7" s="27" t="n"/>
      <c r="C7" s="27" t="n"/>
      <c r="D7" s="27" t="n"/>
      <c r="E7" s="27" t="n"/>
      <c r="F7" s="27" t="n"/>
      <c r="G7" s="27" t="n"/>
      <c r="H7" s="27" t="n"/>
      <c r="I7" s="27" t="n"/>
      <c r="J7" s="27" t="n"/>
      <c r="K7" s="27" t="n"/>
      <c r="L7" s="27" t="n"/>
      <c r="M7" s="27" t="n"/>
      <c r="N7" s="27" t="n"/>
      <c r="O7" s="27" t="n"/>
      <c r="P7" s="27" t="n"/>
      <c r="Q7" s="27" t="n"/>
      <c r="R7" s="27" t="n"/>
    </row>
    <row r="9" ht="25" customHeight="1">
      <c r="A9" s="26" t="inlineStr">
        <is>
          <t>Total FF&amp;E items</t>
        </is>
      </c>
      <c r="B9" s="27" t="n"/>
      <c r="C9" s="27" t="n"/>
      <c r="D9" s="26" t="inlineStr">
        <is>
          <t>Items approved</t>
        </is>
      </c>
      <c r="E9" s="27" t="n"/>
      <c r="F9" s="27" t="n"/>
      <c r="G9" s="26" t="inlineStr">
        <is>
          <t>Items ordered</t>
        </is>
      </c>
      <c r="H9" s="27" t="n"/>
      <c r="I9" s="27" t="n"/>
      <c r="J9" s="26" t="inlineStr">
        <is>
          <t>Items delivered</t>
        </is>
      </c>
      <c r="K9" s="27" t="n"/>
      <c r="L9" s="27" t="n"/>
      <c r="M9" s="26" t="inlineStr">
        <is>
          <t>Items installed</t>
        </is>
      </c>
      <c r="N9" s="27" t="n"/>
      <c r="O9" s="27" t="n"/>
      <c r="P9" s="26" t="inlineStr">
        <is>
          <t>Overdue tasks</t>
        </is>
      </c>
      <c r="Q9" s="27" t="n"/>
      <c r="R9" s="27" t="n"/>
    </row>
    <row r="10" ht="25" customHeight="1">
      <c r="A10" s="30">
        <f>COUNTIF('Master FF&amp;E Schedule'!$D$7:$D$306,"&lt;&gt;")</f>
        <v/>
      </c>
      <c r="B10" s="27" t="n"/>
      <c r="C10" s="27" t="n"/>
      <c r="D10" s="30">
        <f>COUNTIF('Master FF&amp;E Schedule'!$W$7:$W$306,"Approved")</f>
        <v/>
      </c>
      <c r="E10" s="27" t="n"/>
      <c r="F10" s="27" t="n"/>
      <c r="G10" s="30">
        <f>COUNTIF('Master FF&amp;E Schedule'!$V$7:$V$306,"Ordered")+COUNTIF('Master FF&amp;E Schedule'!$V$7:$V$306,"Confirmed")+COUNTIF('Master FF&amp;E Schedule'!$V$7:$V$306,"In production")+COUNTIF('Master FF&amp;E Schedule'!$V$7:$V$306,"Shipped")+COUNTIF('Master FF&amp;E Schedule'!$V$7:$V$306,"Delivered")+COUNTIF('Master FF&amp;E Schedule'!$V$7:$V$306,"Installed")</f>
        <v/>
      </c>
      <c r="H10" s="27" t="n"/>
      <c r="I10" s="27" t="n"/>
      <c r="J10" s="30">
        <f>COUNTIF('Master FF&amp;E Schedule'!$X$7:$X$306,"Delivered")</f>
        <v/>
      </c>
      <c r="K10" s="27" t="n"/>
      <c r="L10" s="27" t="n"/>
      <c r="M10" s="30">
        <f>COUNTIF('Master FF&amp;E Schedule'!$Y$7:$Y$306,"Installed")</f>
        <v/>
      </c>
      <c r="N10" s="27" t="n"/>
      <c r="O10" s="27" t="n"/>
      <c r="P10" s="30">
        <f>COUNTIFS('Task &amp; To-Do List'!$F$7:$F$306,"&lt;"&amp;TODAY(),'Task &amp; To-Do List'!$F$7:$F$306,"&lt;&gt;",'Task &amp; To-Do List'!$G$7:$G$306,"&lt;&gt;Complete",'Task &amp; To-Do List'!$A$7:$A$306,"&lt;&gt;")</f>
        <v/>
      </c>
      <c r="Q10" s="27" t="n"/>
      <c r="R10" s="27" t="n"/>
    </row>
    <row r="11" ht="20" customHeight="1">
      <c r="A11" s="27" t="n"/>
      <c r="B11" s="27" t="n"/>
      <c r="C11" s="27" t="n"/>
      <c r="D11" s="27" t="n"/>
      <c r="E11" s="27" t="n"/>
      <c r="F11" s="27" t="n"/>
      <c r="G11" s="27" t="n"/>
      <c r="H11" s="27" t="n"/>
      <c r="I11" s="27" t="n"/>
      <c r="J11" s="27" t="n"/>
      <c r="K11" s="27" t="n"/>
      <c r="L11" s="27" t="n"/>
      <c r="M11" s="27" t="n"/>
      <c r="N11" s="27" t="n"/>
      <c r="O11" s="27" t="n"/>
      <c r="P11" s="27" t="n"/>
      <c r="Q11" s="27" t="n"/>
      <c r="R11" s="27" t="n"/>
    </row>
    <row r="13" ht="25" customHeight="1">
      <c r="A13" s="26" t="inlineStr">
        <is>
          <t>Pending client approvals</t>
        </is>
      </c>
      <c r="B13" s="27" t="n"/>
      <c r="C13" s="27" t="n"/>
      <c r="D13" s="26" t="inlineStr">
        <is>
          <t>Open vendor orders</t>
        </is>
      </c>
      <c r="E13" s="27" t="n"/>
      <c r="F13" s="27" t="n"/>
      <c r="G13" s="26" t="inlineStr">
        <is>
          <t>Items not ordered</t>
        </is>
      </c>
      <c r="H13" s="27" t="n"/>
      <c r="I13" s="27" t="n"/>
      <c r="J13" s="26" t="inlineStr">
        <is>
          <t>Delivered but not installed</t>
        </is>
      </c>
      <c r="K13" s="27" t="n"/>
      <c r="L13" s="27" t="n"/>
    </row>
    <row r="14" ht="25" customHeight="1">
      <c r="A14" s="30">
        <f>COUNTIF('Client Approval Tracker'!$F$7:$F$206,"Sent")+COUNTIF('Client Approval Tracker'!$F$7:$F$206,"Revisions requested")+COUNTIF('Client Approval Tracker'!$F$7:$F$206,"On hold")</f>
        <v/>
      </c>
      <c r="B14" s="27" t="n"/>
      <c r="C14" s="27" t="n"/>
      <c r="D14" s="30">
        <f>COUNTIFS('Purchase Order - Order Tracker'!$A$7:$A$306,"&lt;&gt;",'Purchase Order - Order Tracker'!$J$7:$J$306,"&lt;&gt;Delivered",'Purchase Order - Order Tracker'!$J$7:$J$306,"&lt;&gt;Cancelled",'Purchase Order - Order Tracker'!$J$7:$J$306,"&lt;&gt;Returned")</f>
        <v/>
      </c>
      <c r="E14" s="27" t="n"/>
      <c r="F14" s="27" t="n"/>
      <c r="G14" s="30">
        <f>COUNTIFS('Master FF&amp;E Schedule'!$D$7:$D$306,"&lt;&gt;",'Master FF&amp;E Schedule'!$V$7:$V$306,"")</f>
        <v/>
      </c>
      <c r="H14" s="27" t="n"/>
      <c r="I14" s="27" t="n"/>
      <c r="J14" s="30">
        <f>COUNTIFS('Master FF&amp;E Schedule'!$X$7:$X$306,"Delivered",'Master FF&amp;E Schedule'!$Y$7:$Y$306,"&lt;&gt;Installed")</f>
        <v/>
      </c>
      <c r="K14" s="27" t="n"/>
      <c r="L14" s="27" t="n"/>
    </row>
    <row r="15" ht="20" customHeight="1">
      <c r="A15" s="27" t="n"/>
      <c r="B15" s="27" t="n"/>
      <c r="C15" s="27" t="n"/>
      <c r="D15" s="27" t="n"/>
      <c r="E15" s="27" t="n"/>
      <c r="F15" s="27" t="n"/>
      <c r="G15" s="27" t="n"/>
      <c r="H15" s="27" t="n"/>
      <c r="I15" s="27" t="n"/>
      <c r="J15" s="27" t="n"/>
      <c r="K15" s="27" t="n"/>
      <c r="L15" s="27" t="n"/>
    </row>
    <row r="17">
      <c r="A17" s="31" t="inlineStr">
        <is>
          <t>VISUAL PROJECT OVERVIEW</t>
        </is>
      </c>
    </row>
    <row r="66">
      <c r="A66" s="25" t="inlineStr">
        <is>
          <t>Dashboard data is formula-driven from the input tabs. If the dashboard is blank, start with the Client &amp; Project Profile, Room List, Budget Tracker, and Master FF&amp;E Schedule.</t>
        </is>
      </c>
    </row>
  </sheetData>
  <mergeCells count="37">
    <mergeCell ref="A10:C11"/>
    <mergeCell ref="D13:F13"/>
    <mergeCell ref="D14:F15"/>
    <mergeCell ref="G13:I13"/>
    <mergeCell ref="J14:L15"/>
    <mergeCell ref="D10:F11"/>
    <mergeCell ref="A66:R66"/>
    <mergeCell ref="A3:R3"/>
    <mergeCell ref="D6:F7"/>
    <mergeCell ref="A5:C5"/>
    <mergeCell ref="G5:I5"/>
    <mergeCell ref="J10:L11"/>
    <mergeCell ref="P10:R11"/>
    <mergeCell ref="D9:F9"/>
    <mergeCell ref="A17:R17"/>
    <mergeCell ref="A1:R2"/>
    <mergeCell ref="P6:R7"/>
    <mergeCell ref="A4:R4"/>
    <mergeCell ref="A6:C7"/>
    <mergeCell ref="A13:C13"/>
    <mergeCell ref="J6:L7"/>
    <mergeCell ref="D5:F5"/>
    <mergeCell ref="G10:I11"/>
    <mergeCell ref="P5:R5"/>
    <mergeCell ref="M10:O11"/>
    <mergeCell ref="A9:C9"/>
    <mergeCell ref="G9:I9"/>
    <mergeCell ref="M6:O7"/>
    <mergeCell ref="J5:L5"/>
    <mergeCell ref="G6:I7"/>
    <mergeCell ref="G14:I15"/>
    <mergeCell ref="J13:L13"/>
    <mergeCell ref="M9:O9"/>
    <mergeCell ref="M5:O5"/>
    <mergeCell ref="A14:C15"/>
    <mergeCell ref="P9:R9"/>
    <mergeCell ref="J9:L9"/>
  </mergeCells>
  <conditionalFormatting sqref="J6">
    <cfRule type="expression" priority="1" dxfId="0">
      <formula>=J6&lt;0</formula>
    </cfRule>
  </conditionalFormatting>
  <conditionalFormatting sqref="M6">
    <cfRule type="expression" priority="2" dxfId="0">
      <formula>=M6&gt;1</formula>
    </cfRule>
  </conditionalFormatting>
  <conditionalFormatting sqref="P10">
    <cfRule type="expression" priority="3" dxfId="0">
      <formula>=P10&gt;0</formula>
    </cfRule>
  </conditionalFormatting>
  <conditionalFormatting sqref="A14">
    <cfRule type="expression" priority="4" dxfId="1">
      <formula>=A14&gt;0</formula>
    </cfRule>
  </conditionalFormatting>
  <conditionalFormatting sqref="D14">
    <cfRule type="expression" priority="5" dxfId="1">
      <formula>=D14&gt;0</formula>
    </cfRule>
  </conditionalFormatting>
  <conditionalFormatting sqref="G14">
    <cfRule type="expression" priority="6" dxfId="1">
      <formula>=G14&gt;0</formula>
    </cfRule>
  </conditionalFormatting>
  <conditionalFormatting sqref="J14">
    <cfRule type="expression" priority="7" dxfId="0">
      <formula>=J14&gt;0</formula>
    </cfRule>
  </conditionalFormatting>
  <conditionalFormatting sqref="A10">
    <cfRule type="expression" priority="8" dxfId="2">
      <formula>=A10&gt;0</formula>
    </cfRule>
  </conditionalFormatting>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drawing xmlns:r="http://schemas.openxmlformats.org/officeDocument/2006/relationships" r:id="rId2"/>
</worksheet>
</file>

<file path=xl/worksheets/sheet3.xml><?xml version="1.0" encoding="utf-8"?>
<worksheet xmlns="http://schemas.openxmlformats.org/spreadsheetml/2006/main">
  <sheetPr>
    <tabColor rgb="002F6F73"/>
    <outlinePr summaryBelow="1" summaryRight="1"/>
    <pageSetUpPr fitToPage="1"/>
  </sheetPr>
  <dimension ref="A1:J21"/>
  <sheetViews>
    <sheetView showGridLines="0" zoomScale="85" workbookViewId="0">
      <pane ySplit="5" topLeftCell="A6" activePane="bottomLeft" state="frozen"/>
      <selection pane="bottomLeft" activeCell="A1" sqref="A1"/>
    </sheetView>
  </sheetViews>
  <sheetFormatPr baseColWidth="8" defaultRowHeight="15"/>
  <cols>
    <col width="25" customWidth="1" min="1" max="1"/>
    <col width="30" customWidth="1" min="2" max="2"/>
    <col width="4" customWidth="1" min="3" max="3"/>
    <col width="25" customWidth="1" min="4" max="4"/>
    <col width="30" customWidth="1" min="5" max="5"/>
    <col width="18" customWidth="1" min="6" max="6"/>
    <col width="18" customWidth="1" min="7" max="7"/>
    <col width="18" customWidth="1" min="8" max="8"/>
    <col width="18" customWidth="1" min="9" max="9"/>
    <col width="18" customWidth="1" min="10" max="10"/>
  </cols>
  <sheetData>
    <row r="1" ht="26" customHeight="1">
      <c r="A1" s="1" t="inlineStr">
        <is>
          <t>CLIENT &amp; PROJECT PROFILE</t>
        </is>
      </c>
    </row>
    <row r="2" ht="26" customHeight="1"/>
    <row r="3" ht="26" customHeight="1">
      <c r="A3" s="24" t="inlineStr">
        <is>
          <t>Complete this clean project summary first. Key fields feed the Project Dashboard.</t>
        </is>
      </c>
    </row>
    <row r="5" ht="22" customHeight="1">
      <c r="A5" s="4" t="inlineStr">
        <is>
          <t>CLIENT &amp; CONTACT</t>
        </is>
      </c>
      <c r="D5" s="4" t="inlineStr">
        <is>
          <t>PROJECT SUMMARY</t>
        </is>
      </c>
    </row>
    <row r="6" ht="26" customHeight="1">
      <c r="A6" s="32" t="inlineStr">
        <is>
          <t>Client name</t>
        </is>
      </c>
      <c r="B6" s="33" t="inlineStr"/>
      <c r="D6" s="32" t="inlineStr">
        <is>
          <t>Client notes</t>
        </is>
      </c>
      <c r="E6" s="33" t="n"/>
      <c r="F6" s="8" t="n"/>
      <c r="G6" s="8" t="n"/>
      <c r="H6" s="8" t="n"/>
      <c r="I6" s="8" t="n"/>
      <c r="J6" s="8" t="n"/>
    </row>
    <row r="7" ht="24" customHeight="1">
      <c r="A7" s="32" t="inlineStr">
        <is>
          <t>Client email</t>
        </is>
      </c>
      <c r="B7" s="33" t="inlineStr"/>
      <c r="E7" s="8" t="n"/>
      <c r="F7" s="8" t="n"/>
      <c r="G7" s="8" t="n"/>
      <c r="H7" s="8" t="n"/>
      <c r="I7" s="8" t="n"/>
      <c r="J7" s="8" t="n"/>
    </row>
    <row r="8" ht="24" customHeight="1">
      <c r="A8" s="32" t="inlineStr">
        <is>
          <t>Phone number</t>
        </is>
      </c>
      <c r="B8" s="33" t="inlineStr"/>
      <c r="E8" s="8" t="n"/>
      <c r="F8" s="8" t="n"/>
      <c r="G8" s="8" t="n"/>
      <c r="H8" s="8" t="n"/>
      <c r="I8" s="8" t="n"/>
      <c r="J8" s="8" t="n"/>
    </row>
    <row r="9" ht="24" customHeight="1">
      <c r="A9" s="32" t="inlineStr">
        <is>
          <t>Project name</t>
        </is>
      </c>
      <c r="B9" s="33" t="inlineStr"/>
    </row>
    <row r="10" ht="26" customHeight="1">
      <c r="A10" s="32" t="inlineStr">
        <is>
          <t>Project address</t>
        </is>
      </c>
      <c r="B10" s="33" t="inlineStr"/>
      <c r="D10" s="32" t="inlineStr">
        <is>
          <t>Scope summary</t>
        </is>
      </c>
      <c r="E10" s="33" t="n"/>
      <c r="F10" s="8" t="n"/>
      <c r="G10" s="8" t="n"/>
      <c r="H10" s="8" t="n"/>
      <c r="I10" s="8" t="n"/>
      <c r="J10" s="8" t="n"/>
    </row>
    <row r="11" ht="24" customHeight="1">
      <c r="A11" s="32" t="inlineStr">
        <is>
          <t>Project type</t>
        </is>
      </c>
      <c r="B11" s="33" t="inlineStr"/>
      <c r="E11" s="8" t="n"/>
      <c r="F11" s="8" t="n"/>
      <c r="G11" s="8" t="n"/>
      <c r="H11" s="8" t="n"/>
      <c r="I11" s="8" t="n"/>
      <c r="J11" s="8" t="n"/>
    </row>
    <row r="12" ht="24" customHeight="1">
      <c r="A12" s="32" t="inlineStr">
        <is>
          <t>Design style</t>
        </is>
      </c>
      <c r="B12" s="33" t="inlineStr"/>
      <c r="E12" s="8" t="n"/>
      <c r="F12" s="8" t="n"/>
      <c r="G12" s="8" t="n"/>
      <c r="H12" s="8" t="n"/>
      <c r="I12" s="8" t="n"/>
      <c r="J12" s="8" t="n"/>
    </row>
    <row r="13" ht="24" customHeight="1">
      <c r="A13" s="32" t="inlineStr">
        <is>
          <t>Start date</t>
        </is>
      </c>
      <c r="B13" s="34" t="inlineStr"/>
    </row>
    <row r="14" ht="24" customHeight="1">
      <c r="A14" s="32" t="inlineStr">
        <is>
          <t>Target completion date</t>
        </is>
      </c>
      <c r="B14" s="34" t="inlineStr"/>
    </row>
    <row r="15" ht="26" customHeight="1">
      <c r="A15" s="32" t="inlineStr">
        <is>
          <t>Total budget</t>
        </is>
      </c>
      <c r="B15" s="35" t="inlineStr"/>
      <c r="D15" s="32" t="inlineStr">
        <is>
          <t>Project status notes</t>
        </is>
      </c>
      <c r="E15" s="33" t="n"/>
      <c r="F15" s="8" t="n"/>
      <c r="G15" s="8" t="n"/>
      <c r="H15" s="8" t="n"/>
      <c r="I15" s="8" t="n"/>
      <c r="J15" s="8" t="n"/>
    </row>
    <row r="16" ht="24" customHeight="1">
      <c r="A16" s="32" t="inlineStr">
        <is>
          <t>Designer name</t>
        </is>
      </c>
      <c r="B16" s="33" t="inlineStr"/>
      <c r="E16" s="8" t="n"/>
      <c r="F16" s="8" t="n"/>
      <c r="G16" s="8" t="n"/>
      <c r="H16" s="8" t="n"/>
      <c r="I16" s="8" t="n"/>
      <c r="J16" s="8" t="n"/>
    </row>
    <row r="17" ht="24" customHeight="1">
      <c r="A17" s="32" t="inlineStr">
        <is>
          <t>Project status</t>
        </is>
      </c>
      <c r="B17" s="33" t="inlineStr"/>
    </row>
    <row r="18" ht="24" customHeight="1">
      <c r="A18" s="32" t="inlineStr">
        <is>
          <t>Contract signed</t>
        </is>
      </c>
      <c r="B18" s="33" t="inlineStr"/>
    </row>
    <row r="19" ht="24" customHeight="1">
      <c r="A19" s="32" t="inlineStr">
        <is>
          <t>Deposit paid</t>
        </is>
      </c>
      <c r="B19" s="33" t="inlineStr"/>
    </row>
    <row r="20" ht="24" customHeight="1">
      <c r="A20" s="32" t="inlineStr">
        <is>
          <t>Design package selected</t>
        </is>
      </c>
      <c r="B20" s="33" t="inlineStr"/>
    </row>
    <row r="21" ht="24" customHeight="1">
      <c r="A21" s="32" t="inlineStr">
        <is>
          <t>Billing method</t>
        </is>
      </c>
      <c r="B21" s="33" t="inlineStr"/>
    </row>
  </sheetData>
  <mergeCells count="7">
    <mergeCell ref="E15:J16"/>
    <mergeCell ref="A1:J2"/>
    <mergeCell ref="E10:J12"/>
    <mergeCell ref="E6:J8"/>
    <mergeCell ref="A3:J3"/>
    <mergeCell ref="A5:B5"/>
    <mergeCell ref="D5:J5"/>
  </mergeCells>
  <dataValidations count="5">
    <dataValidation sqref="B11" showDropDown="0" showInputMessage="1" showErrorMessage="1" allowBlank="1" errorTitle="Invalid entry" error="Please choose a value from the dropdown list." promptTitle="Choose from the dropdown" prompt="Select a value from the list." type="list">
      <formula1>=ProjectTypes</formula1>
    </dataValidation>
    <dataValidation sqref="B17" showDropDown="0" showInputMessage="1" showErrorMessage="1" allowBlank="1" errorTitle="Invalid entry" error="Please choose a value from the dropdown list." promptTitle="Choose from the dropdown" prompt="Select a value from the list." type="list">
      <formula1>=ProjectStatuses</formula1>
    </dataValidation>
    <dataValidation sqref="B18:B19" showDropDown="0" showInputMessage="1" showErrorMessage="1" allowBlank="1" errorTitle="Invalid entry" error="Please choose a value from the dropdown list." promptTitle="Choose from the dropdown" prompt="Select a value from the list." type="list">
      <formula1>=YesNo</formula1>
    </dataValidation>
    <dataValidation sqref="B21" showDropDown="0" showInputMessage="1" showErrorMessage="1" allowBlank="1" errorTitle="Invalid entry" error="Please choose a value from the dropdown list." promptTitle="Choose from the dropdown" prompt="Select a value from the list." type="list">
      <formula1>=BillingMethods</formula1>
    </dataValidation>
    <dataValidation sqref="B13:B14" showDropDown="0" showInputMessage="1" showErrorMessage="1" allowBlank="1" errorTitle="Invalid date" error="Enter a valid date between 1/1/1900 and 12/31/2100." promptTitle="Enter a date" prompt="Use a date such as 6/30/2026." type="date" operator="between">
      <formula1>DATE(1900,1,1)</formula1>
      <formula2>DATE(2100,12,31)</formula2>
    </dataValidation>
  </dataValidations>
  <hyperlinks>
    <hyperlink xmlns:r="http://schemas.openxmlformats.org/officeDocument/2006/relationships" ref="A3" r:id="rId1"/>
  </hyperlinks>
  <pageMargins left="0.25" right="0.25" top="0.5" bottom="0.5" header="0.2" footer="0.2"/>
  <pageSetup orientation="landscape" fitToWidth="1"/>
  <headerFooter>
    <oddHeader/>
    <oddFooter>&amp;C&amp;8 &amp;A&amp;R&amp;8 Page &amp;P of &amp;N</oddFooter>
    <evenHeader/>
    <evenFooter/>
    <firstHeader/>
    <firstFooter/>
  </headerFooter>
</worksheet>
</file>

<file path=xl/worksheets/sheet4.xml><?xml version="1.0" encoding="utf-8"?>
<worksheet xmlns="http://schemas.openxmlformats.org/spreadsheetml/2006/main">
  <sheetPr>
    <tabColor rgb="00D6A756"/>
    <outlinePr summaryBelow="1" summaryRight="1"/>
    <pageSetUpPr fitToPage="1"/>
  </sheetPr>
  <dimension ref="A1:K56"/>
  <sheetViews>
    <sheetView showGridLines="0" zoomScale="85" workbookViewId="0">
      <pane ySplit="6" topLeftCell="A7" activePane="bottomLeft" state="frozen"/>
      <selection pane="bottomLeft" activeCell="A7" sqref="A1"/>
    </sheetView>
  </sheetViews>
  <sheetFormatPr baseColWidth="8" defaultRowHeight="15"/>
  <cols>
    <col width="24" customWidth="1" min="1" max="1"/>
    <col width="19" customWidth="1" min="2" max="2"/>
    <col width="14" customWidth="1" min="3" max="3"/>
    <col width="15" customWidth="1" min="4" max="4"/>
    <col width="18" customWidth="1" min="5" max="5"/>
    <col width="17" customWidth="1" min="6" max="6"/>
    <col width="17" customWidth="1" min="7" max="7"/>
    <col width="17" customWidth="1" min="8" max="8"/>
    <col width="18" customWidth="1" min="9" max="9"/>
    <col width="14" customWidth="1" min="10" max="10"/>
    <col width="35" customWidth="1" min="11" max="11"/>
  </cols>
  <sheetData>
    <row r="1" ht="26" customHeight="1">
      <c r="A1" s="1" t="inlineStr">
        <is>
          <t>Room List - Area Tracker</t>
        </is>
      </c>
    </row>
    <row r="2" ht="26" customHeight="1"/>
    <row r="3" ht="26" customHeight="1">
      <c r="A3" s="24" t="inlineStr">
        <is>
          <t>Organize the project by room or area. Remaining budget calculates as allocation less actual spend.</t>
        </is>
      </c>
    </row>
    <row r="4">
      <c r="A4" s="36" t="inlineStr">
        <is>
          <t>Tip: enter data in the warm cream cells. Blue cells calculate automatically. Use the filter arrows in row 6 to focus the view.</t>
        </is>
      </c>
    </row>
    <row r="6" ht="34" customHeight="1">
      <c r="A6" s="37" t="inlineStr">
        <is>
          <t>Room name</t>
        </is>
      </c>
      <c r="B6" s="37" t="inlineStr">
        <is>
          <t>Room type</t>
        </is>
      </c>
      <c r="C6" s="37" t="inlineStr">
        <is>
          <t>Floor/level</t>
        </is>
      </c>
      <c r="D6" s="37" t="inlineStr">
        <is>
          <t>Square footage</t>
        </is>
      </c>
      <c r="E6" s="37" t="inlineStr">
        <is>
          <t>Design status</t>
        </is>
      </c>
      <c r="F6" s="37" t="inlineStr">
        <is>
          <t>Budget allocation</t>
        </is>
      </c>
      <c r="G6" s="37" t="inlineStr">
        <is>
          <t>Estimated spend</t>
        </is>
      </c>
      <c r="H6" s="37" t="inlineStr">
        <is>
          <t>Actual spend</t>
        </is>
      </c>
      <c r="I6" s="37" t="inlineStr">
        <is>
          <t>Remaining budget</t>
        </is>
      </c>
      <c r="J6" s="37" t="inlineStr">
        <is>
          <t>Priority level</t>
        </is>
      </c>
      <c r="K6" s="37" t="inlineStr">
        <is>
          <t>Notes</t>
        </is>
      </c>
    </row>
    <row r="7" ht="21" customHeight="1">
      <c r="A7" s="38" t="n"/>
      <c r="B7" s="38" t="n"/>
      <c r="C7" s="38" t="n"/>
      <c r="D7" s="39" t="n"/>
      <c r="E7" s="38" t="n"/>
      <c r="F7" s="40" t="n"/>
      <c r="G7" s="40" t="n"/>
      <c r="H7" s="40" t="n"/>
      <c r="I7" s="41">
        <f>IF(A7="","",F7-H7)</f>
        <v/>
      </c>
      <c r="J7" s="38" t="n"/>
      <c r="K7" s="38" t="n"/>
    </row>
    <row r="8" ht="21" customHeight="1">
      <c r="A8" s="38" t="n"/>
      <c r="B8" s="38" t="n"/>
      <c r="C8" s="38" t="n"/>
      <c r="D8" s="39" t="n"/>
      <c r="E8" s="38" t="n"/>
      <c r="F8" s="40" t="n"/>
      <c r="G8" s="40" t="n"/>
      <c r="H8" s="40" t="n"/>
      <c r="I8" s="41">
        <f>IF(A8="","",F8-H8)</f>
        <v/>
      </c>
      <c r="J8" s="38" t="n"/>
      <c r="K8" s="38" t="n"/>
    </row>
    <row r="9" ht="21" customHeight="1">
      <c r="A9" s="38" t="n"/>
      <c r="B9" s="38" t="n"/>
      <c r="C9" s="38" t="n"/>
      <c r="D9" s="39" t="n"/>
      <c r="E9" s="38" t="n"/>
      <c r="F9" s="40" t="n"/>
      <c r="G9" s="40" t="n"/>
      <c r="H9" s="40" t="n"/>
      <c r="I9" s="41">
        <f>IF(A9="","",F9-H9)</f>
        <v/>
      </c>
      <c r="J9" s="38" t="n"/>
      <c r="K9" s="38" t="n"/>
    </row>
    <row r="10" ht="21" customHeight="1">
      <c r="A10" s="38" t="n"/>
      <c r="B10" s="38" t="n"/>
      <c r="C10" s="38" t="n"/>
      <c r="D10" s="39" t="n"/>
      <c r="E10" s="38" t="n"/>
      <c r="F10" s="40" t="n"/>
      <c r="G10" s="40" t="n"/>
      <c r="H10" s="40" t="n"/>
      <c r="I10" s="41">
        <f>IF(A10="","",F10-H10)</f>
        <v/>
      </c>
      <c r="J10" s="38" t="n"/>
      <c r="K10" s="38" t="n"/>
    </row>
    <row r="11" ht="21" customHeight="1">
      <c r="A11" s="38" t="n"/>
      <c r="B11" s="38" t="n"/>
      <c r="C11" s="38" t="n"/>
      <c r="D11" s="39" t="n"/>
      <c r="E11" s="38" t="n"/>
      <c r="F11" s="40" t="n"/>
      <c r="G11" s="40" t="n"/>
      <c r="H11" s="40" t="n"/>
      <c r="I11" s="41">
        <f>IF(A11="","",F11-H11)</f>
        <v/>
      </c>
      <c r="J11" s="38" t="n"/>
      <c r="K11" s="38" t="n"/>
    </row>
    <row r="12" ht="21" customHeight="1">
      <c r="A12" s="38" t="n"/>
      <c r="B12" s="38" t="n"/>
      <c r="C12" s="38" t="n"/>
      <c r="D12" s="39" t="n"/>
      <c r="E12" s="38" t="n"/>
      <c r="F12" s="40" t="n"/>
      <c r="G12" s="40" t="n"/>
      <c r="H12" s="40" t="n"/>
      <c r="I12" s="41">
        <f>IF(A12="","",F12-H12)</f>
        <v/>
      </c>
      <c r="J12" s="38" t="n"/>
      <c r="K12" s="38" t="n"/>
    </row>
    <row r="13" ht="21" customHeight="1">
      <c r="A13" s="38" t="n"/>
      <c r="B13" s="38" t="n"/>
      <c r="C13" s="38" t="n"/>
      <c r="D13" s="39" t="n"/>
      <c r="E13" s="38" t="n"/>
      <c r="F13" s="40" t="n"/>
      <c r="G13" s="40" t="n"/>
      <c r="H13" s="40" t="n"/>
      <c r="I13" s="41">
        <f>IF(A13="","",F13-H13)</f>
        <v/>
      </c>
      <c r="J13" s="38" t="n"/>
      <c r="K13" s="38" t="n"/>
    </row>
    <row r="14" ht="21" customHeight="1">
      <c r="A14" s="38" t="n"/>
      <c r="B14" s="38" t="n"/>
      <c r="C14" s="38" t="n"/>
      <c r="D14" s="39" t="n"/>
      <c r="E14" s="38" t="n"/>
      <c r="F14" s="40" t="n"/>
      <c r="G14" s="40" t="n"/>
      <c r="H14" s="40" t="n"/>
      <c r="I14" s="41">
        <f>IF(A14="","",F14-H14)</f>
        <v/>
      </c>
      <c r="J14" s="38" t="n"/>
      <c r="K14" s="38" t="n"/>
    </row>
    <row r="15" ht="21" customHeight="1">
      <c r="A15" s="38" t="n"/>
      <c r="B15" s="38" t="n"/>
      <c r="C15" s="38" t="n"/>
      <c r="D15" s="39" t="n"/>
      <c r="E15" s="38" t="n"/>
      <c r="F15" s="40" t="n"/>
      <c r="G15" s="40" t="n"/>
      <c r="H15" s="40" t="n"/>
      <c r="I15" s="41">
        <f>IF(A15="","",F15-H15)</f>
        <v/>
      </c>
      <c r="J15" s="38" t="n"/>
      <c r="K15" s="38" t="n"/>
    </row>
    <row r="16" ht="21" customHeight="1">
      <c r="A16" s="38" t="n"/>
      <c r="B16" s="38" t="n"/>
      <c r="C16" s="38" t="n"/>
      <c r="D16" s="39" t="n"/>
      <c r="E16" s="38" t="n"/>
      <c r="F16" s="40" t="n"/>
      <c r="G16" s="40" t="n"/>
      <c r="H16" s="40" t="n"/>
      <c r="I16" s="41">
        <f>IF(A16="","",F16-H16)</f>
        <v/>
      </c>
      <c r="J16" s="38" t="n"/>
      <c r="K16" s="38" t="n"/>
    </row>
    <row r="17" ht="21" customHeight="1">
      <c r="A17" s="38" t="n"/>
      <c r="B17" s="38" t="n"/>
      <c r="C17" s="38" t="n"/>
      <c r="D17" s="39" t="n"/>
      <c r="E17" s="38" t="n"/>
      <c r="F17" s="40" t="n"/>
      <c r="G17" s="40" t="n"/>
      <c r="H17" s="40" t="n"/>
      <c r="I17" s="41">
        <f>IF(A17="","",F17-H17)</f>
        <v/>
      </c>
      <c r="J17" s="38" t="n"/>
      <c r="K17" s="38" t="n"/>
    </row>
    <row r="18" ht="21" customHeight="1">
      <c r="A18" s="38" t="n"/>
      <c r="B18" s="38" t="n"/>
      <c r="C18" s="38" t="n"/>
      <c r="D18" s="39" t="n"/>
      <c r="E18" s="38" t="n"/>
      <c r="F18" s="40" t="n"/>
      <c r="G18" s="40" t="n"/>
      <c r="H18" s="40" t="n"/>
      <c r="I18" s="41">
        <f>IF(A18="","",F18-H18)</f>
        <v/>
      </c>
      <c r="J18" s="38" t="n"/>
      <c r="K18" s="38" t="n"/>
    </row>
    <row r="19" ht="21" customHeight="1">
      <c r="A19" s="38" t="n"/>
      <c r="B19" s="38" t="n"/>
      <c r="C19" s="38" t="n"/>
      <c r="D19" s="39" t="n"/>
      <c r="E19" s="38" t="n"/>
      <c r="F19" s="40" t="n"/>
      <c r="G19" s="40" t="n"/>
      <c r="H19" s="40" t="n"/>
      <c r="I19" s="41">
        <f>IF(A19="","",F19-H19)</f>
        <v/>
      </c>
      <c r="J19" s="38" t="n"/>
      <c r="K19" s="38" t="n"/>
    </row>
    <row r="20" ht="21" customHeight="1">
      <c r="A20" s="38" t="n"/>
      <c r="B20" s="38" t="n"/>
      <c r="C20" s="38" t="n"/>
      <c r="D20" s="39" t="n"/>
      <c r="E20" s="38" t="n"/>
      <c r="F20" s="40" t="n"/>
      <c r="G20" s="40" t="n"/>
      <c r="H20" s="40" t="n"/>
      <c r="I20" s="41">
        <f>IF(A20="","",F20-H20)</f>
        <v/>
      </c>
      <c r="J20" s="38" t="n"/>
      <c r="K20" s="38" t="n"/>
    </row>
    <row r="21" ht="21" customHeight="1">
      <c r="A21" s="38" t="n"/>
      <c r="B21" s="38" t="n"/>
      <c r="C21" s="38" t="n"/>
      <c r="D21" s="39" t="n"/>
      <c r="E21" s="38" t="n"/>
      <c r="F21" s="40" t="n"/>
      <c r="G21" s="40" t="n"/>
      <c r="H21" s="40" t="n"/>
      <c r="I21" s="41">
        <f>IF(A21="","",F21-H21)</f>
        <v/>
      </c>
      <c r="J21" s="38" t="n"/>
      <c r="K21" s="38" t="n"/>
    </row>
    <row r="22" ht="21" customHeight="1">
      <c r="A22" s="38" t="n"/>
      <c r="B22" s="38" t="n"/>
      <c r="C22" s="38" t="n"/>
      <c r="D22" s="39" t="n"/>
      <c r="E22" s="38" t="n"/>
      <c r="F22" s="40" t="n"/>
      <c r="G22" s="40" t="n"/>
      <c r="H22" s="40" t="n"/>
      <c r="I22" s="41">
        <f>IF(A22="","",F22-H22)</f>
        <v/>
      </c>
      <c r="J22" s="38" t="n"/>
      <c r="K22" s="38" t="n"/>
    </row>
    <row r="23" ht="21" customHeight="1">
      <c r="A23" s="38" t="n"/>
      <c r="B23" s="38" t="n"/>
      <c r="C23" s="38" t="n"/>
      <c r="D23" s="39" t="n"/>
      <c r="E23" s="38" t="n"/>
      <c r="F23" s="40" t="n"/>
      <c r="G23" s="40" t="n"/>
      <c r="H23" s="40" t="n"/>
      <c r="I23" s="41">
        <f>IF(A23="","",F23-H23)</f>
        <v/>
      </c>
      <c r="J23" s="38" t="n"/>
      <c r="K23" s="38" t="n"/>
    </row>
    <row r="24" ht="21" customHeight="1">
      <c r="A24" s="38" t="n"/>
      <c r="B24" s="38" t="n"/>
      <c r="C24" s="38" t="n"/>
      <c r="D24" s="39" t="n"/>
      <c r="E24" s="38" t="n"/>
      <c r="F24" s="40" t="n"/>
      <c r="G24" s="40" t="n"/>
      <c r="H24" s="40" t="n"/>
      <c r="I24" s="41">
        <f>IF(A24="","",F24-H24)</f>
        <v/>
      </c>
      <c r="J24" s="38" t="n"/>
      <c r="K24" s="38" t="n"/>
    </row>
    <row r="25" ht="21" customHeight="1">
      <c r="A25" s="38" t="n"/>
      <c r="B25" s="38" t="n"/>
      <c r="C25" s="38" t="n"/>
      <c r="D25" s="39" t="n"/>
      <c r="E25" s="38" t="n"/>
      <c r="F25" s="40" t="n"/>
      <c r="G25" s="40" t="n"/>
      <c r="H25" s="40" t="n"/>
      <c r="I25" s="41">
        <f>IF(A25="","",F25-H25)</f>
        <v/>
      </c>
      <c r="J25" s="38" t="n"/>
      <c r="K25" s="38" t="n"/>
    </row>
    <row r="26" ht="21" customHeight="1">
      <c r="A26" s="38" t="n"/>
      <c r="B26" s="38" t="n"/>
      <c r="C26" s="38" t="n"/>
      <c r="D26" s="39" t="n"/>
      <c r="E26" s="38" t="n"/>
      <c r="F26" s="40" t="n"/>
      <c r="G26" s="40" t="n"/>
      <c r="H26" s="40" t="n"/>
      <c r="I26" s="41">
        <f>IF(A26="","",F26-H26)</f>
        <v/>
      </c>
      <c r="J26" s="38" t="n"/>
      <c r="K26" s="38" t="n"/>
    </row>
    <row r="27" ht="21" customHeight="1">
      <c r="A27" s="38" t="n"/>
      <c r="B27" s="38" t="n"/>
      <c r="C27" s="38" t="n"/>
      <c r="D27" s="39" t="n"/>
      <c r="E27" s="38" t="n"/>
      <c r="F27" s="40" t="n"/>
      <c r="G27" s="40" t="n"/>
      <c r="H27" s="40" t="n"/>
      <c r="I27" s="41">
        <f>IF(A27="","",F27-H27)</f>
        <v/>
      </c>
      <c r="J27" s="38" t="n"/>
      <c r="K27" s="38" t="n"/>
    </row>
    <row r="28" ht="21" customHeight="1">
      <c r="A28" s="38" t="n"/>
      <c r="B28" s="38" t="n"/>
      <c r="C28" s="38" t="n"/>
      <c r="D28" s="39" t="n"/>
      <c r="E28" s="38" t="n"/>
      <c r="F28" s="40" t="n"/>
      <c r="G28" s="40" t="n"/>
      <c r="H28" s="40" t="n"/>
      <c r="I28" s="41">
        <f>IF(A28="","",F28-H28)</f>
        <v/>
      </c>
      <c r="J28" s="38" t="n"/>
      <c r="K28" s="38" t="n"/>
    </row>
    <row r="29" ht="21" customHeight="1">
      <c r="A29" s="38" t="n"/>
      <c r="B29" s="38" t="n"/>
      <c r="C29" s="38" t="n"/>
      <c r="D29" s="39" t="n"/>
      <c r="E29" s="38" t="n"/>
      <c r="F29" s="40" t="n"/>
      <c r="G29" s="40" t="n"/>
      <c r="H29" s="40" t="n"/>
      <c r="I29" s="41">
        <f>IF(A29="","",F29-H29)</f>
        <v/>
      </c>
      <c r="J29" s="38" t="n"/>
      <c r="K29" s="38" t="n"/>
    </row>
    <row r="30" ht="21" customHeight="1">
      <c r="A30" s="38" t="n"/>
      <c r="B30" s="38" t="n"/>
      <c r="C30" s="38" t="n"/>
      <c r="D30" s="39" t="n"/>
      <c r="E30" s="38" t="n"/>
      <c r="F30" s="40" t="n"/>
      <c r="G30" s="40" t="n"/>
      <c r="H30" s="40" t="n"/>
      <c r="I30" s="41">
        <f>IF(A30="","",F30-H30)</f>
        <v/>
      </c>
      <c r="J30" s="38" t="n"/>
      <c r="K30" s="38" t="n"/>
    </row>
    <row r="31" ht="21" customHeight="1">
      <c r="A31" s="38" t="n"/>
      <c r="B31" s="38" t="n"/>
      <c r="C31" s="38" t="n"/>
      <c r="D31" s="39" t="n"/>
      <c r="E31" s="38" t="n"/>
      <c r="F31" s="40" t="n"/>
      <c r="G31" s="40" t="n"/>
      <c r="H31" s="40" t="n"/>
      <c r="I31" s="41">
        <f>IF(A31="","",F31-H31)</f>
        <v/>
      </c>
      <c r="J31" s="38" t="n"/>
      <c r="K31" s="38" t="n"/>
    </row>
    <row r="32" ht="21" customHeight="1">
      <c r="A32" s="38" t="n"/>
      <c r="B32" s="38" t="n"/>
      <c r="C32" s="38" t="n"/>
      <c r="D32" s="39" t="n"/>
      <c r="E32" s="38" t="n"/>
      <c r="F32" s="40" t="n"/>
      <c r="G32" s="40" t="n"/>
      <c r="H32" s="40" t="n"/>
      <c r="I32" s="41">
        <f>IF(A32="","",F32-H32)</f>
        <v/>
      </c>
      <c r="J32" s="38" t="n"/>
      <c r="K32" s="38" t="n"/>
    </row>
    <row r="33" ht="21" customHeight="1">
      <c r="A33" s="38" t="n"/>
      <c r="B33" s="38" t="n"/>
      <c r="C33" s="38" t="n"/>
      <c r="D33" s="39" t="n"/>
      <c r="E33" s="38" t="n"/>
      <c r="F33" s="40" t="n"/>
      <c r="G33" s="40" t="n"/>
      <c r="H33" s="40" t="n"/>
      <c r="I33" s="41">
        <f>IF(A33="","",F33-H33)</f>
        <v/>
      </c>
      <c r="J33" s="38" t="n"/>
      <c r="K33" s="38" t="n"/>
    </row>
    <row r="34" ht="21" customHeight="1">
      <c r="A34" s="38" t="n"/>
      <c r="B34" s="38" t="n"/>
      <c r="C34" s="38" t="n"/>
      <c r="D34" s="39" t="n"/>
      <c r="E34" s="38" t="n"/>
      <c r="F34" s="40" t="n"/>
      <c r="G34" s="40" t="n"/>
      <c r="H34" s="40" t="n"/>
      <c r="I34" s="41">
        <f>IF(A34="","",F34-H34)</f>
        <v/>
      </c>
      <c r="J34" s="38" t="n"/>
      <c r="K34" s="38" t="n"/>
    </row>
    <row r="35" ht="21" customHeight="1">
      <c r="A35" s="38" t="n"/>
      <c r="B35" s="38" t="n"/>
      <c r="C35" s="38" t="n"/>
      <c r="D35" s="39" t="n"/>
      <c r="E35" s="38" t="n"/>
      <c r="F35" s="40" t="n"/>
      <c r="G35" s="40" t="n"/>
      <c r="H35" s="40" t="n"/>
      <c r="I35" s="41">
        <f>IF(A35="","",F35-H35)</f>
        <v/>
      </c>
      <c r="J35" s="38" t="n"/>
      <c r="K35" s="38" t="n"/>
    </row>
    <row r="36" ht="21" customHeight="1">
      <c r="A36" s="38" t="n"/>
      <c r="B36" s="38" t="n"/>
      <c r="C36" s="38" t="n"/>
      <c r="D36" s="39" t="n"/>
      <c r="E36" s="38" t="n"/>
      <c r="F36" s="40" t="n"/>
      <c r="G36" s="40" t="n"/>
      <c r="H36" s="40" t="n"/>
      <c r="I36" s="41">
        <f>IF(A36="","",F36-H36)</f>
        <v/>
      </c>
      <c r="J36" s="38" t="n"/>
      <c r="K36" s="38" t="n"/>
    </row>
    <row r="37" ht="21" customHeight="1">
      <c r="A37" s="38" t="n"/>
      <c r="B37" s="38" t="n"/>
      <c r="C37" s="38" t="n"/>
      <c r="D37" s="39" t="n"/>
      <c r="E37" s="38" t="n"/>
      <c r="F37" s="40" t="n"/>
      <c r="G37" s="40" t="n"/>
      <c r="H37" s="40" t="n"/>
      <c r="I37" s="41">
        <f>IF(A37="","",F37-H37)</f>
        <v/>
      </c>
      <c r="J37" s="38" t="n"/>
      <c r="K37" s="38" t="n"/>
    </row>
    <row r="38" ht="21" customHeight="1">
      <c r="A38" s="38" t="n"/>
      <c r="B38" s="38" t="n"/>
      <c r="C38" s="38" t="n"/>
      <c r="D38" s="39" t="n"/>
      <c r="E38" s="38" t="n"/>
      <c r="F38" s="40" t="n"/>
      <c r="G38" s="40" t="n"/>
      <c r="H38" s="40" t="n"/>
      <c r="I38" s="41">
        <f>IF(A38="","",F38-H38)</f>
        <v/>
      </c>
      <c r="J38" s="38" t="n"/>
      <c r="K38" s="38" t="n"/>
    </row>
    <row r="39" ht="21" customHeight="1">
      <c r="A39" s="38" t="n"/>
      <c r="B39" s="38" t="n"/>
      <c r="C39" s="38" t="n"/>
      <c r="D39" s="39" t="n"/>
      <c r="E39" s="38" t="n"/>
      <c r="F39" s="40" t="n"/>
      <c r="G39" s="40" t="n"/>
      <c r="H39" s="40" t="n"/>
      <c r="I39" s="41">
        <f>IF(A39="","",F39-H39)</f>
        <v/>
      </c>
      <c r="J39" s="38" t="n"/>
      <c r="K39" s="38" t="n"/>
    </row>
    <row r="40" ht="21" customHeight="1">
      <c r="A40" s="38" t="n"/>
      <c r="B40" s="38" t="n"/>
      <c r="C40" s="38" t="n"/>
      <c r="D40" s="39" t="n"/>
      <c r="E40" s="38" t="n"/>
      <c r="F40" s="40" t="n"/>
      <c r="G40" s="40" t="n"/>
      <c r="H40" s="40" t="n"/>
      <c r="I40" s="41">
        <f>IF(A40="","",F40-H40)</f>
        <v/>
      </c>
      <c r="J40" s="38" t="n"/>
      <c r="K40" s="38" t="n"/>
    </row>
    <row r="41" ht="21" customHeight="1">
      <c r="A41" s="38" t="n"/>
      <c r="B41" s="38" t="n"/>
      <c r="C41" s="38" t="n"/>
      <c r="D41" s="39" t="n"/>
      <c r="E41" s="38" t="n"/>
      <c r="F41" s="40" t="n"/>
      <c r="G41" s="40" t="n"/>
      <c r="H41" s="40" t="n"/>
      <c r="I41" s="41">
        <f>IF(A41="","",F41-H41)</f>
        <v/>
      </c>
      <c r="J41" s="38" t="n"/>
      <c r="K41" s="38" t="n"/>
    </row>
    <row r="42" ht="21" customHeight="1">
      <c r="A42" s="38" t="n"/>
      <c r="B42" s="38" t="n"/>
      <c r="C42" s="38" t="n"/>
      <c r="D42" s="39" t="n"/>
      <c r="E42" s="38" t="n"/>
      <c r="F42" s="40" t="n"/>
      <c r="G42" s="40" t="n"/>
      <c r="H42" s="40" t="n"/>
      <c r="I42" s="41">
        <f>IF(A42="","",F42-H42)</f>
        <v/>
      </c>
      <c r="J42" s="38" t="n"/>
      <c r="K42" s="38" t="n"/>
    </row>
    <row r="43" ht="21" customHeight="1">
      <c r="A43" s="38" t="n"/>
      <c r="B43" s="38" t="n"/>
      <c r="C43" s="38" t="n"/>
      <c r="D43" s="39" t="n"/>
      <c r="E43" s="38" t="n"/>
      <c r="F43" s="40" t="n"/>
      <c r="G43" s="40" t="n"/>
      <c r="H43" s="40" t="n"/>
      <c r="I43" s="41">
        <f>IF(A43="","",F43-H43)</f>
        <v/>
      </c>
      <c r="J43" s="38" t="n"/>
      <c r="K43" s="38" t="n"/>
    </row>
    <row r="44" ht="21" customHeight="1">
      <c r="A44" s="38" t="n"/>
      <c r="B44" s="38" t="n"/>
      <c r="C44" s="38" t="n"/>
      <c r="D44" s="39" t="n"/>
      <c r="E44" s="38" t="n"/>
      <c r="F44" s="40" t="n"/>
      <c r="G44" s="40" t="n"/>
      <c r="H44" s="40" t="n"/>
      <c r="I44" s="41">
        <f>IF(A44="","",F44-H44)</f>
        <v/>
      </c>
      <c r="J44" s="38" t="n"/>
      <c r="K44" s="38" t="n"/>
    </row>
    <row r="45" ht="21" customHeight="1">
      <c r="A45" s="38" t="n"/>
      <c r="B45" s="38" t="n"/>
      <c r="C45" s="38" t="n"/>
      <c r="D45" s="39" t="n"/>
      <c r="E45" s="38" t="n"/>
      <c r="F45" s="40" t="n"/>
      <c r="G45" s="40" t="n"/>
      <c r="H45" s="40" t="n"/>
      <c r="I45" s="41">
        <f>IF(A45="","",F45-H45)</f>
        <v/>
      </c>
      <c r="J45" s="38" t="n"/>
      <c r="K45" s="38" t="n"/>
    </row>
    <row r="46" ht="21" customHeight="1">
      <c r="A46" s="38" t="n"/>
      <c r="B46" s="38" t="n"/>
      <c r="C46" s="38" t="n"/>
      <c r="D46" s="39" t="n"/>
      <c r="E46" s="38" t="n"/>
      <c r="F46" s="40" t="n"/>
      <c r="G46" s="40" t="n"/>
      <c r="H46" s="40" t="n"/>
      <c r="I46" s="41">
        <f>IF(A46="","",F46-H46)</f>
        <v/>
      </c>
      <c r="J46" s="38" t="n"/>
      <c r="K46" s="38" t="n"/>
    </row>
    <row r="47" ht="21" customHeight="1">
      <c r="A47" s="38" t="n"/>
      <c r="B47" s="38" t="n"/>
      <c r="C47" s="38" t="n"/>
      <c r="D47" s="39" t="n"/>
      <c r="E47" s="38" t="n"/>
      <c r="F47" s="40" t="n"/>
      <c r="G47" s="40" t="n"/>
      <c r="H47" s="40" t="n"/>
      <c r="I47" s="41">
        <f>IF(A47="","",F47-H47)</f>
        <v/>
      </c>
      <c r="J47" s="38" t="n"/>
      <c r="K47" s="38" t="n"/>
    </row>
    <row r="48" ht="21" customHeight="1">
      <c r="A48" s="38" t="n"/>
      <c r="B48" s="38" t="n"/>
      <c r="C48" s="38" t="n"/>
      <c r="D48" s="39" t="n"/>
      <c r="E48" s="38" t="n"/>
      <c r="F48" s="40" t="n"/>
      <c r="G48" s="40" t="n"/>
      <c r="H48" s="40" t="n"/>
      <c r="I48" s="41">
        <f>IF(A48="","",F48-H48)</f>
        <v/>
      </c>
      <c r="J48" s="38" t="n"/>
      <c r="K48" s="38" t="n"/>
    </row>
    <row r="49" ht="21" customHeight="1">
      <c r="A49" s="38" t="n"/>
      <c r="B49" s="38" t="n"/>
      <c r="C49" s="38" t="n"/>
      <c r="D49" s="39" t="n"/>
      <c r="E49" s="38" t="n"/>
      <c r="F49" s="40" t="n"/>
      <c r="G49" s="40" t="n"/>
      <c r="H49" s="40" t="n"/>
      <c r="I49" s="41">
        <f>IF(A49="","",F49-H49)</f>
        <v/>
      </c>
      <c r="J49" s="38" t="n"/>
      <c r="K49" s="38" t="n"/>
    </row>
    <row r="50" ht="21" customHeight="1">
      <c r="A50" s="38" t="n"/>
      <c r="B50" s="38" t="n"/>
      <c r="C50" s="38" t="n"/>
      <c r="D50" s="39" t="n"/>
      <c r="E50" s="38" t="n"/>
      <c r="F50" s="40" t="n"/>
      <c r="G50" s="40" t="n"/>
      <c r="H50" s="40" t="n"/>
      <c r="I50" s="41">
        <f>IF(A50="","",F50-H50)</f>
        <v/>
      </c>
      <c r="J50" s="38" t="n"/>
      <c r="K50" s="38" t="n"/>
    </row>
    <row r="51" ht="21" customHeight="1">
      <c r="A51" s="38" t="n"/>
      <c r="B51" s="38" t="n"/>
      <c r="C51" s="38" t="n"/>
      <c r="D51" s="39" t="n"/>
      <c r="E51" s="38" t="n"/>
      <c r="F51" s="40" t="n"/>
      <c r="G51" s="40" t="n"/>
      <c r="H51" s="40" t="n"/>
      <c r="I51" s="41">
        <f>IF(A51="","",F51-H51)</f>
        <v/>
      </c>
      <c r="J51" s="38" t="n"/>
      <c r="K51" s="38" t="n"/>
    </row>
    <row r="52" ht="21" customHeight="1">
      <c r="A52" s="38" t="n"/>
      <c r="B52" s="38" t="n"/>
      <c r="C52" s="38" t="n"/>
      <c r="D52" s="39" t="n"/>
      <c r="E52" s="38" t="n"/>
      <c r="F52" s="40" t="n"/>
      <c r="G52" s="40" t="n"/>
      <c r="H52" s="40" t="n"/>
      <c r="I52" s="41">
        <f>IF(A52="","",F52-H52)</f>
        <v/>
      </c>
      <c r="J52" s="38" t="n"/>
      <c r="K52" s="38" t="n"/>
    </row>
    <row r="53" ht="21" customHeight="1">
      <c r="A53" s="38" t="n"/>
      <c r="B53" s="38" t="n"/>
      <c r="C53" s="38" t="n"/>
      <c r="D53" s="39" t="n"/>
      <c r="E53" s="38" t="n"/>
      <c r="F53" s="40" t="n"/>
      <c r="G53" s="40" t="n"/>
      <c r="H53" s="40" t="n"/>
      <c r="I53" s="41">
        <f>IF(A53="","",F53-H53)</f>
        <v/>
      </c>
      <c r="J53" s="38" t="n"/>
      <c r="K53" s="38" t="n"/>
    </row>
    <row r="54" ht="21" customHeight="1">
      <c r="A54" s="38" t="n"/>
      <c r="B54" s="38" t="n"/>
      <c r="C54" s="38" t="n"/>
      <c r="D54" s="39" t="n"/>
      <c r="E54" s="38" t="n"/>
      <c r="F54" s="40" t="n"/>
      <c r="G54" s="40" t="n"/>
      <c r="H54" s="40" t="n"/>
      <c r="I54" s="41">
        <f>IF(A54="","",F54-H54)</f>
        <v/>
      </c>
      <c r="J54" s="38" t="n"/>
      <c r="K54" s="38" t="n"/>
    </row>
    <row r="55" ht="21" customHeight="1">
      <c r="A55" s="38" t="n"/>
      <c r="B55" s="38" t="n"/>
      <c r="C55" s="38" t="n"/>
      <c r="D55" s="39" t="n"/>
      <c r="E55" s="38" t="n"/>
      <c r="F55" s="40" t="n"/>
      <c r="G55" s="40" t="n"/>
      <c r="H55" s="40" t="n"/>
      <c r="I55" s="41">
        <f>IF(A55="","",F55-H55)</f>
        <v/>
      </c>
      <c r="J55" s="38" t="n"/>
      <c r="K55" s="38" t="n"/>
    </row>
    <row r="56" ht="21" customHeight="1">
      <c r="A56" s="38" t="n"/>
      <c r="B56" s="38" t="n"/>
      <c r="C56" s="38" t="n"/>
      <c r="D56" s="39" t="n"/>
      <c r="E56" s="38" t="n"/>
      <c r="F56" s="40" t="n"/>
      <c r="G56" s="40" t="n"/>
      <c r="H56" s="40" t="n"/>
      <c r="I56" s="41">
        <f>IF(A56="","",F56-H56)</f>
        <v/>
      </c>
      <c r="J56" s="38" t="n"/>
      <c r="K56" s="38" t="n"/>
    </row>
  </sheetData>
  <autoFilter ref="A6:K56"/>
  <mergeCells count="3">
    <mergeCell ref="A4:K4"/>
    <mergeCell ref="A1:K2"/>
    <mergeCell ref="A3:K3"/>
  </mergeCells>
  <conditionalFormatting sqref="E7:E56">
    <cfRule type="expression" priority="1" dxfId="2">
      <formula>=OR(E7="Complete",E7="Approved",E7="Delivered",E7="Installed",E7="Good condition",E7="Paid",E7="On budget")</formula>
    </cfRule>
    <cfRule type="expression" priority="2" dxfId="1">
      <formula>=OR(E7="Pending",E7="In progress",E7="Sent",E7="Waiting on client",E7="Waiting on vendor",E7="On hold",E7="Partially paid",E7="Scheduled")</formula>
    </cfRule>
    <cfRule type="expression" priority="3" dxfId="0">
      <formula>=OR(E7="Overdue",E7="Delayed",E7="Damaged",E7="Missing item",E7="Rejected",E7="Revisions requested")</formula>
    </cfRule>
    <cfRule type="expression" priority="4" dxfId="3">
      <formula>=OR(E7="Cancelled",E7="On hold",E7="Returned")</formula>
    </cfRule>
  </conditionalFormatting>
  <conditionalFormatting sqref="J7:J56">
    <cfRule type="expression" priority="5" dxfId="2">
      <formula>=OR(J7="Complete",J7="Approved",J7="Delivered",J7="Installed",J7="Good condition",J7="Paid",J7="On budget")</formula>
    </cfRule>
    <cfRule type="expression" priority="6" dxfId="1">
      <formula>=OR(J7="Pending",J7="In progress",J7="Sent",J7="Waiting on client",J7="Waiting on vendor",J7="On hold",J7="Partially paid",J7="Scheduled")</formula>
    </cfRule>
    <cfRule type="expression" priority="7" dxfId="0">
      <formula>=OR(J7="Overdue",J7="Delayed",J7="Damaged",J7="Missing item",J7="Rejected",J7="Revisions requested")</formula>
    </cfRule>
    <cfRule type="expression" priority="8" dxfId="3">
      <formula>=OR(J7="Cancelled",J7="On hold",J7="Returned")</formula>
    </cfRule>
  </conditionalFormatting>
  <conditionalFormatting sqref="I7:I56">
    <cfRule type="expression" priority="9" dxfId="0">
      <formula>=AND($A7&lt;&gt;"",$I7&lt;0)</formula>
    </cfRule>
  </conditionalFormatting>
  <dataValidations count="3">
    <dataValidation sqref="B7:B56" showDropDown="0" showInputMessage="1" showErrorMessage="1" allowBlank="1" errorTitle="Invalid entry" error="Please choose a value from the dropdown list." promptTitle="Choose from the dropdown" prompt="Select a value from the list." type="list">
      <formula1>=RoomTypes</formula1>
    </dataValidation>
    <dataValidation sqref="E7:E56" showDropDown="0" showInputMessage="1" showErrorMessage="1" allowBlank="1" errorTitle="Invalid entry" error="Please choose a value from the dropdown list." promptTitle="Choose from the dropdown" prompt="Select a value from the list." type="list">
      <formula1>=DesignStatuses</formula1>
    </dataValidation>
    <dataValidation sqref="J7:J56" showDropDown="0" showInputMessage="1" showErrorMessage="1" allowBlank="1" errorTitle="Invalid entry" error="Please choose a value from the dropdown list." promptTitle="Choose from the dropdown" prompt="Select a value from the list." type="list">
      <formula1>=PriorityLevels</formula1>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5.xml><?xml version="1.0" encoding="utf-8"?>
<worksheet xmlns="http://schemas.openxmlformats.org/spreadsheetml/2006/main">
  <sheetPr>
    <tabColor rgb="002F6F73"/>
    <outlinePr summaryBelow="1" summaryRight="1"/>
    <pageSetUpPr fitToPage="1"/>
  </sheetPr>
  <dimension ref="A1:AA306"/>
  <sheetViews>
    <sheetView showGridLines="0" zoomScale="85" workbookViewId="0">
      <pane ySplit="6" topLeftCell="A7" activePane="bottomLeft" state="frozen"/>
      <selection pane="bottomLeft" activeCell="A7" sqref="A1"/>
    </sheetView>
  </sheetViews>
  <sheetFormatPr baseColWidth="8" defaultRowHeight="15"/>
  <cols>
    <col width="12" customWidth="1" min="1" max="1"/>
    <col width="20" customWidth="1" min="2" max="2"/>
    <col width="19" customWidth="1" min="3" max="3"/>
    <col width="27" customWidth="1" min="4" max="4"/>
    <col width="32" customWidth="1" min="5" max="5"/>
    <col width="10" customWidth="1" min="6" max="6"/>
    <col width="17" customWidth="1" min="7" max="7"/>
    <col width="17" customWidth="1" min="8" max="8"/>
    <col width="17" customWidth="1" min="9" max="9"/>
    <col width="14" customWidth="1" min="10" max="10"/>
    <col width="22" customWidth="1" min="11" max="11"/>
    <col width="18" customWidth="1" min="12" max="12"/>
    <col width="30" customWidth="1" min="13" max="13"/>
    <col width="20" customWidth="1" min="14" max="14"/>
    <col width="14" customWidth="1" min="15" max="15"/>
    <col width="15" customWidth="1" min="16" max="16"/>
    <col width="13" customWidth="1" min="17" max="17"/>
    <col width="13" customWidth="1" min="18" max="18"/>
    <col width="13" customWidth="1" min="19" max="19"/>
    <col width="15" customWidth="1" min="20" max="20"/>
    <col width="14" customWidth="1" min="21" max="21"/>
    <col width="17" customWidth="1" min="22" max="22"/>
    <col width="18" customWidth="1" min="23" max="23"/>
    <col width="17" customWidth="1" min="24" max="24"/>
    <col width="16" customWidth="1" min="25" max="25"/>
    <col width="32" customWidth="1" min="26" max="26"/>
    <col width="30" customWidth="1" min="27" max="27"/>
  </cols>
  <sheetData>
    <row r="1" ht="26" customHeight="1">
      <c r="A1" s="1" t="inlineStr">
        <is>
          <t>Master FF&amp;E Schedule</t>
        </is>
      </c>
    </row>
    <row r="2" ht="26" customHeight="1"/>
    <row r="3" ht="26" customHeight="1">
      <c r="A3" s="24" t="inlineStr">
        <is>
          <t>Core Furniture, Fixtures &amp; Equipment schedule. Enter quantity and unit cost; total cost and final cost calculate automatically.</t>
        </is>
      </c>
    </row>
    <row r="4">
      <c r="A4" s="36" t="inlineStr">
        <is>
          <t>Tip: enter data in the warm cream cells. Blue cells calculate automatically. Use the filter arrows in row 6 to focus the view.</t>
        </is>
      </c>
    </row>
    <row r="6" ht="34" customHeight="1">
      <c r="A6" s="37" t="inlineStr">
        <is>
          <t>Item ID</t>
        </is>
      </c>
      <c r="B6" s="37" t="inlineStr">
        <is>
          <t>Room</t>
        </is>
      </c>
      <c r="C6" s="37" t="inlineStr">
        <is>
          <t>Category</t>
        </is>
      </c>
      <c r="D6" s="37" t="inlineStr">
        <is>
          <t>Item name</t>
        </is>
      </c>
      <c r="E6" s="37" t="inlineStr">
        <is>
          <t>Description</t>
        </is>
      </c>
      <c r="F6" s="37" t="inlineStr">
        <is>
          <t>Quantity</t>
        </is>
      </c>
      <c r="G6" s="37" t="inlineStr">
        <is>
          <t>Dimensions</t>
        </is>
      </c>
      <c r="H6" s="37" t="inlineStr">
        <is>
          <t>Material</t>
        </is>
      </c>
      <c r="I6" s="37" t="inlineStr">
        <is>
          <t>Finish</t>
        </is>
      </c>
      <c r="J6" s="37" t="inlineStr">
        <is>
          <t>Color</t>
        </is>
      </c>
      <c r="K6" s="37" t="inlineStr">
        <is>
          <t>Vendor</t>
        </is>
      </c>
      <c r="L6" s="37" t="inlineStr">
        <is>
          <t>Brand</t>
        </is>
      </c>
      <c r="M6" s="37" t="inlineStr">
        <is>
          <t>Product link</t>
        </is>
      </c>
      <c r="N6" s="37" t="inlineStr">
        <is>
          <t>SKU/model number</t>
        </is>
      </c>
      <c r="O6" s="37" t="inlineStr">
        <is>
          <t>Unit cost</t>
        </is>
      </c>
      <c r="P6" s="37" t="inlineStr">
        <is>
          <t>Total cost</t>
        </is>
      </c>
      <c r="Q6" s="37" t="inlineStr">
        <is>
          <t>Tax</t>
        </is>
      </c>
      <c r="R6" s="37" t="inlineStr">
        <is>
          <t>Shipping</t>
        </is>
      </c>
      <c r="S6" s="37" t="inlineStr">
        <is>
          <t>Discount</t>
        </is>
      </c>
      <c r="T6" s="37" t="inlineStr">
        <is>
          <t>Final cost</t>
        </is>
      </c>
      <c r="U6" s="37" t="inlineStr">
        <is>
          <t>Lead time</t>
        </is>
      </c>
      <c r="V6" s="37" t="inlineStr">
        <is>
          <t>Order status</t>
        </is>
      </c>
      <c r="W6" s="37" t="inlineStr">
        <is>
          <t>Approval status</t>
        </is>
      </c>
      <c r="X6" s="37" t="inlineStr">
        <is>
          <t>Delivery status</t>
        </is>
      </c>
      <c r="Y6" s="37" t="inlineStr">
        <is>
          <t>Install status</t>
        </is>
      </c>
      <c r="Z6" s="37" t="inlineStr">
        <is>
          <t>Notes</t>
        </is>
      </c>
      <c r="AA6" s="37" t="inlineStr">
        <is>
          <t>Image link</t>
        </is>
      </c>
    </row>
    <row r="7" ht="21" customHeight="1">
      <c r="A7" s="38" t="n"/>
      <c r="B7" s="38" t="n"/>
      <c r="C7" s="38" t="n"/>
      <c r="D7" s="38" t="n"/>
      <c r="E7" s="38" t="n"/>
      <c r="F7" s="39" t="n"/>
      <c r="G7" s="38" t="n"/>
      <c r="H7" s="38" t="n"/>
      <c r="I7" s="38" t="n"/>
      <c r="J7" s="38" t="n"/>
      <c r="K7" s="38" t="n"/>
      <c r="L7" s="38" t="n"/>
      <c r="M7" s="38" t="n"/>
      <c r="N7" s="38" t="n"/>
      <c r="O7" s="40" t="n"/>
      <c r="P7" s="41">
        <f>IF(D7="","",F7*O7)</f>
        <v/>
      </c>
      <c r="Q7" s="38" t="n"/>
      <c r="R7" s="38" t="n"/>
      <c r="S7" s="40" t="n"/>
      <c r="T7" s="41">
        <f>IF(D7="","",P7+Q7+R7-S7)</f>
        <v/>
      </c>
      <c r="U7" s="38" t="n"/>
      <c r="V7" s="38" t="n"/>
      <c r="W7" s="38" t="n"/>
      <c r="X7" s="38" t="n"/>
      <c r="Y7" s="38" t="n"/>
      <c r="Z7" s="38" t="n"/>
      <c r="AA7" s="38" t="n"/>
    </row>
    <row r="8" ht="21" customHeight="1">
      <c r="A8" s="38" t="n"/>
      <c r="B8" s="38" t="n"/>
      <c r="C8" s="38" t="n"/>
      <c r="D8" s="38" t="n"/>
      <c r="E8" s="38" t="n"/>
      <c r="F8" s="39" t="n"/>
      <c r="G8" s="38" t="n"/>
      <c r="H8" s="38" t="n"/>
      <c r="I8" s="38" t="n"/>
      <c r="J8" s="38" t="n"/>
      <c r="K8" s="38" t="n"/>
      <c r="L8" s="38" t="n"/>
      <c r="M8" s="38" t="n"/>
      <c r="N8" s="38" t="n"/>
      <c r="O8" s="40" t="n"/>
      <c r="P8" s="41">
        <f>IF(D8="","",F8*O8)</f>
        <v/>
      </c>
      <c r="Q8" s="38" t="n"/>
      <c r="R8" s="38" t="n"/>
      <c r="S8" s="40" t="n"/>
      <c r="T8" s="41">
        <f>IF(D8="","",P8+Q8+R8-S8)</f>
        <v/>
      </c>
      <c r="U8" s="38" t="n"/>
      <c r="V8" s="38" t="n"/>
      <c r="W8" s="38" t="n"/>
      <c r="X8" s="38" t="n"/>
      <c r="Y8" s="38" t="n"/>
      <c r="Z8" s="38" t="n"/>
      <c r="AA8" s="38" t="n"/>
    </row>
    <row r="9" ht="21" customHeight="1">
      <c r="A9" s="38" t="n"/>
      <c r="B9" s="38" t="n"/>
      <c r="C9" s="38" t="n"/>
      <c r="D9" s="38" t="n"/>
      <c r="E9" s="38" t="n"/>
      <c r="F9" s="39" t="n"/>
      <c r="G9" s="38" t="n"/>
      <c r="H9" s="38" t="n"/>
      <c r="I9" s="38" t="n"/>
      <c r="J9" s="38" t="n"/>
      <c r="K9" s="38" t="n"/>
      <c r="L9" s="38" t="n"/>
      <c r="M9" s="38" t="n"/>
      <c r="N9" s="38" t="n"/>
      <c r="O9" s="40" t="n"/>
      <c r="P9" s="41">
        <f>IF(D9="","",F9*O9)</f>
        <v/>
      </c>
      <c r="Q9" s="38" t="n"/>
      <c r="R9" s="38" t="n"/>
      <c r="S9" s="40" t="n"/>
      <c r="T9" s="41">
        <f>IF(D9="","",P9+Q9+R9-S9)</f>
        <v/>
      </c>
      <c r="U9" s="38" t="n"/>
      <c r="V9" s="38" t="n"/>
      <c r="W9" s="38" t="n"/>
      <c r="X9" s="38" t="n"/>
      <c r="Y9" s="38" t="n"/>
      <c r="Z9" s="38" t="n"/>
      <c r="AA9" s="38" t="n"/>
    </row>
    <row r="10" ht="21" customHeight="1">
      <c r="A10" s="38" t="n"/>
      <c r="B10" s="38" t="n"/>
      <c r="C10" s="38" t="n"/>
      <c r="D10" s="38" t="n"/>
      <c r="E10" s="38" t="n"/>
      <c r="F10" s="39" t="n"/>
      <c r="G10" s="38" t="n"/>
      <c r="H10" s="38" t="n"/>
      <c r="I10" s="38" t="n"/>
      <c r="J10" s="38" t="n"/>
      <c r="K10" s="38" t="n"/>
      <c r="L10" s="38" t="n"/>
      <c r="M10" s="38" t="n"/>
      <c r="N10" s="38" t="n"/>
      <c r="O10" s="40" t="n"/>
      <c r="P10" s="41">
        <f>IF(D10="","",F10*O10)</f>
        <v/>
      </c>
      <c r="Q10" s="38" t="n"/>
      <c r="R10" s="38" t="n"/>
      <c r="S10" s="40" t="n"/>
      <c r="T10" s="41">
        <f>IF(D10="","",P10+Q10+R10-S10)</f>
        <v/>
      </c>
      <c r="U10" s="38" t="n"/>
      <c r="V10" s="38" t="n"/>
      <c r="W10" s="38" t="n"/>
      <c r="X10" s="38" t="n"/>
      <c r="Y10" s="38" t="n"/>
      <c r="Z10" s="38" t="n"/>
      <c r="AA10" s="38" t="n"/>
    </row>
    <row r="11" ht="21" customHeight="1">
      <c r="A11" s="38" t="n"/>
      <c r="B11" s="38" t="n"/>
      <c r="C11" s="38" t="n"/>
      <c r="D11" s="38" t="n"/>
      <c r="E11" s="38" t="n"/>
      <c r="F11" s="39" t="n"/>
      <c r="G11" s="38" t="n"/>
      <c r="H11" s="38" t="n"/>
      <c r="I11" s="38" t="n"/>
      <c r="J11" s="38" t="n"/>
      <c r="K11" s="38" t="n"/>
      <c r="L11" s="38" t="n"/>
      <c r="M11" s="38" t="n"/>
      <c r="N11" s="38" t="n"/>
      <c r="O11" s="40" t="n"/>
      <c r="P11" s="41">
        <f>IF(D11="","",F11*O11)</f>
        <v/>
      </c>
      <c r="Q11" s="38" t="n"/>
      <c r="R11" s="38" t="n"/>
      <c r="S11" s="40" t="n"/>
      <c r="T11" s="41">
        <f>IF(D11="","",P11+Q11+R11-S11)</f>
        <v/>
      </c>
      <c r="U11" s="38" t="n"/>
      <c r="V11" s="38" t="n"/>
      <c r="W11" s="38" t="n"/>
      <c r="X11" s="38" t="n"/>
      <c r="Y11" s="38" t="n"/>
      <c r="Z11" s="38" t="n"/>
      <c r="AA11" s="38" t="n"/>
    </row>
    <row r="12" ht="21" customHeight="1">
      <c r="A12" s="38" t="n"/>
      <c r="B12" s="38" t="n"/>
      <c r="C12" s="38" t="n"/>
      <c r="D12" s="38" t="n"/>
      <c r="E12" s="38" t="n"/>
      <c r="F12" s="39" t="n"/>
      <c r="G12" s="38" t="n"/>
      <c r="H12" s="38" t="n"/>
      <c r="I12" s="38" t="n"/>
      <c r="J12" s="38" t="n"/>
      <c r="K12" s="38" t="n"/>
      <c r="L12" s="38" t="n"/>
      <c r="M12" s="38" t="n"/>
      <c r="N12" s="38" t="n"/>
      <c r="O12" s="40" t="n"/>
      <c r="P12" s="41">
        <f>IF(D12="","",F12*O12)</f>
        <v/>
      </c>
      <c r="Q12" s="38" t="n"/>
      <c r="R12" s="38" t="n"/>
      <c r="S12" s="40" t="n"/>
      <c r="T12" s="41">
        <f>IF(D12="","",P12+Q12+R12-S12)</f>
        <v/>
      </c>
      <c r="U12" s="38" t="n"/>
      <c r="V12" s="38" t="n"/>
      <c r="W12" s="38" t="n"/>
      <c r="X12" s="38" t="n"/>
      <c r="Y12" s="38" t="n"/>
      <c r="Z12" s="38" t="n"/>
      <c r="AA12" s="38" t="n"/>
    </row>
    <row r="13" ht="21" customHeight="1">
      <c r="A13" s="38" t="n"/>
      <c r="B13" s="38" t="n"/>
      <c r="C13" s="38" t="n"/>
      <c r="D13" s="38" t="n"/>
      <c r="E13" s="38" t="n"/>
      <c r="F13" s="39" t="n"/>
      <c r="G13" s="38" t="n"/>
      <c r="H13" s="38" t="n"/>
      <c r="I13" s="38" t="n"/>
      <c r="J13" s="38" t="n"/>
      <c r="K13" s="38" t="n"/>
      <c r="L13" s="38" t="n"/>
      <c r="M13" s="38" t="n"/>
      <c r="N13" s="38" t="n"/>
      <c r="O13" s="40" t="n"/>
      <c r="P13" s="41">
        <f>IF(D13="","",F13*O13)</f>
        <v/>
      </c>
      <c r="Q13" s="38" t="n"/>
      <c r="R13" s="38" t="n"/>
      <c r="S13" s="40" t="n"/>
      <c r="T13" s="41">
        <f>IF(D13="","",P13+Q13+R13-S13)</f>
        <v/>
      </c>
      <c r="U13" s="38" t="n"/>
      <c r="V13" s="38" t="n"/>
      <c r="W13" s="38" t="n"/>
      <c r="X13" s="38" t="n"/>
      <c r="Y13" s="38" t="n"/>
      <c r="Z13" s="38" t="n"/>
      <c r="AA13" s="38" t="n"/>
    </row>
    <row r="14" ht="21" customHeight="1">
      <c r="A14" s="38" t="n"/>
      <c r="B14" s="38" t="n"/>
      <c r="C14" s="38" t="n"/>
      <c r="D14" s="38" t="n"/>
      <c r="E14" s="38" t="n"/>
      <c r="F14" s="39" t="n"/>
      <c r="G14" s="38" t="n"/>
      <c r="H14" s="38" t="n"/>
      <c r="I14" s="38" t="n"/>
      <c r="J14" s="38" t="n"/>
      <c r="K14" s="38" t="n"/>
      <c r="L14" s="38" t="n"/>
      <c r="M14" s="38" t="n"/>
      <c r="N14" s="38" t="n"/>
      <c r="O14" s="40" t="n"/>
      <c r="P14" s="41">
        <f>IF(D14="","",F14*O14)</f>
        <v/>
      </c>
      <c r="Q14" s="38" t="n"/>
      <c r="R14" s="38" t="n"/>
      <c r="S14" s="40" t="n"/>
      <c r="T14" s="41">
        <f>IF(D14="","",P14+Q14+R14-S14)</f>
        <v/>
      </c>
      <c r="U14" s="38" t="n"/>
      <c r="V14" s="38" t="n"/>
      <c r="W14" s="38" t="n"/>
      <c r="X14" s="38" t="n"/>
      <c r="Y14" s="38" t="n"/>
      <c r="Z14" s="38" t="n"/>
      <c r="AA14" s="38" t="n"/>
    </row>
    <row r="15" ht="21" customHeight="1">
      <c r="A15" s="38" t="n"/>
      <c r="B15" s="38" t="n"/>
      <c r="C15" s="38" t="n"/>
      <c r="D15" s="38" t="n"/>
      <c r="E15" s="38" t="n"/>
      <c r="F15" s="39" t="n"/>
      <c r="G15" s="38" t="n"/>
      <c r="H15" s="38" t="n"/>
      <c r="I15" s="38" t="n"/>
      <c r="J15" s="38" t="n"/>
      <c r="K15" s="38" t="n"/>
      <c r="L15" s="38" t="n"/>
      <c r="M15" s="38" t="n"/>
      <c r="N15" s="38" t="n"/>
      <c r="O15" s="40" t="n"/>
      <c r="P15" s="41">
        <f>IF(D15="","",F15*O15)</f>
        <v/>
      </c>
      <c r="Q15" s="38" t="n"/>
      <c r="R15" s="38" t="n"/>
      <c r="S15" s="40" t="n"/>
      <c r="T15" s="41">
        <f>IF(D15="","",P15+Q15+R15-S15)</f>
        <v/>
      </c>
      <c r="U15" s="38" t="n"/>
      <c r="V15" s="38" t="n"/>
      <c r="W15" s="38" t="n"/>
      <c r="X15" s="38" t="n"/>
      <c r="Y15" s="38" t="n"/>
      <c r="Z15" s="38" t="n"/>
      <c r="AA15" s="38" t="n"/>
    </row>
    <row r="16" ht="21" customHeight="1">
      <c r="A16" s="38" t="n"/>
      <c r="B16" s="38" t="n"/>
      <c r="C16" s="38" t="n"/>
      <c r="D16" s="38" t="n"/>
      <c r="E16" s="38" t="n"/>
      <c r="F16" s="39" t="n"/>
      <c r="G16" s="38" t="n"/>
      <c r="H16" s="38" t="n"/>
      <c r="I16" s="38" t="n"/>
      <c r="J16" s="38" t="n"/>
      <c r="K16" s="38" t="n"/>
      <c r="L16" s="38" t="n"/>
      <c r="M16" s="38" t="n"/>
      <c r="N16" s="38" t="n"/>
      <c r="O16" s="40" t="n"/>
      <c r="P16" s="41">
        <f>IF(D16="","",F16*O16)</f>
        <v/>
      </c>
      <c r="Q16" s="38" t="n"/>
      <c r="R16" s="38" t="n"/>
      <c r="S16" s="40" t="n"/>
      <c r="T16" s="41">
        <f>IF(D16="","",P16+Q16+R16-S16)</f>
        <v/>
      </c>
      <c r="U16" s="38" t="n"/>
      <c r="V16" s="38" t="n"/>
      <c r="W16" s="38" t="n"/>
      <c r="X16" s="38" t="n"/>
      <c r="Y16" s="38" t="n"/>
      <c r="Z16" s="38" t="n"/>
      <c r="AA16" s="38" t="n"/>
    </row>
    <row r="17" ht="21" customHeight="1">
      <c r="A17" s="38" t="n"/>
      <c r="B17" s="38" t="n"/>
      <c r="C17" s="38" t="n"/>
      <c r="D17" s="38" t="n"/>
      <c r="E17" s="38" t="n"/>
      <c r="F17" s="39" t="n"/>
      <c r="G17" s="38" t="n"/>
      <c r="H17" s="38" t="n"/>
      <c r="I17" s="38" t="n"/>
      <c r="J17" s="38" t="n"/>
      <c r="K17" s="38" t="n"/>
      <c r="L17" s="38" t="n"/>
      <c r="M17" s="38" t="n"/>
      <c r="N17" s="38" t="n"/>
      <c r="O17" s="40" t="n"/>
      <c r="P17" s="41">
        <f>IF(D17="","",F17*O17)</f>
        <v/>
      </c>
      <c r="Q17" s="38" t="n"/>
      <c r="R17" s="38" t="n"/>
      <c r="S17" s="40" t="n"/>
      <c r="T17" s="41">
        <f>IF(D17="","",P17+Q17+R17-S17)</f>
        <v/>
      </c>
      <c r="U17" s="38" t="n"/>
      <c r="V17" s="38" t="n"/>
      <c r="W17" s="38" t="n"/>
      <c r="X17" s="38" t="n"/>
      <c r="Y17" s="38" t="n"/>
      <c r="Z17" s="38" t="n"/>
      <c r="AA17" s="38" t="n"/>
    </row>
    <row r="18" ht="21" customHeight="1">
      <c r="A18" s="38" t="n"/>
      <c r="B18" s="38" t="n"/>
      <c r="C18" s="38" t="n"/>
      <c r="D18" s="38" t="n"/>
      <c r="E18" s="38" t="n"/>
      <c r="F18" s="39" t="n"/>
      <c r="G18" s="38" t="n"/>
      <c r="H18" s="38" t="n"/>
      <c r="I18" s="38" t="n"/>
      <c r="J18" s="38" t="n"/>
      <c r="K18" s="38" t="n"/>
      <c r="L18" s="38" t="n"/>
      <c r="M18" s="38" t="n"/>
      <c r="N18" s="38" t="n"/>
      <c r="O18" s="40" t="n"/>
      <c r="P18" s="41">
        <f>IF(D18="","",F18*O18)</f>
        <v/>
      </c>
      <c r="Q18" s="38" t="n"/>
      <c r="R18" s="38" t="n"/>
      <c r="S18" s="40" t="n"/>
      <c r="T18" s="41">
        <f>IF(D18="","",P18+Q18+R18-S18)</f>
        <v/>
      </c>
      <c r="U18" s="38" t="n"/>
      <c r="V18" s="38" t="n"/>
      <c r="W18" s="38" t="n"/>
      <c r="X18" s="38" t="n"/>
      <c r="Y18" s="38" t="n"/>
      <c r="Z18" s="38" t="n"/>
      <c r="AA18" s="38" t="n"/>
    </row>
    <row r="19" ht="21" customHeight="1">
      <c r="A19" s="38" t="n"/>
      <c r="B19" s="38" t="n"/>
      <c r="C19" s="38" t="n"/>
      <c r="D19" s="38" t="n"/>
      <c r="E19" s="38" t="n"/>
      <c r="F19" s="39" t="n"/>
      <c r="G19" s="38" t="n"/>
      <c r="H19" s="38" t="n"/>
      <c r="I19" s="38" t="n"/>
      <c r="J19" s="38" t="n"/>
      <c r="K19" s="38" t="n"/>
      <c r="L19" s="38" t="n"/>
      <c r="M19" s="38" t="n"/>
      <c r="N19" s="38" t="n"/>
      <c r="O19" s="40" t="n"/>
      <c r="P19" s="41">
        <f>IF(D19="","",F19*O19)</f>
        <v/>
      </c>
      <c r="Q19" s="38" t="n"/>
      <c r="R19" s="38" t="n"/>
      <c r="S19" s="40" t="n"/>
      <c r="T19" s="41">
        <f>IF(D19="","",P19+Q19+R19-S19)</f>
        <v/>
      </c>
      <c r="U19" s="38" t="n"/>
      <c r="V19" s="38" t="n"/>
      <c r="W19" s="38" t="n"/>
      <c r="X19" s="38" t="n"/>
      <c r="Y19" s="38" t="n"/>
      <c r="Z19" s="38" t="n"/>
      <c r="AA19" s="38" t="n"/>
    </row>
    <row r="20" ht="21" customHeight="1">
      <c r="A20" s="38" t="n"/>
      <c r="B20" s="38" t="n"/>
      <c r="C20" s="38" t="n"/>
      <c r="D20" s="38" t="n"/>
      <c r="E20" s="38" t="n"/>
      <c r="F20" s="39" t="n"/>
      <c r="G20" s="38" t="n"/>
      <c r="H20" s="38" t="n"/>
      <c r="I20" s="38" t="n"/>
      <c r="J20" s="38" t="n"/>
      <c r="K20" s="38" t="n"/>
      <c r="L20" s="38" t="n"/>
      <c r="M20" s="38" t="n"/>
      <c r="N20" s="38" t="n"/>
      <c r="O20" s="40" t="n"/>
      <c r="P20" s="41">
        <f>IF(D20="","",F20*O20)</f>
        <v/>
      </c>
      <c r="Q20" s="38" t="n"/>
      <c r="R20" s="38" t="n"/>
      <c r="S20" s="40" t="n"/>
      <c r="T20" s="41">
        <f>IF(D20="","",P20+Q20+R20-S20)</f>
        <v/>
      </c>
      <c r="U20" s="38" t="n"/>
      <c r="V20" s="38" t="n"/>
      <c r="W20" s="38" t="n"/>
      <c r="X20" s="38" t="n"/>
      <c r="Y20" s="38" t="n"/>
      <c r="Z20" s="38" t="n"/>
      <c r="AA20" s="38" t="n"/>
    </row>
    <row r="21" ht="21" customHeight="1">
      <c r="A21" s="38" t="n"/>
      <c r="B21" s="38" t="n"/>
      <c r="C21" s="38" t="n"/>
      <c r="D21" s="38" t="n"/>
      <c r="E21" s="38" t="n"/>
      <c r="F21" s="39" t="n"/>
      <c r="G21" s="38" t="n"/>
      <c r="H21" s="38" t="n"/>
      <c r="I21" s="38" t="n"/>
      <c r="J21" s="38" t="n"/>
      <c r="K21" s="38" t="n"/>
      <c r="L21" s="38" t="n"/>
      <c r="M21" s="38" t="n"/>
      <c r="N21" s="38" t="n"/>
      <c r="O21" s="40" t="n"/>
      <c r="P21" s="41">
        <f>IF(D21="","",F21*O21)</f>
        <v/>
      </c>
      <c r="Q21" s="38" t="n"/>
      <c r="R21" s="38" t="n"/>
      <c r="S21" s="40" t="n"/>
      <c r="T21" s="41">
        <f>IF(D21="","",P21+Q21+R21-S21)</f>
        <v/>
      </c>
      <c r="U21" s="38" t="n"/>
      <c r="V21" s="38" t="n"/>
      <c r="W21" s="38" t="n"/>
      <c r="X21" s="38" t="n"/>
      <c r="Y21" s="38" t="n"/>
      <c r="Z21" s="38" t="n"/>
      <c r="AA21" s="38" t="n"/>
    </row>
    <row r="22" ht="21" customHeight="1">
      <c r="A22" s="38" t="n"/>
      <c r="B22" s="38" t="n"/>
      <c r="C22" s="38" t="n"/>
      <c r="D22" s="38" t="n"/>
      <c r="E22" s="38" t="n"/>
      <c r="F22" s="39" t="n"/>
      <c r="G22" s="38" t="n"/>
      <c r="H22" s="38" t="n"/>
      <c r="I22" s="38" t="n"/>
      <c r="J22" s="38" t="n"/>
      <c r="K22" s="38" t="n"/>
      <c r="L22" s="38" t="n"/>
      <c r="M22" s="38" t="n"/>
      <c r="N22" s="38" t="n"/>
      <c r="O22" s="40" t="n"/>
      <c r="P22" s="41">
        <f>IF(D22="","",F22*O22)</f>
        <v/>
      </c>
      <c r="Q22" s="38" t="n"/>
      <c r="R22" s="38" t="n"/>
      <c r="S22" s="40" t="n"/>
      <c r="T22" s="41">
        <f>IF(D22="","",P22+Q22+R22-S22)</f>
        <v/>
      </c>
      <c r="U22" s="38" t="n"/>
      <c r="V22" s="38" t="n"/>
      <c r="W22" s="38" t="n"/>
      <c r="X22" s="38" t="n"/>
      <c r="Y22" s="38" t="n"/>
      <c r="Z22" s="38" t="n"/>
      <c r="AA22" s="38" t="n"/>
    </row>
    <row r="23" ht="21" customHeight="1">
      <c r="A23" s="38" t="n"/>
      <c r="B23" s="38" t="n"/>
      <c r="C23" s="38" t="n"/>
      <c r="D23" s="38" t="n"/>
      <c r="E23" s="38" t="n"/>
      <c r="F23" s="39" t="n"/>
      <c r="G23" s="38" t="n"/>
      <c r="H23" s="38" t="n"/>
      <c r="I23" s="38" t="n"/>
      <c r="J23" s="38" t="n"/>
      <c r="K23" s="38" t="n"/>
      <c r="L23" s="38" t="n"/>
      <c r="M23" s="38" t="n"/>
      <c r="N23" s="38" t="n"/>
      <c r="O23" s="40" t="n"/>
      <c r="P23" s="41">
        <f>IF(D23="","",F23*O23)</f>
        <v/>
      </c>
      <c r="Q23" s="38" t="n"/>
      <c r="R23" s="38" t="n"/>
      <c r="S23" s="40" t="n"/>
      <c r="T23" s="41">
        <f>IF(D23="","",P23+Q23+R23-S23)</f>
        <v/>
      </c>
      <c r="U23" s="38" t="n"/>
      <c r="V23" s="38" t="n"/>
      <c r="W23" s="38" t="n"/>
      <c r="X23" s="38" t="n"/>
      <c r="Y23" s="38" t="n"/>
      <c r="Z23" s="38" t="n"/>
      <c r="AA23" s="38" t="n"/>
    </row>
    <row r="24" ht="21" customHeight="1">
      <c r="A24" s="38" t="n"/>
      <c r="B24" s="38" t="n"/>
      <c r="C24" s="38" t="n"/>
      <c r="D24" s="38" t="n"/>
      <c r="E24" s="38" t="n"/>
      <c r="F24" s="39" t="n"/>
      <c r="G24" s="38" t="n"/>
      <c r="H24" s="38" t="n"/>
      <c r="I24" s="38" t="n"/>
      <c r="J24" s="38" t="n"/>
      <c r="K24" s="38" t="n"/>
      <c r="L24" s="38" t="n"/>
      <c r="M24" s="38" t="n"/>
      <c r="N24" s="38" t="n"/>
      <c r="O24" s="40" t="n"/>
      <c r="P24" s="41">
        <f>IF(D24="","",F24*O24)</f>
        <v/>
      </c>
      <c r="Q24" s="38" t="n"/>
      <c r="R24" s="38" t="n"/>
      <c r="S24" s="40" t="n"/>
      <c r="T24" s="41">
        <f>IF(D24="","",P24+Q24+R24-S24)</f>
        <v/>
      </c>
      <c r="U24" s="38" t="n"/>
      <c r="V24" s="38" t="n"/>
      <c r="W24" s="38" t="n"/>
      <c r="X24" s="38" t="n"/>
      <c r="Y24" s="38" t="n"/>
      <c r="Z24" s="38" t="n"/>
      <c r="AA24" s="38" t="n"/>
    </row>
    <row r="25" ht="21" customHeight="1">
      <c r="A25" s="38" t="n"/>
      <c r="B25" s="38" t="n"/>
      <c r="C25" s="38" t="n"/>
      <c r="D25" s="38" t="n"/>
      <c r="E25" s="38" t="n"/>
      <c r="F25" s="39" t="n"/>
      <c r="G25" s="38" t="n"/>
      <c r="H25" s="38" t="n"/>
      <c r="I25" s="38" t="n"/>
      <c r="J25" s="38" t="n"/>
      <c r="K25" s="38" t="n"/>
      <c r="L25" s="38" t="n"/>
      <c r="M25" s="38" t="n"/>
      <c r="N25" s="38" t="n"/>
      <c r="O25" s="40" t="n"/>
      <c r="P25" s="41">
        <f>IF(D25="","",F25*O25)</f>
        <v/>
      </c>
      <c r="Q25" s="38" t="n"/>
      <c r="R25" s="38" t="n"/>
      <c r="S25" s="40" t="n"/>
      <c r="T25" s="41">
        <f>IF(D25="","",P25+Q25+R25-S25)</f>
        <v/>
      </c>
      <c r="U25" s="38" t="n"/>
      <c r="V25" s="38" t="n"/>
      <c r="W25" s="38" t="n"/>
      <c r="X25" s="38" t="n"/>
      <c r="Y25" s="38" t="n"/>
      <c r="Z25" s="38" t="n"/>
      <c r="AA25" s="38" t="n"/>
    </row>
    <row r="26" ht="21" customHeight="1">
      <c r="A26" s="38" t="n"/>
      <c r="B26" s="38" t="n"/>
      <c r="C26" s="38" t="n"/>
      <c r="D26" s="38" t="n"/>
      <c r="E26" s="38" t="n"/>
      <c r="F26" s="39" t="n"/>
      <c r="G26" s="38" t="n"/>
      <c r="H26" s="38" t="n"/>
      <c r="I26" s="38" t="n"/>
      <c r="J26" s="38" t="n"/>
      <c r="K26" s="38" t="n"/>
      <c r="L26" s="38" t="n"/>
      <c r="M26" s="38" t="n"/>
      <c r="N26" s="38" t="n"/>
      <c r="O26" s="40" t="n"/>
      <c r="P26" s="41">
        <f>IF(D26="","",F26*O26)</f>
        <v/>
      </c>
      <c r="Q26" s="38" t="n"/>
      <c r="R26" s="38" t="n"/>
      <c r="S26" s="40" t="n"/>
      <c r="T26" s="41">
        <f>IF(D26="","",P26+Q26+R26-S26)</f>
        <v/>
      </c>
      <c r="U26" s="38" t="n"/>
      <c r="V26" s="38" t="n"/>
      <c r="W26" s="38" t="n"/>
      <c r="X26" s="38" t="n"/>
      <c r="Y26" s="38" t="n"/>
      <c r="Z26" s="38" t="n"/>
      <c r="AA26" s="38" t="n"/>
    </row>
    <row r="27" ht="21" customHeight="1">
      <c r="A27" s="38" t="n"/>
      <c r="B27" s="38" t="n"/>
      <c r="C27" s="38" t="n"/>
      <c r="D27" s="38" t="n"/>
      <c r="E27" s="38" t="n"/>
      <c r="F27" s="39" t="n"/>
      <c r="G27" s="38" t="n"/>
      <c r="H27" s="38" t="n"/>
      <c r="I27" s="38" t="n"/>
      <c r="J27" s="38" t="n"/>
      <c r="K27" s="38" t="n"/>
      <c r="L27" s="38" t="n"/>
      <c r="M27" s="38" t="n"/>
      <c r="N27" s="38" t="n"/>
      <c r="O27" s="40" t="n"/>
      <c r="P27" s="41">
        <f>IF(D27="","",F27*O27)</f>
        <v/>
      </c>
      <c r="Q27" s="38" t="n"/>
      <c r="R27" s="38" t="n"/>
      <c r="S27" s="40" t="n"/>
      <c r="T27" s="41">
        <f>IF(D27="","",P27+Q27+R27-S27)</f>
        <v/>
      </c>
      <c r="U27" s="38" t="n"/>
      <c r="V27" s="38" t="n"/>
      <c r="W27" s="38" t="n"/>
      <c r="X27" s="38" t="n"/>
      <c r="Y27" s="38" t="n"/>
      <c r="Z27" s="38" t="n"/>
      <c r="AA27" s="38" t="n"/>
    </row>
    <row r="28" ht="21" customHeight="1">
      <c r="A28" s="38" t="n"/>
      <c r="B28" s="38" t="n"/>
      <c r="C28" s="38" t="n"/>
      <c r="D28" s="38" t="n"/>
      <c r="E28" s="38" t="n"/>
      <c r="F28" s="39" t="n"/>
      <c r="G28" s="38" t="n"/>
      <c r="H28" s="38" t="n"/>
      <c r="I28" s="38" t="n"/>
      <c r="J28" s="38" t="n"/>
      <c r="K28" s="38" t="n"/>
      <c r="L28" s="38" t="n"/>
      <c r="M28" s="38" t="n"/>
      <c r="N28" s="38" t="n"/>
      <c r="O28" s="40" t="n"/>
      <c r="P28" s="41">
        <f>IF(D28="","",F28*O28)</f>
        <v/>
      </c>
      <c r="Q28" s="38" t="n"/>
      <c r="R28" s="38" t="n"/>
      <c r="S28" s="40" t="n"/>
      <c r="T28" s="41">
        <f>IF(D28="","",P28+Q28+R28-S28)</f>
        <v/>
      </c>
      <c r="U28" s="38" t="n"/>
      <c r="V28" s="38" t="n"/>
      <c r="W28" s="38" t="n"/>
      <c r="X28" s="38" t="n"/>
      <c r="Y28" s="38" t="n"/>
      <c r="Z28" s="38" t="n"/>
      <c r="AA28" s="38" t="n"/>
    </row>
    <row r="29" ht="21" customHeight="1">
      <c r="A29" s="38" t="n"/>
      <c r="B29" s="38" t="n"/>
      <c r="C29" s="38" t="n"/>
      <c r="D29" s="38" t="n"/>
      <c r="E29" s="38" t="n"/>
      <c r="F29" s="39" t="n"/>
      <c r="G29" s="38" t="n"/>
      <c r="H29" s="38" t="n"/>
      <c r="I29" s="38" t="n"/>
      <c r="J29" s="38" t="n"/>
      <c r="K29" s="38" t="n"/>
      <c r="L29" s="38" t="n"/>
      <c r="M29" s="38" t="n"/>
      <c r="N29" s="38" t="n"/>
      <c r="O29" s="40" t="n"/>
      <c r="P29" s="41">
        <f>IF(D29="","",F29*O29)</f>
        <v/>
      </c>
      <c r="Q29" s="38" t="n"/>
      <c r="R29" s="38" t="n"/>
      <c r="S29" s="40" t="n"/>
      <c r="T29" s="41">
        <f>IF(D29="","",P29+Q29+R29-S29)</f>
        <v/>
      </c>
      <c r="U29" s="38" t="n"/>
      <c r="V29" s="38" t="n"/>
      <c r="W29" s="38" t="n"/>
      <c r="X29" s="38" t="n"/>
      <c r="Y29" s="38" t="n"/>
      <c r="Z29" s="38" t="n"/>
      <c r="AA29" s="38" t="n"/>
    </row>
    <row r="30" ht="21" customHeight="1">
      <c r="A30" s="38" t="n"/>
      <c r="B30" s="38" t="n"/>
      <c r="C30" s="38" t="n"/>
      <c r="D30" s="38" t="n"/>
      <c r="E30" s="38" t="n"/>
      <c r="F30" s="39" t="n"/>
      <c r="G30" s="38" t="n"/>
      <c r="H30" s="38" t="n"/>
      <c r="I30" s="38" t="n"/>
      <c r="J30" s="38" t="n"/>
      <c r="K30" s="38" t="n"/>
      <c r="L30" s="38" t="n"/>
      <c r="M30" s="38" t="n"/>
      <c r="N30" s="38" t="n"/>
      <c r="O30" s="40" t="n"/>
      <c r="P30" s="41">
        <f>IF(D30="","",F30*O30)</f>
        <v/>
      </c>
      <c r="Q30" s="38" t="n"/>
      <c r="R30" s="38" t="n"/>
      <c r="S30" s="40" t="n"/>
      <c r="T30" s="41">
        <f>IF(D30="","",P30+Q30+R30-S30)</f>
        <v/>
      </c>
      <c r="U30" s="38" t="n"/>
      <c r="V30" s="38" t="n"/>
      <c r="W30" s="38" t="n"/>
      <c r="X30" s="38" t="n"/>
      <c r="Y30" s="38" t="n"/>
      <c r="Z30" s="38" t="n"/>
      <c r="AA30" s="38" t="n"/>
    </row>
    <row r="31" ht="21" customHeight="1">
      <c r="A31" s="38" t="n"/>
      <c r="B31" s="38" t="n"/>
      <c r="C31" s="38" t="n"/>
      <c r="D31" s="38" t="n"/>
      <c r="E31" s="38" t="n"/>
      <c r="F31" s="39" t="n"/>
      <c r="G31" s="38" t="n"/>
      <c r="H31" s="38" t="n"/>
      <c r="I31" s="38" t="n"/>
      <c r="J31" s="38" t="n"/>
      <c r="K31" s="38" t="n"/>
      <c r="L31" s="38" t="n"/>
      <c r="M31" s="38" t="n"/>
      <c r="N31" s="38" t="n"/>
      <c r="O31" s="40" t="n"/>
      <c r="P31" s="41">
        <f>IF(D31="","",F31*O31)</f>
        <v/>
      </c>
      <c r="Q31" s="38" t="n"/>
      <c r="R31" s="38" t="n"/>
      <c r="S31" s="40" t="n"/>
      <c r="T31" s="41">
        <f>IF(D31="","",P31+Q31+R31-S31)</f>
        <v/>
      </c>
      <c r="U31" s="38" t="n"/>
      <c r="V31" s="38" t="n"/>
      <c r="W31" s="38" t="n"/>
      <c r="X31" s="38" t="n"/>
      <c r="Y31" s="38" t="n"/>
      <c r="Z31" s="38" t="n"/>
      <c r="AA31" s="38" t="n"/>
    </row>
    <row r="32" ht="21" customHeight="1">
      <c r="A32" s="38" t="n"/>
      <c r="B32" s="38" t="n"/>
      <c r="C32" s="38" t="n"/>
      <c r="D32" s="38" t="n"/>
      <c r="E32" s="38" t="n"/>
      <c r="F32" s="39" t="n"/>
      <c r="G32" s="38" t="n"/>
      <c r="H32" s="38" t="n"/>
      <c r="I32" s="38" t="n"/>
      <c r="J32" s="38" t="n"/>
      <c r="K32" s="38" t="n"/>
      <c r="L32" s="38" t="n"/>
      <c r="M32" s="38" t="n"/>
      <c r="N32" s="38" t="n"/>
      <c r="O32" s="40" t="n"/>
      <c r="P32" s="41">
        <f>IF(D32="","",F32*O32)</f>
        <v/>
      </c>
      <c r="Q32" s="38" t="n"/>
      <c r="R32" s="38" t="n"/>
      <c r="S32" s="40" t="n"/>
      <c r="T32" s="41">
        <f>IF(D32="","",P32+Q32+R32-S32)</f>
        <v/>
      </c>
      <c r="U32" s="38" t="n"/>
      <c r="V32" s="38" t="n"/>
      <c r="W32" s="38" t="n"/>
      <c r="X32" s="38" t="n"/>
      <c r="Y32" s="38" t="n"/>
      <c r="Z32" s="38" t="n"/>
      <c r="AA32" s="38" t="n"/>
    </row>
    <row r="33" ht="21" customHeight="1">
      <c r="A33" s="38" t="n"/>
      <c r="B33" s="38" t="n"/>
      <c r="C33" s="38" t="n"/>
      <c r="D33" s="38" t="n"/>
      <c r="E33" s="38" t="n"/>
      <c r="F33" s="39" t="n"/>
      <c r="G33" s="38" t="n"/>
      <c r="H33" s="38" t="n"/>
      <c r="I33" s="38" t="n"/>
      <c r="J33" s="38" t="n"/>
      <c r="K33" s="38" t="n"/>
      <c r="L33" s="38" t="n"/>
      <c r="M33" s="38" t="n"/>
      <c r="N33" s="38" t="n"/>
      <c r="O33" s="40" t="n"/>
      <c r="P33" s="41">
        <f>IF(D33="","",F33*O33)</f>
        <v/>
      </c>
      <c r="Q33" s="38" t="n"/>
      <c r="R33" s="38" t="n"/>
      <c r="S33" s="40" t="n"/>
      <c r="T33" s="41">
        <f>IF(D33="","",P33+Q33+R33-S33)</f>
        <v/>
      </c>
      <c r="U33" s="38" t="n"/>
      <c r="V33" s="38" t="n"/>
      <c r="W33" s="38" t="n"/>
      <c r="X33" s="38" t="n"/>
      <c r="Y33" s="38" t="n"/>
      <c r="Z33" s="38" t="n"/>
      <c r="AA33" s="38" t="n"/>
    </row>
    <row r="34" ht="21" customHeight="1">
      <c r="A34" s="38" t="n"/>
      <c r="B34" s="38" t="n"/>
      <c r="C34" s="38" t="n"/>
      <c r="D34" s="38" t="n"/>
      <c r="E34" s="38" t="n"/>
      <c r="F34" s="39" t="n"/>
      <c r="G34" s="38" t="n"/>
      <c r="H34" s="38" t="n"/>
      <c r="I34" s="38" t="n"/>
      <c r="J34" s="38" t="n"/>
      <c r="K34" s="38" t="n"/>
      <c r="L34" s="38" t="n"/>
      <c r="M34" s="38" t="n"/>
      <c r="N34" s="38" t="n"/>
      <c r="O34" s="40" t="n"/>
      <c r="P34" s="41">
        <f>IF(D34="","",F34*O34)</f>
        <v/>
      </c>
      <c r="Q34" s="38" t="n"/>
      <c r="R34" s="38" t="n"/>
      <c r="S34" s="40" t="n"/>
      <c r="T34" s="41">
        <f>IF(D34="","",P34+Q34+R34-S34)</f>
        <v/>
      </c>
      <c r="U34" s="38" t="n"/>
      <c r="V34" s="38" t="n"/>
      <c r="W34" s="38" t="n"/>
      <c r="X34" s="38" t="n"/>
      <c r="Y34" s="38" t="n"/>
      <c r="Z34" s="38" t="n"/>
      <c r="AA34" s="38" t="n"/>
    </row>
    <row r="35" ht="21" customHeight="1">
      <c r="A35" s="38" t="n"/>
      <c r="B35" s="38" t="n"/>
      <c r="C35" s="38" t="n"/>
      <c r="D35" s="38" t="n"/>
      <c r="E35" s="38" t="n"/>
      <c r="F35" s="39" t="n"/>
      <c r="G35" s="38" t="n"/>
      <c r="H35" s="38" t="n"/>
      <c r="I35" s="38" t="n"/>
      <c r="J35" s="38" t="n"/>
      <c r="K35" s="38" t="n"/>
      <c r="L35" s="38" t="n"/>
      <c r="M35" s="38" t="n"/>
      <c r="N35" s="38" t="n"/>
      <c r="O35" s="40" t="n"/>
      <c r="P35" s="41">
        <f>IF(D35="","",F35*O35)</f>
        <v/>
      </c>
      <c r="Q35" s="38" t="n"/>
      <c r="R35" s="38" t="n"/>
      <c r="S35" s="40" t="n"/>
      <c r="T35" s="41">
        <f>IF(D35="","",P35+Q35+R35-S35)</f>
        <v/>
      </c>
      <c r="U35" s="38" t="n"/>
      <c r="V35" s="38" t="n"/>
      <c r="W35" s="38" t="n"/>
      <c r="X35" s="38" t="n"/>
      <c r="Y35" s="38" t="n"/>
      <c r="Z35" s="38" t="n"/>
      <c r="AA35" s="38" t="n"/>
    </row>
    <row r="36" ht="21" customHeight="1">
      <c r="A36" s="38" t="n"/>
      <c r="B36" s="38" t="n"/>
      <c r="C36" s="38" t="n"/>
      <c r="D36" s="38" t="n"/>
      <c r="E36" s="38" t="n"/>
      <c r="F36" s="39" t="n"/>
      <c r="G36" s="38" t="n"/>
      <c r="H36" s="38" t="n"/>
      <c r="I36" s="38" t="n"/>
      <c r="J36" s="38" t="n"/>
      <c r="K36" s="38" t="n"/>
      <c r="L36" s="38" t="n"/>
      <c r="M36" s="38" t="n"/>
      <c r="N36" s="38" t="n"/>
      <c r="O36" s="40" t="n"/>
      <c r="P36" s="41">
        <f>IF(D36="","",F36*O36)</f>
        <v/>
      </c>
      <c r="Q36" s="38" t="n"/>
      <c r="R36" s="38" t="n"/>
      <c r="S36" s="40" t="n"/>
      <c r="T36" s="41">
        <f>IF(D36="","",P36+Q36+R36-S36)</f>
        <v/>
      </c>
      <c r="U36" s="38" t="n"/>
      <c r="V36" s="38" t="n"/>
      <c r="W36" s="38" t="n"/>
      <c r="X36" s="38" t="n"/>
      <c r="Y36" s="38" t="n"/>
      <c r="Z36" s="38" t="n"/>
      <c r="AA36" s="38" t="n"/>
    </row>
    <row r="37" ht="21" customHeight="1">
      <c r="A37" s="38" t="n"/>
      <c r="B37" s="38" t="n"/>
      <c r="C37" s="38" t="n"/>
      <c r="D37" s="38" t="n"/>
      <c r="E37" s="38" t="n"/>
      <c r="F37" s="39" t="n"/>
      <c r="G37" s="38" t="n"/>
      <c r="H37" s="38" t="n"/>
      <c r="I37" s="38" t="n"/>
      <c r="J37" s="38" t="n"/>
      <c r="K37" s="38" t="n"/>
      <c r="L37" s="38" t="n"/>
      <c r="M37" s="38" t="n"/>
      <c r="N37" s="38" t="n"/>
      <c r="O37" s="40" t="n"/>
      <c r="P37" s="41">
        <f>IF(D37="","",F37*O37)</f>
        <v/>
      </c>
      <c r="Q37" s="38" t="n"/>
      <c r="R37" s="38" t="n"/>
      <c r="S37" s="40" t="n"/>
      <c r="T37" s="41">
        <f>IF(D37="","",P37+Q37+R37-S37)</f>
        <v/>
      </c>
      <c r="U37" s="38" t="n"/>
      <c r="V37" s="38" t="n"/>
      <c r="W37" s="38" t="n"/>
      <c r="X37" s="38" t="n"/>
      <c r="Y37" s="38" t="n"/>
      <c r="Z37" s="38" t="n"/>
      <c r="AA37" s="38" t="n"/>
    </row>
    <row r="38" ht="21" customHeight="1">
      <c r="A38" s="38" t="n"/>
      <c r="B38" s="38" t="n"/>
      <c r="C38" s="38" t="n"/>
      <c r="D38" s="38" t="n"/>
      <c r="E38" s="38" t="n"/>
      <c r="F38" s="39" t="n"/>
      <c r="G38" s="38" t="n"/>
      <c r="H38" s="38" t="n"/>
      <c r="I38" s="38" t="n"/>
      <c r="J38" s="38" t="n"/>
      <c r="K38" s="38" t="n"/>
      <c r="L38" s="38" t="n"/>
      <c r="M38" s="38" t="n"/>
      <c r="N38" s="38" t="n"/>
      <c r="O38" s="40" t="n"/>
      <c r="P38" s="41">
        <f>IF(D38="","",F38*O38)</f>
        <v/>
      </c>
      <c r="Q38" s="38" t="n"/>
      <c r="R38" s="38" t="n"/>
      <c r="S38" s="40" t="n"/>
      <c r="T38" s="41">
        <f>IF(D38="","",P38+Q38+R38-S38)</f>
        <v/>
      </c>
      <c r="U38" s="38" t="n"/>
      <c r="V38" s="38" t="n"/>
      <c r="W38" s="38" t="n"/>
      <c r="X38" s="38" t="n"/>
      <c r="Y38" s="38" t="n"/>
      <c r="Z38" s="38" t="n"/>
      <c r="AA38" s="38" t="n"/>
    </row>
    <row r="39" ht="21" customHeight="1">
      <c r="A39" s="38" t="n"/>
      <c r="B39" s="38" t="n"/>
      <c r="C39" s="38" t="n"/>
      <c r="D39" s="38" t="n"/>
      <c r="E39" s="38" t="n"/>
      <c r="F39" s="39" t="n"/>
      <c r="G39" s="38" t="n"/>
      <c r="H39" s="38" t="n"/>
      <c r="I39" s="38" t="n"/>
      <c r="J39" s="38" t="n"/>
      <c r="K39" s="38" t="n"/>
      <c r="L39" s="38" t="n"/>
      <c r="M39" s="38" t="n"/>
      <c r="N39" s="38" t="n"/>
      <c r="O39" s="40" t="n"/>
      <c r="P39" s="41">
        <f>IF(D39="","",F39*O39)</f>
        <v/>
      </c>
      <c r="Q39" s="38" t="n"/>
      <c r="R39" s="38" t="n"/>
      <c r="S39" s="40" t="n"/>
      <c r="T39" s="41">
        <f>IF(D39="","",P39+Q39+R39-S39)</f>
        <v/>
      </c>
      <c r="U39" s="38" t="n"/>
      <c r="V39" s="38" t="n"/>
      <c r="W39" s="38" t="n"/>
      <c r="X39" s="38" t="n"/>
      <c r="Y39" s="38" t="n"/>
      <c r="Z39" s="38" t="n"/>
      <c r="AA39" s="38" t="n"/>
    </row>
    <row r="40" ht="21" customHeight="1">
      <c r="A40" s="38" t="n"/>
      <c r="B40" s="38" t="n"/>
      <c r="C40" s="38" t="n"/>
      <c r="D40" s="38" t="n"/>
      <c r="E40" s="38" t="n"/>
      <c r="F40" s="39" t="n"/>
      <c r="G40" s="38" t="n"/>
      <c r="H40" s="38" t="n"/>
      <c r="I40" s="38" t="n"/>
      <c r="J40" s="38" t="n"/>
      <c r="K40" s="38" t="n"/>
      <c r="L40" s="38" t="n"/>
      <c r="M40" s="38" t="n"/>
      <c r="N40" s="38" t="n"/>
      <c r="O40" s="40" t="n"/>
      <c r="P40" s="41">
        <f>IF(D40="","",F40*O40)</f>
        <v/>
      </c>
      <c r="Q40" s="38" t="n"/>
      <c r="R40" s="38" t="n"/>
      <c r="S40" s="40" t="n"/>
      <c r="T40" s="41">
        <f>IF(D40="","",P40+Q40+R40-S40)</f>
        <v/>
      </c>
      <c r="U40" s="38" t="n"/>
      <c r="V40" s="38" t="n"/>
      <c r="W40" s="38" t="n"/>
      <c r="X40" s="38" t="n"/>
      <c r="Y40" s="38" t="n"/>
      <c r="Z40" s="38" t="n"/>
      <c r="AA40" s="38" t="n"/>
    </row>
    <row r="41" ht="21" customHeight="1">
      <c r="A41" s="38" t="n"/>
      <c r="B41" s="38" t="n"/>
      <c r="C41" s="38" t="n"/>
      <c r="D41" s="38" t="n"/>
      <c r="E41" s="38" t="n"/>
      <c r="F41" s="39" t="n"/>
      <c r="G41" s="38" t="n"/>
      <c r="H41" s="38" t="n"/>
      <c r="I41" s="38" t="n"/>
      <c r="J41" s="38" t="n"/>
      <c r="K41" s="38" t="n"/>
      <c r="L41" s="38" t="n"/>
      <c r="M41" s="38" t="n"/>
      <c r="N41" s="38" t="n"/>
      <c r="O41" s="40" t="n"/>
      <c r="P41" s="41">
        <f>IF(D41="","",F41*O41)</f>
        <v/>
      </c>
      <c r="Q41" s="38" t="n"/>
      <c r="R41" s="38" t="n"/>
      <c r="S41" s="40" t="n"/>
      <c r="T41" s="41">
        <f>IF(D41="","",P41+Q41+R41-S41)</f>
        <v/>
      </c>
      <c r="U41" s="38" t="n"/>
      <c r="V41" s="38" t="n"/>
      <c r="W41" s="38" t="n"/>
      <c r="X41" s="38" t="n"/>
      <c r="Y41" s="38" t="n"/>
      <c r="Z41" s="38" t="n"/>
      <c r="AA41" s="38" t="n"/>
    </row>
    <row r="42" ht="21" customHeight="1">
      <c r="A42" s="38" t="n"/>
      <c r="B42" s="38" t="n"/>
      <c r="C42" s="38" t="n"/>
      <c r="D42" s="38" t="n"/>
      <c r="E42" s="38" t="n"/>
      <c r="F42" s="39" t="n"/>
      <c r="G42" s="38" t="n"/>
      <c r="H42" s="38" t="n"/>
      <c r="I42" s="38" t="n"/>
      <c r="J42" s="38" t="n"/>
      <c r="K42" s="38" t="n"/>
      <c r="L42" s="38" t="n"/>
      <c r="M42" s="38" t="n"/>
      <c r="N42" s="38" t="n"/>
      <c r="O42" s="40" t="n"/>
      <c r="P42" s="41">
        <f>IF(D42="","",F42*O42)</f>
        <v/>
      </c>
      <c r="Q42" s="38" t="n"/>
      <c r="R42" s="38" t="n"/>
      <c r="S42" s="40" t="n"/>
      <c r="T42" s="41">
        <f>IF(D42="","",P42+Q42+R42-S42)</f>
        <v/>
      </c>
      <c r="U42" s="38" t="n"/>
      <c r="V42" s="38" t="n"/>
      <c r="W42" s="38" t="n"/>
      <c r="X42" s="38" t="n"/>
      <c r="Y42" s="38" t="n"/>
      <c r="Z42" s="38" t="n"/>
      <c r="AA42" s="38" t="n"/>
    </row>
    <row r="43" ht="21" customHeight="1">
      <c r="A43" s="38" t="n"/>
      <c r="B43" s="38" t="n"/>
      <c r="C43" s="38" t="n"/>
      <c r="D43" s="38" t="n"/>
      <c r="E43" s="38" t="n"/>
      <c r="F43" s="39" t="n"/>
      <c r="G43" s="38" t="n"/>
      <c r="H43" s="38" t="n"/>
      <c r="I43" s="38" t="n"/>
      <c r="J43" s="38" t="n"/>
      <c r="K43" s="38" t="n"/>
      <c r="L43" s="38" t="n"/>
      <c r="M43" s="38" t="n"/>
      <c r="N43" s="38" t="n"/>
      <c r="O43" s="40" t="n"/>
      <c r="P43" s="41">
        <f>IF(D43="","",F43*O43)</f>
        <v/>
      </c>
      <c r="Q43" s="38" t="n"/>
      <c r="R43" s="38" t="n"/>
      <c r="S43" s="40" t="n"/>
      <c r="T43" s="41">
        <f>IF(D43="","",P43+Q43+R43-S43)</f>
        <v/>
      </c>
      <c r="U43" s="38" t="n"/>
      <c r="V43" s="38" t="n"/>
      <c r="W43" s="38" t="n"/>
      <c r="X43" s="38" t="n"/>
      <c r="Y43" s="38" t="n"/>
      <c r="Z43" s="38" t="n"/>
      <c r="AA43" s="38" t="n"/>
    </row>
    <row r="44" ht="21" customHeight="1">
      <c r="A44" s="38" t="n"/>
      <c r="B44" s="38" t="n"/>
      <c r="C44" s="38" t="n"/>
      <c r="D44" s="38" t="n"/>
      <c r="E44" s="38" t="n"/>
      <c r="F44" s="39" t="n"/>
      <c r="G44" s="38" t="n"/>
      <c r="H44" s="38" t="n"/>
      <c r="I44" s="38" t="n"/>
      <c r="J44" s="38" t="n"/>
      <c r="K44" s="38" t="n"/>
      <c r="L44" s="38" t="n"/>
      <c r="M44" s="38" t="n"/>
      <c r="N44" s="38" t="n"/>
      <c r="O44" s="40" t="n"/>
      <c r="P44" s="41">
        <f>IF(D44="","",F44*O44)</f>
        <v/>
      </c>
      <c r="Q44" s="38" t="n"/>
      <c r="R44" s="38" t="n"/>
      <c r="S44" s="40" t="n"/>
      <c r="T44" s="41">
        <f>IF(D44="","",P44+Q44+R44-S44)</f>
        <v/>
      </c>
      <c r="U44" s="38" t="n"/>
      <c r="V44" s="38" t="n"/>
      <c r="W44" s="38" t="n"/>
      <c r="X44" s="38" t="n"/>
      <c r="Y44" s="38" t="n"/>
      <c r="Z44" s="38" t="n"/>
      <c r="AA44" s="38" t="n"/>
    </row>
    <row r="45" ht="21" customHeight="1">
      <c r="A45" s="38" t="n"/>
      <c r="B45" s="38" t="n"/>
      <c r="C45" s="38" t="n"/>
      <c r="D45" s="38" t="n"/>
      <c r="E45" s="38" t="n"/>
      <c r="F45" s="39" t="n"/>
      <c r="G45" s="38" t="n"/>
      <c r="H45" s="38" t="n"/>
      <c r="I45" s="38" t="n"/>
      <c r="J45" s="38" t="n"/>
      <c r="K45" s="38" t="n"/>
      <c r="L45" s="38" t="n"/>
      <c r="M45" s="38" t="n"/>
      <c r="N45" s="38" t="n"/>
      <c r="O45" s="40" t="n"/>
      <c r="P45" s="41">
        <f>IF(D45="","",F45*O45)</f>
        <v/>
      </c>
      <c r="Q45" s="38" t="n"/>
      <c r="R45" s="38" t="n"/>
      <c r="S45" s="40" t="n"/>
      <c r="T45" s="41">
        <f>IF(D45="","",P45+Q45+R45-S45)</f>
        <v/>
      </c>
      <c r="U45" s="38" t="n"/>
      <c r="V45" s="38" t="n"/>
      <c r="W45" s="38" t="n"/>
      <c r="X45" s="38" t="n"/>
      <c r="Y45" s="38" t="n"/>
      <c r="Z45" s="38" t="n"/>
      <c r="AA45" s="38" t="n"/>
    </row>
    <row r="46" ht="21" customHeight="1">
      <c r="A46" s="38" t="n"/>
      <c r="B46" s="38" t="n"/>
      <c r="C46" s="38" t="n"/>
      <c r="D46" s="38" t="n"/>
      <c r="E46" s="38" t="n"/>
      <c r="F46" s="39" t="n"/>
      <c r="G46" s="38" t="n"/>
      <c r="H46" s="38" t="n"/>
      <c r="I46" s="38" t="n"/>
      <c r="J46" s="38" t="n"/>
      <c r="K46" s="38" t="n"/>
      <c r="L46" s="38" t="n"/>
      <c r="M46" s="38" t="n"/>
      <c r="N46" s="38" t="n"/>
      <c r="O46" s="40" t="n"/>
      <c r="P46" s="41">
        <f>IF(D46="","",F46*O46)</f>
        <v/>
      </c>
      <c r="Q46" s="38" t="n"/>
      <c r="R46" s="38" t="n"/>
      <c r="S46" s="40" t="n"/>
      <c r="T46" s="41">
        <f>IF(D46="","",P46+Q46+R46-S46)</f>
        <v/>
      </c>
      <c r="U46" s="38" t="n"/>
      <c r="V46" s="38" t="n"/>
      <c r="W46" s="38" t="n"/>
      <c r="X46" s="38" t="n"/>
      <c r="Y46" s="38" t="n"/>
      <c r="Z46" s="38" t="n"/>
      <c r="AA46" s="38" t="n"/>
    </row>
    <row r="47" ht="21" customHeight="1">
      <c r="A47" s="38" t="n"/>
      <c r="B47" s="38" t="n"/>
      <c r="C47" s="38" t="n"/>
      <c r="D47" s="38" t="n"/>
      <c r="E47" s="38" t="n"/>
      <c r="F47" s="39" t="n"/>
      <c r="G47" s="38" t="n"/>
      <c r="H47" s="38" t="n"/>
      <c r="I47" s="38" t="n"/>
      <c r="J47" s="38" t="n"/>
      <c r="K47" s="38" t="n"/>
      <c r="L47" s="38" t="n"/>
      <c r="M47" s="38" t="n"/>
      <c r="N47" s="38" t="n"/>
      <c r="O47" s="40" t="n"/>
      <c r="P47" s="41">
        <f>IF(D47="","",F47*O47)</f>
        <v/>
      </c>
      <c r="Q47" s="38" t="n"/>
      <c r="R47" s="38" t="n"/>
      <c r="S47" s="40" t="n"/>
      <c r="T47" s="41">
        <f>IF(D47="","",P47+Q47+R47-S47)</f>
        <v/>
      </c>
      <c r="U47" s="38" t="n"/>
      <c r="V47" s="38" t="n"/>
      <c r="W47" s="38" t="n"/>
      <c r="X47" s="38" t="n"/>
      <c r="Y47" s="38" t="n"/>
      <c r="Z47" s="38" t="n"/>
      <c r="AA47" s="38" t="n"/>
    </row>
    <row r="48" ht="21" customHeight="1">
      <c r="A48" s="38" t="n"/>
      <c r="B48" s="38" t="n"/>
      <c r="C48" s="38" t="n"/>
      <c r="D48" s="38" t="n"/>
      <c r="E48" s="38" t="n"/>
      <c r="F48" s="39" t="n"/>
      <c r="G48" s="38" t="n"/>
      <c r="H48" s="38" t="n"/>
      <c r="I48" s="38" t="n"/>
      <c r="J48" s="38" t="n"/>
      <c r="K48" s="38" t="n"/>
      <c r="L48" s="38" t="n"/>
      <c r="M48" s="38" t="n"/>
      <c r="N48" s="38" t="n"/>
      <c r="O48" s="40" t="n"/>
      <c r="P48" s="41">
        <f>IF(D48="","",F48*O48)</f>
        <v/>
      </c>
      <c r="Q48" s="38" t="n"/>
      <c r="R48" s="38" t="n"/>
      <c r="S48" s="40" t="n"/>
      <c r="T48" s="41">
        <f>IF(D48="","",P48+Q48+R48-S48)</f>
        <v/>
      </c>
      <c r="U48" s="38" t="n"/>
      <c r="V48" s="38" t="n"/>
      <c r="W48" s="38" t="n"/>
      <c r="X48" s="38" t="n"/>
      <c r="Y48" s="38" t="n"/>
      <c r="Z48" s="38" t="n"/>
      <c r="AA48" s="38" t="n"/>
    </row>
    <row r="49" ht="21" customHeight="1">
      <c r="A49" s="38" t="n"/>
      <c r="B49" s="38" t="n"/>
      <c r="C49" s="38" t="n"/>
      <c r="D49" s="38" t="n"/>
      <c r="E49" s="38" t="n"/>
      <c r="F49" s="39" t="n"/>
      <c r="G49" s="38" t="n"/>
      <c r="H49" s="38" t="n"/>
      <c r="I49" s="38" t="n"/>
      <c r="J49" s="38" t="n"/>
      <c r="K49" s="38" t="n"/>
      <c r="L49" s="38" t="n"/>
      <c r="M49" s="38" t="n"/>
      <c r="N49" s="38" t="n"/>
      <c r="O49" s="40" t="n"/>
      <c r="P49" s="41">
        <f>IF(D49="","",F49*O49)</f>
        <v/>
      </c>
      <c r="Q49" s="38" t="n"/>
      <c r="R49" s="38" t="n"/>
      <c r="S49" s="40" t="n"/>
      <c r="T49" s="41">
        <f>IF(D49="","",P49+Q49+R49-S49)</f>
        <v/>
      </c>
      <c r="U49" s="38" t="n"/>
      <c r="V49" s="38" t="n"/>
      <c r="W49" s="38" t="n"/>
      <c r="X49" s="38" t="n"/>
      <c r="Y49" s="38" t="n"/>
      <c r="Z49" s="38" t="n"/>
      <c r="AA49" s="38" t="n"/>
    </row>
    <row r="50" ht="21" customHeight="1">
      <c r="A50" s="38" t="n"/>
      <c r="B50" s="38" t="n"/>
      <c r="C50" s="38" t="n"/>
      <c r="D50" s="38" t="n"/>
      <c r="E50" s="38" t="n"/>
      <c r="F50" s="39" t="n"/>
      <c r="G50" s="38" t="n"/>
      <c r="H50" s="38" t="n"/>
      <c r="I50" s="38" t="n"/>
      <c r="J50" s="38" t="n"/>
      <c r="K50" s="38" t="n"/>
      <c r="L50" s="38" t="n"/>
      <c r="M50" s="38" t="n"/>
      <c r="N50" s="38" t="n"/>
      <c r="O50" s="40" t="n"/>
      <c r="P50" s="41">
        <f>IF(D50="","",F50*O50)</f>
        <v/>
      </c>
      <c r="Q50" s="38" t="n"/>
      <c r="R50" s="38" t="n"/>
      <c r="S50" s="40" t="n"/>
      <c r="T50" s="41">
        <f>IF(D50="","",P50+Q50+R50-S50)</f>
        <v/>
      </c>
      <c r="U50" s="38" t="n"/>
      <c r="V50" s="38" t="n"/>
      <c r="W50" s="38" t="n"/>
      <c r="X50" s="38" t="n"/>
      <c r="Y50" s="38" t="n"/>
      <c r="Z50" s="38" t="n"/>
      <c r="AA50" s="38" t="n"/>
    </row>
    <row r="51" ht="21" customHeight="1">
      <c r="A51" s="38" t="n"/>
      <c r="B51" s="38" t="n"/>
      <c r="C51" s="38" t="n"/>
      <c r="D51" s="38" t="n"/>
      <c r="E51" s="38" t="n"/>
      <c r="F51" s="39" t="n"/>
      <c r="G51" s="38" t="n"/>
      <c r="H51" s="38" t="n"/>
      <c r="I51" s="38" t="n"/>
      <c r="J51" s="38" t="n"/>
      <c r="K51" s="38" t="n"/>
      <c r="L51" s="38" t="n"/>
      <c r="M51" s="38" t="n"/>
      <c r="N51" s="38" t="n"/>
      <c r="O51" s="40" t="n"/>
      <c r="P51" s="41">
        <f>IF(D51="","",F51*O51)</f>
        <v/>
      </c>
      <c r="Q51" s="38" t="n"/>
      <c r="R51" s="38" t="n"/>
      <c r="S51" s="40" t="n"/>
      <c r="T51" s="41">
        <f>IF(D51="","",P51+Q51+R51-S51)</f>
        <v/>
      </c>
      <c r="U51" s="38" t="n"/>
      <c r="V51" s="38" t="n"/>
      <c r="W51" s="38" t="n"/>
      <c r="X51" s="38" t="n"/>
      <c r="Y51" s="38" t="n"/>
      <c r="Z51" s="38" t="n"/>
      <c r="AA51" s="38" t="n"/>
    </row>
    <row r="52" ht="21" customHeight="1">
      <c r="A52" s="38" t="n"/>
      <c r="B52" s="38" t="n"/>
      <c r="C52" s="38" t="n"/>
      <c r="D52" s="38" t="n"/>
      <c r="E52" s="38" t="n"/>
      <c r="F52" s="39" t="n"/>
      <c r="G52" s="38" t="n"/>
      <c r="H52" s="38" t="n"/>
      <c r="I52" s="38" t="n"/>
      <c r="J52" s="38" t="n"/>
      <c r="K52" s="38" t="n"/>
      <c r="L52" s="38" t="n"/>
      <c r="M52" s="38" t="n"/>
      <c r="N52" s="38" t="n"/>
      <c r="O52" s="40" t="n"/>
      <c r="P52" s="41">
        <f>IF(D52="","",F52*O52)</f>
        <v/>
      </c>
      <c r="Q52" s="38" t="n"/>
      <c r="R52" s="38" t="n"/>
      <c r="S52" s="40" t="n"/>
      <c r="T52" s="41">
        <f>IF(D52="","",P52+Q52+R52-S52)</f>
        <v/>
      </c>
      <c r="U52" s="38" t="n"/>
      <c r="V52" s="38" t="n"/>
      <c r="W52" s="38" t="n"/>
      <c r="X52" s="38" t="n"/>
      <c r="Y52" s="38" t="n"/>
      <c r="Z52" s="38" t="n"/>
      <c r="AA52" s="38" t="n"/>
    </row>
    <row r="53" ht="21" customHeight="1">
      <c r="A53" s="38" t="n"/>
      <c r="B53" s="38" t="n"/>
      <c r="C53" s="38" t="n"/>
      <c r="D53" s="38" t="n"/>
      <c r="E53" s="38" t="n"/>
      <c r="F53" s="39" t="n"/>
      <c r="G53" s="38" t="n"/>
      <c r="H53" s="38" t="n"/>
      <c r="I53" s="38" t="n"/>
      <c r="J53" s="38" t="n"/>
      <c r="K53" s="38" t="n"/>
      <c r="L53" s="38" t="n"/>
      <c r="M53" s="38" t="n"/>
      <c r="N53" s="38" t="n"/>
      <c r="O53" s="40" t="n"/>
      <c r="P53" s="41">
        <f>IF(D53="","",F53*O53)</f>
        <v/>
      </c>
      <c r="Q53" s="38" t="n"/>
      <c r="R53" s="38" t="n"/>
      <c r="S53" s="40" t="n"/>
      <c r="T53" s="41">
        <f>IF(D53="","",P53+Q53+R53-S53)</f>
        <v/>
      </c>
      <c r="U53" s="38" t="n"/>
      <c r="V53" s="38" t="n"/>
      <c r="W53" s="38" t="n"/>
      <c r="X53" s="38" t="n"/>
      <c r="Y53" s="38" t="n"/>
      <c r="Z53" s="38" t="n"/>
      <c r="AA53" s="38" t="n"/>
    </row>
    <row r="54" ht="21" customHeight="1">
      <c r="A54" s="38" t="n"/>
      <c r="B54" s="38" t="n"/>
      <c r="C54" s="38" t="n"/>
      <c r="D54" s="38" t="n"/>
      <c r="E54" s="38" t="n"/>
      <c r="F54" s="39" t="n"/>
      <c r="G54" s="38" t="n"/>
      <c r="H54" s="38" t="n"/>
      <c r="I54" s="38" t="n"/>
      <c r="J54" s="38" t="n"/>
      <c r="K54" s="38" t="n"/>
      <c r="L54" s="38" t="n"/>
      <c r="M54" s="38" t="n"/>
      <c r="N54" s="38" t="n"/>
      <c r="O54" s="40" t="n"/>
      <c r="P54" s="41">
        <f>IF(D54="","",F54*O54)</f>
        <v/>
      </c>
      <c r="Q54" s="38" t="n"/>
      <c r="R54" s="38" t="n"/>
      <c r="S54" s="40" t="n"/>
      <c r="T54" s="41">
        <f>IF(D54="","",P54+Q54+R54-S54)</f>
        <v/>
      </c>
      <c r="U54" s="38" t="n"/>
      <c r="V54" s="38" t="n"/>
      <c r="W54" s="38" t="n"/>
      <c r="X54" s="38" t="n"/>
      <c r="Y54" s="38" t="n"/>
      <c r="Z54" s="38" t="n"/>
      <c r="AA54" s="38" t="n"/>
    </row>
    <row r="55" ht="21" customHeight="1">
      <c r="A55" s="38" t="n"/>
      <c r="B55" s="38" t="n"/>
      <c r="C55" s="38" t="n"/>
      <c r="D55" s="38" t="n"/>
      <c r="E55" s="38" t="n"/>
      <c r="F55" s="39" t="n"/>
      <c r="G55" s="38" t="n"/>
      <c r="H55" s="38" t="n"/>
      <c r="I55" s="38" t="n"/>
      <c r="J55" s="38" t="n"/>
      <c r="K55" s="38" t="n"/>
      <c r="L55" s="38" t="n"/>
      <c r="M55" s="38" t="n"/>
      <c r="N55" s="38" t="n"/>
      <c r="O55" s="40" t="n"/>
      <c r="P55" s="41">
        <f>IF(D55="","",F55*O55)</f>
        <v/>
      </c>
      <c r="Q55" s="38" t="n"/>
      <c r="R55" s="38" t="n"/>
      <c r="S55" s="40" t="n"/>
      <c r="T55" s="41">
        <f>IF(D55="","",P55+Q55+R55-S55)</f>
        <v/>
      </c>
      <c r="U55" s="38" t="n"/>
      <c r="V55" s="38" t="n"/>
      <c r="W55" s="38" t="n"/>
      <c r="X55" s="38" t="n"/>
      <c r="Y55" s="38" t="n"/>
      <c r="Z55" s="38" t="n"/>
      <c r="AA55" s="38" t="n"/>
    </row>
    <row r="56" ht="21" customHeight="1">
      <c r="A56" s="38" t="n"/>
      <c r="B56" s="38" t="n"/>
      <c r="C56" s="38" t="n"/>
      <c r="D56" s="38" t="n"/>
      <c r="E56" s="38" t="n"/>
      <c r="F56" s="39" t="n"/>
      <c r="G56" s="38" t="n"/>
      <c r="H56" s="38" t="n"/>
      <c r="I56" s="38" t="n"/>
      <c r="J56" s="38" t="n"/>
      <c r="K56" s="38" t="n"/>
      <c r="L56" s="38" t="n"/>
      <c r="M56" s="38" t="n"/>
      <c r="N56" s="38" t="n"/>
      <c r="O56" s="40" t="n"/>
      <c r="P56" s="41">
        <f>IF(D56="","",F56*O56)</f>
        <v/>
      </c>
      <c r="Q56" s="38" t="n"/>
      <c r="R56" s="38" t="n"/>
      <c r="S56" s="40" t="n"/>
      <c r="T56" s="41">
        <f>IF(D56="","",P56+Q56+R56-S56)</f>
        <v/>
      </c>
      <c r="U56" s="38" t="n"/>
      <c r="V56" s="38" t="n"/>
      <c r="W56" s="38" t="n"/>
      <c r="X56" s="38" t="n"/>
      <c r="Y56" s="38" t="n"/>
      <c r="Z56" s="38" t="n"/>
      <c r="AA56" s="38" t="n"/>
    </row>
    <row r="57" ht="21" customHeight="1">
      <c r="A57" s="38" t="n"/>
      <c r="B57" s="38" t="n"/>
      <c r="C57" s="38" t="n"/>
      <c r="D57" s="38" t="n"/>
      <c r="E57" s="38" t="n"/>
      <c r="F57" s="39" t="n"/>
      <c r="G57" s="38" t="n"/>
      <c r="H57" s="38" t="n"/>
      <c r="I57" s="38" t="n"/>
      <c r="J57" s="38" t="n"/>
      <c r="K57" s="38" t="n"/>
      <c r="L57" s="38" t="n"/>
      <c r="M57" s="38" t="n"/>
      <c r="N57" s="38" t="n"/>
      <c r="O57" s="40" t="n"/>
      <c r="P57" s="41">
        <f>IF(D57="","",F57*O57)</f>
        <v/>
      </c>
      <c r="Q57" s="38" t="n"/>
      <c r="R57" s="38" t="n"/>
      <c r="S57" s="40" t="n"/>
      <c r="T57" s="41">
        <f>IF(D57="","",P57+Q57+R57-S57)</f>
        <v/>
      </c>
      <c r="U57" s="38" t="n"/>
      <c r="V57" s="38" t="n"/>
      <c r="W57" s="38" t="n"/>
      <c r="X57" s="38" t="n"/>
      <c r="Y57" s="38" t="n"/>
      <c r="Z57" s="38" t="n"/>
      <c r="AA57" s="38" t="n"/>
    </row>
    <row r="58" ht="21" customHeight="1">
      <c r="A58" s="38" t="n"/>
      <c r="B58" s="38" t="n"/>
      <c r="C58" s="38" t="n"/>
      <c r="D58" s="38" t="n"/>
      <c r="E58" s="38" t="n"/>
      <c r="F58" s="39" t="n"/>
      <c r="G58" s="38" t="n"/>
      <c r="H58" s="38" t="n"/>
      <c r="I58" s="38" t="n"/>
      <c r="J58" s="38" t="n"/>
      <c r="K58" s="38" t="n"/>
      <c r="L58" s="38" t="n"/>
      <c r="M58" s="38" t="n"/>
      <c r="N58" s="38" t="n"/>
      <c r="O58" s="40" t="n"/>
      <c r="P58" s="41">
        <f>IF(D58="","",F58*O58)</f>
        <v/>
      </c>
      <c r="Q58" s="38" t="n"/>
      <c r="R58" s="38" t="n"/>
      <c r="S58" s="40" t="n"/>
      <c r="T58" s="41">
        <f>IF(D58="","",P58+Q58+R58-S58)</f>
        <v/>
      </c>
      <c r="U58" s="38" t="n"/>
      <c r="V58" s="38" t="n"/>
      <c r="W58" s="38" t="n"/>
      <c r="X58" s="38" t="n"/>
      <c r="Y58" s="38" t="n"/>
      <c r="Z58" s="38" t="n"/>
      <c r="AA58" s="38" t="n"/>
    </row>
    <row r="59" ht="21" customHeight="1">
      <c r="A59" s="38" t="n"/>
      <c r="B59" s="38" t="n"/>
      <c r="C59" s="38" t="n"/>
      <c r="D59" s="38" t="n"/>
      <c r="E59" s="38" t="n"/>
      <c r="F59" s="39" t="n"/>
      <c r="G59" s="38" t="n"/>
      <c r="H59" s="38" t="n"/>
      <c r="I59" s="38" t="n"/>
      <c r="J59" s="38" t="n"/>
      <c r="K59" s="38" t="n"/>
      <c r="L59" s="38" t="n"/>
      <c r="M59" s="38" t="n"/>
      <c r="N59" s="38" t="n"/>
      <c r="O59" s="40" t="n"/>
      <c r="P59" s="41">
        <f>IF(D59="","",F59*O59)</f>
        <v/>
      </c>
      <c r="Q59" s="38" t="n"/>
      <c r="R59" s="38" t="n"/>
      <c r="S59" s="40" t="n"/>
      <c r="T59" s="41">
        <f>IF(D59="","",P59+Q59+R59-S59)</f>
        <v/>
      </c>
      <c r="U59" s="38" t="n"/>
      <c r="V59" s="38" t="n"/>
      <c r="W59" s="38" t="n"/>
      <c r="X59" s="38" t="n"/>
      <c r="Y59" s="38" t="n"/>
      <c r="Z59" s="38" t="n"/>
      <c r="AA59" s="38" t="n"/>
    </row>
    <row r="60" ht="21" customHeight="1">
      <c r="A60" s="38" t="n"/>
      <c r="B60" s="38" t="n"/>
      <c r="C60" s="38" t="n"/>
      <c r="D60" s="38" t="n"/>
      <c r="E60" s="38" t="n"/>
      <c r="F60" s="39" t="n"/>
      <c r="G60" s="38" t="n"/>
      <c r="H60" s="38" t="n"/>
      <c r="I60" s="38" t="n"/>
      <c r="J60" s="38" t="n"/>
      <c r="K60" s="38" t="n"/>
      <c r="L60" s="38" t="n"/>
      <c r="M60" s="38" t="n"/>
      <c r="N60" s="38" t="n"/>
      <c r="O60" s="40" t="n"/>
      <c r="P60" s="41">
        <f>IF(D60="","",F60*O60)</f>
        <v/>
      </c>
      <c r="Q60" s="38" t="n"/>
      <c r="R60" s="38" t="n"/>
      <c r="S60" s="40" t="n"/>
      <c r="T60" s="41">
        <f>IF(D60="","",P60+Q60+R60-S60)</f>
        <v/>
      </c>
      <c r="U60" s="38" t="n"/>
      <c r="V60" s="38" t="n"/>
      <c r="W60" s="38" t="n"/>
      <c r="X60" s="38" t="n"/>
      <c r="Y60" s="38" t="n"/>
      <c r="Z60" s="38" t="n"/>
      <c r="AA60" s="38" t="n"/>
    </row>
    <row r="61" ht="21" customHeight="1">
      <c r="A61" s="38" t="n"/>
      <c r="B61" s="38" t="n"/>
      <c r="C61" s="38" t="n"/>
      <c r="D61" s="38" t="n"/>
      <c r="E61" s="38" t="n"/>
      <c r="F61" s="39" t="n"/>
      <c r="G61" s="38" t="n"/>
      <c r="H61" s="38" t="n"/>
      <c r="I61" s="38" t="n"/>
      <c r="J61" s="38" t="n"/>
      <c r="K61" s="38" t="n"/>
      <c r="L61" s="38" t="n"/>
      <c r="M61" s="38" t="n"/>
      <c r="N61" s="38" t="n"/>
      <c r="O61" s="40" t="n"/>
      <c r="P61" s="41">
        <f>IF(D61="","",F61*O61)</f>
        <v/>
      </c>
      <c r="Q61" s="38" t="n"/>
      <c r="R61" s="38" t="n"/>
      <c r="S61" s="40" t="n"/>
      <c r="T61" s="41">
        <f>IF(D61="","",P61+Q61+R61-S61)</f>
        <v/>
      </c>
      <c r="U61" s="38" t="n"/>
      <c r="V61" s="38" t="n"/>
      <c r="W61" s="38" t="n"/>
      <c r="X61" s="38" t="n"/>
      <c r="Y61" s="38" t="n"/>
      <c r="Z61" s="38" t="n"/>
      <c r="AA61" s="38" t="n"/>
    </row>
    <row r="62" ht="21" customHeight="1">
      <c r="A62" s="38" t="n"/>
      <c r="B62" s="38" t="n"/>
      <c r="C62" s="38" t="n"/>
      <c r="D62" s="38" t="n"/>
      <c r="E62" s="38" t="n"/>
      <c r="F62" s="39" t="n"/>
      <c r="G62" s="38" t="n"/>
      <c r="H62" s="38" t="n"/>
      <c r="I62" s="38" t="n"/>
      <c r="J62" s="38" t="n"/>
      <c r="K62" s="38" t="n"/>
      <c r="L62" s="38" t="n"/>
      <c r="M62" s="38" t="n"/>
      <c r="N62" s="38" t="n"/>
      <c r="O62" s="40" t="n"/>
      <c r="P62" s="41">
        <f>IF(D62="","",F62*O62)</f>
        <v/>
      </c>
      <c r="Q62" s="38" t="n"/>
      <c r="R62" s="38" t="n"/>
      <c r="S62" s="40" t="n"/>
      <c r="T62" s="41">
        <f>IF(D62="","",P62+Q62+R62-S62)</f>
        <v/>
      </c>
      <c r="U62" s="38" t="n"/>
      <c r="V62" s="38" t="n"/>
      <c r="W62" s="38" t="n"/>
      <c r="X62" s="38" t="n"/>
      <c r="Y62" s="38" t="n"/>
      <c r="Z62" s="38" t="n"/>
      <c r="AA62" s="38" t="n"/>
    </row>
    <row r="63" ht="21" customHeight="1">
      <c r="A63" s="38" t="n"/>
      <c r="B63" s="38" t="n"/>
      <c r="C63" s="38" t="n"/>
      <c r="D63" s="38" t="n"/>
      <c r="E63" s="38" t="n"/>
      <c r="F63" s="39" t="n"/>
      <c r="G63" s="38" t="n"/>
      <c r="H63" s="38" t="n"/>
      <c r="I63" s="38" t="n"/>
      <c r="J63" s="38" t="n"/>
      <c r="K63" s="38" t="n"/>
      <c r="L63" s="38" t="n"/>
      <c r="M63" s="38" t="n"/>
      <c r="N63" s="38" t="n"/>
      <c r="O63" s="40" t="n"/>
      <c r="P63" s="41">
        <f>IF(D63="","",F63*O63)</f>
        <v/>
      </c>
      <c r="Q63" s="38" t="n"/>
      <c r="R63" s="38" t="n"/>
      <c r="S63" s="40" t="n"/>
      <c r="T63" s="41">
        <f>IF(D63="","",P63+Q63+R63-S63)</f>
        <v/>
      </c>
      <c r="U63" s="38" t="n"/>
      <c r="V63" s="38" t="n"/>
      <c r="W63" s="38" t="n"/>
      <c r="X63" s="38" t="n"/>
      <c r="Y63" s="38" t="n"/>
      <c r="Z63" s="38" t="n"/>
      <c r="AA63" s="38" t="n"/>
    </row>
    <row r="64" ht="21" customHeight="1">
      <c r="A64" s="38" t="n"/>
      <c r="B64" s="38" t="n"/>
      <c r="C64" s="38" t="n"/>
      <c r="D64" s="38" t="n"/>
      <c r="E64" s="38" t="n"/>
      <c r="F64" s="39" t="n"/>
      <c r="G64" s="38" t="n"/>
      <c r="H64" s="38" t="n"/>
      <c r="I64" s="38" t="n"/>
      <c r="J64" s="38" t="n"/>
      <c r="K64" s="38" t="n"/>
      <c r="L64" s="38" t="n"/>
      <c r="M64" s="38" t="n"/>
      <c r="N64" s="38" t="n"/>
      <c r="O64" s="40" t="n"/>
      <c r="P64" s="41">
        <f>IF(D64="","",F64*O64)</f>
        <v/>
      </c>
      <c r="Q64" s="38" t="n"/>
      <c r="R64" s="38" t="n"/>
      <c r="S64" s="40" t="n"/>
      <c r="T64" s="41">
        <f>IF(D64="","",P64+Q64+R64-S64)</f>
        <v/>
      </c>
      <c r="U64" s="38" t="n"/>
      <c r="V64" s="38" t="n"/>
      <c r="W64" s="38" t="n"/>
      <c r="X64" s="38" t="n"/>
      <c r="Y64" s="38" t="n"/>
      <c r="Z64" s="38" t="n"/>
      <c r="AA64" s="38" t="n"/>
    </row>
    <row r="65" ht="21" customHeight="1">
      <c r="A65" s="38" t="n"/>
      <c r="B65" s="38" t="n"/>
      <c r="C65" s="38" t="n"/>
      <c r="D65" s="38" t="n"/>
      <c r="E65" s="38" t="n"/>
      <c r="F65" s="39" t="n"/>
      <c r="G65" s="38" t="n"/>
      <c r="H65" s="38" t="n"/>
      <c r="I65" s="38" t="n"/>
      <c r="J65" s="38" t="n"/>
      <c r="K65" s="38" t="n"/>
      <c r="L65" s="38" t="n"/>
      <c r="M65" s="38" t="n"/>
      <c r="N65" s="38" t="n"/>
      <c r="O65" s="40" t="n"/>
      <c r="P65" s="41">
        <f>IF(D65="","",F65*O65)</f>
        <v/>
      </c>
      <c r="Q65" s="38" t="n"/>
      <c r="R65" s="38" t="n"/>
      <c r="S65" s="40" t="n"/>
      <c r="T65" s="41">
        <f>IF(D65="","",P65+Q65+R65-S65)</f>
        <v/>
      </c>
      <c r="U65" s="38" t="n"/>
      <c r="V65" s="38" t="n"/>
      <c r="W65" s="38" t="n"/>
      <c r="X65" s="38" t="n"/>
      <c r="Y65" s="38" t="n"/>
      <c r="Z65" s="38" t="n"/>
      <c r="AA65" s="38" t="n"/>
    </row>
    <row r="66" ht="21" customHeight="1">
      <c r="A66" s="38" t="n"/>
      <c r="B66" s="38" t="n"/>
      <c r="C66" s="38" t="n"/>
      <c r="D66" s="38" t="n"/>
      <c r="E66" s="38" t="n"/>
      <c r="F66" s="39" t="n"/>
      <c r="G66" s="38" t="n"/>
      <c r="H66" s="38" t="n"/>
      <c r="I66" s="38" t="n"/>
      <c r="J66" s="38" t="n"/>
      <c r="K66" s="38" t="n"/>
      <c r="L66" s="38" t="n"/>
      <c r="M66" s="38" t="n"/>
      <c r="N66" s="38" t="n"/>
      <c r="O66" s="40" t="n"/>
      <c r="P66" s="41">
        <f>IF(D66="","",F66*O66)</f>
        <v/>
      </c>
      <c r="Q66" s="38" t="n"/>
      <c r="R66" s="38" t="n"/>
      <c r="S66" s="40" t="n"/>
      <c r="T66" s="41">
        <f>IF(D66="","",P66+Q66+R66-S66)</f>
        <v/>
      </c>
      <c r="U66" s="38" t="n"/>
      <c r="V66" s="38" t="n"/>
      <c r="W66" s="38" t="n"/>
      <c r="X66" s="38" t="n"/>
      <c r="Y66" s="38" t="n"/>
      <c r="Z66" s="38" t="n"/>
      <c r="AA66" s="38" t="n"/>
    </row>
    <row r="67" ht="21" customHeight="1">
      <c r="A67" s="38" t="n"/>
      <c r="B67" s="38" t="n"/>
      <c r="C67" s="38" t="n"/>
      <c r="D67" s="38" t="n"/>
      <c r="E67" s="38" t="n"/>
      <c r="F67" s="39" t="n"/>
      <c r="G67" s="38" t="n"/>
      <c r="H67" s="38" t="n"/>
      <c r="I67" s="38" t="n"/>
      <c r="J67" s="38" t="n"/>
      <c r="K67" s="38" t="n"/>
      <c r="L67" s="38" t="n"/>
      <c r="M67" s="38" t="n"/>
      <c r="N67" s="38" t="n"/>
      <c r="O67" s="40" t="n"/>
      <c r="P67" s="41">
        <f>IF(D67="","",F67*O67)</f>
        <v/>
      </c>
      <c r="Q67" s="38" t="n"/>
      <c r="R67" s="38" t="n"/>
      <c r="S67" s="40" t="n"/>
      <c r="T67" s="41">
        <f>IF(D67="","",P67+Q67+R67-S67)</f>
        <v/>
      </c>
      <c r="U67" s="38" t="n"/>
      <c r="V67" s="38" t="n"/>
      <c r="W67" s="38" t="n"/>
      <c r="X67" s="38" t="n"/>
      <c r="Y67" s="38" t="n"/>
      <c r="Z67" s="38" t="n"/>
      <c r="AA67" s="38" t="n"/>
    </row>
    <row r="68" ht="21" customHeight="1">
      <c r="A68" s="38" t="n"/>
      <c r="B68" s="38" t="n"/>
      <c r="C68" s="38" t="n"/>
      <c r="D68" s="38" t="n"/>
      <c r="E68" s="38" t="n"/>
      <c r="F68" s="39" t="n"/>
      <c r="G68" s="38" t="n"/>
      <c r="H68" s="38" t="n"/>
      <c r="I68" s="38" t="n"/>
      <c r="J68" s="38" t="n"/>
      <c r="K68" s="38" t="n"/>
      <c r="L68" s="38" t="n"/>
      <c r="M68" s="38" t="n"/>
      <c r="N68" s="38" t="n"/>
      <c r="O68" s="40" t="n"/>
      <c r="P68" s="41">
        <f>IF(D68="","",F68*O68)</f>
        <v/>
      </c>
      <c r="Q68" s="38" t="n"/>
      <c r="R68" s="38" t="n"/>
      <c r="S68" s="40" t="n"/>
      <c r="T68" s="41">
        <f>IF(D68="","",P68+Q68+R68-S68)</f>
        <v/>
      </c>
      <c r="U68" s="38" t="n"/>
      <c r="V68" s="38" t="n"/>
      <c r="W68" s="38" t="n"/>
      <c r="X68" s="38" t="n"/>
      <c r="Y68" s="38" t="n"/>
      <c r="Z68" s="38" t="n"/>
      <c r="AA68" s="38" t="n"/>
    </row>
    <row r="69" ht="21" customHeight="1">
      <c r="A69" s="38" t="n"/>
      <c r="B69" s="38" t="n"/>
      <c r="C69" s="38" t="n"/>
      <c r="D69" s="38" t="n"/>
      <c r="E69" s="38" t="n"/>
      <c r="F69" s="39" t="n"/>
      <c r="G69" s="38" t="n"/>
      <c r="H69" s="38" t="n"/>
      <c r="I69" s="38" t="n"/>
      <c r="J69" s="38" t="n"/>
      <c r="K69" s="38" t="n"/>
      <c r="L69" s="38" t="n"/>
      <c r="M69" s="38" t="n"/>
      <c r="N69" s="38" t="n"/>
      <c r="O69" s="40" t="n"/>
      <c r="P69" s="41">
        <f>IF(D69="","",F69*O69)</f>
        <v/>
      </c>
      <c r="Q69" s="38" t="n"/>
      <c r="R69" s="38" t="n"/>
      <c r="S69" s="40" t="n"/>
      <c r="T69" s="41">
        <f>IF(D69="","",P69+Q69+R69-S69)</f>
        <v/>
      </c>
      <c r="U69" s="38" t="n"/>
      <c r="V69" s="38" t="n"/>
      <c r="W69" s="38" t="n"/>
      <c r="X69" s="38" t="n"/>
      <c r="Y69" s="38" t="n"/>
      <c r="Z69" s="38" t="n"/>
      <c r="AA69" s="38" t="n"/>
    </row>
    <row r="70" ht="21" customHeight="1">
      <c r="A70" s="38" t="n"/>
      <c r="B70" s="38" t="n"/>
      <c r="C70" s="38" t="n"/>
      <c r="D70" s="38" t="n"/>
      <c r="E70" s="38" t="n"/>
      <c r="F70" s="39" t="n"/>
      <c r="G70" s="38" t="n"/>
      <c r="H70" s="38" t="n"/>
      <c r="I70" s="38" t="n"/>
      <c r="J70" s="38" t="n"/>
      <c r="K70" s="38" t="n"/>
      <c r="L70" s="38" t="n"/>
      <c r="M70" s="38" t="n"/>
      <c r="N70" s="38" t="n"/>
      <c r="O70" s="40" t="n"/>
      <c r="P70" s="41">
        <f>IF(D70="","",F70*O70)</f>
        <v/>
      </c>
      <c r="Q70" s="38" t="n"/>
      <c r="R70" s="38" t="n"/>
      <c r="S70" s="40" t="n"/>
      <c r="T70" s="41">
        <f>IF(D70="","",P70+Q70+R70-S70)</f>
        <v/>
      </c>
      <c r="U70" s="38" t="n"/>
      <c r="V70" s="38" t="n"/>
      <c r="W70" s="38" t="n"/>
      <c r="X70" s="38" t="n"/>
      <c r="Y70" s="38" t="n"/>
      <c r="Z70" s="38" t="n"/>
      <c r="AA70" s="38" t="n"/>
    </row>
    <row r="71" ht="21" customHeight="1">
      <c r="A71" s="38" t="n"/>
      <c r="B71" s="38" t="n"/>
      <c r="C71" s="38" t="n"/>
      <c r="D71" s="38" t="n"/>
      <c r="E71" s="38" t="n"/>
      <c r="F71" s="39" t="n"/>
      <c r="G71" s="38" t="n"/>
      <c r="H71" s="38" t="n"/>
      <c r="I71" s="38" t="n"/>
      <c r="J71" s="38" t="n"/>
      <c r="K71" s="38" t="n"/>
      <c r="L71" s="38" t="n"/>
      <c r="M71" s="38" t="n"/>
      <c r="N71" s="38" t="n"/>
      <c r="O71" s="40" t="n"/>
      <c r="P71" s="41">
        <f>IF(D71="","",F71*O71)</f>
        <v/>
      </c>
      <c r="Q71" s="38" t="n"/>
      <c r="R71" s="38" t="n"/>
      <c r="S71" s="40" t="n"/>
      <c r="T71" s="41">
        <f>IF(D71="","",P71+Q71+R71-S71)</f>
        <v/>
      </c>
      <c r="U71" s="38" t="n"/>
      <c r="V71" s="38" t="n"/>
      <c r="W71" s="38" t="n"/>
      <c r="X71" s="38" t="n"/>
      <c r="Y71" s="38" t="n"/>
      <c r="Z71" s="38" t="n"/>
      <c r="AA71" s="38" t="n"/>
    </row>
    <row r="72" ht="21" customHeight="1">
      <c r="A72" s="38" t="n"/>
      <c r="B72" s="38" t="n"/>
      <c r="C72" s="38" t="n"/>
      <c r="D72" s="38" t="n"/>
      <c r="E72" s="38" t="n"/>
      <c r="F72" s="39" t="n"/>
      <c r="G72" s="38" t="n"/>
      <c r="H72" s="38" t="n"/>
      <c r="I72" s="38" t="n"/>
      <c r="J72" s="38" t="n"/>
      <c r="K72" s="38" t="n"/>
      <c r="L72" s="38" t="n"/>
      <c r="M72" s="38" t="n"/>
      <c r="N72" s="38" t="n"/>
      <c r="O72" s="40" t="n"/>
      <c r="P72" s="41">
        <f>IF(D72="","",F72*O72)</f>
        <v/>
      </c>
      <c r="Q72" s="38" t="n"/>
      <c r="R72" s="38" t="n"/>
      <c r="S72" s="40" t="n"/>
      <c r="T72" s="41">
        <f>IF(D72="","",P72+Q72+R72-S72)</f>
        <v/>
      </c>
      <c r="U72" s="38" t="n"/>
      <c r="V72" s="38" t="n"/>
      <c r="W72" s="38" t="n"/>
      <c r="X72" s="38" t="n"/>
      <c r="Y72" s="38" t="n"/>
      <c r="Z72" s="38" t="n"/>
      <c r="AA72" s="38" t="n"/>
    </row>
    <row r="73" ht="21" customHeight="1">
      <c r="A73" s="38" t="n"/>
      <c r="B73" s="38" t="n"/>
      <c r="C73" s="38" t="n"/>
      <c r="D73" s="38" t="n"/>
      <c r="E73" s="38" t="n"/>
      <c r="F73" s="39" t="n"/>
      <c r="G73" s="38" t="n"/>
      <c r="H73" s="38" t="n"/>
      <c r="I73" s="38" t="n"/>
      <c r="J73" s="38" t="n"/>
      <c r="K73" s="38" t="n"/>
      <c r="L73" s="38" t="n"/>
      <c r="M73" s="38" t="n"/>
      <c r="N73" s="38" t="n"/>
      <c r="O73" s="40" t="n"/>
      <c r="P73" s="41">
        <f>IF(D73="","",F73*O73)</f>
        <v/>
      </c>
      <c r="Q73" s="38" t="n"/>
      <c r="R73" s="38" t="n"/>
      <c r="S73" s="40" t="n"/>
      <c r="T73" s="41">
        <f>IF(D73="","",P73+Q73+R73-S73)</f>
        <v/>
      </c>
      <c r="U73" s="38" t="n"/>
      <c r="V73" s="38" t="n"/>
      <c r="W73" s="38" t="n"/>
      <c r="X73" s="38" t="n"/>
      <c r="Y73" s="38" t="n"/>
      <c r="Z73" s="38" t="n"/>
      <c r="AA73" s="38" t="n"/>
    </row>
    <row r="74" ht="21" customHeight="1">
      <c r="A74" s="38" t="n"/>
      <c r="B74" s="38" t="n"/>
      <c r="C74" s="38" t="n"/>
      <c r="D74" s="38" t="n"/>
      <c r="E74" s="38" t="n"/>
      <c r="F74" s="39" t="n"/>
      <c r="G74" s="38" t="n"/>
      <c r="H74" s="38" t="n"/>
      <c r="I74" s="38" t="n"/>
      <c r="J74" s="38" t="n"/>
      <c r="K74" s="38" t="n"/>
      <c r="L74" s="38" t="n"/>
      <c r="M74" s="38" t="n"/>
      <c r="N74" s="38" t="n"/>
      <c r="O74" s="40" t="n"/>
      <c r="P74" s="41">
        <f>IF(D74="","",F74*O74)</f>
        <v/>
      </c>
      <c r="Q74" s="38" t="n"/>
      <c r="R74" s="38" t="n"/>
      <c r="S74" s="40" t="n"/>
      <c r="T74" s="41">
        <f>IF(D74="","",P74+Q74+R74-S74)</f>
        <v/>
      </c>
      <c r="U74" s="38" t="n"/>
      <c r="V74" s="38" t="n"/>
      <c r="W74" s="38" t="n"/>
      <c r="X74" s="38" t="n"/>
      <c r="Y74" s="38" t="n"/>
      <c r="Z74" s="38" t="n"/>
      <c r="AA74" s="38" t="n"/>
    </row>
    <row r="75" ht="21" customHeight="1">
      <c r="A75" s="38" t="n"/>
      <c r="B75" s="38" t="n"/>
      <c r="C75" s="38" t="n"/>
      <c r="D75" s="38" t="n"/>
      <c r="E75" s="38" t="n"/>
      <c r="F75" s="39" t="n"/>
      <c r="G75" s="38" t="n"/>
      <c r="H75" s="38" t="n"/>
      <c r="I75" s="38" t="n"/>
      <c r="J75" s="38" t="n"/>
      <c r="K75" s="38" t="n"/>
      <c r="L75" s="38" t="n"/>
      <c r="M75" s="38" t="n"/>
      <c r="N75" s="38" t="n"/>
      <c r="O75" s="40" t="n"/>
      <c r="P75" s="41">
        <f>IF(D75="","",F75*O75)</f>
        <v/>
      </c>
      <c r="Q75" s="38" t="n"/>
      <c r="R75" s="38" t="n"/>
      <c r="S75" s="40" t="n"/>
      <c r="T75" s="41">
        <f>IF(D75="","",P75+Q75+R75-S75)</f>
        <v/>
      </c>
      <c r="U75" s="38" t="n"/>
      <c r="V75" s="38" t="n"/>
      <c r="W75" s="38" t="n"/>
      <c r="X75" s="38" t="n"/>
      <c r="Y75" s="38" t="n"/>
      <c r="Z75" s="38" t="n"/>
      <c r="AA75" s="38" t="n"/>
    </row>
    <row r="76" ht="21" customHeight="1">
      <c r="A76" s="38" t="n"/>
      <c r="B76" s="38" t="n"/>
      <c r="C76" s="38" t="n"/>
      <c r="D76" s="38" t="n"/>
      <c r="E76" s="38" t="n"/>
      <c r="F76" s="39" t="n"/>
      <c r="G76" s="38" t="n"/>
      <c r="H76" s="38" t="n"/>
      <c r="I76" s="38" t="n"/>
      <c r="J76" s="38" t="n"/>
      <c r="K76" s="38" t="n"/>
      <c r="L76" s="38" t="n"/>
      <c r="M76" s="38" t="n"/>
      <c r="N76" s="38" t="n"/>
      <c r="O76" s="40" t="n"/>
      <c r="P76" s="41">
        <f>IF(D76="","",F76*O76)</f>
        <v/>
      </c>
      <c r="Q76" s="38" t="n"/>
      <c r="R76" s="38" t="n"/>
      <c r="S76" s="40" t="n"/>
      <c r="T76" s="41">
        <f>IF(D76="","",P76+Q76+R76-S76)</f>
        <v/>
      </c>
      <c r="U76" s="38" t="n"/>
      <c r="V76" s="38" t="n"/>
      <c r="W76" s="38" t="n"/>
      <c r="X76" s="38" t="n"/>
      <c r="Y76" s="38" t="n"/>
      <c r="Z76" s="38" t="n"/>
      <c r="AA76" s="38" t="n"/>
    </row>
    <row r="77" ht="21" customHeight="1">
      <c r="A77" s="38" t="n"/>
      <c r="B77" s="38" t="n"/>
      <c r="C77" s="38" t="n"/>
      <c r="D77" s="38" t="n"/>
      <c r="E77" s="38" t="n"/>
      <c r="F77" s="39" t="n"/>
      <c r="G77" s="38" t="n"/>
      <c r="H77" s="38" t="n"/>
      <c r="I77" s="38" t="n"/>
      <c r="J77" s="38" t="n"/>
      <c r="K77" s="38" t="n"/>
      <c r="L77" s="38" t="n"/>
      <c r="M77" s="38" t="n"/>
      <c r="N77" s="38" t="n"/>
      <c r="O77" s="40" t="n"/>
      <c r="P77" s="41">
        <f>IF(D77="","",F77*O77)</f>
        <v/>
      </c>
      <c r="Q77" s="38" t="n"/>
      <c r="R77" s="38" t="n"/>
      <c r="S77" s="40" t="n"/>
      <c r="T77" s="41">
        <f>IF(D77="","",P77+Q77+R77-S77)</f>
        <v/>
      </c>
      <c r="U77" s="38" t="n"/>
      <c r="V77" s="38" t="n"/>
      <c r="W77" s="38" t="n"/>
      <c r="X77" s="38" t="n"/>
      <c r="Y77" s="38" t="n"/>
      <c r="Z77" s="38" t="n"/>
      <c r="AA77" s="38" t="n"/>
    </row>
    <row r="78" ht="21" customHeight="1">
      <c r="A78" s="38" t="n"/>
      <c r="B78" s="38" t="n"/>
      <c r="C78" s="38" t="n"/>
      <c r="D78" s="38" t="n"/>
      <c r="E78" s="38" t="n"/>
      <c r="F78" s="39" t="n"/>
      <c r="G78" s="38" t="n"/>
      <c r="H78" s="38" t="n"/>
      <c r="I78" s="38" t="n"/>
      <c r="J78" s="38" t="n"/>
      <c r="K78" s="38" t="n"/>
      <c r="L78" s="38" t="n"/>
      <c r="M78" s="38" t="n"/>
      <c r="N78" s="38" t="n"/>
      <c r="O78" s="40" t="n"/>
      <c r="P78" s="41">
        <f>IF(D78="","",F78*O78)</f>
        <v/>
      </c>
      <c r="Q78" s="38" t="n"/>
      <c r="R78" s="38" t="n"/>
      <c r="S78" s="40" t="n"/>
      <c r="T78" s="41">
        <f>IF(D78="","",P78+Q78+R78-S78)</f>
        <v/>
      </c>
      <c r="U78" s="38" t="n"/>
      <c r="V78" s="38" t="n"/>
      <c r="W78" s="38" t="n"/>
      <c r="X78" s="38" t="n"/>
      <c r="Y78" s="38" t="n"/>
      <c r="Z78" s="38" t="n"/>
      <c r="AA78" s="38" t="n"/>
    </row>
    <row r="79" ht="21" customHeight="1">
      <c r="A79" s="38" t="n"/>
      <c r="B79" s="38" t="n"/>
      <c r="C79" s="38" t="n"/>
      <c r="D79" s="38" t="n"/>
      <c r="E79" s="38" t="n"/>
      <c r="F79" s="39" t="n"/>
      <c r="G79" s="38" t="n"/>
      <c r="H79" s="38" t="n"/>
      <c r="I79" s="38" t="n"/>
      <c r="J79" s="38" t="n"/>
      <c r="K79" s="38" t="n"/>
      <c r="L79" s="38" t="n"/>
      <c r="M79" s="38" t="n"/>
      <c r="N79" s="38" t="n"/>
      <c r="O79" s="40" t="n"/>
      <c r="P79" s="41">
        <f>IF(D79="","",F79*O79)</f>
        <v/>
      </c>
      <c r="Q79" s="38" t="n"/>
      <c r="R79" s="38" t="n"/>
      <c r="S79" s="40" t="n"/>
      <c r="T79" s="41">
        <f>IF(D79="","",P79+Q79+R79-S79)</f>
        <v/>
      </c>
      <c r="U79" s="38" t="n"/>
      <c r="V79" s="38" t="n"/>
      <c r="W79" s="38" t="n"/>
      <c r="X79" s="38" t="n"/>
      <c r="Y79" s="38" t="n"/>
      <c r="Z79" s="38" t="n"/>
      <c r="AA79" s="38" t="n"/>
    </row>
    <row r="80" ht="21" customHeight="1">
      <c r="A80" s="38" t="n"/>
      <c r="B80" s="38" t="n"/>
      <c r="C80" s="38" t="n"/>
      <c r="D80" s="38" t="n"/>
      <c r="E80" s="38" t="n"/>
      <c r="F80" s="39" t="n"/>
      <c r="G80" s="38" t="n"/>
      <c r="H80" s="38" t="n"/>
      <c r="I80" s="38" t="n"/>
      <c r="J80" s="38" t="n"/>
      <c r="K80" s="38" t="n"/>
      <c r="L80" s="38" t="n"/>
      <c r="M80" s="38" t="n"/>
      <c r="N80" s="38" t="n"/>
      <c r="O80" s="40" t="n"/>
      <c r="P80" s="41">
        <f>IF(D80="","",F80*O80)</f>
        <v/>
      </c>
      <c r="Q80" s="38" t="n"/>
      <c r="R80" s="38" t="n"/>
      <c r="S80" s="40" t="n"/>
      <c r="T80" s="41">
        <f>IF(D80="","",P80+Q80+R80-S80)</f>
        <v/>
      </c>
      <c r="U80" s="38" t="n"/>
      <c r="V80" s="38" t="n"/>
      <c r="W80" s="38" t="n"/>
      <c r="X80" s="38" t="n"/>
      <c r="Y80" s="38" t="n"/>
      <c r="Z80" s="38" t="n"/>
      <c r="AA80" s="38" t="n"/>
    </row>
    <row r="81" ht="21" customHeight="1">
      <c r="A81" s="38" t="n"/>
      <c r="B81" s="38" t="n"/>
      <c r="C81" s="38" t="n"/>
      <c r="D81" s="38" t="n"/>
      <c r="E81" s="38" t="n"/>
      <c r="F81" s="39" t="n"/>
      <c r="G81" s="38" t="n"/>
      <c r="H81" s="38" t="n"/>
      <c r="I81" s="38" t="n"/>
      <c r="J81" s="38" t="n"/>
      <c r="K81" s="38" t="n"/>
      <c r="L81" s="38" t="n"/>
      <c r="M81" s="38" t="n"/>
      <c r="N81" s="38" t="n"/>
      <c r="O81" s="40" t="n"/>
      <c r="P81" s="41">
        <f>IF(D81="","",F81*O81)</f>
        <v/>
      </c>
      <c r="Q81" s="38" t="n"/>
      <c r="R81" s="38" t="n"/>
      <c r="S81" s="40" t="n"/>
      <c r="T81" s="41">
        <f>IF(D81="","",P81+Q81+R81-S81)</f>
        <v/>
      </c>
      <c r="U81" s="38" t="n"/>
      <c r="V81" s="38" t="n"/>
      <c r="W81" s="38" t="n"/>
      <c r="X81" s="38" t="n"/>
      <c r="Y81" s="38" t="n"/>
      <c r="Z81" s="38" t="n"/>
      <c r="AA81" s="38" t="n"/>
    </row>
    <row r="82" ht="21" customHeight="1">
      <c r="A82" s="38" t="n"/>
      <c r="B82" s="38" t="n"/>
      <c r="C82" s="38" t="n"/>
      <c r="D82" s="38" t="n"/>
      <c r="E82" s="38" t="n"/>
      <c r="F82" s="39" t="n"/>
      <c r="G82" s="38" t="n"/>
      <c r="H82" s="38" t="n"/>
      <c r="I82" s="38" t="n"/>
      <c r="J82" s="38" t="n"/>
      <c r="K82" s="38" t="n"/>
      <c r="L82" s="38" t="n"/>
      <c r="M82" s="38" t="n"/>
      <c r="N82" s="38" t="n"/>
      <c r="O82" s="40" t="n"/>
      <c r="P82" s="41">
        <f>IF(D82="","",F82*O82)</f>
        <v/>
      </c>
      <c r="Q82" s="38" t="n"/>
      <c r="R82" s="38" t="n"/>
      <c r="S82" s="40" t="n"/>
      <c r="T82" s="41">
        <f>IF(D82="","",P82+Q82+R82-S82)</f>
        <v/>
      </c>
      <c r="U82" s="38" t="n"/>
      <c r="V82" s="38" t="n"/>
      <c r="W82" s="38" t="n"/>
      <c r="X82" s="38" t="n"/>
      <c r="Y82" s="38" t="n"/>
      <c r="Z82" s="38" t="n"/>
      <c r="AA82" s="38" t="n"/>
    </row>
    <row r="83" ht="21" customHeight="1">
      <c r="A83" s="38" t="n"/>
      <c r="B83" s="38" t="n"/>
      <c r="C83" s="38" t="n"/>
      <c r="D83" s="38" t="n"/>
      <c r="E83" s="38" t="n"/>
      <c r="F83" s="39" t="n"/>
      <c r="G83" s="38" t="n"/>
      <c r="H83" s="38" t="n"/>
      <c r="I83" s="38" t="n"/>
      <c r="J83" s="38" t="n"/>
      <c r="K83" s="38" t="n"/>
      <c r="L83" s="38" t="n"/>
      <c r="M83" s="38" t="n"/>
      <c r="N83" s="38" t="n"/>
      <c r="O83" s="40" t="n"/>
      <c r="P83" s="41">
        <f>IF(D83="","",F83*O83)</f>
        <v/>
      </c>
      <c r="Q83" s="38" t="n"/>
      <c r="R83" s="38" t="n"/>
      <c r="S83" s="40" t="n"/>
      <c r="T83" s="41">
        <f>IF(D83="","",P83+Q83+R83-S83)</f>
        <v/>
      </c>
      <c r="U83" s="38" t="n"/>
      <c r="V83" s="38" t="n"/>
      <c r="W83" s="38" t="n"/>
      <c r="X83" s="38" t="n"/>
      <c r="Y83" s="38" t="n"/>
      <c r="Z83" s="38" t="n"/>
      <c r="AA83" s="38" t="n"/>
    </row>
    <row r="84" ht="21" customHeight="1">
      <c r="A84" s="38" t="n"/>
      <c r="B84" s="38" t="n"/>
      <c r="C84" s="38" t="n"/>
      <c r="D84" s="38" t="n"/>
      <c r="E84" s="38" t="n"/>
      <c r="F84" s="39" t="n"/>
      <c r="G84" s="38" t="n"/>
      <c r="H84" s="38" t="n"/>
      <c r="I84" s="38" t="n"/>
      <c r="J84" s="38" t="n"/>
      <c r="K84" s="38" t="n"/>
      <c r="L84" s="38" t="n"/>
      <c r="M84" s="38" t="n"/>
      <c r="N84" s="38" t="n"/>
      <c r="O84" s="40" t="n"/>
      <c r="P84" s="41">
        <f>IF(D84="","",F84*O84)</f>
        <v/>
      </c>
      <c r="Q84" s="38" t="n"/>
      <c r="R84" s="38" t="n"/>
      <c r="S84" s="40" t="n"/>
      <c r="T84" s="41">
        <f>IF(D84="","",P84+Q84+R84-S84)</f>
        <v/>
      </c>
      <c r="U84" s="38" t="n"/>
      <c r="V84" s="38" t="n"/>
      <c r="W84" s="38" t="n"/>
      <c r="X84" s="38" t="n"/>
      <c r="Y84" s="38" t="n"/>
      <c r="Z84" s="38" t="n"/>
      <c r="AA84" s="38" t="n"/>
    </row>
    <row r="85" ht="21" customHeight="1">
      <c r="A85" s="38" t="n"/>
      <c r="B85" s="38" t="n"/>
      <c r="C85" s="38" t="n"/>
      <c r="D85" s="38" t="n"/>
      <c r="E85" s="38" t="n"/>
      <c r="F85" s="39" t="n"/>
      <c r="G85" s="38" t="n"/>
      <c r="H85" s="38" t="n"/>
      <c r="I85" s="38" t="n"/>
      <c r="J85" s="38" t="n"/>
      <c r="K85" s="38" t="n"/>
      <c r="L85" s="38" t="n"/>
      <c r="M85" s="38" t="n"/>
      <c r="N85" s="38" t="n"/>
      <c r="O85" s="40" t="n"/>
      <c r="P85" s="41">
        <f>IF(D85="","",F85*O85)</f>
        <v/>
      </c>
      <c r="Q85" s="38" t="n"/>
      <c r="R85" s="38" t="n"/>
      <c r="S85" s="40" t="n"/>
      <c r="T85" s="41">
        <f>IF(D85="","",P85+Q85+R85-S85)</f>
        <v/>
      </c>
      <c r="U85" s="38" t="n"/>
      <c r="V85" s="38" t="n"/>
      <c r="W85" s="38" t="n"/>
      <c r="X85" s="38" t="n"/>
      <c r="Y85" s="38" t="n"/>
      <c r="Z85" s="38" t="n"/>
      <c r="AA85" s="38" t="n"/>
    </row>
    <row r="86" ht="21" customHeight="1">
      <c r="A86" s="38" t="n"/>
      <c r="B86" s="38" t="n"/>
      <c r="C86" s="38" t="n"/>
      <c r="D86" s="38" t="n"/>
      <c r="E86" s="38" t="n"/>
      <c r="F86" s="39" t="n"/>
      <c r="G86" s="38" t="n"/>
      <c r="H86" s="38" t="n"/>
      <c r="I86" s="38" t="n"/>
      <c r="J86" s="38" t="n"/>
      <c r="K86" s="38" t="n"/>
      <c r="L86" s="38" t="n"/>
      <c r="M86" s="38" t="n"/>
      <c r="N86" s="38" t="n"/>
      <c r="O86" s="40" t="n"/>
      <c r="P86" s="41">
        <f>IF(D86="","",F86*O86)</f>
        <v/>
      </c>
      <c r="Q86" s="38" t="n"/>
      <c r="R86" s="38" t="n"/>
      <c r="S86" s="40" t="n"/>
      <c r="T86" s="41">
        <f>IF(D86="","",P86+Q86+R86-S86)</f>
        <v/>
      </c>
      <c r="U86" s="38" t="n"/>
      <c r="V86" s="38" t="n"/>
      <c r="W86" s="38" t="n"/>
      <c r="X86" s="38" t="n"/>
      <c r="Y86" s="38" t="n"/>
      <c r="Z86" s="38" t="n"/>
      <c r="AA86" s="38" t="n"/>
    </row>
    <row r="87" ht="21" customHeight="1">
      <c r="A87" s="38" t="n"/>
      <c r="B87" s="38" t="n"/>
      <c r="C87" s="38" t="n"/>
      <c r="D87" s="38" t="n"/>
      <c r="E87" s="38" t="n"/>
      <c r="F87" s="39" t="n"/>
      <c r="G87" s="38" t="n"/>
      <c r="H87" s="38" t="n"/>
      <c r="I87" s="38" t="n"/>
      <c r="J87" s="38" t="n"/>
      <c r="K87" s="38" t="n"/>
      <c r="L87" s="38" t="n"/>
      <c r="M87" s="38" t="n"/>
      <c r="N87" s="38" t="n"/>
      <c r="O87" s="40" t="n"/>
      <c r="P87" s="41">
        <f>IF(D87="","",F87*O87)</f>
        <v/>
      </c>
      <c r="Q87" s="38" t="n"/>
      <c r="R87" s="38" t="n"/>
      <c r="S87" s="40" t="n"/>
      <c r="T87" s="41">
        <f>IF(D87="","",P87+Q87+R87-S87)</f>
        <v/>
      </c>
      <c r="U87" s="38" t="n"/>
      <c r="V87" s="38" t="n"/>
      <c r="W87" s="38" t="n"/>
      <c r="X87" s="38" t="n"/>
      <c r="Y87" s="38" t="n"/>
      <c r="Z87" s="38" t="n"/>
      <c r="AA87" s="38" t="n"/>
    </row>
    <row r="88" ht="21" customHeight="1">
      <c r="A88" s="38" t="n"/>
      <c r="B88" s="38" t="n"/>
      <c r="C88" s="38" t="n"/>
      <c r="D88" s="38" t="n"/>
      <c r="E88" s="38" t="n"/>
      <c r="F88" s="39" t="n"/>
      <c r="G88" s="38" t="n"/>
      <c r="H88" s="38" t="n"/>
      <c r="I88" s="38" t="n"/>
      <c r="J88" s="38" t="n"/>
      <c r="K88" s="38" t="n"/>
      <c r="L88" s="38" t="n"/>
      <c r="M88" s="38" t="n"/>
      <c r="N88" s="38" t="n"/>
      <c r="O88" s="40" t="n"/>
      <c r="P88" s="41">
        <f>IF(D88="","",F88*O88)</f>
        <v/>
      </c>
      <c r="Q88" s="38" t="n"/>
      <c r="R88" s="38" t="n"/>
      <c r="S88" s="40" t="n"/>
      <c r="T88" s="41">
        <f>IF(D88="","",P88+Q88+R88-S88)</f>
        <v/>
      </c>
      <c r="U88" s="38" t="n"/>
      <c r="V88" s="38" t="n"/>
      <c r="W88" s="38" t="n"/>
      <c r="X88" s="38" t="n"/>
      <c r="Y88" s="38" t="n"/>
      <c r="Z88" s="38" t="n"/>
      <c r="AA88" s="38" t="n"/>
    </row>
    <row r="89" ht="21" customHeight="1">
      <c r="A89" s="38" t="n"/>
      <c r="B89" s="38" t="n"/>
      <c r="C89" s="38" t="n"/>
      <c r="D89" s="38" t="n"/>
      <c r="E89" s="38" t="n"/>
      <c r="F89" s="39" t="n"/>
      <c r="G89" s="38" t="n"/>
      <c r="H89" s="38" t="n"/>
      <c r="I89" s="38" t="n"/>
      <c r="J89" s="38" t="n"/>
      <c r="K89" s="38" t="n"/>
      <c r="L89" s="38" t="n"/>
      <c r="M89" s="38" t="n"/>
      <c r="N89" s="38" t="n"/>
      <c r="O89" s="40" t="n"/>
      <c r="P89" s="41">
        <f>IF(D89="","",F89*O89)</f>
        <v/>
      </c>
      <c r="Q89" s="38" t="n"/>
      <c r="R89" s="38" t="n"/>
      <c r="S89" s="40" t="n"/>
      <c r="T89" s="41">
        <f>IF(D89="","",P89+Q89+R89-S89)</f>
        <v/>
      </c>
      <c r="U89" s="38" t="n"/>
      <c r="V89" s="38" t="n"/>
      <c r="W89" s="38" t="n"/>
      <c r="X89" s="38" t="n"/>
      <c r="Y89" s="38" t="n"/>
      <c r="Z89" s="38" t="n"/>
      <c r="AA89" s="38" t="n"/>
    </row>
    <row r="90" ht="21" customHeight="1">
      <c r="A90" s="38" t="n"/>
      <c r="B90" s="38" t="n"/>
      <c r="C90" s="38" t="n"/>
      <c r="D90" s="38" t="n"/>
      <c r="E90" s="38" t="n"/>
      <c r="F90" s="39" t="n"/>
      <c r="G90" s="38" t="n"/>
      <c r="H90" s="38" t="n"/>
      <c r="I90" s="38" t="n"/>
      <c r="J90" s="38" t="n"/>
      <c r="K90" s="38" t="n"/>
      <c r="L90" s="38" t="n"/>
      <c r="M90" s="38" t="n"/>
      <c r="N90" s="38" t="n"/>
      <c r="O90" s="40" t="n"/>
      <c r="P90" s="41">
        <f>IF(D90="","",F90*O90)</f>
        <v/>
      </c>
      <c r="Q90" s="38" t="n"/>
      <c r="R90" s="38" t="n"/>
      <c r="S90" s="40" t="n"/>
      <c r="T90" s="41">
        <f>IF(D90="","",P90+Q90+R90-S90)</f>
        <v/>
      </c>
      <c r="U90" s="38" t="n"/>
      <c r="V90" s="38" t="n"/>
      <c r="W90" s="38" t="n"/>
      <c r="X90" s="38" t="n"/>
      <c r="Y90" s="38" t="n"/>
      <c r="Z90" s="38" t="n"/>
      <c r="AA90" s="38" t="n"/>
    </row>
    <row r="91" ht="21" customHeight="1">
      <c r="A91" s="38" t="n"/>
      <c r="B91" s="38" t="n"/>
      <c r="C91" s="38" t="n"/>
      <c r="D91" s="38" t="n"/>
      <c r="E91" s="38" t="n"/>
      <c r="F91" s="39" t="n"/>
      <c r="G91" s="38" t="n"/>
      <c r="H91" s="38" t="n"/>
      <c r="I91" s="38" t="n"/>
      <c r="J91" s="38" t="n"/>
      <c r="K91" s="38" t="n"/>
      <c r="L91" s="38" t="n"/>
      <c r="M91" s="38" t="n"/>
      <c r="N91" s="38" t="n"/>
      <c r="O91" s="40" t="n"/>
      <c r="P91" s="41">
        <f>IF(D91="","",F91*O91)</f>
        <v/>
      </c>
      <c r="Q91" s="38" t="n"/>
      <c r="R91" s="38" t="n"/>
      <c r="S91" s="40" t="n"/>
      <c r="T91" s="41">
        <f>IF(D91="","",P91+Q91+R91-S91)</f>
        <v/>
      </c>
      <c r="U91" s="38" t="n"/>
      <c r="V91" s="38" t="n"/>
      <c r="W91" s="38" t="n"/>
      <c r="X91" s="38" t="n"/>
      <c r="Y91" s="38" t="n"/>
      <c r="Z91" s="38" t="n"/>
      <c r="AA91" s="38" t="n"/>
    </row>
    <row r="92" ht="21" customHeight="1">
      <c r="A92" s="38" t="n"/>
      <c r="B92" s="38" t="n"/>
      <c r="C92" s="38" t="n"/>
      <c r="D92" s="38" t="n"/>
      <c r="E92" s="38" t="n"/>
      <c r="F92" s="39" t="n"/>
      <c r="G92" s="38" t="n"/>
      <c r="H92" s="38" t="n"/>
      <c r="I92" s="38" t="n"/>
      <c r="J92" s="38" t="n"/>
      <c r="K92" s="38" t="n"/>
      <c r="L92" s="38" t="n"/>
      <c r="M92" s="38" t="n"/>
      <c r="N92" s="38" t="n"/>
      <c r="O92" s="40" t="n"/>
      <c r="P92" s="41">
        <f>IF(D92="","",F92*O92)</f>
        <v/>
      </c>
      <c r="Q92" s="38" t="n"/>
      <c r="R92" s="38" t="n"/>
      <c r="S92" s="40" t="n"/>
      <c r="T92" s="41">
        <f>IF(D92="","",P92+Q92+R92-S92)</f>
        <v/>
      </c>
      <c r="U92" s="38" t="n"/>
      <c r="V92" s="38" t="n"/>
      <c r="W92" s="38" t="n"/>
      <c r="X92" s="38" t="n"/>
      <c r="Y92" s="38" t="n"/>
      <c r="Z92" s="38" t="n"/>
      <c r="AA92" s="38" t="n"/>
    </row>
    <row r="93" ht="21" customHeight="1">
      <c r="A93" s="38" t="n"/>
      <c r="B93" s="38" t="n"/>
      <c r="C93" s="38" t="n"/>
      <c r="D93" s="38" t="n"/>
      <c r="E93" s="38" t="n"/>
      <c r="F93" s="39" t="n"/>
      <c r="G93" s="38" t="n"/>
      <c r="H93" s="38" t="n"/>
      <c r="I93" s="38" t="n"/>
      <c r="J93" s="38" t="n"/>
      <c r="K93" s="38" t="n"/>
      <c r="L93" s="38" t="n"/>
      <c r="M93" s="38" t="n"/>
      <c r="N93" s="38" t="n"/>
      <c r="O93" s="40" t="n"/>
      <c r="P93" s="41">
        <f>IF(D93="","",F93*O93)</f>
        <v/>
      </c>
      <c r="Q93" s="38" t="n"/>
      <c r="R93" s="38" t="n"/>
      <c r="S93" s="40" t="n"/>
      <c r="T93" s="41">
        <f>IF(D93="","",P93+Q93+R93-S93)</f>
        <v/>
      </c>
      <c r="U93" s="38" t="n"/>
      <c r="V93" s="38" t="n"/>
      <c r="W93" s="38" t="n"/>
      <c r="X93" s="38" t="n"/>
      <c r="Y93" s="38" t="n"/>
      <c r="Z93" s="38" t="n"/>
      <c r="AA93" s="38" t="n"/>
    </row>
    <row r="94" ht="21" customHeight="1">
      <c r="A94" s="38" t="n"/>
      <c r="B94" s="38" t="n"/>
      <c r="C94" s="38" t="n"/>
      <c r="D94" s="38" t="n"/>
      <c r="E94" s="38" t="n"/>
      <c r="F94" s="39" t="n"/>
      <c r="G94" s="38" t="n"/>
      <c r="H94" s="38" t="n"/>
      <c r="I94" s="38" t="n"/>
      <c r="J94" s="38" t="n"/>
      <c r="K94" s="38" t="n"/>
      <c r="L94" s="38" t="n"/>
      <c r="M94" s="38" t="n"/>
      <c r="N94" s="38" t="n"/>
      <c r="O94" s="40" t="n"/>
      <c r="P94" s="41">
        <f>IF(D94="","",F94*O94)</f>
        <v/>
      </c>
      <c r="Q94" s="38" t="n"/>
      <c r="R94" s="38" t="n"/>
      <c r="S94" s="40" t="n"/>
      <c r="T94" s="41">
        <f>IF(D94="","",P94+Q94+R94-S94)</f>
        <v/>
      </c>
      <c r="U94" s="38" t="n"/>
      <c r="V94" s="38" t="n"/>
      <c r="W94" s="38" t="n"/>
      <c r="X94" s="38" t="n"/>
      <c r="Y94" s="38" t="n"/>
      <c r="Z94" s="38" t="n"/>
      <c r="AA94" s="38" t="n"/>
    </row>
    <row r="95" ht="21" customHeight="1">
      <c r="A95" s="38" t="n"/>
      <c r="B95" s="38" t="n"/>
      <c r="C95" s="38" t="n"/>
      <c r="D95" s="38" t="n"/>
      <c r="E95" s="38" t="n"/>
      <c r="F95" s="39" t="n"/>
      <c r="G95" s="38" t="n"/>
      <c r="H95" s="38" t="n"/>
      <c r="I95" s="38" t="n"/>
      <c r="J95" s="38" t="n"/>
      <c r="K95" s="38" t="n"/>
      <c r="L95" s="38" t="n"/>
      <c r="M95" s="38" t="n"/>
      <c r="N95" s="38" t="n"/>
      <c r="O95" s="40" t="n"/>
      <c r="P95" s="41">
        <f>IF(D95="","",F95*O95)</f>
        <v/>
      </c>
      <c r="Q95" s="38" t="n"/>
      <c r="R95" s="38" t="n"/>
      <c r="S95" s="40" t="n"/>
      <c r="T95" s="41">
        <f>IF(D95="","",P95+Q95+R95-S95)</f>
        <v/>
      </c>
      <c r="U95" s="38" t="n"/>
      <c r="V95" s="38" t="n"/>
      <c r="W95" s="38" t="n"/>
      <c r="X95" s="38" t="n"/>
      <c r="Y95" s="38" t="n"/>
      <c r="Z95" s="38" t="n"/>
      <c r="AA95" s="38" t="n"/>
    </row>
    <row r="96" ht="21" customHeight="1">
      <c r="A96" s="38" t="n"/>
      <c r="B96" s="38" t="n"/>
      <c r="C96" s="38" t="n"/>
      <c r="D96" s="38" t="n"/>
      <c r="E96" s="38" t="n"/>
      <c r="F96" s="39" t="n"/>
      <c r="G96" s="38" t="n"/>
      <c r="H96" s="38" t="n"/>
      <c r="I96" s="38" t="n"/>
      <c r="J96" s="38" t="n"/>
      <c r="K96" s="38" t="n"/>
      <c r="L96" s="38" t="n"/>
      <c r="M96" s="38" t="n"/>
      <c r="N96" s="38" t="n"/>
      <c r="O96" s="40" t="n"/>
      <c r="P96" s="41">
        <f>IF(D96="","",F96*O96)</f>
        <v/>
      </c>
      <c r="Q96" s="38" t="n"/>
      <c r="R96" s="38" t="n"/>
      <c r="S96" s="40" t="n"/>
      <c r="T96" s="41">
        <f>IF(D96="","",P96+Q96+R96-S96)</f>
        <v/>
      </c>
      <c r="U96" s="38" t="n"/>
      <c r="V96" s="38" t="n"/>
      <c r="W96" s="38" t="n"/>
      <c r="X96" s="38" t="n"/>
      <c r="Y96" s="38" t="n"/>
      <c r="Z96" s="38" t="n"/>
      <c r="AA96" s="38" t="n"/>
    </row>
    <row r="97" ht="21" customHeight="1">
      <c r="A97" s="38" t="n"/>
      <c r="B97" s="38" t="n"/>
      <c r="C97" s="38" t="n"/>
      <c r="D97" s="38" t="n"/>
      <c r="E97" s="38" t="n"/>
      <c r="F97" s="39" t="n"/>
      <c r="G97" s="38" t="n"/>
      <c r="H97" s="38" t="n"/>
      <c r="I97" s="38" t="n"/>
      <c r="J97" s="38" t="n"/>
      <c r="K97" s="38" t="n"/>
      <c r="L97" s="38" t="n"/>
      <c r="M97" s="38" t="n"/>
      <c r="N97" s="38" t="n"/>
      <c r="O97" s="40" t="n"/>
      <c r="P97" s="41">
        <f>IF(D97="","",F97*O97)</f>
        <v/>
      </c>
      <c r="Q97" s="38" t="n"/>
      <c r="R97" s="38" t="n"/>
      <c r="S97" s="40" t="n"/>
      <c r="T97" s="41">
        <f>IF(D97="","",P97+Q97+R97-S97)</f>
        <v/>
      </c>
      <c r="U97" s="38" t="n"/>
      <c r="V97" s="38" t="n"/>
      <c r="W97" s="38" t="n"/>
      <c r="X97" s="38" t="n"/>
      <c r="Y97" s="38" t="n"/>
      <c r="Z97" s="38" t="n"/>
      <c r="AA97" s="38" t="n"/>
    </row>
    <row r="98" ht="21" customHeight="1">
      <c r="A98" s="38" t="n"/>
      <c r="B98" s="38" t="n"/>
      <c r="C98" s="38" t="n"/>
      <c r="D98" s="38" t="n"/>
      <c r="E98" s="38" t="n"/>
      <c r="F98" s="39" t="n"/>
      <c r="G98" s="38" t="n"/>
      <c r="H98" s="38" t="n"/>
      <c r="I98" s="38" t="n"/>
      <c r="J98" s="38" t="n"/>
      <c r="K98" s="38" t="n"/>
      <c r="L98" s="38" t="n"/>
      <c r="M98" s="38" t="n"/>
      <c r="N98" s="38" t="n"/>
      <c r="O98" s="40" t="n"/>
      <c r="P98" s="41">
        <f>IF(D98="","",F98*O98)</f>
        <v/>
      </c>
      <c r="Q98" s="38" t="n"/>
      <c r="R98" s="38" t="n"/>
      <c r="S98" s="40" t="n"/>
      <c r="T98" s="41">
        <f>IF(D98="","",P98+Q98+R98-S98)</f>
        <v/>
      </c>
      <c r="U98" s="38" t="n"/>
      <c r="V98" s="38" t="n"/>
      <c r="W98" s="38" t="n"/>
      <c r="X98" s="38" t="n"/>
      <c r="Y98" s="38" t="n"/>
      <c r="Z98" s="38" t="n"/>
      <c r="AA98" s="38" t="n"/>
    </row>
    <row r="99" ht="21" customHeight="1">
      <c r="A99" s="38" t="n"/>
      <c r="B99" s="38" t="n"/>
      <c r="C99" s="38" t="n"/>
      <c r="D99" s="38" t="n"/>
      <c r="E99" s="38" t="n"/>
      <c r="F99" s="39" t="n"/>
      <c r="G99" s="38" t="n"/>
      <c r="H99" s="38" t="n"/>
      <c r="I99" s="38" t="n"/>
      <c r="J99" s="38" t="n"/>
      <c r="K99" s="38" t="n"/>
      <c r="L99" s="38" t="n"/>
      <c r="M99" s="38" t="n"/>
      <c r="N99" s="38" t="n"/>
      <c r="O99" s="40" t="n"/>
      <c r="P99" s="41">
        <f>IF(D99="","",F99*O99)</f>
        <v/>
      </c>
      <c r="Q99" s="38" t="n"/>
      <c r="R99" s="38" t="n"/>
      <c r="S99" s="40" t="n"/>
      <c r="T99" s="41">
        <f>IF(D99="","",P99+Q99+R99-S99)</f>
        <v/>
      </c>
      <c r="U99" s="38" t="n"/>
      <c r="V99" s="38" t="n"/>
      <c r="W99" s="38" t="n"/>
      <c r="X99" s="38" t="n"/>
      <c r="Y99" s="38" t="n"/>
      <c r="Z99" s="38" t="n"/>
      <c r="AA99" s="38" t="n"/>
    </row>
    <row r="100" ht="21" customHeight="1">
      <c r="A100" s="38" t="n"/>
      <c r="B100" s="38" t="n"/>
      <c r="C100" s="38" t="n"/>
      <c r="D100" s="38" t="n"/>
      <c r="E100" s="38" t="n"/>
      <c r="F100" s="39" t="n"/>
      <c r="G100" s="38" t="n"/>
      <c r="H100" s="38" t="n"/>
      <c r="I100" s="38" t="n"/>
      <c r="J100" s="38" t="n"/>
      <c r="K100" s="38" t="n"/>
      <c r="L100" s="38" t="n"/>
      <c r="M100" s="38" t="n"/>
      <c r="N100" s="38" t="n"/>
      <c r="O100" s="40" t="n"/>
      <c r="P100" s="41">
        <f>IF(D100="","",F100*O100)</f>
        <v/>
      </c>
      <c r="Q100" s="38" t="n"/>
      <c r="R100" s="38" t="n"/>
      <c r="S100" s="40" t="n"/>
      <c r="T100" s="41">
        <f>IF(D100="","",P100+Q100+R100-S100)</f>
        <v/>
      </c>
      <c r="U100" s="38" t="n"/>
      <c r="V100" s="38" t="n"/>
      <c r="W100" s="38" t="n"/>
      <c r="X100" s="38" t="n"/>
      <c r="Y100" s="38" t="n"/>
      <c r="Z100" s="38" t="n"/>
      <c r="AA100" s="38" t="n"/>
    </row>
    <row r="101" ht="21" customHeight="1">
      <c r="A101" s="38" t="n"/>
      <c r="B101" s="38" t="n"/>
      <c r="C101" s="38" t="n"/>
      <c r="D101" s="38" t="n"/>
      <c r="E101" s="38" t="n"/>
      <c r="F101" s="39" t="n"/>
      <c r="G101" s="38" t="n"/>
      <c r="H101" s="38" t="n"/>
      <c r="I101" s="38" t="n"/>
      <c r="J101" s="38" t="n"/>
      <c r="K101" s="38" t="n"/>
      <c r="L101" s="38" t="n"/>
      <c r="M101" s="38" t="n"/>
      <c r="N101" s="38" t="n"/>
      <c r="O101" s="40" t="n"/>
      <c r="P101" s="41">
        <f>IF(D101="","",F101*O101)</f>
        <v/>
      </c>
      <c r="Q101" s="38" t="n"/>
      <c r="R101" s="38" t="n"/>
      <c r="S101" s="40" t="n"/>
      <c r="T101" s="41">
        <f>IF(D101="","",P101+Q101+R101-S101)</f>
        <v/>
      </c>
      <c r="U101" s="38" t="n"/>
      <c r="V101" s="38" t="n"/>
      <c r="W101" s="38" t="n"/>
      <c r="X101" s="38" t="n"/>
      <c r="Y101" s="38" t="n"/>
      <c r="Z101" s="38" t="n"/>
      <c r="AA101" s="38" t="n"/>
    </row>
    <row r="102" ht="21" customHeight="1">
      <c r="A102" s="38" t="n"/>
      <c r="B102" s="38" t="n"/>
      <c r="C102" s="38" t="n"/>
      <c r="D102" s="38" t="n"/>
      <c r="E102" s="38" t="n"/>
      <c r="F102" s="39" t="n"/>
      <c r="G102" s="38" t="n"/>
      <c r="H102" s="38" t="n"/>
      <c r="I102" s="38" t="n"/>
      <c r="J102" s="38" t="n"/>
      <c r="K102" s="38" t="n"/>
      <c r="L102" s="38" t="n"/>
      <c r="M102" s="38" t="n"/>
      <c r="N102" s="38" t="n"/>
      <c r="O102" s="40" t="n"/>
      <c r="P102" s="41">
        <f>IF(D102="","",F102*O102)</f>
        <v/>
      </c>
      <c r="Q102" s="38" t="n"/>
      <c r="R102" s="38" t="n"/>
      <c r="S102" s="40" t="n"/>
      <c r="T102" s="41">
        <f>IF(D102="","",P102+Q102+R102-S102)</f>
        <v/>
      </c>
      <c r="U102" s="38" t="n"/>
      <c r="V102" s="38" t="n"/>
      <c r="W102" s="38" t="n"/>
      <c r="X102" s="38" t="n"/>
      <c r="Y102" s="38" t="n"/>
      <c r="Z102" s="38" t="n"/>
      <c r="AA102" s="38" t="n"/>
    </row>
    <row r="103" ht="21" customHeight="1">
      <c r="A103" s="38" t="n"/>
      <c r="B103" s="38" t="n"/>
      <c r="C103" s="38" t="n"/>
      <c r="D103" s="38" t="n"/>
      <c r="E103" s="38" t="n"/>
      <c r="F103" s="39" t="n"/>
      <c r="G103" s="38" t="n"/>
      <c r="H103" s="38" t="n"/>
      <c r="I103" s="38" t="n"/>
      <c r="J103" s="38" t="n"/>
      <c r="K103" s="38" t="n"/>
      <c r="L103" s="38" t="n"/>
      <c r="M103" s="38" t="n"/>
      <c r="N103" s="38" t="n"/>
      <c r="O103" s="40" t="n"/>
      <c r="P103" s="41">
        <f>IF(D103="","",F103*O103)</f>
        <v/>
      </c>
      <c r="Q103" s="38" t="n"/>
      <c r="R103" s="38" t="n"/>
      <c r="S103" s="40" t="n"/>
      <c r="T103" s="41">
        <f>IF(D103="","",P103+Q103+R103-S103)</f>
        <v/>
      </c>
      <c r="U103" s="38" t="n"/>
      <c r="V103" s="38" t="n"/>
      <c r="W103" s="38" t="n"/>
      <c r="X103" s="38" t="n"/>
      <c r="Y103" s="38" t="n"/>
      <c r="Z103" s="38" t="n"/>
      <c r="AA103" s="38" t="n"/>
    </row>
    <row r="104" ht="21" customHeight="1">
      <c r="A104" s="38" t="n"/>
      <c r="B104" s="38" t="n"/>
      <c r="C104" s="38" t="n"/>
      <c r="D104" s="38" t="n"/>
      <c r="E104" s="38" t="n"/>
      <c r="F104" s="39" t="n"/>
      <c r="G104" s="38" t="n"/>
      <c r="H104" s="38" t="n"/>
      <c r="I104" s="38" t="n"/>
      <c r="J104" s="38" t="n"/>
      <c r="K104" s="38" t="n"/>
      <c r="L104" s="38" t="n"/>
      <c r="M104" s="38" t="n"/>
      <c r="N104" s="38" t="n"/>
      <c r="O104" s="40" t="n"/>
      <c r="P104" s="41">
        <f>IF(D104="","",F104*O104)</f>
        <v/>
      </c>
      <c r="Q104" s="38" t="n"/>
      <c r="R104" s="38" t="n"/>
      <c r="S104" s="40" t="n"/>
      <c r="T104" s="41">
        <f>IF(D104="","",P104+Q104+R104-S104)</f>
        <v/>
      </c>
      <c r="U104" s="38" t="n"/>
      <c r="V104" s="38" t="n"/>
      <c r="W104" s="38" t="n"/>
      <c r="X104" s="38" t="n"/>
      <c r="Y104" s="38" t="n"/>
      <c r="Z104" s="38" t="n"/>
      <c r="AA104" s="38" t="n"/>
    </row>
    <row r="105" ht="21" customHeight="1">
      <c r="A105" s="38" t="n"/>
      <c r="B105" s="38" t="n"/>
      <c r="C105" s="38" t="n"/>
      <c r="D105" s="38" t="n"/>
      <c r="E105" s="38" t="n"/>
      <c r="F105" s="39" t="n"/>
      <c r="G105" s="38" t="n"/>
      <c r="H105" s="38" t="n"/>
      <c r="I105" s="38" t="n"/>
      <c r="J105" s="38" t="n"/>
      <c r="K105" s="38" t="n"/>
      <c r="L105" s="38" t="n"/>
      <c r="M105" s="38" t="n"/>
      <c r="N105" s="38" t="n"/>
      <c r="O105" s="40" t="n"/>
      <c r="P105" s="41">
        <f>IF(D105="","",F105*O105)</f>
        <v/>
      </c>
      <c r="Q105" s="38" t="n"/>
      <c r="R105" s="38" t="n"/>
      <c r="S105" s="40" t="n"/>
      <c r="T105" s="41">
        <f>IF(D105="","",P105+Q105+R105-S105)</f>
        <v/>
      </c>
      <c r="U105" s="38" t="n"/>
      <c r="V105" s="38" t="n"/>
      <c r="W105" s="38" t="n"/>
      <c r="X105" s="38" t="n"/>
      <c r="Y105" s="38" t="n"/>
      <c r="Z105" s="38" t="n"/>
      <c r="AA105" s="38" t="n"/>
    </row>
    <row r="106" ht="21" customHeight="1">
      <c r="A106" s="38" t="n"/>
      <c r="B106" s="38" t="n"/>
      <c r="C106" s="38" t="n"/>
      <c r="D106" s="38" t="n"/>
      <c r="E106" s="38" t="n"/>
      <c r="F106" s="39" t="n"/>
      <c r="G106" s="38" t="n"/>
      <c r="H106" s="38" t="n"/>
      <c r="I106" s="38" t="n"/>
      <c r="J106" s="38" t="n"/>
      <c r="K106" s="38" t="n"/>
      <c r="L106" s="38" t="n"/>
      <c r="M106" s="38" t="n"/>
      <c r="N106" s="38" t="n"/>
      <c r="O106" s="40" t="n"/>
      <c r="P106" s="41">
        <f>IF(D106="","",F106*O106)</f>
        <v/>
      </c>
      <c r="Q106" s="38" t="n"/>
      <c r="R106" s="38" t="n"/>
      <c r="S106" s="40" t="n"/>
      <c r="T106" s="41">
        <f>IF(D106="","",P106+Q106+R106-S106)</f>
        <v/>
      </c>
      <c r="U106" s="38" t="n"/>
      <c r="V106" s="38" t="n"/>
      <c r="W106" s="38" t="n"/>
      <c r="X106" s="38" t="n"/>
      <c r="Y106" s="38" t="n"/>
      <c r="Z106" s="38" t="n"/>
      <c r="AA106" s="38" t="n"/>
    </row>
    <row r="107" ht="21" customHeight="1">
      <c r="A107" s="38" t="n"/>
      <c r="B107" s="38" t="n"/>
      <c r="C107" s="38" t="n"/>
      <c r="D107" s="38" t="n"/>
      <c r="E107" s="38" t="n"/>
      <c r="F107" s="39" t="n"/>
      <c r="G107" s="38" t="n"/>
      <c r="H107" s="38" t="n"/>
      <c r="I107" s="38" t="n"/>
      <c r="J107" s="38" t="n"/>
      <c r="K107" s="38" t="n"/>
      <c r="L107" s="38" t="n"/>
      <c r="M107" s="38" t="n"/>
      <c r="N107" s="38" t="n"/>
      <c r="O107" s="40" t="n"/>
      <c r="P107" s="41">
        <f>IF(D107="","",F107*O107)</f>
        <v/>
      </c>
      <c r="Q107" s="38" t="n"/>
      <c r="R107" s="38" t="n"/>
      <c r="S107" s="40" t="n"/>
      <c r="T107" s="41">
        <f>IF(D107="","",P107+Q107+R107-S107)</f>
        <v/>
      </c>
      <c r="U107" s="38" t="n"/>
      <c r="V107" s="38" t="n"/>
      <c r="W107" s="38" t="n"/>
      <c r="X107" s="38" t="n"/>
      <c r="Y107" s="38" t="n"/>
      <c r="Z107" s="38" t="n"/>
      <c r="AA107" s="38" t="n"/>
    </row>
    <row r="108" ht="21" customHeight="1">
      <c r="A108" s="38" t="n"/>
      <c r="B108" s="38" t="n"/>
      <c r="C108" s="38" t="n"/>
      <c r="D108" s="38" t="n"/>
      <c r="E108" s="38" t="n"/>
      <c r="F108" s="39" t="n"/>
      <c r="G108" s="38" t="n"/>
      <c r="H108" s="38" t="n"/>
      <c r="I108" s="38" t="n"/>
      <c r="J108" s="38" t="n"/>
      <c r="K108" s="38" t="n"/>
      <c r="L108" s="38" t="n"/>
      <c r="M108" s="38" t="n"/>
      <c r="N108" s="38" t="n"/>
      <c r="O108" s="40" t="n"/>
      <c r="P108" s="41">
        <f>IF(D108="","",F108*O108)</f>
        <v/>
      </c>
      <c r="Q108" s="38" t="n"/>
      <c r="R108" s="38" t="n"/>
      <c r="S108" s="40" t="n"/>
      <c r="T108" s="41">
        <f>IF(D108="","",P108+Q108+R108-S108)</f>
        <v/>
      </c>
      <c r="U108" s="38" t="n"/>
      <c r="V108" s="38" t="n"/>
      <c r="W108" s="38" t="n"/>
      <c r="X108" s="38" t="n"/>
      <c r="Y108" s="38" t="n"/>
      <c r="Z108" s="38" t="n"/>
      <c r="AA108" s="38" t="n"/>
    </row>
    <row r="109" ht="21" customHeight="1">
      <c r="A109" s="38" t="n"/>
      <c r="B109" s="38" t="n"/>
      <c r="C109" s="38" t="n"/>
      <c r="D109" s="38" t="n"/>
      <c r="E109" s="38" t="n"/>
      <c r="F109" s="39" t="n"/>
      <c r="G109" s="38" t="n"/>
      <c r="H109" s="38" t="n"/>
      <c r="I109" s="38" t="n"/>
      <c r="J109" s="38" t="n"/>
      <c r="K109" s="38" t="n"/>
      <c r="L109" s="38" t="n"/>
      <c r="M109" s="38" t="n"/>
      <c r="N109" s="38" t="n"/>
      <c r="O109" s="40" t="n"/>
      <c r="P109" s="41">
        <f>IF(D109="","",F109*O109)</f>
        <v/>
      </c>
      <c r="Q109" s="38" t="n"/>
      <c r="R109" s="38" t="n"/>
      <c r="S109" s="40" t="n"/>
      <c r="T109" s="41">
        <f>IF(D109="","",P109+Q109+R109-S109)</f>
        <v/>
      </c>
      <c r="U109" s="38" t="n"/>
      <c r="V109" s="38" t="n"/>
      <c r="W109" s="38" t="n"/>
      <c r="X109" s="38" t="n"/>
      <c r="Y109" s="38" t="n"/>
      <c r="Z109" s="38" t="n"/>
      <c r="AA109" s="38" t="n"/>
    </row>
    <row r="110" ht="21" customHeight="1">
      <c r="A110" s="38" t="n"/>
      <c r="B110" s="38" t="n"/>
      <c r="C110" s="38" t="n"/>
      <c r="D110" s="38" t="n"/>
      <c r="E110" s="38" t="n"/>
      <c r="F110" s="39" t="n"/>
      <c r="G110" s="38" t="n"/>
      <c r="H110" s="38" t="n"/>
      <c r="I110" s="38" t="n"/>
      <c r="J110" s="38" t="n"/>
      <c r="K110" s="38" t="n"/>
      <c r="L110" s="38" t="n"/>
      <c r="M110" s="38" t="n"/>
      <c r="N110" s="38" t="n"/>
      <c r="O110" s="40" t="n"/>
      <c r="P110" s="41">
        <f>IF(D110="","",F110*O110)</f>
        <v/>
      </c>
      <c r="Q110" s="38" t="n"/>
      <c r="R110" s="38" t="n"/>
      <c r="S110" s="40" t="n"/>
      <c r="T110" s="41">
        <f>IF(D110="","",P110+Q110+R110-S110)</f>
        <v/>
      </c>
      <c r="U110" s="38" t="n"/>
      <c r="V110" s="38" t="n"/>
      <c r="W110" s="38" t="n"/>
      <c r="X110" s="38" t="n"/>
      <c r="Y110" s="38" t="n"/>
      <c r="Z110" s="38" t="n"/>
      <c r="AA110" s="38" t="n"/>
    </row>
    <row r="111" ht="21" customHeight="1">
      <c r="A111" s="38" t="n"/>
      <c r="B111" s="38" t="n"/>
      <c r="C111" s="38" t="n"/>
      <c r="D111" s="38" t="n"/>
      <c r="E111" s="38" t="n"/>
      <c r="F111" s="39" t="n"/>
      <c r="G111" s="38" t="n"/>
      <c r="H111" s="38" t="n"/>
      <c r="I111" s="38" t="n"/>
      <c r="J111" s="38" t="n"/>
      <c r="K111" s="38" t="n"/>
      <c r="L111" s="38" t="n"/>
      <c r="M111" s="38" t="n"/>
      <c r="N111" s="38" t="n"/>
      <c r="O111" s="40" t="n"/>
      <c r="P111" s="41">
        <f>IF(D111="","",F111*O111)</f>
        <v/>
      </c>
      <c r="Q111" s="38" t="n"/>
      <c r="R111" s="38" t="n"/>
      <c r="S111" s="40" t="n"/>
      <c r="T111" s="41">
        <f>IF(D111="","",P111+Q111+R111-S111)</f>
        <v/>
      </c>
      <c r="U111" s="38" t="n"/>
      <c r="V111" s="38" t="n"/>
      <c r="W111" s="38" t="n"/>
      <c r="X111" s="38" t="n"/>
      <c r="Y111" s="38" t="n"/>
      <c r="Z111" s="38" t="n"/>
      <c r="AA111" s="38" t="n"/>
    </row>
    <row r="112" ht="21" customHeight="1">
      <c r="A112" s="38" t="n"/>
      <c r="B112" s="38" t="n"/>
      <c r="C112" s="38" t="n"/>
      <c r="D112" s="38" t="n"/>
      <c r="E112" s="38" t="n"/>
      <c r="F112" s="39" t="n"/>
      <c r="G112" s="38" t="n"/>
      <c r="H112" s="38" t="n"/>
      <c r="I112" s="38" t="n"/>
      <c r="J112" s="38" t="n"/>
      <c r="K112" s="38" t="n"/>
      <c r="L112" s="38" t="n"/>
      <c r="M112" s="38" t="n"/>
      <c r="N112" s="38" t="n"/>
      <c r="O112" s="40" t="n"/>
      <c r="P112" s="41">
        <f>IF(D112="","",F112*O112)</f>
        <v/>
      </c>
      <c r="Q112" s="38" t="n"/>
      <c r="R112" s="38" t="n"/>
      <c r="S112" s="40" t="n"/>
      <c r="T112" s="41">
        <f>IF(D112="","",P112+Q112+R112-S112)</f>
        <v/>
      </c>
      <c r="U112" s="38" t="n"/>
      <c r="V112" s="38" t="n"/>
      <c r="W112" s="38" t="n"/>
      <c r="X112" s="38" t="n"/>
      <c r="Y112" s="38" t="n"/>
      <c r="Z112" s="38" t="n"/>
      <c r="AA112" s="38" t="n"/>
    </row>
    <row r="113" ht="21" customHeight="1">
      <c r="A113" s="38" t="n"/>
      <c r="B113" s="38" t="n"/>
      <c r="C113" s="38" t="n"/>
      <c r="D113" s="38" t="n"/>
      <c r="E113" s="38" t="n"/>
      <c r="F113" s="39" t="n"/>
      <c r="G113" s="38" t="n"/>
      <c r="H113" s="38" t="n"/>
      <c r="I113" s="38" t="n"/>
      <c r="J113" s="38" t="n"/>
      <c r="K113" s="38" t="n"/>
      <c r="L113" s="38" t="n"/>
      <c r="M113" s="38" t="n"/>
      <c r="N113" s="38" t="n"/>
      <c r="O113" s="40" t="n"/>
      <c r="P113" s="41">
        <f>IF(D113="","",F113*O113)</f>
        <v/>
      </c>
      <c r="Q113" s="38" t="n"/>
      <c r="R113" s="38" t="n"/>
      <c r="S113" s="40" t="n"/>
      <c r="T113" s="41">
        <f>IF(D113="","",P113+Q113+R113-S113)</f>
        <v/>
      </c>
      <c r="U113" s="38" t="n"/>
      <c r="V113" s="38" t="n"/>
      <c r="W113" s="38" t="n"/>
      <c r="X113" s="38" t="n"/>
      <c r="Y113" s="38" t="n"/>
      <c r="Z113" s="38" t="n"/>
      <c r="AA113" s="38" t="n"/>
    </row>
    <row r="114" ht="21" customHeight="1">
      <c r="A114" s="38" t="n"/>
      <c r="B114" s="38" t="n"/>
      <c r="C114" s="38" t="n"/>
      <c r="D114" s="38" t="n"/>
      <c r="E114" s="38" t="n"/>
      <c r="F114" s="39" t="n"/>
      <c r="G114" s="38" t="n"/>
      <c r="H114" s="38" t="n"/>
      <c r="I114" s="38" t="n"/>
      <c r="J114" s="38" t="n"/>
      <c r="K114" s="38" t="n"/>
      <c r="L114" s="38" t="n"/>
      <c r="M114" s="38" t="n"/>
      <c r="N114" s="38" t="n"/>
      <c r="O114" s="40" t="n"/>
      <c r="P114" s="41">
        <f>IF(D114="","",F114*O114)</f>
        <v/>
      </c>
      <c r="Q114" s="38" t="n"/>
      <c r="R114" s="38" t="n"/>
      <c r="S114" s="40" t="n"/>
      <c r="T114" s="41">
        <f>IF(D114="","",P114+Q114+R114-S114)</f>
        <v/>
      </c>
      <c r="U114" s="38" t="n"/>
      <c r="V114" s="38" t="n"/>
      <c r="W114" s="38" t="n"/>
      <c r="X114" s="38" t="n"/>
      <c r="Y114" s="38" t="n"/>
      <c r="Z114" s="38" t="n"/>
      <c r="AA114" s="38" t="n"/>
    </row>
    <row r="115" ht="21" customHeight="1">
      <c r="A115" s="38" t="n"/>
      <c r="B115" s="38" t="n"/>
      <c r="C115" s="38" t="n"/>
      <c r="D115" s="38" t="n"/>
      <c r="E115" s="38" t="n"/>
      <c r="F115" s="39" t="n"/>
      <c r="G115" s="38" t="n"/>
      <c r="H115" s="38" t="n"/>
      <c r="I115" s="38" t="n"/>
      <c r="J115" s="38" t="n"/>
      <c r="K115" s="38" t="n"/>
      <c r="L115" s="38" t="n"/>
      <c r="M115" s="38" t="n"/>
      <c r="N115" s="38" t="n"/>
      <c r="O115" s="40" t="n"/>
      <c r="P115" s="41">
        <f>IF(D115="","",F115*O115)</f>
        <v/>
      </c>
      <c r="Q115" s="38" t="n"/>
      <c r="R115" s="38" t="n"/>
      <c r="S115" s="40" t="n"/>
      <c r="T115" s="41">
        <f>IF(D115="","",P115+Q115+R115-S115)</f>
        <v/>
      </c>
      <c r="U115" s="38" t="n"/>
      <c r="V115" s="38" t="n"/>
      <c r="W115" s="38" t="n"/>
      <c r="X115" s="38" t="n"/>
      <c r="Y115" s="38" t="n"/>
      <c r="Z115" s="38" t="n"/>
      <c r="AA115" s="38" t="n"/>
    </row>
    <row r="116" ht="21" customHeight="1">
      <c r="A116" s="38" t="n"/>
      <c r="B116" s="38" t="n"/>
      <c r="C116" s="38" t="n"/>
      <c r="D116" s="38" t="n"/>
      <c r="E116" s="38" t="n"/>
      <c r="F116" s="39" t="n"/>
      <c r="G116" s="38" t="n"/>
      <c r="H116" s="38" t="n"/>
      <c r="I116" s="38" t="n"/>
      <c r="J116" s="38" t="n"/>
      <c r="K116" s="38" t="n"/>
      <c r="L116" s="38" t="n"/>
      <c r="M116" s="38" t="n"/>
      <c r="N116" s="38" t="n"/>
      <c r="O116" s="40" t="n"/>
      <c r="P116" s="41">
        <f>IF(D116="","",F116*O116)</f>
        <v/>
      </c>
      <c r="Q116" s="38" t="n"/>
      <c r="R116" s="38" t="n"/>
      <c r="S116" s="40" t="n"/>
      <c r="T116" s="41">
        <f>IF(D116="","",P116+Q116+R116-S116)</f>
        <v/>
      </c>
      <c r="U116" s="38" t="n"/>
      <c r="V116" s="38" t="n"/>
      <c r="W116" s="38" t="n"/>
      <c r="X116" s="38" t="n"/>
      <c r="Y116" s="38" t="n"/>
      <c r="Z116" s="38" t="n"/>
      <c r="AA116" s="38" t="n"/>
    </row>
    <row r="117" ht="21" customHeight="1">
      <c r="A117" s="38" t="n"/>
      <c r="B117" s="38" t="n"/>
      <c r="C117" s="38" t="n"/>
      <c r="D117" s="38" t="n"/>
      <c r="E117" s="38" t="n"/>
      <c r="F117" s="39" t="n"/>
      <c r="G117" s="38" t="n"/>
      <c r="H117" s="38" t="n"/>
      <c r="I117" s="38" t="n"/>
      <c r="J117" s="38" t="n"/>
      <c r="K117" s="38" t="n"/>
      <c r="L117" s="38" t="n"/>
      <c r="M117" s="38" t="n"/>
      <c r="N117" s="38" t="n"/>
      <c r="O117" s="40" t="n"/>
      <c r="P117" s="41">
        <f>IF(D117="","",F117*O117)</f>
        <v/>
      </c>
      <c r="Q117" s="38" t="n"/>
      <c r="R117" s="38" t="n"/>
      <c r="S117" s="40" t="n"/>
      <c r="T117" s="41">
        <f>IF(D117="","",P117+Q117+R117-S117)</f>
        <v/>
      </c>
      <c r="U117" s="38" t="n"/>
      <c r="V117" s="38" t="n"/>
      <c r="W117" s="38" t="n"/>
      <c r="X117" s="38" t="n"/>
      <c r="Y117" s="38" t="n"/>
      <c r="Z117" s="38" t="n"/>
      <c r="AA117" s="38" t="n"/>
    </row>
    <row r="118" ht="21" customHeight="1">
      <c r="A118" s="38" t="n"/>
      <c r="B118" s="38" t="n"/>
      <c r="C118" s="38" t="n"/>
      <c r="D118" s="38" t="n"/>
      <c r="E118" s="38" t="n"/>
      <c r="F118" s="39" t="n"/>
      <c r="G118" s="38" t="n"/>
      <c r="H118" s="38" t="n"/>
      <c r="I118" s="38" t="n"/>
      <c r="J118" s="38" t="n"/>
      <c r="K118" s="38" t="n"/>
      <c r="L118" s="38" t="n"/>
      <c r="M118" s="38" t="n"/>
      <c r="N118" s="38" t="n"/>
      <c r="O118" s="40" t="n"/>
      <c r="P118" s="41">
        <f>IF(D118="","",F118*O118)</f>
        <v/>
      </c>
      <c r="Q118" s="38" t="n"/>
      <c r="R118" s="38" t="n"/>
      <c r="S118" s="40" t="n"/>
      <c r="T118" s="41">
        <f>IF(D118="","",P118+Q118+R118-S118)</f>
        <v/>
      </c>
      <c r="U118" s="38" t="n"/>
      <c r="V118" s="38" t="n"/>
      <c r="W118" s="38" t="n"/>
      <c r="X118" s="38" t="n"/>
      <c r="Y118" s="38" t="n"/>
      <c r="Z118" s="38" t="n"/>
      <c r="AA118" s="38" t="n"/>
    </row>
    <row r="119" ht="21" customHeight="1">
      <c r="A119" s="38" t="n"/>
      <c r="B119" s="38" t="n"/>
      <c r="C119" s="38" t="n"/>
      <c r="D119" s="38" t="n"/>
      <c r="E119" s="38" t="n"/>
      <c r="F119" s="39" t="n"/>
      <c r="G119" s="38" t="n"/>
      <c r="H119" s="38" t="n"/>
      <c r="I119" s="38" t="n"/>
      <c r="J119" s="38" t="n"/>
      <c r="K119" s="38" t="n"/>
      <c r="L119" s="38" t="n"/>
      <c r="M119" s="38" t="n"/>
      <c r="N119" s="38" t="n"/>
      <c r="O119" s="40" t="n"/>
      <c r="P119" s="41">
        <f>IF(D119="","",F119*O119)</f>
        <v/>
      </c>
      <c r="Q119" s="38" t="n"/>
      <c r="R119" s="38" t="n"/>
      <c r="S119" s="40" t="n"/>
      <c r="T119" s="41">
        <f>IF(D119="","",P119+Q119+R119-S119)</f>
        <v/>
      </c>
      <c r="U119" s="38" t="n"/>
      <c r="V119" s="38" t="n"/>
      <c r="W119" s="38" t="n"/>
      <c r="X119" s="38" t="n"/>
      <c r="Y119" s="38" t="n"/>
      <c r="Z119" s="38" t="n"/>
      <c r="AA119" s="38" t="n"/>
    </row>
    <row r="120" ht="21" customHeight="1">
      <c r="A120" s="38" t="n"/>
      <c r="B120" s="38" t="n"/>
      <c r="C120" s="38" t="n"/>
      <c r="D120" s="38" t="n"/>
      <c r="E120" s="38" t="n"/>
      <c r="F120" s="39" t="n"/>
      <c r="G120" s="38" t="n"/>
      <c r="H120" s="38" t="n"/>
      <c r="I120" s="38" t="n"/>
      <c r="J120" s="38" t="n"/>
      <c r="K120" s="38" t="n"/>
      <c r="L120" s="38" t="n"/>
      <c r="M120" s="38" t="n"/>
      <c r="N120" s="38" t="n"/>
      <c r="O120" s="40" t="n"/>
      <c r="P120" s="41">
        <f>IF(D120="","",F120*O120)</f>
        <v/>
      </c>
      <c r="Q120" s="38" t="n"/>
      <c r="R120" s="38" t="n"/>
      <c r="S120" s="40" t="n"/>
      <c r="T120" s="41">
        <f>IF(D120="","",P120+Q120+R120-S120)</f>
        <v/>
      </c>
      <c r="U120" s="38" t="n"/>
      <c r="V120" s="38" t="n"/>
      <c r="W120" s="38" t="n"/>
      <c r="X120" s="38" t="n"/>
      <c r="Y120" s="38" t="n"/>
      <c r="Z120" s="38" t="n"/>
      <c r="AA120" s="38" t="n"/>
    </row>
    <row r="121" ht="21" customHeight="1">
      <c r="A121" s="38" t="n"/>
      <c r="B121" s="38" t="n"/>
      <c r="C121" s="38" t="n"/>
      <c r="D121" s="38" t="n"/>
      <c r="E121" s="38" t="n"/>
      <c r="F121" s="39" t="n"/>
      <c r="G121" s="38" t="n"/>
      <c r="H121" s="38" t="n"/>
      <c r="I121" s="38" t="n"/>
      <c r="J121" s="38" t="n"/>
      <c r="K121" s="38" t="n"/>
      <c r="L121" s="38" t="n"/>
      <c r="M121" s="38" t="n"/>
      <c r="N121" s="38" t="n"/>
      <c r="O121" s="40" t="n"/>
      <c r="P121" s="41">
        <f>IF(D121="","",F121*O121)</f>
        <v/>
      </c>
      <c r="Q121" s="38" t="n"/>
      <c r="R121" s="38" t="n"/>
      <c r="S121" s="40" t="n"/>
      <c r="T121" s="41">
        <f>IF(D121="","",P121+Q121+R121-S121)</f>
        <v/>
      </c>
      <c r="U121" s="38" t="n"/>
      <c r="V121" s="38" t="n"/>
      <c r="W121" s="38" t="n"/>
      <c r="X121" s="38" t="n"/>
      <c r="Y121" s="38" t="n"/>
      <c r="Z121" s="38" t="n"/>
      <c r="AA121" s="38" t="n"/>
    </row>
    <row r="122" ht="21" customHeight="1">
      <c r="A122" s="38" t="n"/>
      <c r="B122" s="38" t="n"/>
      <c r="C122" s="38" t="n"/>
      <c r="D122" s="38" t="n"/>
      <c r="E122" s="38" t="n"/>
      <c r="F122" s="39" t="n"/>
      <c r="G122" s="38" t="n"/>
      <c r="H122" s="38" t="n"/>
      <c r="I122" s="38" t="n"/>
      <c r="J122" s="38" t="n"/>
      <c r="K122" s="38" t="n"/>
      <c r="L122" s="38" t="n"/>
      <c r="M122" s="38" t="n"/>
      <c r="N122" s="38" t="n"/>
      <c r="O122" s="40" t="n"/>
      <c r="P122" s="41">
        <f>IF(D122="","",F122*O122)</f>
        <v/>
      </c>
      <c r="Q122" s="38" t="n"/>
      <c r="R122" s="38" t="n"/>
      <c r="S122" s="40" t="n"/>
      <c r="T122" s="41">
        <f>IF(D122="","",P122+Q122+R122-S122)</f>
        <v/>
      </c>
      <c r="U122" s="38" t="n"/>
      <c r="V122" s="38" t="n"/>
      <c r="W122" s="38" t="n"/>
      <c r="X122" s="38" t="n"/>
      <c r="Y122" s="38" t="n"/>
      <c r="Z122" s="38" t="n"/>
      <c r="AA122" s="38" t="n"/>
    </row>
    <row r="123" ht="21" customHeight="1">
      <c r="A123" s="38" t="n"/>
      <c r="B123" s="38" t="n"/>
      <c r="C123" s="38" t="n"/>
      <c r="D123" s="38" t="n"/>
      <c r="E123" s="38" t="n"/>
      <c r="F123" s="39" t="n"/>
      <c r="G123" s="38" t="n"/>
      <c r="H123" s="38" t="n"/>
      <c r="I123" s="38" t="n"/>
      <c r="J123" s="38" t="n"/>
      <c r="K123" s="38" t="n"/>
      <c r="L123" s="38" t="n"/>
      <c r="M123" s="38" t="n"/>
      <c r="N123" s="38" t="n"/>
      <c r="O123" s="40" t="n"/>
      <c r="P123" s="41">
        <f>IF(D123="","",F123*O123)</f>
        <v/>
      </c>
      <c r="Q123" s="38" t="n"/>
      <c r="R123" s="38" t="n"/>
      <c r="S123" s="40" t="n"/>
      <c r="T123" s="41">
        <f>IF(D123="","",P123+Q123+R123-S123)</f>
        <v/>
      </c>
      <c r="U123" s="38" t="n"/>
      <c r="V123" s="38" t="n"/>
      <c r="W123" s="38" t="n"/>
      <c r="X123" s="38" t="n"/>
      <c r="Y123" s="38" t="n"/>
      <c r="Z123" s="38" t="n"/>
      <c r="AA123" s="38" t="n"/>
    </row>
    <row r="124" ht="21" customHeight="1">
      <c r="A124" s="38" t="n"/>
      <c r="B124" s="38" t="n"/>
      <c r="C124" s="38" t="n"/>
      <c r="D124" s="38" t="n"/>
      <c r="E124" s="38" t="n"/>
      <c r="F124" s="39" t="n"/>
      <c r="G124" s="38" t="n"/>
      <c r="H124" s="38" t="n"/>
      <c r="I124" s="38" t="n"/>
      <c r="J124" s="38" t="n"/>
      <c r="K124" s="38" t="n"/>
      <c r="L124" s="38" t="n"/>
      <c r="M124" s="38" t="n"/>
      <c r="N124" s="38" t="n"/>
      <c r="O124" s="40" t="n"/>
      <c r="P124" s="41">
        <f>IF(D124="","",F124*O124)</f>
        <v/>
      </c>
      <c r="Q124" s="38" t="n"/>
      <c r="R124" s="38" t="n"/>
      <c r="S124" s="40" t="n"/>
      <c r="T124" s="41">
        <f>IF(D124="","",P124+Q124+R124-S124)</f>
        <v/>
      </c>
      <c r="U124" s="38" t="n"/>
      <c r="V124" s="38" t="n"/>
      <c r="W124" s="38" t="n"/>
      <c r="X124" s="38" t="n"/>
      <c r="Y124" s="38" t="n"/>
      <c r="Z124" s="38" t="n"/>
      <c r="AA124" s="38" t="n"/>
    </row>
    <row r="125" ht="21" customHeight="1">
      <c r="A125" s="38" t="n"/>
      <c r="B125" s="38" t="n"/>
      <c r="C125" s="38" t="n"/>
      <c r="D125" s="38" t="n"/>
      <c r="E125" s="38" t="n"/>
      <c r="F125" s="39" t="n"/>
      <c r="G125" s="38" t="n"/>
      <c r="H125" s="38" t="n"/>
      <c r="I125" s="38" t="n"/>
      <c r="J125" s="38" t="n"/>
      <c r="K125" s="38" t="n"/>
      <c r="L125" s="38" t="n"/>
      <c r="M125" s="38" t="n"/>
      <c r="N125" s="38" t="n"/>
      <c r="O125" s="40" t="n"/>
      <c r="P125" s="41">
        <f>IF(D125="","",F125*O125)</f>
        <v/>
      </c>
      <c r="Q125" s="38" t="n"/>
      <c r="R125" s="38" t="n"/>
      <c r="S125" s="40" t="n"/>
      <c r="T125" s="41">
        <f>IF(D125="","",P125+Q125+R125-S125)</f>
        <v/>
      </c>
      <c r="U125" s="38" t="n"/>
      <c r="V125" s="38" t="n"/>
      <c r="W125" s="38" t="n"/>
      <c r="X125" s="38" t="n"/>
      <c r="Y125" s="38" t="n"/>
      <c r="Z125" s="38" t="n"/>
      <c r="AA125" s="38" t="n"/>
    </row>
    <row r="126" ht="21" customHeight="1">
      <c r="A126" s="38" t="n"/>
      <c r="B126" s="38" t="n"/>
      <c r="C126" s="38" t="n"/>
      <c r="D126" s="38" t="n"/>
      <c r="E126" s="38" t="n"/>
      <c r="F126" s="39" t="n"/>
      <c r="G126" s="38" t="n"/>
      <c r="H126" s="38" t="n"/>
      <c r="I126" s="38" t="n"/>
      <c r="J126" s="38" t="n"/>
      <c r="K126" s="38" t="n"/>
      <c r="L126" s="38" t="n"/>
      <c r="M126" s="38" t="n"/>
      <c r="N126" s="38" t="n"/>
      <c r="O126" s="40" t="n"/>
      <c r="P126" s="41">
        <f>IF(D126="","",F126*O126)</f>
        <v/>
      </c>
      <c r="Q126" s="38" t="n"/>
      <c r="R126" s="38" t="n"/>
      <c r="S126" s="40" t="n"/>
      <c r="T126" s="41">
        <f>IF(D126="","",P126+Q126+R126-S126)</f>
        <v/>
      </c>
      <c r="U126" s="38" t="n"/>
      <c r="V126" s="38" t="n"/>
      <c r="W126" s="38" t="n"/>
      <c r="X126" s="38" t="n"/>
      <c r="Y126" s="38" t="n"/>
      <c r="Z126" s="38" t="n"/>
      <c r="AA126" s="38" t="n"/>
    </row>
    <row r="127" ht="21" customHeight="1">
      <c r="A127" s="38" t="n"/>
      <c r="B127" s="38" t="n"/>
      <c r="C127" s="38" t="n"/>
      <c r="D127" s="38" t="n"/>
      <c r="E127" s="38" t="n"/>
      <c r="F127" s="39" t="n"/>
      <c r="G127" s="38" t="n"/>
      <c r="H127" s="38" t="n"/>
      <c r="I127" s="38" t="n"/>
      <c r="J127" s="38" t="n"/>
      <c r="K127" s="38" t="n"/>
      <c r="L127" s="38" t="n"/>
      <c r="M127" s="38" t="n"/>
      <c r="N127" s="38" t="n"/>
      <c r="O127" s="40" t="n"/>
      <c r="P127" s="41">
        <f>IF(D127="","",F127*O127)</f>
        <v/>
      </c>
      <c r="Q127" s="38" t="n"/>
      <c r="R127" s="38" t="n"/>
      <c r="S127" s="40" t="n"/>
      <c r="T127" s="41">
        <f>IF(D127="","",P127+Q127+R127-S127)</f>
        <v/>
      </c>
      <c r="U127" s="38" t="n"/>
      <c r="V127" s="38" t="n"/>
      <c r="W127" s="38" t="n"/>
      <c r="X127" s="38" t="n"/>
      <c r="Y127" s="38" t="n"/>
      <c r="Z127" s="38" t="n"/>
      <c r="AA127" s="38" t="n"/>
    </row>
    <row r="128" ht="21" customHeight="1">
      <c r="A128" s="38" t="n"/>
      <c r="B128" s="38" t="n"/>
      <c r="C128" s="38" t="n"/>
      <c r="D128" s="38" t="n"/>
      <c r="E128" s="38" t="n"/>
      <c r="F128" s="39" t="n"/>
      <c r="G128" s="38" t="n"/>
      <c r="H128" s="38" t="n"/>
      <c r="I128" s="38" t="n"/>
      <c r="J128" s="38" t="n"/>
      <c r="K128" s="38" t="n"/>
      <c r="L128" s="38" t="n"/>
      <c r="M128" s="38" t="n"/>
      <c r="N128" s="38" t="n"/>
      <c r="O128" s="40" t="n"/>
      <c r="P128" s="41">
        <f>IF(D128="","",F128*O128)</f>
        <v/>
      </c>
      <c r="Q128" s="38" t="n"/>
      <c r="R128" s="38" t="n"/>
      <c r="S128" s="40" t="n"/>
      <c r="T128" s="41">
        <f>IF(D128="","",P128+Q128+R128-S128)</f>
        <v/>
      </c>
      <c r="U128" s="38" t="n"/>
      <c r="V128" s="38" t="n"/>
      <c r="W128" s="38" t="n"/>
      <c r="X128" s="38" t="n"/>
      <c r="Y128" s="38" t="n"/>
      <c r="Z128" s="38" t="n"/>
      <c r="AA128" s="38" t="n"/>
    </row>
    <row r="129" ht="21" customHeight="1">
      <c r="A129" s="38" t="n"/>
      <c r="B129" s="38" t="n"/>
      <c r="C129" s="38" t="n"/>
      <c r="D129" s="38" t="n"/>
      <c r="E129" s="38" t="n"/>
      <c r="F129" s="39" t="n"/>
      <c r="G129" s="38" t="n"/>
      <c r="H129" s="38" t="n"/>
      <c r="I129" s="38" t="n"/>
      <c r="J129" s="38" t="n"/>
      <c r="K129" s="38" t="n"/>
      <c r="L129" s="38" t="n"/>
      <c r="M129" s="38" t="n"/>
      <c r="N129" s="38" t="n"/>
      <c r="O129" s="40" t="n"/>
      <c r="P129" s="41">
        <f>IF(D129="","",F129*O129)</f>
        <v/>
      </c>
      <c r="Q129" s="38" t="n"/>
      <c r="R129" s="38" t="n"/>
      <c r="S129" s="40" t="n"/>
      <c r="T129" s="41">
        <f>IF(D129="","",P129+Q129+R129-S129)</f>
        <v/>
      </c>
      <c r="U129" s="38" t="n"/>
      <c r="V129" s="38" t="n"/>
      <c r="W129" s="38" t="n"/>
      <c r="X129" s="38" t="n"/>
      <c r="Y129" s="38" t="n"/>
      <c r="Z129" s="38" t="n"/>
      <c r="AA129" s="38" t="n"/>
    </row>
    <row r="130" ht="21" customHeight="1">
      <c r="A130" s="38" t="n"/>
      <c r="B130" s="38" t="n"/>
      <c r="C130" s="38" t="n"/>
      <c r="D130" s="38" t="n"/>
      <c r="E130" s="38" t="n"/>
      <c r="F130" s="39" t="n"/>
      <c r="G130" s="38" t="n"/>
      <c r="H130" s="38" t="n"/>
      <c r="I130" s="38" t="n"/>
      <c r="J130" s="38" t="n"/>
      <c r="K130" s="38" t="n"/>
      <c r="L130" s="38" t="n"/>
      <c r="M130" s="38" t="n"/>
      <c r="N130" s="38" t="n"/>
      <c r="O130" s="40" t="n"/>
      <c r="P130" s="41">
        <f>IF(D130="","",F130*O130)</f>
        <v/>
      </c>
      <c r="Q130" s="38" t="n"/>
      <c r="R130" s="38" t="n"/>
      <c r="S130" s="40" t="n"/>
      <c r="T130" s="41">
        <f>IF(D130="","",P130+Q130+R130-S130)</f>
        <v/>
      </c>
      <c r="U130" s="38" t="n"/>
      <c r="V130" s="38" t="n"/>
      <c r="W130" s="38" t="n"/>
      <c r="X130" s="38" t="n"/>
      <c r="Y130" s="38" t="n"/>
      <c r="Z130" s="38" t="n"/>
      <c r="AA130" s="38" t="n"/>
    </row>
    <row r="131" ht="21" customHeight="1">
      <c r="A131" s="38" t="n"/>
      <c r="B131" s="38" t="n"/>
      <c r="C131" s="38" t="n"/>
      <c r="D131" s="38" t="n"/>
      <c r="E131" s="38" t="n"/>
      <c r="F131" s="39" t="n"/>
      <c r="G131" s="38" t="n"/>
      <c r="H131" s="38" t="n"/>
      <c r="I131" s="38" t="n"/>
      <c r="J131" s="38" t="n"/>
      <c r="K131" s="38" t="n"/>
      <c r="L131" s="38" t="n"/>
      <c r="M131" s="38" t="n"/>
      <c r="N131" s="38" t="n"/>
      <c r="O131" s="40" t="n"/>
      <c r="P131" s="41">
        <f>IF(D131="","",F131*O131)</f>
        <v/>
      </c>
      <c r="Q131" s="38" t="n"/>
      <c r="R131" s="38" t="n"/>
      <c r="S131" s="40" t="n"/>
      <c r="T131" s="41">
        <f>IF(D131="","",P131+Q131+R131-S131)</f>
        <v/>
      </c>
      <c r="U131" s="38" t="n"/>
      <c r="V131" s="38" t="n"/>
      <c r="W131" s="38" t="n"/>
      <c r="X131" s="38" t="n"/>
      <c r="Y131" s="38" t="n"/>
      <c r="Z131" s="38" t="n"/>
      <c r="AA131" s="38" t="n"/>
    </row>
    <row r="132" ht="21" customHeight="1">
      <c r="A132" s="38" t="n"/>
      <c r="B132" s="38" t="n"/>
      <c r="C132" s="38" t="n"/>
      <c r="D132" s="38" t="n"/>
      <c r="E132" s="38" t="n"/>
      <c r="F132" s="39" t="n"/>
      <c r="G132" s="38" t="n"/>
      <c r="H132" s="38" t="n"/>
      <c r="I132" s="38" t="n"/>
      <c r="J132" s="38" t="n"/>
      <c r="K132" s="38" t="n"/>
      <c r="L132" s="38" t="n"/>
      <c r="M132" s="38" t="n"/>
      <c r="N132" s="38" t="n"/>
      <c r="O132" s="40" t="n"/>
      <c r="P132" s="41">
        <f>IF(D132="","",F132*O132)</f>
        <v/>
      </c>
      <c r="Q132" s="38" t="n"/>
      <c r="R132" s="38" t="n"/>
      <c r="S132" s="40" t="n"/>
      <c r="T132" s="41">
        <f>IF(D132="","",P132+Q132+R132-S132)</f>
        <v/>
      </c>
      <c r="U132" s="38" t="n"/>
      <c r="V132" s="38" t="n"/>
      <c r="W132" s="38" t="n"/>
      <c r="X132" s="38" t="n"/>
      <c r="Y132" s="38" t="n"/>
      <c r="Z132" s="38" t="n"/>
      <c r="AA132" s="38" t="n"/>
    </row>
    <row r="133" ht="21" customHeight="1">
      <c r="A133" s="38" t="n"/>
      <c r="B133" s="38" t="n"/>
      <c r="C133" s="38" t="n"/>
      <c r="D133" s="38" t="n"/>
      <c r="E133" s="38" t="n"/>
      <c r="F133" s="39" t="n"/>
      <c r="G133" s="38" t="n"/>
      <c r="H133" s="38" t="n"/>
      <c r="I133" s="38" t="n"/>
      <c r="J133" s="38" t="n"/>
      <c r="K133" s="38" t="n"/>
      <c r="L133" s="38" t="n"/>
      <c r="M133" s="38" t="n"/>
      <c r="N133" s="38" t="n"/>
      <c r="O133" s="40" t="n"/>
      <c r="P133" s="41">
        <f>IF(D133="","",F133*O133)</f>
        <v/>
      </c>
      <c r="Q133" s="38" t="n"/>
      <c r="R133" s="38" t="n"/>
      <c r="S133" s="40" t="n"/>
      <c r="T133" s="41">
        <f>IF(D133="","",P133+Q133+R133-S133)</f>
        <v/>
      </c>
      <c r="U133" s="38" t="n"/>
      <c r="V133" s="38" t="n"/>
      <c r="W133" s="38" t="n"/>
      <c r="X133" s="38" t="n"/>
      <c r="Y133" s="38" t="n"/>
      <c r="Z133" s="38" t="n"/>
      <c r="AA133" s="38" t="n"/>
    </row>
    <row r="134" ht="21" customHeight="1">
      <c r="A134" s="38" t="n"/>
      <c r="B134" s="38" t="n"/>
      <c r="C134" s="38" t="n"/>
      <c r="D134" s="38" t="n"/>
      <c r="E134" s="38" t="n"/>
      <c r="F134" s="39" t="n"/>
      <c r="G134" s="38" t="n"/>
      <c r="H134" s="38" t="n"/>
      <c r="I134" s="38" t="n"/>
      <c r="J134" s="38" t="n"/>
      <c r="K134" s="38" t="n"/>
      <c r="L134" s="38" t="n"/>
      <c r="M134" s="38" t="n"/>
      <c r="N134" s="38" t="n"/>
      <c r="O134" s="40" t="n"/>
      <c r="P134" s="41">
        <f>IF(D134="","",F134*O134)</f>
        <v/>
      </c>
      <c r="Q134" s="38" t="n"/>
      <c r="R134" s="38" t="n"/>
      <c r="S134" s="40" t="n"/>
      <c r="T134" s="41">
        <f>IF(D134="","",P134+Q134+R134-S134)</f>
        <v/>
      </c>
      <c r="U134" s="38" t="n"/>
      <c r="V134" s="38" t="n"/>
      <c r="W134" s="38" t="n"/>
      <c r="X134" s="38" t="n"/>
      <c r="Y134" s="38" t="n"/>
      <c r="Z134" s="38" t="n"/>
      <c r="AA134" s="38" t="n"/>
    </row>
    <row r="135" ht="21" customHeight="1">
      <c r="A135" s="38" t="n"/>
      <c r="B135" s="38" t="n"/>
      <c r="C135" s="38" t="n"/>
      <c r="D135" s="38" t="n"/>
      <c r="E135" s="38" t="n"/>
      <c r="F135" s="39" t="n"/>
      <c r="G135" s="38" t="n"/>
      <c r="H135" s="38" t="n"/>
      <c r="I135" s="38" t="n"/>
      <c r="J135" s="38" t="n"/>
      <c r="K135" s="38" t="n"/>
      <c r="L135" s="38" t="n"/>
      <c r="M135" s="38" t="n"/>
      <c r="N135" s="38" t="n"/>
      <c r="O135" s="40" t="n"/>
      <c r="P135" s="41">
        <f>IF(D135="","",F135*O135)</f>
        <v/>
      </c>
      <c r="Q135" s="38" t="n"/>
      <c r="R135" s="38" t="n"/>
      <c r="S135" s="40" t="n"/>
      <c r="T135" s="41">
        <f>IF(D135="","",P135+Q135+R135-S135)</f>
        <v/>
      </c>
      <c r="U135" s="38" t="n"/>
      <c r="V135" s="38" t="n"/>
      <c r="W135" s="38" t="n"/>
      <c r="X135" s="38" t="n"/>
      <c r="Y135" s="38" t="n"/>
      <c r="Z135" s="38" t="n"/>
      <c r="AA135" s="38" t="n"/>
    </row>
    <row r="136" ht="21" customHeight="1">
      <c r="A136" s="38" t="n"/>
      <c r="B136" s="38" t="n"/>
      <c r="C136" s="38" t="n"/>
      <c r="D136" s="38" t="n"/>
      <c r="E136" s="38" t="n"/>
      <c r="F136" s="39" t="n"/>
      <c r="G136" s="38" t="n"/>
      <c r="H136" s="38" t="n"/>
      <c r="I136" s="38" t="n"/>
      <c r="J136" s="38" t="n"/>
      <c r="K136" s="38" t="n"/>
      <c r="L136" s="38" t="n"/>
      <c r="M136" s="38" t="n"/>
      <c r="N136" s="38" t="n"/>
      <c r="O136" s="40" t="n"/>
      <c r="P136" s="41">
        <f>IF(D136="","",F136*O136)</f>
        <v/>
      </c>
      <c r="Q136" s="38" t="n"/>
      <c r="R136" s="38" t="n"/>
      <c r="S136" s="40" t="n"/>
      <c r="T136" s="41">
        <f>IF(D136="","",P136+Q136+R136-S136)</f>
        <v/>
      </c>
      <c r="U136" s="38" t="n"/>
      <c r="V136" s="38" t="n"/>
      <c r="W136" s="38" t="n"/>
      <c r="X136" s="38" t="n"/>
      <c r="Y136" s="38" t="n"/>
      <c r="Z136" s="38" t="n"/>
      <c r="AA136" s="38" t="n"/>
    </row>
    <row r="137" ht="21" customHeight="1">
      <c r="A137" s="38" t="n"/>
      <c r="B137" s="38" t="n"/>
      <c r="C137" s="38" t="n"/>
      <c r="D137" s="38" t="n"/>
      <c r="E137" s="38" t="n"/>
      <c r="F137" s="39" t="n"/>
      <c r="G137" s="38" t="n"/>
      <c r="H137" s="38" t="n"/>
      <c r="I137" s="38" t="n"/>
      <c r="J137" s="38" t="n"/>
      <c r="K137" s="38" t="n"/>
      <c r="L137" s="38" t="n"/>
      <c r="M137" s="38" t="n"/>
      <c r="N137" s="38" t="n"/>
      <c r="O137" s="40" t="n"/>
      <c r="P137" s="41">
        <f>IF(D137="","",F137*O137)</f>
        <v/>
      </c>
      <c r="Q137" s="38" t="n"/>
      <c r="R137" s="38" t="n"/>
      <c r="S137" s="40" t="n"/>
      <c r="T137" s="41">
        <f>IF(D137="","",P137+Q137+R137-S137)</f>
        <v/>
      </c>
      <c r="U137" s="38" t="n"/>
      <c r="V137" s="38" t="n"/>
      <c r="W137" s="38" t="n"/>
      <c r="X137" s="38" t="n"/>
      <c r="Y137" s="38" t="n"/>
      <c r="Z137" s="38" t="n"/>
      <c r="AA137" s="38" t="n"/>
    </row>
    <row r="138" ht="21" customHeight="1">
      <c r="A138" s="38" t="n"/>
      <c r="B138" s="38" t="n"/>
      <c r="C138" s="38" t="n"/>
      <c r="D138" s="38" t="n"/>
      <c r="E138" s="38" t="n"/>
      <c r="F138" s="39" t="n"/>
      <c r="G138" s="38" t="n"/>
      <c r="H138" s="38" t="n"/>
      <c r="I138" s="38" t="n"/>
      <c r="J138" s="38" t="n"/>
      <c r="K138" s="38" t="n"/>
      <c r="L138" s="38" t="n"/>
      <c r="M138" s="38" t="n"/>
      <c r="N138" s="38" t="n"/>
      <c r="O138" s="40" t="n"/>
      <c r="P138" s="41">
        <f>IF(D138="","",F138*O138)</f>
        <v/>
      </c>
      <c r="Q138" s="38" t="n"/>
      <c r="R138" s="38" t="n"/>
      <c r="S138" s="40" t="n"/>
      <c r="T138" s="41">
        <f>IF(D138="","",P138+Q138+R138-S138)</f>
        <v/>
      </c>
      <c r="U138" s="38" t="n"/>
      <c r="V138" s="38" t="n"/>
      <c r="W138" s="38" t="n"/>
      <c r="X138" s="38" t="n"/>
      <c r="Y138" s="38" t="n"/>
      <c r="Z138" s="38" t="n"/>
      <c r="AA138" s="38" t="n"/>
    </row>
    <row r="139" ht="21" customHeight="1">
      <c r="A139" s="38" t="n"/>
      <c r="B139" s="38" t="n"/>
      <c r="C139" s="38" t="n"/>
      <c r="D139" s="38" t="n"/>
      <c r="E139" s="38" t="n"/>
      <c r="F139" s="39" t="n"/>
      <c r="G139" s="38" t="n"/>
      <c r="H139" s="38" t="n"/>
      <c r="I139" s="38" t="n"/>
      <c r="J139" s="38" t="n"/>
      <c r="K139" s="38" t="n"/>
      <c r="L139" s="38" t="n"/>
      <c r="M139" s="38" t="n"/>
      <c r="N139" s="38" t="n"/>
      <c r="O139" s="40" t="n"/>
      <c r="P139" s="41">
        <f>IF(D139="","",F139*O139)</f>
        <v/>
      </c>
      <c r="Q139" s="38" t="n"/>
      <c r="R139" s="38" t="n"/>
      <c r="S139" s="40" t="n"/>
      <c r="T139" s="41">
        <f>IF(D139="","",P139+Q139+R139-S139)</f>
        <v/>
      </c>
      <c r="U139" s="38" t="n"/>
      <c r="V139" s="38" t="n"/>
      <c r="W139" s="38" t="n"/>
      <c r="X139" s="38" t="n"/>
      <c r="Y139" s="38" t="n"/>
      <c r="Z139" s="38" t="n"/>
      <c r="AA139" s="38" t="n"/>
    </row>
    <row r="140" ht="21" customHeight="1">
      <c r="A140" s="38" t="n"/>
      <c r="B140" s="38" t="n"/>
      <c r="C140" s="38" t="n"/>
      <c r="D140" s="38" t="n"/>
      <c r="E140" s="38" t="n"/>
      <c r="F140" s="39" t="n"/>
      <c r="G140" s="38" t="n"/>
      <c r="H140" s="38" t="n"/>
      <c r="I140" s="38" t="n"/>
      <c r="J140" s="38" t="n"/>
      <c r="K140" s="38" t="n"/>
      <c r="L140" s="38" t="n"/>
      <c r="M140" s="38" t="n"/>
      <c r="N140" s="38" t="n"/>
      <c r="O140" s="40" t="n"/>
      <c r="P140" s="41">
        <f>IF(D140="","",F140*O140)</f>
        <v/>
      </c>
      <c r="Q140" s="38" t="n"/>
      <c r="R140" s="38" t="n"/>
      <c r="S140" s="40" t="n"/>
      <c r="T140" s="41">
        <f>IF(D140="","",P140+Q140+R140-S140)</f>
        <v/>
      </c>
      <c r="U140" s="38" t="n"/>
      <c r="V140" s="38" t="n"/>
      <c r="W140" s="38" t="n"/>
      <c r="X140" s="38" t="n"/>
      <c r="Y140" s="38" t="n"/>
      <c r="Z140" s="38" t="n"/>
      <c r="AA140" s="38" t="n"/>
    </row>
    <row r="141" ht="21" customHeight="1">
      <c r="A141" s="38" t="n"/>
      <c r="B141" s="38" t="n"/>
      <c r="C141" s="38" t="n"/>
      <c r="D141" s="38" t="n"/>
      <c r="E141" s="38" t="n"/>
      <c r="F141" s="39" t="n"/>
      <c r="G141" s="38" t="n"/>
      <c r="H141" s="38" t="n"/>
      <c r="I141" s="38" t="n"/>
      <c r="J141" s="38" t="n"/>
      <c r="K141" s="38" t="n"/>
      <c r="L141" s="38" t="n"/>
      <c r="M141" s="38" t="n"/>
      <c r="N141" s="38" t="n"/>
      <c r="O141" s="40" t="n"/>
      <c r="P141" s="41">
        <f>IF(D141="","",F141*O141)</f>
        <v/>
      </c>
      <c r="Q141" s="38" t="n"/>
      <c r="R141" s="38" t="n"/>
      <c r="S141" s="40" t="n"/>
      <c r="T141" s="41">
        <f>IF(D141="","",P141+Q141+R141-S141)</f>
        <v/>
      </c>
      <c r="U141" s="38" t="n"/>
      <c r="V141" s="38" t="n"/>
      <c r="W141" s="38" t="n"/>
      <c r="X141" s="38" t="n"/>
      <c r="Y141" s="38" t="n"/>
      <c r="Z141" s="38" t="n"/>
      <c r="AA141" s="38" t="n"/>
    </row>
    <row r="142" ht="21" customHeight="1">
      <c r="A142" s="38" t="n"/>
      <c r="B142" s="38" t="n"/>
      <c r="C142" s="38" t="n"/>
      <c r="D142" s="38" t="n"/>
      <c r="E142" s="38" t="n"/>
      <c r="F142" s="39" t="n"/>
      <c r="G142" s="38" t="n"/>
      <c r="H142" s="38" t="n"/>
      <c r="I142" s="38" t="n"/>
      <c r="J142" s="38" t="n"/>
      <c r="K142" s="38" t="n"/>
      <c r="L142" s="38" t="n"/>
      <c r="M142" s="38" t="n"/>
      <c r="N142" s="38" t="n"/>
      <c r="O142" s="40" t="n"/>
      <c r="P142" s="41">
        <f>IF(D142="","",F142*O142)</f>
        <v/>
      </c>
      <c r="Q142" s="38" t="n"/>
      <c r="R142" s="38" t="n"/>
      <c r="S142" s="40" t="n"/>
      <c r="T142" s="41">
        <f>IF(D142="","",P142+Q142+R142-S142)</f>
        <v/>
      </c>
      <c r="U142" s="38" t="n"/>
      <c r="V142" s="38" t="n"/>
      <c r="W142" s="38" t="n"/>
      <c r="X142" s="38" t="n"/>
      <c r="Y142" s="38" t="n"/>
      <c r="Z142" s="38" t="n"/>
      <c r="AA142" s="38" t="n"/>
    </row>
    <row r="143" ht="21" customHeight="1">
      <c r="A143" s="38" t="n"/>
      <c r="B143" s="38" t="n"/>
      <c r="C143" s="38" t="n"/>
      <c r="D143" s="38" t="n"/>
      <c r="E143" s="38" t="n"/>
      <c r="F143" s="39" t="n"/>
      <c r="G143" s="38" t="n"/>
      <c r="H143" s="38" t="n"/>
      <c r="I143" s="38" t="n"/>
      <c r="J143" s="38" t="n"/>
      <c r="K143" s="38" t="n"/>
      <c r="L143" s="38" t="n"/>
      <c r="M143" s="38" t="n"/>
      <c r="N143" s="38" t="n"/>
      <c r="O143" s="40" t="n"/>
      <c r="P143" s="41">
        <f>IF(D143="","",F143*O143)</f>
        <v/>
      </c>
      <c r="Q143" s="38" t="n"/>
      <c r="R143" s="38" t="n"/>
      <c r="S143" s="40" t="n"/>
      <c r="T143" s="41">
        <f>IF(D143="","",P143+Q143+R143-S143)</f>
        <v/>
      </c>
      <c r="U143" s="38" t="n"/>
      <c r="V143" s="38" t="n"/>
      <c r="W143" s="38" t="n"/>
      <c r="X143" s="38" t="n"/>
      <c r="Y143" s="38" t="n"/>
      <c r="Z143" s="38" t="n"/>
      <c r="AA143" s="38" t="n"/>
    </row>
    <row r="144" ht="21" customHeight="1">
      <c r="A144" s="38" t="n"/>
      <c r="B144" s="38" t="n"/>
      <c r="C144" s="38" t="n"/>
      <c r="D144" s="38" t="n"/>
      <c r="E144" s="38" t="n"/>
      <c r="F144" s="39" t="n"/>
      <c r="G144" s="38" t="n"/>
      <c r="H144" s="38" t="n"/>
      <c r="I144" s="38" t="n"/>
      <c r="J144" s="38" t="n"/>
      <c r="K144" s="38" t="n"/>
      <c r="L144" s="38" t="n"/>
      <c r="M144" s="38" t="n"/>
      <c r="N144" s="38" t="n"/>
      <c r="O144" s="40" t="n"/>
      <c r="P144" s="41">
        <f>IF(D144="","",F144*O144)</f>
        <v/>
      </c>
      <c r="Q144" s="38" t="n"/>
      <c r="R144" s="38" t="n"/>
      <c r="S144" s="40" t="n"/>
      <c r="T144" s="41">
        <f>IF(D144="","",P144+Q144+R144-S144)</f>
        <v/>
      </c>
      <c r="U144" s="38" t="n"/>
      <c r="V144" s="38" t="n"/>
      <c r="W144" s="38" t="n"/>
      <c r="X144" s="38" t="n"/>
      <c r="Y144" s="38" t="n"/>
      <c r="Z144" s="38" t="n"/>
      <c r="AA144" s="38" t="n"/>
    </row>
    <row r="145" ht="21" customHeight="1">
      <c r="A145" s="38" t="n"/>
      <c r="B145" s="38" t="n"/>
      <c r="C145" s="38" t="n"/>
      <c r="D145" s="38" t="n"/>
      <c r="E145" s="38" t="n"/>
      <c r="F145" s="39" t="n"/>
      <c r="G145" s="38" t="n"/>
      <c r="H145" s="38" t="n"/>
      <c r="I145" s="38" t="n"/>
      <c r="J145" s="38" t="n"/>
      <c r="K145" s="38" t="n"/>
      <c r="L145" s="38" t="n"/>
      <c r="M145" s="38" t="n"/>
      <c r="N145" s="38" t="n"/>
      <c r="O145" s="40" t="n"/>
      <c r="P145" s="41">
        <f>IF(D145="","",F145*O145)</f>
        <v/>
      </c>
      <c r="Q145" s="38" t="n"/>
      <c r="R145" s="38" t="n"/>
      <c r="S145" s="40" t="n"/>
      <c r="T145" s="41">
        <f>IF(D145="","",P145+Q145+R145-S145)</f>
        <v/>
      </c>
      <c r="U145" s="38" t="n"/>
      <c r="V145" s="38" t="n"/>
      <c r="W145" s="38" t="n"/>
      <c r="X145" s="38" t="n"/>
      <c r="Y145" s="38" t="n"/>
      <c r="Z145" s="38" t="n"/>
      <c r="AA145" s="38" t="n"/>
    </row>
    <row r="146" ht="21" customHeight="1">
      <c r="A146" s="38" t="n"/>
      <c r="B146" s="38" t="n"/>
      <c r="C146" s="38" t="n"/>
      <c r="D146" s="38" t="n"/>
      <c r="E146" s="38" t="n"/>
      <c r="F146" s="39" t="n"/>
      <c r="G146" s="38" t="n"/>
      <c r="H146" s="38" t="n"/>
      <c r="I146" s="38" t="n"/>
      <c r="J146" s="38" t="n"/>
      <c r="K146" s="38" t="n"/>
      <c r="L146" s="38" t="n"/>
      <c r="M146" s="38" t="n"/>
      <c r="N146" s="38" t="n"/>
      <c r="O146" s="40" t="n"/>
      <c r="P146" s="41">
        <f>IF(D146="","",F146*O146)</f>
        <v/>
      </c>
      <c r="Q146" s="38" t="n"/>
      <c r="R146" s="38" t="n"/>
      <c r="S146" s="40" t="n"/>
      <c r="T146" s="41">
        <f>IF(D146="","",P146+Q146+R146-S146)</f>
        <v/>
      </c>
      <c r="U146" s="38" t="n"/>
      <c r="V146" s="38" t="n"/>
      <c r="W146" s="38" t="n"/>
      <c r="X146" s="38" t="n"/>
      <c r="Y146" s="38" t="n"/>
      <c r="Z146" s="38" t="n"/>
      <c r="AA146" s="38" t="n"/>
    </row>
    <row r="147" ht="21" customHeight="1">
      <c r="A147" s="38" t="n"/>
      <c r="B147" s="38" t="n"/>
      <c r="C147" s="38" t="n"/>
      <c r="D147" s="38" t="n"/>
      <c r="E147" s="38" t="n"/>
      <c r="F147" s="39" t="n"/>
      <c r="G147" s="38" t="n"/>
      <c r="H147" s="38" t="n"/>
      <c r="I147" s="38" t="n"/>
      <c r="J147" s="38" t="n"/>
      <c r="K147" s="38" t="n"/>
      <c r="L147" s="38" t="n"/>
      <c r="M147" s="38" t="n"/>
      <c r="N147" s="38" t="n"/>
      <c r="O147" s="40" t="n"/>
      <c r="P147" s="41">
        <f>IF(D147="","",F147*O147)</f>
        <v/>
      </c>
      <c r="Q147" s="38" t="n"/>
      <c r="R147" s="38" t="n"/>
      <c r="S147" s="40" t="n"/>
      <c r="T147" s="41">
        <f>IF(D147="","",P147+Q147+R147-S147)</f>
        <v/>
      </c>
      <c r="U147" s="38" t="n"/>
      <c r="V147" s="38" t="n"/>
      <c r="W147" s="38" t="n"/>
      <c r="X147" s="38" t="n"/>
      <c r="Y147" s="38" t="n"/>
      <c r="Z147" s="38" t="n"/>
      <c r="AA147" s="38" t="n"/>
    </row>
    <row r="148" ht="21" customHeight="1">
      <c r="A148" s="38" t="n"/>
      <c r="B148" s="38" t="n"/>
      <c r="C148" s="38" t="n"/>
      <c r="D148" s="38" t="n"/>
      <c r="E148" s="38" t="n"/>
      <c r="F148" s="39" t="n"/>
      <c r="G148" s="38" t="n"/>
      <c r="H148" s="38" t="n"/>
      <c r="I148" s="38" t="n"/>
      <c r="J148" s="38" t="n"/>
      <c r="K148" s="38" t="n"/>
      <c r="L148" s="38" t="n"/>
      <c r="M148" s="38" t="n"/>
      <c r="N148" s="38" t="n"/>
      <c r="O148" s="40" t="n"/>
      <c r="P148" s="41">
        <f>IF(D148="","",F148*O148)</f>
        <v/>
      </c>
      <c r="Q148" s="38" t="n"/>
      <c r="R148" s="38" t="n"/>
      <c r="S148" s="40" t="n"/>
      <c r="T148" s="41">
        <f>IF(D148="","",P148+Q148+R148-S148)</f>
        <v/>
      </c>
      <c r="U148" s="38" t="n"/>
      <c r="V148" s="38" t="n"/>
      <c r="W148" s="38" t="n"/>
      <c r="X148" s="38" t="n"/>
      <c r="Y148" s="38" t="n"/>
      <c r="Z148" s="38" t="n"/>
      <c r="AA148" s="38" t="n"/>
    </row>
    <row r="149" ht="21" customHeight="1">
      <c r="A149" s="38" t="n"/>
      <c r="B149" s="38" t="n"/>
      <c r="C149" s="38" t="n"/>
      <c r="D149" s="38" t="n"/>
      <c r="E149" s="38" t="n"/>
      <c r="F149" s="39" t="n"/>
      <c r="G149" s="38" t="n"/>
      <c r="H149" s="38" t="n"/>
      <c r="I149" s="38" t="n"/>
      <c r="J149" s="38" t="n"/>
      <c r="K149" s="38" t="n"/>
      <c r="L149" s="38" t="n"/>
      <c r="M149" s="38" t="n"/>
      <c r="N149" s="38" t="n"/>
      <c r="O149" s="40" t="n"/>
      <c r="P149" s="41">
        <f>IF(D149="","",F149*O149)</f>
        <v/>
      </c>
      <c r="Q149" s="38" t="n"/>
      <c r="R149" s="38" t="n"/>
      <c r="S149" s="40" t="n"/>
      <c r="T149" s="41">
        <f>IF(D149="","",P149+Q149+R149-S149)</f>
        <v/>
      </c>
      <c r="U149" s="38" t="n"/>
      <c r="V149" s="38" t="n"/>
      <c r="W149" s="38" t="n"/>
      <c r="X149" s="38" t="n"/>
      <c r="Y149" s="38" t="n"/>
      <c r="Z149" s="38" t="n"/>
      <c r="AA149" s="38" t="n"/>
    </row>
    <row r="150" ht="21" customHeight="1">
      <c r="A150" s="38" t="n"/>
      <c r="B150" s="38" t="n"/>
      <c r="C150" s="38" t="n"/>
      <c r="D150" s="38" t="n"/>
      <c r="E150" s="38" t="n"/>
      <c r="F150" s="39" t="n"/>
      <c r="G150" s="38" t="n"/>
      <c r="H150" s="38" t="n"/>
      <c r="I150" s="38" t="n"/>
      <c r="J150" s="38" t="n"/>
      <c r="K150" s="38" t="n"/>
      <c r="L150" s="38" t="n"/>
      <c r="M150" s="38" t="n"/>
      <c r="N150" s="38" t="n"/>
      <c r="O150" s="40" t="n"/>
      <c r="P150" s="41">
        <f>IF(D150="","",F150*O150)</f>
        <v/>
      </c>
      <c r="Q150" s="38" t="n"/>
      <c r="R150" s="38" t="n"/>
      <c r="S150" s="40" t="n"/>
      <c r="T150" s="41">
        <f>IF(D150="","",P150+Q150+R150-S150)</f>
        <v/>
      </c>
      <c r="U150" s="38" t="n"/>
      <c r="V150" s="38" t="n"/>
      <c r="W150" s="38" t="n"/>
      <c r="X150" s="38" t="n"/>
      <c r="Y150" s="38" t="n"/>
      <c r="Z150" s="38" t="n"/>
      <c r="AA150" s="38" t="n"/>
    </row>
    <row r="151" ht="21" customHeight="1">
      <c r="A151" s="38" t="n"/>
      <c r="B151" s="38" t="n"/>
      <c r="C151" s="38" t="n"/>
      <c r="D151" s="38" t="n"/>
      <c r="E151" s="38" t="n"/>
      <c r="F151" s="39" t="n"/>
      <c r="G151" s="38" t="n"/>
      <c r="H151" s="38" t="n"/>
      <c r="I151" s="38" t="n"/>
      <c r="J151" s="38" t="n"/>
      <c r="K151" s="38" t="n"/>
      <c r="L151" s="38" t="n"/>
      <c r="M151" s="38" t="n"/>
      <c r="N151" s="38" t="n"/>
      <c r="O151" s="40" t="n"/>
      <c r="P151" s="41">
        <f>IF(D151="","",F151*O151)</f>
        <v/>
      </c>
      <c r="Q151" s="38" t="n"/>
      <c r="R151" s="38" t="n"/>
      <c r="S151" s="40" t="n"/>
      <c r="T151" s="41">
        <f>IF(D151="","",P151+Q151+R151-S151)</f>
        <v/>
      </c>
      <c r="U151" s="38" t="n"/>
      <c r="V151" s="38" t="n"/>
      <c r="W151" s="38" t="n"/>
      <c r="X151" s="38" t="n"/>
      <c r="Y151" s="38" t="n"/>
      <c r="Z151" s="38" t="n"/>
      <c r="AA151" s="38" t="n"/>
    </row>
    <row r="152" ht="21" customHeight="1">
      <c r="A152" s="38" t="n"/>
      <c r="B152" s="38" t="n"/>
      <c r="C152" s="38" t="n"/>
      <c r="D152" s="38" t="n"/>
      <c r="E152" s="38" t="n"/>
      <c r="F152" s="39" t="n"/>
      <c r="G152" s="38" t="n"/>
      <c r="H152" s="38" t="n"/>
      <c r="I152" s="38" t="n"/>
      <c r="J152" s="38" t="n"/>
      <c r="K152" s="38" t="n"/>
      <c r="L152" s="38" t="n"/>
      <c r="M152" s="38" t="n"/>
      <c r="N152" s="38" t="n"/>
      <c r="O152" s="40" t="n"/>
      <c r="P152" s="41">
        <f>IF(D152="","",F152*O152)</f>
        <v/>
      </c>
      <c r="Q152" s="38" t="n"/>
      <c r="R152" s="38" t="n"/>
      <c r="S152" s="40" t="n"/>
      <c r="T152" s="41">
        <f>IF(D152="","",P152+Q152+R152-S152)</f>
        <v/>
      </c>
      <c r="U152" s="38" t="n"/>
      <c r="V152" s="38" t="n"/>
      <c r="W152" s="38" t="n"/>
      <c r="X152" s="38" t="n"/>
      <c r="Y152" s="38" t="n"/>
      <c r="Z152" s="38" t="n"/>
      <c r="AA152" s="38" t="n"/>
    </row>
    <row r="153" ht="21" customHeight="1">
      <c r="A153" s="38" t="n"/>
      <c r="B153" s="38" t="n"/>
      <c r="C153" s="38" t="n"/>
      <c r="D153" s="38" t="n"/>
      <c r="E153" s="38" t="n"/>
      <c r="F153" s="39" t="n"/>
      <c r="G153" s="38" t="n"/>
      <c r="H153" s="38" t="n"/>
      <c r="I153" s="38" t="n"/>
      <c r="J153" s="38" t="n"/>
      <c r="K153" s="38" t="n"/>
      <c r="L153" s="38" t="n"/>
      <c r="M153" s="38" t="n"/>
      <c r="N153" s="38" t="n"/>
      <c r="O153" s="40" t="n"/>
      <c r="P153" s="41">
        <f>IF(D153="","",F153*O153)</f>
        <v/>
      </c>
      <c r="Q153" s="38" t="n"/>
      <c r="R153" s="38" t="n"/>
      <c r="S153" s="40" t="n"/>
      <c r="T153" s="41">
        <f>IF(D153="","",P153+Q153+R153-S153)</f>
        <v/>
      </c>
      <c r="U153" s="38" t="n"/>
      <c r="V153" s="38" t="n"/>
      <c r="W153" s="38" t="n"/>
      <c r="X153" s="38" t="n"/>
      <c r="Y153" s="38" t="n"/>
      <c r="Z153" s="38" t="n"/>
      <c r="AA153" s="38" t="n"/>
    </row>
    <row r="154" ht="21" customHeight="1">
      <c r="A154" s="38" t="n"/>
      <c r="B154" s="38" t="n"/>
      <c r="C154" s="38" t="n"/>
      <c r="D154" s="38" t="n"/>
      <c r="E154" s="38" t="n"/>
      <c r="F154" s="39" t="n"/>
      <c r="G154" s="38" t="n"/>
      <c r="H154" s="38" t="n"/>
      <c r="I154" s="38" t="n"/>
      <c r="J154" s="38" t="n"/>
      <c r="K154" s="38" t="n"/>
      <c r="L154" s="38" t="n"/>
      <c r="M154" s="38" t="n"/>
      <c r="N154" s="38" t="n"/>
      <c r="O154" s="40" t="n"/>
      <c r="P154" s="41">
        <f>IF(D154="","",F154*O154)</f>
        <v/>
      </c>
      <c r="Q154" s="38" t="n"/>
      <c r="R154" s="38" t="n"/>
      <c r="S154" s="40" t="n"/>
      <c r="T154" s="41">
        <f>IF(D154="","",P154+Q154+R154-S154)</f>
        <v/>
      </c>
      <c r="U154" s="38" t="n"/>
      <c r="V154" s="38" t="n"/>
      <c r="W154" s="38" t="n"/>
      <c r="X154" s="38" t="n"/>
      <c r="Y154" s="38" t="n"/>
      <c r="Z154" s="38" t="n"/>
      <c r="AA154" s="38" t="n"/>
    </row>
    <row r="155" ht="21" customHeight="1">
      <c r="A155" s="38" t="n"/>
      <c r="B155" s="38" t="n"/>
      <c r="C155" s="38" t="n"/>
      <c r="D155" s="38" t="n"/>
      <c r="E155" s="38" t="n"/>
      <c r="F155" s="39" t="n"/>
      <c r="G155" s="38" t="n"/>
      <c r="H155" s="38" t="n"/>
      <c r="I155" s="38" t="n"/>
      <c r="J155" s="38" t="n"/>
      <c r="K155" s="38" t="n"/>
      <c r="L155" s="38" t="n"/>
      <c r="M155" s="38" t="n"/>
      <c r="N155" s="38" t="n"/>
      <c r="O155" s="40" t="n"/>
      <c r="P155" s="41">
        <f>IF(D155="","",F155*O155)</f>
        <v/>
      </c>
      <c r="Q155" s="38" t="n"/>
      <c r="R155" s="38" t="n"/>
      <c r="S155" s="40" t="n"/>
      <c r="T155" s="41">
        <f>IF(D155="","",P155+Q155+R155-S155)</f>
        <v/>
      </c>
      <c r="U155" s="38" t="n"/>
      <c r="V155" s="38" t="n"/>
      <c r="W155" s="38" t="n"/>
      <c r="X155" s="38" t="n"/>
      <c r="Y155" s="38" t="n"/>
      <c r="Z155" s="38" t="n"/>
      <c r="AA155" s="38" t="n"/>
    </row>
    <row r="156" ht="21" customHeight="1">
      <c r="A156" s="38" t="n"/>
      <c r="B156" s="38" t="n"/>
      <c r="C156" s="38" t="n"/>
      <c r="D156" s="38" t="n"/>
      <c r="E156" s="38" t="n"/>
      <c r="F156" s="39" t="n"/>
      <c r="G156" s="38" t="n"/>
      <c r="H156" s="38" t="n"/>
      <c r="I156" s="38" t="n"/>
      <c r="J156" s="38" t="n"/>
      <c r="K156" s="38" t="n"/>
      <c r="L156" s="38" t="n"/>
      <c r="M156" s="38" t="n"/>
      <c r="N156" s="38" t="n"/>
      <c r="O156" s="40" t="n"/>
      <c r="P156" s="41">
        <f>IF(D156="","",F156*O156)</f>
        <v/>
      </c>
      <c r="Q156" s="38" t="n"/>
      <c r="R156" s="38" t="n"/>
      <c r="S156" s="40" t="n"/>
      <c r="T156" s="41">
        <f>IF(D156="","",P156+Q156+R156-S156)</f>
        <v/>
      </c>
      <c r="U156" s="38" t="n"/>
      <c r="V156" s="38" t="n"/>
      <c r="W156" s="38" t="n"/>
      <c r="X156" s="38" t="n"/>
      <c r="Y156" s="38" t="n"/>
      <c r="Z156" s="38" t="n"/>
      <c r="AA156" s="38" t="n"/>
    </row>
    <row r="157" ht="21" customHeight="1">
      <c r="A157" s="38" t="n"/>
      <c r="B157" s="38" t="n"/>
      <c r="C157" s="38" t="n"/>
      <c r="D157" s="38" t="n"/>
      <c r="E157" s="38" t="n"/>
      <c r="F157" s="39" t="n"/>
      <c r="G157" s="38" t="n"/>
      <c r="H157" s="38" t="n"/>
      <c r="I157" s="38" t="n"/>
      <c r="J157" s="38" t="n"/>
      <c r="K157" s="38" t="n"/>
      <c r="L157" s="38" t="n"/>
      <c r="M157" s="38" t="n"/>
      <c r="N157" s="38" t="n"/>
      <c r="O157" s="40" t="n"/>
      <c r="P157" s="41">
        <f>IF(D157="","",F157*O157)</f>
        <v/>
      </c>
      <c r="Q157" s="38" t="n"/>
      <c r="R157" s="38" t="n"/>
      <c r="S157" s="40" t="n"/>
      <c r="T157" s="41">
        <f>IF(D157="","",P157+Q157+R157-S157)</f>
        <v/>
      </c>
      <c r="U157" s="38" t="n"/>
      <c r="V157" s="38" t="n"/>
      <c r="W157" s="38" t="n"/>
      <c r="X157" s="38" t="n"/>
      <c r="Y157" s="38" t="n"/>
      <c r="Z157" s="38" t="n"/>
      <c r="AA157" s="38" t="n"/>
    </row>
    <row r="158" ht="21" customHeight="1">
      <c r="A158" s="38" t="n"/>
      <c r="B158" s="38" t="n"/>
      <c r="C158" s="38" t="n"/>
      <c r="D158" s="38" t="n"/>
      <c r="E158" s="38" t="n"/>
      <c r="F158" s="39" t="n"/>
      <c r="G158" s="38" t="n"/>
      <c r="H158" s="38" t="n"/>
      <c r="I158" s="38" t="n"/>
      <c r="J158" s="38" t="n"/>
      <c r="K158" s="38" t="n"/>
      <c r="L158" s="38" t="n"/>
      <c r="M158" s="38" t="n"/>
      <c r="N158" s="38" t="n"/>
      <c r="O158" s="40" t="n"/>
      <c r="P158" s="41">
        <f>IF(D158="","",F158*O158)</f>
        <v/>
      </c>
      <c r="Q158" s="38" t="n"/>
      <c r="R158" s="38" t="n"/>
      <c r="S158" s="40" t="n"/>
      <c r="T158" s="41">
        <f>IF(D158="","",P158+Q158+R158-S158)</f>
        <v/>
      </c>
      <c r="U158" s="38" t="n"/>
      <c r="V158" s="38" t="n"/>
      <c r="W158" s="38" t="n"/>
      <c r="X158" s="38" t="n"/>
      <c r="Y158" s="38" t="n"/>
      <c r="Z158" s="38" t="n"/>
      <c r="AA158" s="38" t="n"/>
    </row>
    <row r="159" ht="21" customHeight="1">
      <c r="A159" s="38" t="n"/>
      <c r="B159" s="38" t="n"/>
      <c r="C159" s="38" t="n"/>
      <c r="D159" s="38" t="n"/>
      <c r="E159" s="38" t="n"/>
      <c r="F159" s="39" t="n"/>
      <c r="G159" s="38" t="n"/>
      <c r="H159" s="38" t="n"/>
      <c r="I159" s="38" t="n"/>
      <c r="J159" s="38" t="n"/>
      <c r="K159" s="38" t="n"/>
      <c r="L159" s="38" t="n"/>
      <c r="M159" s="38" t="n"/>
      <c r="N159" s="38" t="n"/>
      <c r="O159" s="40" t="n"/>
      <c r="P159" s="41">
        <f>IF(D159="","",F159*O159)</f>
        <v/>
      </c>
      <c r="Q159" s="38" t="n"/>
      <c r="R159" s="38" t="n"/>
      <c r="S159" s="40" t="n"/>
      <c r="T159" s="41">
        <f>IF(D159="","",P159+Q159+R159-S159)</f>
        <v/>
      </c>
      <c r="U159" s="38" t="n"/>
      <c r="V159" s="38" t="n"/>
      <c r="W159" s="38" t="n"/>
      <c r="X159" s="38" t="n"/>
      <c r="Y159" s="38" t="n"/>
      <c r="Z159" s="38" t="n"/>
      <c r="AA159" s="38" t="n"/>
    </row>
    <row r="160" ht="21" customHeight="1">
      <c r="A160" s="38" t="n"/>
      <c r="B160" s="38" t="n"/>
      <c r="C160" s="38" t="n"/>
      <c r="D160" s="38" t="n"/>
      <c r="E160" s="38" t="n"/>
      <c r="F160" s="39" t="n"/>
      <c r="G160" s="38" t="n"/>
      <c r="H160" s="38" t="n"/>
      <c r="I160" s="38" t="n"/>
      <c r="J160" s="38" t="n"/>
      <c r="K160" s="38" t="n"/>
      <c r="L160" s="38" t="n"/>
      <c r="M160" s="38" t="n"/>
      <c r="N160" s="38" t="n"/>
      <c r="O160" s="40" t="n"/>
      <c r="P160" s="41">
        <f>IF(D160="","",F160*O160)</f>
        <v/>
      </c>
      <c r="Q160" s="38" t="n"/>
      <c r="R160" s="38" t="n"/>
      <c r="S160" s="40" t="n"/>
      <c r="T160" s="41">
        <f>IF(D160="","",P160+Q160+R160-S160)</f>
        <v/>
      </c>
      <c r="U160" s="38" t="n"/>
      <c r="V160" s="38" t="n"/>
      <c r="W160" s="38" t="n"/>
      <c r="X160" s="38" t="n"/>
      <c r="Y160" s="38" t="n"/>
      <c r="Z160" s="38" t="n"/>
      <c r="AA160" s="38" t="n"/>
    </row>
    <row r="161" ht="21" customHeight="1">
      <c r="A161" s="38" t="n"/>
      <c r="B161" s="38" t="n"/>
      <c r="C161" s="38" t="n"/>
      <c r="D161" s="38" t="n"/>
      <c r="E161" s="38" t="n"/>
      <c r="F161" s="39" t="n"/>
      <c r="G161" s="38" t="n"/>
      <c r="H161" s="38" t="n"/>
      <c r="I161" s="38" t="n"/>
      <c r="J161" s="38" t="n"/>
      <c r="K161" s="38" t="n"/>
      <c r="L161" s="38" t="n"/>
      <c r="M161" s="38" t="n"/>
      <c r="N161" s="38" t="n"/>
      <c r="O161" s="40" t="n"/>
      <c r="P161" s="41">
        <f>IF(D161="","",F161*O161)</f>
        <v/>
      </c>
      <c r="Q161" s="38" t="n"/>
      <c r="R161" s="38" t="n"/>
      <c r="S161" s="40" t="n"/>
      <c r="T161" s="41">
        <f>IF(D161="","",P161+Q161+R161-S161)</f>
        <v/>
      </c>
      <c r="U161" s="38" t="n"/>
      <c r="V161" s="38" t="n"/>
      <c r="W161" s="38" t="n"/>
      <c r="X161" s="38" t="n"/>
      <c r="Y161" s="38" t="n"/>
      <c r="Z161" s="38" t="n"/>
      <c r="AA161" s="38" t="n"/>
    </row>
    <row r="162" ht="21" customHeight="1">
      <c r="A162" s="38" t="n"/>
      <c r="B162" s="38" t="n"/>
      <c r="C162" s="38" t="n"/>
      <c r="D162" s="38" t="n"/>
      <c r="E162" s="38" t="n"/>
      <c r="F162" s="39" t="n"/>
      <c r="G162" s="38" t="n"/>
      <c r="H162" s="38" t="n"/>
      <c r="I162" s="38" t="n"/>
      <c r="J162" s="38" t="n"/>
      <c r="K162" s="38" t="n"/>
      <c r="L162" s="38" t="n"/>
      <c r="M162" s="38" t="n"/>
      <c r="N162" s="38" t="n"/>
      <c r="O162" s="40" t="n"/>
      <c r="P162" s="41">
        <f>IF(D162="","",F162*O162)</f>
        <v/>
      </c>
      <c r="Q162" s="38" t="n"/>
      <c r="R162" s="38" t="n"/>
      <c r="S162" s="40" t="n"/>
      <c r="T162" s="41">
        <f>IF(D162="","",P162+Q162+R162-S162)</f>
        <v/>
      </c>
      <c r="U162" s="38" t="n"/>
      <c r="V162" s="38" t="n"/>
      <c r="W162" s="38" t="n"/>
      <c r="X162" s="38" t="n"/>
      <c r="Y162" s="38" t="n"/>
      <c r="Z162" s="38" t="n"/>
      <c r="AA162" s="38" t="n"/>
    </row>
    <row r="163" ht="21" customHeight="1">
      <c r="A163" s="38" t="n"/>
      <c r="B163" s="38" t="n"/>
      <c r="C163" s="38" t="n"/>
      <c r="D163" s="38" t="n"/>
      <c r="E163" s="38" t="n"/>
      <c r="F163" s="39" t="n"/>
      <c r="G163" s="38" t="n"/>
      <c r="H163" s="38" t="n"/>
      <c r="I163" s="38" t="n"/>
      <c r="J163" s="38" t="n"/>
      <c r="K163" s="38" t="n"/>
      <c r="L163" s="38" t="n"/>
      <c r="M163" s="38" t="n"/>
      <c r="N163" s="38" t="n"/>
      <c r="O163" s="40" t="n"/>
      <c r="P163" s="41">
        <f>IF(D163="","",F163*O163)</f>
        <v/>
      </c>
      <c r="Q163" s="38" t="n"/>
      <c r="R163" s="38" t="n"/>
      <c r="S163" s="40" t="n"/>
      <c r="T163" s="41">
        <f>IF(D163="","",P163+Q163+R163-S163)</f>
        <v/>
      </c>
      <c r="U163" s="38" t="n"/>
      <c r="V163" s="38" t="n"/>
      <c r="W163" s="38" t="n"/>
      <c r="X163" s="38" t="n"/>
      <c r="Y163" s="38" t="n"/>
      <c r="Z163" s="38" t="n"/>
      <c r="AA163" s="38" t="n"/>
    </row>
    <row r="164" ht="21" customHeight="1">
      <c r="A164" s="38" t="n"/>
      <c r="B164" s="38" t="n"/>
      <c r="C164" s="38" t="n"/>
      <c r="D164" s="38" t="n"/>
      <c r="E164" s="38" t="n"/>
      <c r="F164" s="39" t="n"/>
      <c r="G164" s="38" t="n"/>
      <c r="H164" s="38" t="n"/>
      <c r="I164" s="38" t="n"/>
      <c r="J164" s="38" t="n"/>
      <c r="K164" s="38" t="n"/>
      <c r="L164" s="38" t="n"/>
      <c r="M164" s="38" t="n"/>
      <c r="N164" s="38" t="n"/>
      <c r="O164" s="40" t="n"/>
      <c r="P164" s="41">
        <f>IF(D164="","",F164*O164)</f>
        <v/>
      </c>
      <c r="Q164" s="38" t="n"/>
      <c r="R164" s="38" t="n"/>
      <c r="S164" s="40" t="n"/>
      <c r="T164" s="41">
        <f>IF(D164="","",P164+Q164+R164-S164)</f>
        <v/>
      </c>
      <c r="U164" s="38" t="n"/>
      <c r="V164" s="38" t="n"/>
      <c r="W164" s="38" t="n"/>
      <c r="X164" s="38" t="n"/>
      <c r="Y164" s="38" t="n"/>
      <c r="Z164" s="38" t="n"/>
      <c r="AA164" s="38" t="n"/>
    </row>
    <row r="165" ht="21" customHeight="1">
      <c r="A165" s="38" t="n"/>
      <c r="B165" s="38" t="n"/>
      <c r="C165" s="38" t="n"/>
      <c r="D165" s="38" t="n"/>
      <c r="E165" s="38" t="n"/>
      <c r="F165" s="39" t="n"/>
      <c r="G165" s="38" t="n"/>
      <c r="H165" s="38" t="n"/>
      <c r="I165" s="38" t="n"/>
      <c r="J165" s="38" t="n"/>
      <c r="K165" s="38" t="n"/>
      <c r="L165" s="38" t="n"/>
      <c r="M165" s="38" t="n"/>
      <c r="N165" s="38" t="n"/>
      <c r="O165" s="40" t="n"/>
      <c r="P165" s="41">
        <f>IF(D165="","",F165*O165)</f>
        <v/>
      </c>
      <c r="Q165" s="38" t="n"/>
      <c r="R165" s="38" t="n"/>
      <c r="S165" s="40" t="n"/>
      <c r="T165" s="41">
        <f>IF(D165="","",P165+Q165+R165-S165)</f>
        <v/>
      </c>
      <c r="U165" s="38" t="n"/>
      <c r="V165" s="38" t="n"/>
      <c r="W165" s="38" t="n"/>
      <c r="X165" s="38" t="n"/>
      <c r="Y165" s="38" t="n"/>
      <c r="Z165" s="38" t="n"/>
      <c r="AA165" s="38" t="n"/>
    </row>
    <row r="166" ht="21" customHeight="1">
      <c r="A166" s="38" t="n"/>
      <c r="B166" s="38" t="n"/>
      <c r="C166" s="38" t="n"/>
      <c r="D166" s="38" t="n"/>
      <c r="E166" s="38" t="n"/>
      <c r="F166" s="39" t="n"/>
      <c r="G166" s="38" t="n"/>
      <c r="H166" s="38" t="n"/>
      <c r="I166" s="38" t="n"/>
      <c r="J166" s="38" t="n"/>
      <c r="K166" s="38" t="n"/>
      <c r="L166" s="38" t="n"/>
      <c r="M166" s="38" t="n"/>
      <c r="N166" s="38" t="n"/>
      <c r="O166" s="40" t="n"/>
      <c r="P166" s="41">
        <f>IF(D166="","",F166*O166)</f>
        <v/>
      </c>
      <c r="Q166" s="38" t="n"/>
      <c r="R166" s="38" t="n"/>
      <c r="S166" s="40" t="n"/>
      <c r="T166" s="41">
        <f>IF(D166="","",P166+Q166+R166-S166)</f>
        <v/>
      </c>
      <c r="U166" s="38" t="n"/>
      <c r="V166" s="38" t="n"/>
      <c r="W166" s="38" t="n"/>
      <c r="X166" s="38" t="n"/>
      <c r="Y166" s="38" t="n"/>
      <c r="Z166" s="38" t="n"/>
      <c r="AA166" s="38" t="n"/>
    </row>
    <row r="167" ht="21" customHeight="1">
      <c r="A167" s="38" t="n"/>
      <c r="B167" s="38" t="n"/>
      <c r="C167" s="38" t="n"/>
      <c r="D167" s="38" t="n"/>
      <c r="E167" s="38" t="n"/>
      <c r="F167" s="39" t="n"/>
      <c r="G167" s="38" t="n"/>
      <c r="H167" s="38" t="n"/>
      <c r="I167" s="38" t="n"/>
      <c r="J167" s="38" t="n"/>
      <c r="K167" s="38" t="n"/>
      <c r="L167" s="38" t="n"/>
      <c r="M167" s="38" t="n"/>
      <c r="N167" s="38" t="n"/>
      <c r="O167" s="40" t="n"/>
      <c r="P167" s="41">
        <f>IF(D167="","",F167*O167)</f>
        <v/>
      </c>
      <c r="Q167" s="38" t="n"/>
      <c r="R167" s="38" t="n"/>
      <c r="S167" s="40" t="n"/>
      <c r="T167" s="41">
        <f>IF(D167="","",P167+Q167+R167-S167)</f>
        <v/>
      </c>
      <c r="U167" s="38" t="n"/>
      <c r="V167" s="38" t="n"/>
      <c r="W167" s="38" t="n"/>
      <c r="X167" s="38" t="n"/>
      <c r="Y167" s="38" t="n"/>
      <c r="Z167" s="38" t="n"/>
      <c r="AA167" s="38" t="n"/>
    </row>
    <row r="168" ht="21" customHeight="1">
      <c r="A168" s="38" t="n"/>
      <c r="B168" s="38" t="n"/>
      <c r="C168" s="38" t="n"/>
      <c r="D168" s="38" t="n"/>
      <c r="E168" s="38" t="n"/>
      <c r="F168" s="39" t="n"/>
      <c r="G168" s="38" t="n"/>
      <c r="H168" s="38" t="n"/>
      <c r="I168" s="38" t="n"/>
      <c r="J168" s="38" t="n"/>
      <c r="K168" s="38" t="n"/>
      <c r="L168" s="38" t="n"/>
      <c r="M168" s="38" t="n"/>
      <c r="N168" s="38" t="n"/>
      <c r="O168" s="40" t="n"/>
      <c r="P168" s="41">
        <f>IF(D168="","",F168*O168)</f>
        <v/>
      </c>
      <c r="Q168" s="38" t="n"/>
      <c r="R168" s="38" t="n"/>
      <c r="S168" s="40" t="n"/>
      <c r="T168" s="41">
        <f>IF(D168="","",P168+Q168+R168-S168)</f>
        <v/>
      </c>
      <c r="U168" s="38" t="n"/>
      <c r="V168" s="38" t="n"/>
      <c r="W168" s="38" t="n"/>
      <c r="X168" s="38" t="n"/>
      <c r="Y168" s="38" t="n"/>
      <c r="Z168" s="38" t="n"/>
      <c r="AA168" s="38" t="n"/>
    </row>
    <row r="169" ht="21" customHeight="1">
      <c r="A169" s="38" t="n"/>
      <c r="B169" s="38" t="n"/>
      <c r="C169" s="38" t="n"/>
      <c r="D169" s="38" t="n"/>
      <c r="E169" s="38" t="n"/>
      <c r="F169" s="39" t="n"/>
      <c r="G169" s="38" t="n"/>
      <c r="H169" s="38" t="n"/>
      <c r="I169" s="38" t="n"/>
      <c r="J169" s="38" t="n"/>
      <c r="K169" s="38" t="n"/>
      <c r="L169" s="38" t="n"/>
      <c r="M169" s="38" t="n"/>
      <c r="N169" s="38" t="n"/>
      <c r="O169" s="40" t="n"/>
      <c r="P169" s="41">
        <f>IF(D169="","",F169*O169)</f>
        <v/>
      </c>
      <c r="Q169" s="38" t="n"/>
      <c r="R169" s="38" t="n"/>
      <c r="S169" s="40" t="n"/>
      <c r="T169" s="41">
        <f>IF(D169="","",P169+Q169+R169-S169)</f>
        <v/>
      </c>
      <c r="U169" s="38" t="n"/>
      <c r="V169" s="38" t="n"/>
      <c r="W169" s="38" t="n"/>
      <c r="X169" s="38" t="n"/>
      <c r="Y169" s="38" t="n"/>
      <c r="Z169" s="38" t="n"/>
      <c r="AA169" s="38" t="n"/>
    </row>
    <row r="170" ht="21" customHeight="1">
      <c r="A170" s="38" t="n"/>
      <c r="B170" s="38" t="n"/>
      <c r="C170" s="38" t="n"/>
      <c r="D170" s="38" t="n"/>
      <c r="E170" s="38" t="n"/>
      <c r="F170" s="39" t="n"/>
      <c r="G170" s="38" t="n"/>
      <c r="H170" s="38" t="n"/>
      <c r="I170" s="38" t="n"/>
      <c r="J170" s="38" t="n"/>
      <c r="K170" s="38" t="n"/>
      <c r="L170" s="38" t="n"/>
      <c r="M170" s="38" t="n"/>
      <c r="N170" s="38" t="n"/>
      <c r="O170" s="40" t="n"/>
      <c r="P170" s="41">
        <f>IF(D170="","",F170*O170)</f>
        <v/>
      </c>
      <c r="Q170" s="38" t="n"/>
      <c r="R170" s="38" t="n"/>
      <c r="S170" s="40" t="n"/>
      <c r="T170" s="41">
        <f>IF(D170="","",P170+Q170+R170-S170)</f>
        <v/>
      </c>
      <c r="U170" s="38" t="n"/>
      <c r="V170" s="38" t="n"/>
      <c r="W170" s="38" t="n"/>
      <c r="X170" s="38" t="n"/>
      <c r="Y170" s="38" t="n"/>
      <c r="Z170" s="38" t="n"/>
      <c r="AA170" s="38" t="n"/>
    </row>
    <row r="171" ht="21" customHeight="1">
      <c r="A171" s="38" t="n"/>
      <c r="B171" s="38" t="n"/>
      <c r="C171" s="38" t="n"/>
      <c r="D171" s="38" t="n"/>
      <c r="E171" s="38" t="n"/>
      <c r="F171" s="39" t="n"/>
      <c r="G171" s="38" t="n"/>
      <c r="H171" s="38" t="n"/>
      <c r="I171" s="38" t="n"/>
      <c r="J171" s="38" t="n"/>
      <c r="K171" s="38" t="n"/>
      <c r="L171" s="38" t="n"/>
      <c r="M171" s="38" t="n"/>
      <c r="N171" s="38" t="n"/>
      <c r="O171" s="40" t="n"/>
      <c r="P171" s="41">
        <f>IF(D171="","",F171*O171)</f>
        <v/>
      </c>
      <c r="Q171" s="38" t="n"/>
      <c r="R171" s="38" t="n"/>
      <c r="S171" s="40" t="n"/>
      <c r="T171" s="41">
        <f>IF(D171="","",P171+Q171+R171-S171)</f>
        <v/>
      </c>
      <c r="U171" s="38" t="n"/>
      <c r="V171" s="38" t="n"/>
      <c r="W171" s="38" t="n"/>
      <c r="X171" s="38" t="n"/>
      <c r="Y171" s="38" t="n"/>
      <c r="Z171" s="38" t="n"/>
      <c r="AA171" s="38" t="n"/>
    </row>
    <row r="172" ht="21" customHeight="1">
      <c r="A172" s="38" t="n"/>
      <c r="B172" s="38" t="n"/>
      <c r="C172" s="38" t="n"/>
      <c r="D172" s="38" t="n"/>
      <c r="E172" s="38" t="n"/>
      <c r="F172" s="39" t="n"/>
      <c r="G172" s="38" t="n"/>
      <c r="H172" s="38" t="n"/>
      <c r="I172" s="38" t="n"/>
      <c r="J172" s="38" t="n"/>
      <c r="K172" s="38" t="n"/>
      <c r="L172" s="38" t="n"/>
      <c r="M172" s="38" t="n"/>
      <c r="N172" s="38" t="n"/>
      <c r="O172" s="40" t="n"/>
      <c r="P172" s="41">
        <f>IF(D172="","",F172*O172)</f>
        <v/>
      </c>
      <c r="Q172" s="38" t="n"/>
      <c r="R172" s="38" t="n"/>
      <c r="S172" s="40" t="n"/>
      <c r="T172" s="41">
        <f>IF(D172="","",P172+Q172+R172-S172)</f>
        <v/>
      </c>
      <c r="U172" s="38" t="n"/>
      <c r="V172" s="38" t="n"/>
      <c r="W172" s="38" t="n"/>
      <c r="X172" s="38" t="n"/>
      <c r="Y172" s="38" t="n"/>
      <c r="Z172" s="38" t="n"/>
      <c r="AA172" s="38" t="n"/>
    </row>
    <row r="173" ht="21" customHeight="1">
      <c r="A173" s="38" t="n"/>
      <c r="B173" s="38" t="n"/>
      <c r="C173" s="38" t="n"/>
      <c r="D173" s="38" t="n"/>
      <c r="E173" s="38" t="n"/>
      <c r="F173" s="39" t="n"/>
      <c r="G173" s="38" t="n"/>
      <c r="H173" s="38" t="n"/>
      <c r="I173" s="38" t="n"/>
      <c r="J173" s="38" t="n"/>
      <c r="K173" s="38" t="n"/>
      <c r="L173" s="38" t="n"/>
      <c r="M173" s="38" t="n"/>
      <c r="N173" s="38" t="n"/>
      <c r="O173" s="40" t="n"/>
      <c r="P173" s="41">
        <f>IF(D173="","",F173*O173)</f>
        <v/>
      </c>
      <c r="Q173" s="38" t="n"/>
      <c r="R173" s="38" t="n"/>
      <c r="S173" s="40" t="n"/>
      <c r="T173" s="41">
        <f>IF(D173="","",P173+Q173+R173-S173)</f>
        <v/>
      </c>
      <c r="U173" s="38" t="n"/>
      <c r="V173" s="38" t="n"/>
      <c r="W173" s="38" t="n"/>
      <c r="X173" s="38" t="n"/>
      <c r="Y173" s="38" t="n"/>
      <c r="Z173" s="38" t="n"/>
      <c r="AA173" s="38" t="n"/>
    </row>
    <row r="174" ht="21" customHeight="1">
      <c r="A174" s="38" t="n"/>
      <c r="B174" s="38" t="n"/>
      <c r="C174" s="38" t="n"/>
      <c r="D174" s="38" t="n"/>
      <c r="E174" s="38" t="n"/>
      <c r="F174" s="39" t="n"/>
      <c r="G174" s="38" t="n"/>
      <c r="H174" s="38" t="n"/>
      <c r="I174" s="38" t="n"/>
      <c r="J174" s="38" t="n"/>
      <c r="K174" s="38" t="n"/>
      <c r="L174" s="38" t="n"/>
      <c r="M174" s="38" t="n"/>
      <c r="N174" s="38" t="n"/>
      <c r="O174" s="40" t="n"/>
      <c r="P174" s="41">
        <f>IF(D174="","",F174*O174)</f>
        <v/>
      </c>
      <c r="Q174" s="38" t="n"/>
      <c r="R174" s="38" t="n"/>
      <c r="S174" s="40" t="n"/>
      <c r="T174" s="41">
        <f>IF(D174="","",P174+Q174+R174-S174)</f>
        <v/>
      </c>
      <c r="U174" s="38" t="n"/>
      <c r="V174" s="38" t="n"/>
      <c r="W174" s="38" t="n"/>
      <c r="X174" s="38" t="n"/>
      <c r="Y174" s="38" t="n"/>
      <c r="Z174" s="38" t="n"/>
      <c r="AA174" s="38" t="n"/>
    </row>
    <row r="175" ht="21" customHeight="1">
      <c r="A175" s="38" t="n"/>
      <c r="B175" s="38" t="n"/>
      <c r="C175" s="38" t="n"/>
      <c r="D175" s="38" t="n"/>
      <c r="E175" s="38" t="n"/>
      <c r="F175" s="39" t="n"/>
      <c r="G175" s="38" t="n"/>
      <c r="H175" s="38" t="n"/>
      <c r="I175" s="38" t="n"/>
      <c r="J175" s="38" t="n"/>
      <c r="K175" s="38" t="n"/>
      <c r="L175" s="38" t="n"/>
      <c r="M175" s="38" t="n"/>
      <c r="N175" s="38" t="n"/>
      <c r="O175" s="40" t="n"/>
      <c r="P175" s="41">
        <f>IF(D175="","",F175*O175)</f>
        <v/>
      </c>
      <c r="Q175" s="38" t="n"/>
      <c r="R175" s="38" t="n"/>
      <c r="S175" s="40" t="n"/>
      <c r="T175" s="41">
        <f>IF(D175="","",P175+Q175+R175-S175)</f>
        <v/>
      </c>
      <c r="U175" s="38" t="n"/>
      <c r="V175" s="38" t="n"/>
      <c r="W175" s="38" t="n"/>
      <c r="X175" s="38" t="n"/>
      <c r="Y175" s="38" t="n"/>
      <c r="Z175" s="38" t="n"/>
      <c r="AA175" s="38" t="n"/>
    </row>
    <row r="176" ht="21" customHeight="1">
      <c r="A176" s="38" t="n"/>
      <c r="B176" s="38" t="n"/>
      <c r="C176" s="38" t="n"/>
      <c r="D176" s="38" t="n"/>
      <c r="E176" s="38" t="n"/>
      <c r="F176" s="39" t="n"/>
      <c r="G176" s="38" t="n"/>
      <c r="H176" s="38" t="n"/>
      <c r="I176" s="38" t="n"/>
      <c r="J176" s="38" t="n"/>
      <c r="K176" s="38" t="n"/>
      <c r="L176" s="38" t="n"/>
      <c r="M176" s="38" t="n"/>
      <c r="N176" s="38" t="n"/>
      <c r="O176" s="40" t="n"/>
      <c r="P176" s="41">
        <f>IF(D176="","",F176*O176)</f>
        <v/>
      </c>
      <c r="Q176" s="38" t="n"/>
      <c r="R176" s="38" t="n"/>
      <c r="S176" s="40" t="n"/>
      <c r="T176" s="41">
        <f>IF(D176="","",P176+Q176+R176-S176)</f>
        <v/>
      </c>
      <c r="U176" s="38" t="n"/>
      <c r="V176" s="38" t="n"/>
      <c r="W176" s="38" t="n"/>
      <c r="X176" s="38" t="n"/>
      <c r="Y176" s="38" t="n"/>
      <c r="Z176" s="38" t="n"/>
      <c r="AA176" s="38" t="n"/>
    </row>
    <row r="177" ht="21" customHeight="1">
      <c r="A177" s="38" t="n"/>
      <c r="B177" s="38" t="n"/>
      <c r="C177" s="38" t="n"/>
      <c r="D177" s="38" t="n"/>
      <c r="E177" s="38" t="n"/>
      <c r="F177" s="39" t="n"/>
      <c r="G177" s="38" t="n"/>
      <c r="H177" s="38" t="n"/>
      <c r="I177" s="38" t="n"/>
      <c r="J177" s="38" t="n"/>
      <c r="K177" s="38" t="n"/>
      <c r="L177" s="38" t="n"/>
      <c r="M177" s="38" t="n"/>
      <c r="N177" s="38" t="n"/>
      <c r="O177" s="40" t="n"/>
      <c r="P177" s="41">
        <f>IF(D177="","",F177*O177)</f>
        <v/>
      </c>
      <c r="Q177" s="38" t="n"/>
      <c r="R177" s="38" t="n"/>
      <c r="S177" s="40" t="n"/>
      <c r="T177" s="41">
        <f>IF(D177="","",P177+Q177+R177-S177)</f>
        <v/>
      </c>
      <c r="U177" s="38" t="n"/>
      <c r="V177" s="38" t="n"/>
      <c r="W177" s="38" t="n"/>
      <c r="X177" s="38" t="n"/>
      <c r="Y177" s="38" t="n"/>
      <c r="Z177" s="38" t="n"/>
      <c r="AA177" s="38" t="n"/>
    </row>
    <row r="178" ht="21" customHeight="1">
      <c r="A178" s="38" t="n"/>
      <c r="B178" s="38" t="n"/>
      <c r="C178" s="38" t="n"/>
      <c r="D178" s="38" t="n"/>
      <c r="E178" s="38" t="n"/>
      <c r="F178" s="39" t="n"/>
      <c r="G178" s="38" t="n"/>
      <c r="H178" s="38" t="n"/>
      <c r="I178" s="38" t="n"/>
      <c r="J178" s="38" t="n"/>
      <c r="K178" s="38" t="n"/>
      <c r="L178" s="38" t="n"/>
      <c r="M178" s="38" t="n"/>
      <c r="N178" s="38" t="n"/>
      <c r="O178" s="40" t="n"/>
      <c r="P178" s="41">
        <f>IF(D178="","",F178*O178)</f>
        <v/>
      </c>
      <c r="Q178" s="38" t="n"/>
      <c r="R178" s="38" t="n"/>
      <c r="S178" s="40" t="n"/>
      <c r="T178" s="41">
        <f>IF(D178="","",P178+Q178+R178-S178)</f>
        <v/>
      </c>
      <c r="U178" s="38" t="n"/>
      <c r="V178" s="38" t="n"/>
      <c r="W178" s="38" t="n"/>
      <c r="X178" s="38" t="n"/>
      <c r="Y178" s="38" t="n"/>
      <c r="Z178" s="38" t="n"/>
      <c r="AA178" s="38" t="n"/>
    </row>
    <row r="179" ht="21" customHeight="1">
      <c r="A179" s="38" t="n"/>
      <c r="B179" s="38" t="n"/>
      <c r="C179" s="38" t="n"/>
      <c r="D179" s="38" t="n"/>
      <c r="E179" s="38" t="n"/>
      <c r="F179" s="39" t="n"/>
      <c r="G179" s="38" t="n"/>
      <c r="H179" s="38" t="n"/>
      <c r="I179" s="38" t="n"/>
      <c r="J179" s="38" t="n"/>
      <c r="K179" s="38" t="n"/>
      <c r="L179" s="38" t="n"/>
      <c r="M179" s="38" t="n"/>
      <c r="N179" s="38" t="n"/>
      <c r="O179" s="40" t="n"/>
      <c r="P179" s="41">
        <f>IF(D179="","",F179*O179)</f>
        <v/>
      </c>
      <c r="Q179" s="38" t="n"/>
      <c r="R179" s="38" t="n"/>
      <c r="S179" s="40" t="n"/>
      <c r="T179" s="41">
        <f>IF(D179="","",P179+Q179+R179-S179)</f>
        <v/>
      </c>
      <c r="U179" s="38" t="n"/>
      <c r="V179" s="38" t="n"/>
      <c r="W179" s="38" t="n"/>
      <c r="X179" s="38" t="n"/>
      <c r="Y179" s="38" t="n"/>
      <c r="Z179" s="38" t="n"/>
      <c r="AA179" s="38" t="n"/>
    </row>
    <row r="180" ht="21" customHeight="1">
      <c r="A180" s="38" t="n"/>
      <c r="B180" s="38" t="n"/>
      <c r="C180" s="38" t="n"/>
      <c r="D180" s="38" t="n"/>
      <c r="E180" s="38" t="n"/>
      <c r="F180" s="39" t="n"/>
      <c r="G180" s="38" t="n"/>
      <c r="H180" s="38" t="n"/>
      <c r="I180" s="38" t="n"/>
      <c r="J180" s="38" t="n"/>
      <c r="K180" s="38" t="n"/>
      <c r="L180" s="38" t="n"/>
      <c r="M180" s="38" t="n"/>
      <c r="N180" s="38" t="n"/>
      <c r="O180" s="40" t="n"/>
      <c r="P180" s="41">
        <f>IF(D180="","",F180*O180)</f>
        <v/>
      </c>
      <c r="Q180" s="38" t="n"/>
      <c r="R180" s="38" t="n"/>
      <c r="S180" s="40" t="n"/>
      <c r="T180" s="41">
        <f>IF(D180="","",P180+Q180+R180-S180)</f>
        <v/>
      </c>
      <c r="U180" s="38" t="n"/>
      <c r="V180" s="38" t="n"/>
      <c r="W180" s="38" t="n"/>
      <c r="X180" s="38" t="n"/>
      <c r="Y180" s="38" t="n"/>
      <c r="Z180" s="38" t="n"/>
      <c r="AA180" s="38" t="n"/>
    </row>
    <row r="181" ht="21" customHeight="1">
      <c r="A181" s="38" t="n"/>
      <c r="B181" s="38" t="n"/>
      <c r="C181" s="38" t="n"/>
      <c r="D181" s="38" t="n"/>
      <c r="E181" s="38" t="n"/>
      <c r="F181" s="39" t="n"/>
      <c r="G181" s="38" t="n"/>
      <c r="H181" s="38" t="n"/>
      <c r="I181" s="38" t="n"/>
      <c r="J181" s="38" t="n"/>
      <c r="K181" s="38" t="n"/>
      <c r="L181" s="38" t="n"/>
      <c r="M181" s="38" t="n"/>
      <c r="N181" s="38" t="n"/>
      <c r="O181" s="40" t="n"/>
      <c r="P181" s="41">
        <f>IF(D181="","",F181*O181)</f>
        <v/>
      </c>
      <c r="Q181" s="38" t="n"/>
      <c r="R181" s="38" t="n"/>
      <c r="S181" s="40" t="n"/>
      <c r="T181" s="41">
        <f>IF(D181="","",P181+Q181+R181-S181)</f>
        <v/>
      </c>
      <c r="U181" s="38" t="n"/>
      <c r="V181" s="38" t="n"/>
      <c r="W181" s="38" t="n"/>
      <c r="X181" s="38" t="n"/>
      <c r="Y181" s="38" t="n"/>
      <c r="Z181" s="38" t="n"/>
      <c r="AA181" s="38" t="n"/>
    </row>
    <row r="182" ht="21" customHeight="1">
      <c r="A182" s="38" t="n"/>
      <c r="B182" s="38" t="n"/>
      <c r="C182" s="38" t="n"/>
      <c r="D182" s="38" t="n"/>
      <c r="E182" s="38" t="n"/>
      <c r="F182" s="39" t="n"/>
      <c r="G182" s="38" t="n"/>
      <c r="H182" s="38" t="n"/>
      <c r="I182" s="38" t="n"/>
      <c r="J182" s="38" t="n"/>
      <c r="K182" s="38" t="n"/>
      <c r="L182" s="38" t="n"/>
      <c r="M182" s="38" t="n"/>
      <c r="N182" s="38" t="n"/>
      <c r="O182" s="40" t="n"/>
      <c r="P182" s="41">
        <f>IF(D182="","",F182*O182)</f>
        <v/>
      </c>
      <c r="Q182" s="38" t="n"/>
      <c r="R182" s="38" t="n"/>
      <c r="S182" s="40" t="n"/>
      <c r="T182" s="41">
        <f>IF(D182="","",P182+Q182+R182-S182)</f>
        <v/>
      </c>
      <c r="U182" s="38" t="n"/>
      <c r="V182" s="38" t="n"/>
      <c r="W182" s="38" t="n"/>
      <c r="X182" s="38" t="n"/>
      <c r="Y182" s="38" t="n"/>
      <c r="Z182" s="38" t="n"/>
      <c r="AA182" s="38" t="n"/>
    </row>
    <row r="183" ht="21" customHeight="1">
      <c r="A183" s="38" t="n"/>
      <c r="B183" s="38" t="n"/>
      <c r="C183" s="38" t="n"/>
      <c r="D183" s="38" t="n"/>
      <c r="E183" s="38" t="n"/>
      <c r="F183" s="39" t="n"/>
      <c r="G183" s="38" t="n"/>
      <c r="H183" s="38" t="n"/>
      <c r="I183" s="38" t="n"/>
      <c r="J183" s="38" t="n"/>
      <c r="K183" s="38" t="n"/>
      <c r="L183" s="38" t="n"/>
      <c r="M183" s="38" t="n"/>
      <c r="N183" s="38" t="n"/>
      <c r="O183" s="40" t="n"/>
      <c r="P183" s="41">
        <f>IF(D183="","",F183*O183)</f>
        <v/>
      </c>
      <c r="Q183" s="38" t="n"/>
      <c r="R183" s="38" t="n"/>
      <c r="S183" s="40" t="n"/>
      <c r="T183" s="41">
        <f>IF(D183="","",P183+Q183+R183-S183)</f>
        <v/>
      </c>
      <c r="U183" s="38" t="n"/>
      <c r="V183" s="38" t="n"/>
      <c r="W183" s="38" t="n"/>
      <c r="X183" s="38" t="n"/>
      <c r="Y183" s="38" t="n"/>
      <c r="Z183" s="38" t="n"/>
      <c r="AA183" s="38" t="n"/>
    </row>
    <row r="184" ht="21" customHeight="1">
      <c r="A184" s="38" t="n"/>
      <c r="B184" s="38" t="n"/>
      <c r="C184" s="38" t="n"/>
      <c r="D184" s="38" t="n"/>
      <c r="E184" s="38" t="n"/>
      <c r="F184" s="39" t="n"/>
      <c r="G184" s="38" t="n"/>
      <c r="H184" s="38" t="n"/>
      <c r="I184" s="38" t="n"/>
      <c r="J184" s="38" t="n"/>
      <c r="K184" s="38" t="n"/>
      <c r="L184" s="38" t="n"/>
      <c r="M184" s="38" t="n"/>
      <c r="N184" s="38" t="n"/>
      <c r="O184" s="40" t="n"/>
      <c r="P184" s="41">
        <f>IF(D184="","",F184*O184)</f>
        <v/>
      </c>
      <c r="Q184" s="38" t="n"/>
      <c r="R184" s="38" t="n"/>
      <c r="S184" s="40" t="n"/>
      <c r="T184" s="41">
        <f>IF(D184="","",P184+Q184+R184-S184)</f>
        <v/>
      </c>
      <c r="U184" s="38" t="n"/>
      <c r="V184" s="38" t="n"/>
      <c r="W184" s="38" t="n"/>
      <c r="X184" s="38" t="n"/>
      <c r="Y184" s="38" t="n"/>
      <c r="Z184" s="38" t="n"/>
      <c r="AA184" s="38" t="n"/>
    </row>
    <row r="185" ht="21" customHeight="1">
      <c r="A185" s="38" t="n"/>
      <c r="B185" s="38" t="n"/>
      <c r="C185" s="38" t="n"/>
      <c r="D185" s="38" t="n"/>
      <c r="E185" s="38" t="n"/>
      <c r="F185" s="39" t="n"/>
      <c r="G185" s="38" t="n"/>
      <c r="H185" s="38" t="n"/>
      <c r="I185" s="38" t="n"/>
      <c r="J185" s="38" t="n"/>
      <c r="K185" s="38" t="n"/>
      <c r="L185" s="38" t="n"/>
      <c r="M185" s="38" t="n"/>
      <c r="N185" s="38" t="n"/>
      <c r="O185" s="40" t="n"/>
      <c r="P185" s="41">
        <f>IF(D185="","",F185*O185)</f>
        <v/>
      </c>
      <c r="Q185" s="38" t="n"/>
      <c r="R185" s="38" t="n"/>
      <c r="S185" s="40" t="n"/>
      <c r="T185" s="41">
        <f>IF(D185="","",P185+Q185+R185-S185)</f>
        <v/>
      </c>
      <c r="U185" s="38" t="n"/>
      <c r="V185" s="38" t="n"/>
      <c r="W185" s="38" t="n"/>
      <c r="X185" s="38" t="n"/>
      <c r="Y185" s="38" t="n"/>
      <c r="Z185" s="38" t="n"/>
      <c r="AA185" s="38" t="n"/>
    </row>
    <row r="186" ht="21" customHeight="1">
      <c r="A186" s="38" t="n"/>
      <c r="B186" s="38" t="n"/>
      <c r="C186" s="38" t="n"/>
      <c r="D186" s="38" t="n"/>
      <c r="E186" s="38" t="n"/>
      <c r="F186" s="39" t="n"/>
      <c r="G186" s="38" t="n"/>
      <c r="H186" s="38" t="n"/>
      <c r="I186" s="38" t="n"/>
      <c r="J186" s="38" t="n"/>
      <c r="K186" s="38" t="n"/>
      <c r="L186" s="38" t="n"/>
      <c r="M186" s="38" t="n"/>
      <c r="N186" s="38" t="n"/>
      <c r="O186" s="40" t="n"/>
      <c r="P186" s="41">
        <f>IF(D186="","",F186*O186)</f>
        <v/>
      </c>
      <c r="Q186" s="38" t="n"/>
      <c r="R186" s="38" t="n"/>
      <c r="S186" s="40" t="n"/>
      <c r="T186" s="41">
        <f>IF(D186="","",P186+Q186+R186-S186)</f>
        <v/>
      </c>
      <c r="U186" s="38" t="n"/>
      <c r="V186" s="38" t="n"/>
      <c r="W186" s="38" t="n"/>
      <c r="X186" s="38" t="n"/>
      <c r="Y186" s="38" t="n"/>
      <c r="Z186" s="38" t="n"/>
      <c r="AA186" s="38" t="n"/>
    </row>
    <row r="187" ht="21" customHeight="1">
      <c r="A187" s="38" t="n"/>
      <c r="B187" s="38" t="n"/>
      <c r="C187" s="38" t="n"/>
      <c r="D187" s="38" t="n"/>
      <c r="E187" s="38" t="n"/>
      <c r="F187" s="39" t="n"/>
      <c r="G187" s="38" t="n"/>
      <c r="H187" s="38" t="n"/>
      <c r="I187" s="38" t="n"/>
      <c r="J187" s="38" t="n"/>
      <c r="K187" s="38" t="n"/>
      <c r="L187" s="38" t="n"/>
      <c r="M187" s="38" t="n"/>
      <c r="N187" s="38" t="n"/>
      <c r="O187" s="40" t="n"/>
      <c r="P187" s="41">
        <f>IF(D187="","",F187*O187)</f>
        <v/>
      </c>
      <c r="Q187" s="38" t="n"/>
      <c r="R187" s="38" t="n"/>
      <c r="S187" s="40" t="n"/>
      <c r="T187" s="41">
        <f>IF(D187="","",P187+Q187+R187-S187)</f>
        <v/>
      </c>
      <c r="U187" s="38" t="n"/>
      <c r="V187" s="38" t="n"/>
      <c r="W187" s="38" t="n"/>
      <c r="X187" s="38" t="n"/>
      <c r="Y187" s="38" t="n"/>
      <c r="Z187" s="38" t="n"/>
      <c r="AA187" s="38" t="n"/>
    </row>
    <row r="188" ht="21" customHeight="1">
      <c r="A188" s="38" t="n"/>
      <c r="B188" s="38" t="n"/>
      <c r="C188" s="38" t="n"/>
      <c r="D188" s="38" t="n"/>
      <c r="E188" s="38" t="n"/>
      <c r="F188" s="39" t="n"/>
      <c r="G188" s="38" t="n"/>
      <c r="H188" s="38" t="n"/>
      <c r="I188" s="38" t="n"/>
      <c r="J188" s="38" t="n"/>
      <c r="K188" s="38" t="n"/>
      <c r="L188" s="38" t="n"/>
      <c r="M188" s="38" t="n"/>
      <c r="N188" s="38" t="n"/>
      <c r="O188" s="40" t="n"/>
      <c r="P188" s="41">
        <f>IF(D188="","",F188*O188)</f>
        <v/>
      </c>
      <c r="Q188" s="38" t="n"/>
      <c r="R188" s="38" t="n"/>
      <c r="S188" s="40" t="n"/>
      <c r="T188" s="41">
        <f>IF(D188="","",P188+Q188+R188-S188)</f>
        <v/>
      </c>
      <c r="U188" s="38" t="n"/>
      <c r="V188" s="38" t="n"/>
      <c r="W188" s="38" t="n"/>
      <c r="X188" s="38" t="n"/>
      <c r="Y188" s="38" t="n"/>
      <c r="Z188" s="38" t="n"/>
      <c r="AA188" s="38" t="n"/>
    </row>
    <row r="189" ht="21" customHeight="1">
      <c r="A189" s="38" t="n"/>
      <c r="B189" s="38" t="n"/>
      <c r="C189" s="38" t="n"/>
      <c r="D189" s="38" t="n"/>
      <c r="E189" s="38" t="n"/>
      <c r="F189" s="39" t="n"/>
      <c r="G189" s="38" t="n"/>
      <c r="H189" s="38" t="n"/>
      <c r="I189" s="38" t="n"/>
      <c r="J189" s="38" t="n"/>
      <c r="K189" s="38" t="n"/>
      <c r="L189" s="38" t="n"/>
      <c r="M189" s="38" t="n"/>
      <c r="N189" s="38" t="n"/>
      <c r="O189" s="40" t="n"/>
      <c r="P189" s="41">
        <f>IF(D189="","",F189*O189)</f>
        <v/>
      </c>
      <c r="Q189" s="38" t="n"/>
      <c r="R189" s="38" t="n"/>
      <c r="S189" s="40" t="n"/>
      <c r="T189" s="41">
        <f>IF(D189="","",P189+Q189+R189-S189)</f>
        <v/>
      </c>
      <c r="U189" s="38" t="n"/>
      <c r="V189" s="38" t="n"/>
      <c r="W189" s="38" t="n"/>
      <c r="X189" s="38" t="n"/>
      <c r="Y189" s="38" t="n"/>
      <c r="Z189" s="38" t="n"/>
      <c r="AA189" s="38" t="n"/>
    </row>
    <row r="190" ht="21" customHeight="1">
      <c r="A190" s="38" t="n"/>
      <c r="B190" s="38" t="n"/>
      <c r="C190" s="38" t="n"/>
      <c r="D190" s="38" t="n"/>
      <c r="E190" s="38" t="n"/>
      <c r="F190" s="39" t="n"/>
      <c r="G190" s="38" t="n"/>
      <c r="H190" s="38" t="n"/>
      <c r="I190" s="38" t="n"/>
      <c r="J190" s="38" t="n"/>
      <c r="K190" s="38" t="n"/>
      <c r="L190" s="38" t="n"/>
      <c r="M190" s="38" t="n"/>
      <c r="N190" s="38" t="n"/>
      <c r="O190" s="40" t="n"/>
      <c r="P190" s="41">
        <f>IF(D190="","",F190*O190)</f>
        <v/>
      </c>
      <c r="Q190" s="38" t="n"/>
      <c r="R190" s="38" t="n"/>
      <c r="S190" s="40" t="n"/>
      <c r="T190" s="41">
        <f>IF(D190="","",P190+Q190+R190-S190)</f>
        <v/>
      </c>
      <c r="U190" s="38" t="n"/>
      <c r="V190" s="38" t="n"/>
      <c r="W190" s="38" t="n"/>
      <c r="X190" s="38" t="n"/>
      <c r="Y190" s="38" t="n"/>
      <c r="Z190" s="38" t="n"/>
      <c r="AA190" s="38" t="n"/>
    </row>
    <row r="191" ht="21" customHeight="1">
      <c r="A191" s="38" t="n"/>
      <c r="B191" s="38" t="n"/>
      <c r="C191" s="38" t="n"/>
      <c r="D191" s="38" t="n"/>
      <c r="E191" s="38" t="n"/>
      <c r="F191" s="39" t="n"/>
      <c r="G191" s="38" t="n"/>
      <c r="H191" s="38" t="n"/>
      <c r="I191" s="38" t="n"/>
      <c r="J191" s="38" t="n"/>
      <c r="K191" s="38" t="n"/>
      <c r="L191" s="38" t="n"/>
      <c r="M191" s="38" t="n"/>
      <c r="N191" s="38" t="n"/>
      <c r="O191" s="40" t="n"/>
      <c r="P191" s="41">
        <f>IF(D191="","",F191*O191)</f>
        <v/>
      </c>
      <c r="Q191" s="38" t="n"/>
      <c r="R191" s="38" t="n"/>
      <c r="S191" s="40" t="n"/>
      <c r="T191" s="41">
        <f>IF(D191="","",P191+Q191+R191-S191)</f>
        <v/>
      </c>
      <c r="U191" s="38" t="n"/>
      <c r="V191" s="38" t="n"/>
      <c r="W191" s="38" t="n"/>
      <c r="X191" s="38" t="n"/>
      <c r="Y191" s="38" t="n"/>
      <c r="Z191" s="38" t="n"/>
      <c r="AA191" s="38" t="n"/>
    </row>
    <row r="192" ht="21" customHeight="1">
      <c r="A192" s="38" t="n"/>
      <c r="B192" s="38" t="n"/>
      <c r="C192" s="38" t="n"/>
      <c r="D192" s="38" t="n"/>
      <c r="E192" s="38" t="n"/>
      <c r="F192" s="39" t="n"/>
      <c r="G192" s="38" t="n"/>
      <c r="H192" s="38" t="n"/>
      <c r="I192" s="38" t="n"/>
      <c r="J192" s="38" t="n"/>
      <c r="K192" s="38" t="n"/>
      <c r="L192" s="38" t="n"/>
      <c r="M192" s="38" t="n"/>
      <c r="N192" s="38" t="n"/>
      <c r="O192" s="40" t="n"/>
      <c r="P192" s="41">
        <f>IF(D192="","",F192*O192)</f>
        <v/>
      </c>
      <c r="Q192" s="38" t="n"/>
      <c r="R192" s="38" t="n"/>
      <c r="S192" s="40" t="n"/>
      <c r="T192" s="41">
        <f>IF(D192="","",P192+Q192+R192-S192)</f>
        <v/>
      </c>
      <c r="U192" s="38" t="n"/>
      <c r="V192" s="38" t="n"/>
      <c r="W192" s="38" t="n"/>
      <c r="X192" s="38" t="n"/>
      <c r="Y192" s="38" t="n"/>
      <c r="Z192" s="38" t="n"/>
      <c r="AA192" s="38" t="n"/>
    </row>
    <row r="193" ht="21" customHeight="1">
      <c r="A193" s="38" t="n"/>
      <c r="B193" s="38" t="n"/>
      <c r="C193" s="38" t="n"/>
      <c r="D193" s="38" t="n"/>
      <c r="E193" s="38" t="n"/>
      <c r="F193" s="39" t="n"/>
      <c r="G193" s="38" t="n"/>
      <c r="H193" s="38" t="n"/>
      <c r="I193" s="38" t="n"/>
      <c r="J193" s="38" t="n"/>
      <c r="K193" s="38" t="n"/>
      <c r="L193" s="38" t="n"/>
      <c r="M193" s="38" t="n"/>
      <c r="N193" s="38" t="n"/>
      <c r="O193" s="40" t="n"/>
      <c r="P193" s="41">
        <f>IF(D193="","",F193*O193)</f>
        <v/>
      </c>
      <c r="Q193" s="38" t="n"/>
      <c r="R193" s="38" t="n"/>
      <c r="S193" s="40" t="n"/>
      <c r="T193" s="41">
        <f>IF(D193="","",P193+Q193+R193-S193)</f>
        <v/>
      </c>
      <c r="U193" s="38" t="n"/>
      <c r="V193" s="38" t="n"/>
      <c r="W193" s="38" t="n"/>
      <c r="X193" s="38" t="n"/>
      <c r="Y193" s="38" t="n"/>
      <c r="Z193" s="38" t="n"/>
      <c r="AA193" s="38" t="n"/>
    </row>
    <row r="194" ht="21" customHeight="1">
      <c r="A194" s="38" t="n"/>
      <c r="B194" s="38" t="n"/>
      <c r="C194" s="38" t="n"/>
      <c r="D194" s="38" t="n"/>
      <c r="E194" s="38" t="n"/>
      <c r="F194" s="39" t="n"/>
      <c r="G194" s="38" t="n"/>
      <c r="H194" s="38" t="n"/>
      <c r="I194" s="38" t="n"/>
      <c r="J194" s="38" t="n"/>
      <c r="K194" s="38" t="n"/>
      <c r="L194" s="38" t="n"/>
      <c r="M194" s="38" t="n"/>
      <c r="N194" s="38" t="n"/>
      <c r="O194" s="40" t="n"/>
      <c r="P194" s="41">
        <f>IF(D194="","",F194*O194)</f>
        <v/>
      </c>
      <c r="Q194" s="38" t="n"/>
      <c r="R194" s="38" t="n"/>
      <c r="S194" s="40" t="n"/>
      <c r="T194" s="41">
        <f>IF(D194="","",P194+Q194+R194-S194)</f>
        <v/>
      </c>
      <c r="U194" s="38" t="n"/>
      <c r="V194" s="38" t="n"/>
      <c r="W194" s="38" t="n"/>
      <c r="X194" s="38" t="n"/>
      <c r="Y194" s="38" t="n"/>
      <c r="Z194" s="38" t="n"/>
      <c r="AA194" s="38" t="n"/>
    </row>
    <row r="195" ht="21" customHeight="1">
      <c r="A195" s="38" t="n"/>
      <c r="B195" s="38" t="n"/>
      <c r="C195" s="38" t="n"/>
      <c r="D195" s="38" t="n"/>
      <c r="E195" s="38" t="n"/>
      <c r="F195" s="39" t="n"/>
      <c r="G195" s="38" t="n"/>
      <c r="H195" s="38" t="n"/>
      <c r="I195" s="38" t="n"/>
      <c r="J195" s="38" t="n"/>
      <c r="K195" s="38" t="n"/>
      <c r="L195" s="38" t="n"/>
      <c r="M195" s="38" t="n"/>
      <c r="N195" s="38" t="n"/>
      <c r="O195" s="40" t="n"/>
      <c r="P195" s="41">
        <f>IF(D195="","",F195*O195)</f>
        <v/>
      </c>
      <c r="Q195" s="38" t="n"/>
      <c r="R195" s="38" t="n"/>
      <c r="S195" s="40" t="n"/>
      <c r="T195" s="41">
        <f>IF(D195="","",P195+Q195+R195-S195)</f>
        <v/>
      </c>
      <c r="U195" s="38" t="n"/>
      <c r="V195" s="38" t="n"/>
      <c r="W195" s="38" t="n"/>
      <c r="X195" s="38" t="n"/>
      <c r="Y195" s="38" t="n"/>
      <c r="Z195" s="38" t="n"/>
      <c r="AA195" s="38" t="n"/>
    </row>
    <row r="196" ht="21" customHeight="1">
      <c r="A196" s="38" t="n"/>
      <c r="B196" s="38" t="n"/>
      <c r="C196" s="38" t="n"/>
      <c r="D196" s="38" t="n"/>
      <c r="E196" s="38" t="n"/>
      <c r="F196" s="39" t="n"/>
      <c r="G196" s="38" t="n"/>
      <c r="H196" s="38" t="n"/>
      <c r="I196" s="38" t="n"/>
      <c r="J196" s="38" t="n"/>
      <c r="K196" s="38" t="n"/>
      <c r="L196" s="38" t="n"/>
      <c r="M196" s="38" t="n"/>
      <c r="N196" s="38" t="n"/>
      <c r="O196" s="40" t="n"/>
      <c r="P196" s="41">
        <f>IF(D196="","",F196*O196)</f>
        <v/>
      </c>
      <c r="Q196" s="38" t="n"/>
      <c r="R196" s="38" t="n"/>
      <c r="S196" s="40" t="n"/>
      <c r="T196" s="41">
        <f>IF(D196="","",P196+Q196+R196-S196)</f>
        <v/>
      </c>
      <c r="U196" s="38" t="n"/>
      <c r="V196" s="38" t="n"/>
      <c r="W196" s="38" t="n"/>
      <c r="X196" s="38" t="n"/>
      <c r="Y196" s="38" t="n"/>
      <c r="Z196" s="38" t="n"/>
      <c r="AA196" s="38" t="n"/>
    </row>
    <row r="197" ht="21" customHeight="1">
      <c r="A197" s="38" t="n"/>
      <c r="B197" s="38" t="n"/>
      <c r="C197" s="38" t="n"/>
      <c r="D197" s="38" t="n"/>
      <c r="E197" s="38" t="n"/>
      <c r="F197" s="39" t="n"/>
      <c r="G197" s="38" t="n"/>
      <c r="H197" s="38" t="n"/>
      <c r="I197" s="38" t="n"/>
      <c r="J197" s="38" t="n"/>
      <c r="K197" s="38" t="n"/>
      <c r="L197" s="38" t="n"/>
      <c r="M197" s="38" t="n"/>
      <c r="N197" s="38" t="n"/>
      <c r="O197" s="40" t="n"/>
      <c r="P197" s="41">
        <f>IF(D197="","",F197*O197)</f>
        <v/>
      </c>
      <c r="Q197" s="38" t="n"/>
      <c r="R197" s="38" t="n"/>
      <c r="S197" s="40" t="n"/>
      <c r="T197" s="41">
        <f>IF(D197="","",P197+Q197+R197-S197)</f>
        <v/>
      </c>
      <c r="U197" s="38" t="n"/>
      <c r="V197" s="38" t="n"/>
      <c r="W197" s="38" t="n"/>
      <c r="X197" s="38" t="n"/>
      <c r="Y197" s="38" t="n"/>
      <c r="Z197" s="38" t="n"/>
      <c r="AA197" s="38" t="n"/>
    </row>
    <row r="198" ht="21" customHeight="1">
      <c r="A198" s="38" t="n"/>
      <c r="B198" s="38" t="n"/>
      <c r="C198" s="38" t="n"/>
      <c r="D198" s="38" t="n"/>
      <c r="E198" s="38" t="n"/>
      <c r="F198" s="39" t="n"/>
      <c r="G198" s="38" t="n"/>
      <c r="H198" s="38" t="n"/>
      <c r="I198" s="38" t="n"/>
      <c r="J198" s="38" t="n"/>
      <c r="K198" s="38" t="n"/>
      <c r="L198" s="38" t="n"/>
      <c r="M198" s="38" t="n"/>
      <c r="N198" s="38" t="n"/>
      <c r="O198" s="40" t="n"/>
      <c r="P198" s="41">
        <f>IF(D198="","",F198*O198)</f>
        <v/>
      </c>
      <c r="Q198" s="38" t="n"/>
      <c r="R198" s="38" t="n"/>
      <c r="S198" s="40" t="n"/>
      <c r="T198" s="41">
        <f>IF(D198="","",P198+Q198+R198-S198)</f>
        <v/>
      </c>
      <c r="U198" s="38" t="n"/>
      <c r="V198" s="38" t="n"/>
      <c r="W198" s="38" t="n"/>
      <c r="X198" s="38" t="n"/>
      <c r="Y198" s="38" t="n"/>
      <c r="Z198" s="38" t="n"/>
      <c r="AA198" s="38" t="n"/>
    </row>
    <row r="199" ht="21" customHeight="1">
      <c r="A199" s="38" t="n"/>
      <c r="B199" s="38" t="n"/>
      <c r="C199" s="38" t="n"/>
      <c r="D199" s="38" t="n"/>
      <c r="E199" s="38" t="n"/>
      <c r="F199" s="39" t="n"/>
      <c r="G199" s="38" t="n"/>
      <c r="H199" s="38" t="n"/>
      <c r="I199" s="38" t="n"/>
      <c r="J199" s="38" t="n"/>
      <c r="K199" s="38" t="n"/>
      <c r="L199" s="38" t="n"/>
      <c r="M199" s="38" t="n"/>
      <c r="N199" s="38" t="n"/>
      <c r="O199" s="40" t="n"/>
      <c r="P199" s="41">
        <f>IF(D199="","",F199*O199)</f>
        <v/>
      </c>
      <c r="Q199" s="38" t="n"/>
      <c r="R199" s="38" t="n"/>
      <c r="S199" s="40" t="n"/>
      <c r="T199" s="41">
        <f>IF(D199="","",P199+Q199+R199-S199)</f>
        <v/>
      </c>
      <c r="U199" s="38" t="n"/>
      <c r="V199" s="38" t="n"/>
      <c r="W199" s="38" t="n"/>
      <c r="X199" s="38" t="n"/>
      <c r="Y199" s="38" t="n"/>
      <c r="Z199" s="38" t="n"/>
      <c r="AA199" s="38" t="n"/>
    </row>
    <row r="200" ht="21" customHeight="1">
      <c r="A200" s="38" t="n"/>
      <c r="B200" s="38" t="n"/>
      <c r="C200" s="38" t="n"/>
      <c r="D200" s="38" t="n"/>
      <c r="E200" s="38" t="n"/>
      <c r="F200" s="39" t="n"/>
      <c r="G200" s="38" t="n"/>
      <c r="H200" s="38" t="n"/>
      <c r="I200" s="38" t="n"/>
      <c r="J200" s="38" t="n"/>
      <c r="K200" s="38" t="n"/>
      <c r="L200" s="38" t="n"/>
      <c r="M200" s="38" t="n"/>
      <c r="N200" s="38" t="n"/>
      <c r="O200" s="40" t="n"/>
      <c r="P200" s="41">
        <f>IF(D200="","",F200*O200)</f>
        <v/>
      </c>
      <c r="Q200" s="38" t="n"/>
      <c r="R200" s="38" t="n"/>
      <c r="S200" s="40" t="n"/>
      <c r="T200" s="41">
        <f>IF(D200="","",P200+Q200+R200-S200)</f>
        <v/>
      </c>
      <c r="U200" s="38" t="n"/>
      <c r="V200" s="38" t="n"/>
      <c r="W200" s="38" t="n"/>
      <c r="X200" s="38" t="n"/>
      <c r="Y200" s="38" t="n"/>
      <c r="Z200" s="38" t="n"/>
      <c r="AA200" s="38" t="n"/>
    </row>
    <row r="201" ht="21" customHeight="1">
      <c r="A201" s="38" t="n"/>
      <c r="B201" s="38" t="n"/>
      <c r="C201" s="38" t="n"/>
      <c r="D201" s="38" t="n"/>
      <c r="E201" s="38" t="n"/>
      <c r="F201" s="39" t="n"/>
      <c r="G201" s="38" t="n"/>
      <c r="H201" s="38" t="n"/>
      <c r="I201" s="38" t="n"/>
      <c r="J201" s="38" t="n"/>
      <c r="K201" s="38" t="n"/>
      <c r="L201" s="38" t="n"/>
      <c r="M201" s="38" t="n"/>
      <c r="N201" s="38" t="n"/>
      <c r="O201" s="40" t="n"/>
      <c r="P201" s="41">
        <f>IF(D201="","",F201*O201)</f>
        <v/>
      </c>
      <c r="Q201" s="38" t="n"/>
      <c r="R201" s="38" t="n"/>
      <c r="S201" s="40" t="n"/>
      <c r="T201" s="41">
        <f>IF(D201="","",P201+Q201+R201-S201)</f>
        <v/>
      </c>
      <c r="U201" s="38" t="n"/>
      <c r="V201" s="38" t="n"/>
      <c r="W201" s="38" t="n"/>
      <c r="X201" s="38" t="n"/>
      <c r="Y201" s="38" t="n"/>
      <c r="Z201" s="38" t="n"/>
      <c r="AA201" s="38" t="n"/>
    </row>
    <row r="202" ht="21" customHeight="1">
      <c r="A202" s="38" t="n"/>
      <c r="B202" s="38" t="n"/>
      <c r="C202" s="38" t="n"/>
      <c r="D202" s="38" t="n"/>
      <c r="E202" s="38" t="n"/>
      <c r="F202" s="39" t="n"/>
      <c r="G202" s="38" t="n"/>
      <c r="H202" s="38" t="n"/>
      <c r="I202" s="38" t="n"/>
      <c r="J202" s="38" t="n"/>
      <c r="K202" s="38" t="n"/>
      <c r="L202" s="38" t="n"/>
      <c r="M202" s="38" t="n"/>
      <c r="N202" s="38" t="n"/>
      <c r="O202" s="40" t="n"/>
      <c r="P202" s="41">
        <f>IF(D202="","",F202*O202)</f>
        <v/>
      </c>
      <c r="Q202" s="38" t="n"/>
      <c r="R202" s="38" t="n"/>
      <c r="S202" s="40" t="n"/>
      <c r="T202" s="41">
        <f>IF(D202="","",P202+Q202+R202-S202)</f>
        <v/>
      </c>
      <c r="U202" s="38" t="n"/>
      <c r="V202" s="38" t="n"/>
      <c r="W202" s="38" t="n"/>
      <c r="X202" s="38" t="n"/>
      <c r="Y202" s="38" t="n"/>
      <c r="Z202" s="38" t="n"/>
      <c r="AA202" s="38" t="n"/>
    </row>
    <row r="203" ht="21" customHeight="1">
      <c r="A203" s="38" t="n"/>
      <c r="B203" s="38" t="n"/>
      <c r="C203" s="38" t="n"/>
      <c r="D203" s="38" t="n"/>
      <c r="E203" s="38" t="n"/>
      <c r="F203" s="39" t="n"/>
      <c r="G203" s="38" t="n"/>
      <c r="H203" s="38" t="n"/>
      <c r="I203" s="38" t="n"/>
      <c r="J203" s="38" t="n"/>
      <c r="K203" s="38" t="n"/>
      <c r="L203" s="38" t="n"/>
      <c r="M203" s="38" t="n"/>
      <c r="N203" s="38" t="n"/>
      <c r="O203" s="40" t="n"/>
      <c r="P203" s="41">
        <f>IF(D203="","",F203*O203)</f>
        <v/>
      </c>
      <c r="Q203" s="38" t="n"/>
      <c r="R203" s="38" t="n"/>
      <c r="S203" s="40" t="n"/>
      <c r="T203" s="41">
        <f>IF(D203="","",P203+Q203+R203-S203)</f>
        <v/>
      </c>
      <c r="U203" s="38" t="n"/>
      <c r="V203" s="38" t="n"/>
      <c r="W203" s="38" t="n"/>
      <c r="X203" s="38" t="n"/>
      <c r="Y203" s="38" t="n"/>
      <c r="Z203" s="38" t="n"/>
      <c r="AA203" s="38" t="n"/>
    </row>
    <row r="204" ht="21" customHeight="1">
      <c r="A204" s="38" t="n"/>
      <c r="B204" s="38" t="n"/>
      <c r="C204" s="38" t="n"/>
      <c r="D204" s="38" t="n"/>
      <c r="E204" s="38" t="n"/>
      <c r="F204" s="39" t="n"/>
      <c r="G204" s="38" t="n"/>
      <c r="H204" s="38" t="n"/>
      <c r="I204" s="38" t="n"/>
      <c r="J204" s="38" t="n"/>
      <c r="K204" s="38" t="n"/>
      <c r="L204" s="38" t="n"/>
      <c r="M204" s="38" t="n"/>
      <c r="N204" s="38" t="n"/>
      <c r="O204" s="40" t="n"/>
      <c r="P204" s="41">
        <f>IF(D204="","",F204*O204)</f>
        <v/>
      </c>
      <c r="Q204" s="38" t="n"/>
      <c r="R204" s="38" t="n"/>
      <c r="S204" s="40" t="n"/>
      <c r="T204" s="41">
        <f>IF(D204="","",P204+Q204+R204-S204)</f>
        <v/>
      </c>
      <c r="U204" s="38" t="n"/>
      <c r="V204" s="38" t="n"/>
      <c r="W204" s="38" t="n"/>
      <c r="X204" s="38" t="n"/>
      <c r="Y204" s="38" t="n"/>
      <c r="Z204" s="38" t="n"/>
      <c r="AA204" s="38" t="n"/>
    </row>
    <row r="205" ht="21" customHeight="1">
      <c r="A205" s="38" t="n"/>
      <c r="B205" s="38" t="n"/>
      <c r="C205" s="38" t="n"/>
      <c r="D205" s="38" t="n"/>
      <c r="E205" s="38" t="n"/>
      <c r="F205" s="39" t="n"/>
      <c r="G205" s="38" t="n"/>
      <c r="H205" s="38" t="n"/>
      <c r="I205" s="38" t="n"/>
      <c r="J205" s="38" t="n"/>
      <c r="K205" s="38" t="n"/>
      <c r="L205" s="38" t="n"/>
      <c r="M205" s="38" t="n"/>
      <c r="N205" s="38" t="n"/>
      <c r="O205" s="40" t="n"/>
      <c r="P205" s="41">
        <f>IF(D205="","",F205*O205)</f>
        <v/>
      </c>
      <c r="Q205" s="38" t="n"/>
      <c r="R205" s="38" t="n"/>
      <c r="S205" s="40" t="n"/>
      <c r="T205" s="41">
        <f>IF(D205="","",P205+Q205+R205-S205)</f>
        <v/>
      </c>
      <c r="U205" s="38" t="n"/>
      <c r="V205" s="38" t="n"/>
      <c r="W205" s="38" t="n"/>
      <c r="X205" s="38" t="n"/>
      <c r="Y205" s="38" t="n"/>
      <c r="Z205" s="38" t="n"/>
      <c r="AA205" s="38" t="n"/>
    </row>
    <row r="206" ht="21" customHeight="1">
      <c r="A206" s="38" t="n"/>
      <c r="B206" s="38" t="n"/>
      <c r="C206" s="38" t="n"/>
      <c r="D206" s="38" t="n"/>
      <c r="E206" s="38" t="n"/>
      <c r="F206" s="39" t="n"/>
      <c r="G206" s="38" t="n"/>
      <c r="H206" s="38" t="n"/>
      <c r="I206" s="38" t="n"/>
      <c r="J206" s="38" t="n"/>
      <c r="K206" s="38" t="n"/>
      <c r="L206" s="38" t="n"/>
      <c r="M206" s="38" t="n"/>
      <c r="N206" s="38" t="n"/>
      <c r="O206" s="40" t="n"/>
      <c r="P206" s="41">
        <f>IF(D206="","",F206*O206)</f>
        <v/>
      </c>
      <c r="Q206" s="38" t="n"/>
      <c r="R206" s="38" t="n"/>
      <c r="S206" s="40" t="n"/>
      <c r="T206" s="41">
        <f>IF(D206="","",P206+Q206+R206-S206)</f>
        <v/>
      </c>
      <c r="U206" s="38" t="n"/>
      <c r="V206" s="38" t="n"/>
      <c r="W206" s="38" t="n"/>
      <c r="X206" s="38" t="n"/>
      <c r="Y206" s="38" t="n"/>
      <c r="Z206" s="38" t="n"/>
      <c r="AA206" s="38" t="n"/>
    </row>
    <row r="207" ht="21" customHeight="1">
      <c r="A207" s="38" t="n"/>
      <c r="B207" s="38" t="n"/>
      <c r="C207" s="38" t="n"/>
      <c r="D207" s="38" t="n"/>
      <c r="E207" s="38" t="n"/>
      <c r="F207" s="39" t="n"/>
      <c r="G207" s="38" t="n"/>
      <c r="H207" s="38" t="n"/>
      <c r="I207" s="38" t="n"/>
      <c r="J207" s="38" t="n"/>
      <c r="K207" s="38" t="n"/>
      <c r="L207" s="38" t="n"/>
      <c r="M207" s="38" t="n"/>
      <c r="N207" s="38" t="n"/>
      <c r="O207" s="40" t="n"/>
      <c r="P207" s="41">
        <f>IF(D207="","",F207*O207)</f>
        <v/>
      </c>
      <c r="Q207" s="38" t="n"/>
      <c r="R207" s="38" t="n"/>
      <c r="S207" s="40" t="n"/>
      <c r="T207" s="41">
        <f>IF(D207="","",P207+Q207+R207-S207)</f>
        <v/>
      </c>
      <c r="U207" s="38" t="n"/>
      <c r="V207" s="38" t="n"/>
      <c r="W207" s="38" t="n"/>
      <c r="X207" s="38" t="n"/>
      <c r="Y207" s="38" t="n"/>
      <c r="Z207" s="38" t="n"/>
      <c r="AA207" s="38" t="n"/>
    </row>
    <row r="208" ht="21" customHeight="1">
      <c r="A208" s="38" t="n"/>
      <c r="B208" s="38" t="n"/>
      <c r="C208" s="38" t="n"/>
      <c r="D208" s="38" t="n"/>
      <c r="E208" s="38" t="n"/>
      <c r="F208" s="39" t="n"/>
      <c r="G208" s="38" t="n"/>
      <c r="H208" s="38" t="n"/>
      <c r="I208" s="38" t="n"/>
      <c r="J208" s="38" t="n"/>
      <c r="K208" s="38" t="n"/>
      <c r="L208" s="38" t="n"/>
      <c r="M208" s="38" t="n"/>
      <c r="N208" s="38" t="n"/>
      <c r="O208" s="40" t="n"/>
      <c r="P208" s="41">
        <f>IF(D208="","",F208*O208)</f>
        <v/>
      </c>
      <c r="Q208" s="38" t="n"/>
      <c r="R208" s="38" t="n"/>
      <c r="S208" s="40" t="n"/>
      <c r="T208" s="41">
        <f>IF(D208="","",P208+Q208+R208-S208)</f>
        <v/>
      </c>
      <c r="U208" s="38" t="n"/>
      <c r="V208" s="38" t="n"/>
      <c r="W208" s="38" t="n"/>
      <c r="X208" s="38" t="n"/>
      <c r="Y208" s="38" t="n"/>
      <c r="Z208" s="38" t="n"/>
      <c r="AA208" s="38" t="n"/>
    </row>
    <row r="209" ht="21" customHeight="1">
      <c r="A209" s="38" t="n"/>
      <c r="B209" s="38" t="n"/>
      <c r="C209" s="38" t="n"/>
      <c r="D209" s="38" t="n"/>
      <c r="E209" s="38" t="n"/>
      <c r="F209" s="39" t="n"/>
      <c r="G209" s="38" t="n"/>
      <c r="H209" s="38" t="n"/>
      <c r="I209" s="38" t="n"/>
      <c r="J209" s="38" t="n"/>
      <c r="K209" s="38" t="n"/>
      <c r="L209" s="38" t="n"/>
      <c r="M209" s="38" t="n"/>
      <c r="N209" s="38" t="n"/>
      <c r="O209" s="40" t="n"/>
      <c r="P209" s="41">
        <f>IF(D209="","",F209*O209)</f>
        <v/>
      </c>
      <c r="Q209" s="38" t="n"/>
      <c r="R209" s="38" t="n"/>
      <c r="S209" s="40" t="n"/>
      <c r="T209" s="41">
        <f>IF(D209="","",P209+Q209+R209-S209)</f>
        <v/>
      </c>
      <c r="U209" s="38" t="n"/>
      <c r="V209" s="38" t="n"/>
      <c r="W209" s="38" t="n"/>
      <c r="X209" s="38" t="n"/>
      <c r="Y209" s="38" t="n"/>
      <c r="Z209" s="38" t="n"/>
      <c r="AA209" s="38" t="n"/>
    </row>
    <row r="210" ht="21" customHeight="1">
      <c r="A210" s="38" t="n"/>
      <c r="B210" s="38" t="n"/>
      <c r="C210" s="38" t="n"/>
      <c r="D210" s="38" t="n"/>
      <c r="E210" s="38" t="n"/>
      <c r="F210" s="39" t="n"/>
      <c r="G210" s="38" t="n"/>
      <c r="H210" s="38" t="n"/>
      <c r="I210" s="38" t="n"/>
      <c r="J210" s="38" t="n"/>
      <c r="K210" s="38" t="n"/>
      <c r="L210" s="38" t="n"/>
      <c r="M210" s="38" t="n"/>
      <c r="N210" s="38" t="n"/>
      <c r="O210" s="40" t="n"/>
      <c r="P210" s="41">
        <f>IF(D210="","",F210*O210)</f>
        <v/>
      </c>
      <c r="Q210" s="38" t="n"/>
      <c r="R210" s="38" t="n"/>
      <c r="S210" s="40" t="n"/>
      <c r="T210" s="41">
        <f>IF(D210="","",P210+Q210+R210-S210)</f>
        <v/>
      </c>
      <c r="U210" s="38" t="n"/>
      <c r="V210" s="38" t="n"/>
      <c r="W210" s="38" t="n"/>
      <c r="X210" s="38" t="n"/>
      <c r="Y210" s="38" t="n"/>
      <c r="Z210" s="38" t="n"/>
      <c r="AA210" s="38" t="n"/>
    </row>
    <row r="211" ht="21" customHeight="1">
      <c r="A211" s="38" t="n"/>
      <c r="B211" s="38" t="n"/>
      <c r="C211" s="38" t="n"/>
      <c r="D211" s="38" t="n"/>
      <c r="E211" s="38" t="n"/>
      <c r="F211" s="39" t="n"/>
      <c r="G211" s="38" t="n"/>
      <c r="H211" s="38" t="n"/>
      <c r="I211" s="38" t="n"/>
      <c r="J211" s="38" t="n"/>
      <c r="K211" s="38" t="n"/>
      <c r="L211" s="38" t="n"/>
      <c r="M211" s="38" t="n"/>
      <c r="N211" s="38" t="n"/>
      <c r="O211" s="40" t="n"/>
      <c r="P211" s="41">
        <f>IF(D211="","",F211*O211)</f>
        <v/>
      </c>
      <c r="Q211" s="38" t="n"/>
      <c r="R211" s="38" t="n"/>
      <c r="S211" s="40" t="n"/>
      <c r="T211" s="41">
        <f>IF(D211="","",P211+Q211+R211-S211)</f>
        <v/>
      </c>
      <c r="U211" s="38" t="n"/>
      <c r="V211" s="38" t="n"/>
      <c r="W211" s="38" t="n"/>
      <c r="X211" s="38" t="n"/>
      <c r="Y211" s="38" t="n"/>
      <c r="Z211" s="38" t="n"/>
      <c r="AA211" s="38" t="n"/>
    </row>
    <row r="212" ht="21" customHeight="1">
      <c r="A212" s="38" t="n"/>
      <c r="B212" s="38" t="n"/>
      <c r="C212" s="38" t="n"/>
      <c r="D212" s="38" t="n"/>
      <c r="E212" s="38" t="n"/>
      <c r="F212" s="39" t="n"/>
      <c r="G212" s="38" t="n"/>
      <c r="H212" s="38" t="n"/>
      <c r="I212" s="38" t="n"/>
      <c r="J212" s="38" t="n"/>
      <c r="K212" s="38" t="n"/>
      <c r="L212" s="38" t="n"/>
      <c r="M212" s="38" t="n"/>
      <c r="N212" s="38" t="n"/>
      <c r="O212" s="40" t="n"/>
      <c r="P212" s="41">
        <f>IF(D212="","",F212*O212)</f>
        <v/>
      </c>
      <c r="Q212" s="38" t="n"/>
      <c r="R212" s="38" t="n"/>
      <c r="S212" s="40" t="n"/>
      <c r="T212" s="41">
        <f>IF(D212="","",P212+Q212+R212-S212)</f>
        <v/>
      </c>
      <c r="U212" s="38" t="n"/>
      <c r="V212" s="38" t="n"/>
      <c r="W212" s="38" t="n"/>
      <c r="X212" s="38" t="n"/>
      <c r="Y212" s="38" t="n"/>
      <c r="Z212" s="38" t="n"/>
      <c r="AA212" s="38" t="n"/>
    </row>
    <row r="213" ht="21" customHeight="1">
      <c r="A213" s="38" t="n"/>
      <c r="B213" s="38" t="n"/>
      <c r="C213" s="38" t="n"/>
      <c r="D213" s="38" t="n"/>
      <c r="E213" s="38" t="n"/>
      <c r="F213" s="39" t="n"/>
      <c r="G213" s="38" t="n"/>
      <c r="H213" s="38" t="n"/>
      <c r="I213" s="38" t="n"/>
      <c r="J213" s="38" t="n"/>
      <c r="K213" s="38" t="n"/>
      <c r="L213" s="38" t="n"/>
      <c r="M213" s="38" t="n"/>
      <c r="N213" s="38" t="n"/>
      <c r="O213" s="40" t="n"/>
      <c r="P213" s="41">
        <f>IF(D213="","",F213*O213)</f>
        <v/>
      </c>
      <c r="Q213" s="38" t="n"/>
      <c r="R213" s="38" t="n"/>
      <c r="S213" s="40" t="n"/>
      <c r="T213" s="41">
        <f>IF(D213="","",P213+Q213+R213-S213)</f>
        <v/>
      </c>
      <c r="U213" s="38" t="n"/>
      <c r="V213" s="38" t="n"/>
      <c r="W213" s="38" t="n"/>
      <c r="X213" s="38" t="n"/>
      <c r="Y213" s="38" t="n"/>
      <c r="Z213" s="38" t="n"/>
      <c r="AA213" s="38" t="n"/>
    </row>
    <row r="214" ht="21" customHeight="1">
      <c r="A214" s="38" t="n"/>
      <c r="B214" s="38" t="n"/>
      <c r="C214" s="38" t="n"/>
      <c r="D214" s="38" t="n"/>
      <c r="E214" s="38" t="n"/>
      <c r="F214" s="39" t="n"/>
      <c r="G214" s="38" t="n"/>
      <c r="H214" s="38" t="n"/>
      <c r="I214" s="38" t="n"/>
      <c r="J214" s="38" t="n"/>
      <c r="K214" s="38" t="n"/>
      <c r="L214" s="38" t="n"/>
      <c r="M214" s="38" t="n"/>
      <c r="N214" s="38" t="n"/>
      <c r="O214" s="40" t="n"/>
      <c r="P214" s="41">
        <f>IF(D214="","",F214*O214)</f>
        <v/>
      </c>
      <c r="Q214" s="38" t="n"/>
      <c r="R214" s="38" t="n"/>
      <c r="S214" s="40" t="n"/>
      <c r="T214" s="41">
        <f>IF(D214="","",P214+Q214+R214-S214)</f>
        <v/>
      </c>
      <c r="U214" s="38" t="n"/>
      <c r="V214" s="38" t="n"/>
      <c r="W214" s="38" t="n"/>
      <c r="X214" s="38" t="n"/>
      <c r="Y214" s="38" t="n"/>
      <c r="Z214" s="38" t="n"/>
      <c r="AA214" s="38" t="n"/>
    </row>
    <row r="215" ht="21" customHeight="1">
      <c r="A215" s="38" t="n"/>
      <c r="B215" s="38" t="n"/>
      <c r="C215" s="38" t="n"/>
      <c r="D215" s="38" t="n"/>
      <c r="E215" s="38" t="n"/>
      <c r="F215" s="39" t="n"/>
      <c r="G215" s="38" t="n"/>
      <c r="H215" s="38" t="n"/>
      <c r="I215" s="38" t="n"/>
      <c r="J215" s="38" t="n"/>
      <c r="K215" s="38" t="n"/>
      <c r="L215" s="38" t="n"/>
      <c r="M215" s="38" t="n"/>
      <c r="N215" s="38" t="n"/>
      <c r="O215" s="40" t="n"/>
      <c r="P215" s="41">
        <f>IF(D215="","",F215*O215)</f>
        <v/>
      </c>
      <c r="Q215" s="38" t="n"/>
      <c r="R215" s="38" t="n"/>
      <c r="S215" s="40" t="n"/>
      <c r="T215" s="41">
        <f>IF(D215="","",P215+Q215+R215-S215)</f>
        <v/>
      </c>
      <c r="U215" s="38" t="n"/>
      <c r="V215" s="38" t="n"/>
      <c r="W215" s="38" t="n"/>
      <c r="X215" s="38" t="n"/>
      <c r="Y215" s="38" t="n"/>
      <c r="Z215" s="38" t="n"/>
      <c r="AA215" s="38" t="n"/>
    </row>
    <row r="216" ht="21" customHeight="1">
      <c r="A216" s="38" t="n"/>
      <c r="B216" s="38" t="n"/>
      <c r="C216" s="38" t="n"/>
      <c r="D216" s="38" t="n"/>
      <c r="E216" s="38" t="n"/>
      <c r="F216" s="39" t="n"/>
      <c r="G216" s="38" t="n"/>
      <c r="H216" s="38" t="n"/>
      <c r="I216" s="38" t="n"/>
      <c r="J216" s="38" t="n"/>
      <c r="K216" s="38" t="n"/>
      <c r="L216" s="38" t="n"/>
      <c r="M216" s="38" t="n"/>
      <c r="N216" s="38" t="n"/>
      <c r="O216" s="40" t="n"/>
      <c r="P216" s="41">
        <f>IF(D216="","",F216*O216)</f>
        <v/>
      </c>
      <c r="Q216" s="38" t="n"/>
      <c r="R216" s="38" t="n"/>
      <c r="S216" s="40" t="n"/>
      <c r="T216" s="41">
        <f>IF(D216="","",P216+Q216+R216-S216)</f>
        <v/>
      </c>
      <c r="U216" s="38" t="n"/>
      <c r="V216" s="38" t="n"/>
      <c r="W216" s="38" t="n"/>
      <c r="X216" s="38" t="n"/>
      <c r="Y216" s="38" t="n"/>
      <c r="Z216" s="38" t="n"/>
      <c r="AA216" s="38" t="n"/>
    </row>
    <row r="217" ht="21" customHeight="1">
      <c r="A217" s="38" t="n"/>
      <c r="B217" s="38" t="n"/>
      <c r="C217" s="38" t="n"/>
      <c r="D217" s="38" t="n"/>
      <c r="E217" s="38" t="n"/>
      <c r="F217" s="39" t="n"/>
      <c r="G217" s="38" t="n"/>
      <c r="H217" s="38" t="n"/>
      <c r="I217" s="38" t="n"/>
      <c r="J217" s="38" t="n"/>
      <c r="K217" s="38" t="n"/>
      <c r="L217" s="38" t="n"/>
      <c r="M217" s="38" t="n"/>
      <c r="N217" s="38" t="n"/>
      <c r="O217" s="40" t="n"/>
      <c r="P217" s="41">
        <f>IF(D217="","",F217*O217)</f>
        <v/>
      </c>
      <c r="Q217" s="38" t="n"/>
      <c r="R217" s="38" t="n"/>
      <c r="S217" s="40" t="n"/>
      <c r="T217" s="41">
        <f>IF(D217="","",P217+Q217+R217-S217)</f>
        <v/>
      </c>
      <c r="U217" s="38" t="n"/>
      <c r="V217" s="38" t="n"/>
      <c r="W217" s="38" t="n"/>
      <c r="X217" s="38" t="n"/>
      <c r="Y217" s="38" t="n"/>
      <c r="Z217" s="38" t="n"/>
      <c r="AA217" s="38" t="n"/>
    </row>
    <row r="218" ht="21" customHeight="1">
      <c r="A218" s="38" t="n"/>
      <c r="B218" s="38" t="n"/>
      <c r="C218" s="38" t="n"/>
      <c r="D218" s="38" t="n"/>
      <c r="E218" s="38" t="n"/>
      <c r="F218" s="39" t="n"/>
      <c r="G218" s="38" t="n"/>
      <c r="H218" s="38" t="n"/>
      <c r="I218" s="38" t="n"/>
      <c r="J218" s="38" t="n"/>
      <c r="K218" s="38" t="n"/>
      <c r="L218" s="38" t="n"/>
      <c r="M218" s="38" t="n"/>
      <c r="N218" s="38" t="n"/>
      <c r="O218" s="40" t="n"/>
      <c r="P218" s="41">
        <f>IF(D218="","",F218*O218)</f>
        <v/>
      </c>
      <c r="Q218" s="38" t="n"/>
      <c r="R218" s="38" t="n"/>
      <c r="S218" s="40" t="n"/>
      <c r="T218" s="41">
        <f>IF(D218="","",P218+Q218+R218-S218)</f>
        <v/>
      </c>
      <c r="U218" s="38" t="n"/>
      <c r="V218" s="38" t="n"/>
      <c r="W218" s="38" t="n"/>
      <c r="X218" s="38" t="n"/>
      <c r="Y218" s="38" t="n"/>
      <c r="Z218" s="38" t="n"/>
      <c r="AA218" s="38" t="n"/>
    </row>
    <row r="219" ht="21" customHeight="1">
      <c r="A219" s="38" t="n"/>
      <c r="B219" s="38" t="n"/>
      <c r="C219" s="38" t="n"/>
      <c r="D219" s="38" t="n"/>
      <c r="E219" s="38" t="n"/>
      <c r="F219" s="39" t="n"/>
      <c r="G219" s="38" t="n"/>
      <c r="H219" s="38" t="n"/>
      <c r="I219" s="38" t="n"/>
      <c r="J219" s="38" t="n"/>
      <c r="K219" s="38" t="n"/>
      <c r="L219" s="38" t="n"/>
      <c r="M219" s="38" t="n"/>
      <c r="N219" s="38" t="n"/>
      <c r="O219" s="40" t="n"/>
      <c r="P219" s="41">
        <f>IF(D219="","",F219*O219)</f>
        <v/>
      </c>
      <c r="Q219" s="38" t="n"/>
      <c r="R219" s="38" t="n"/>
      <c r="S219" s="40" t="n"/>
      <c r="T219" s="41">
        <f>IF(D219="","",P219+Q219+R219-S219)</f>
        <v/>
      </c>
      <c r="U219" s="38" t="n"/>
      <c r="V219" s="38" t="n"/>
      <c r="W219" s="38" t="n"/>
      <c r="X219" s="38" t="n"/>
      <c r="Y219" s="38" t="n"/>
      <c r="Z219" s="38" t="n"/>
      <c r="AA219" s="38" t="n"/>
    </row>
    <row r="220" ht="21" customHeight="1">
      <c r="A220" s="38" t="n"/>
      <c r="B220" s="38" t="n"/>
      <c r="C220" s="38" t="n"/>
      <c r="D220" s="38" t="n"/>
      <c r="E220" s="38" t="n"/>
      <c r="F220" s="39" t="n"/>
      <c r="G220" s="38" t="n"/>
      <c r="H220" s="38" t="n"/>
      <c r="I220" s="38" t="n"/>
      <c r="J220" s="38" t="n"/>
      <c r="K220" s="38" t="n"/>
      <c r="L220" s="38" t="n"/>
      <c r="M220" s="38" t="n"/>
      <c r="N220" s="38" t="n"/>
      <c r="O220" s="40" t="n"/>
      <c r="P220" s="41">
        <f>IF(D220="","",F220*O220)</f>
        <v/>
      </c>
      <c r="Q220" s="38" t="n"/>
      <c r="R220" s="38" t="n"/>
      <c r="S220" s="40" t="n"/>
      <c r="T220" s="41">
        <f>IF(D220="","",P220+Q220+R220-S220)</f>
        <v/>
      </c>
      <c r="U220" s="38" t="n"/>
      <c r="V220" s="38" t="n"/>
      <c r="W220" s="38" t="n"/>
      <c r="X220" s="38" t="n"/>
      <c r="Y220" s="38" t="n"/>
      <c r="Z220" s="38" t="n"/>
      <c r="AA220" s="38" t="n"/>
    </row>
    <row r="221" ht="21" customHeight="1">
      <c r="A221" s="38" t="n"/>
      <c r="B221" s="38" t="n"/>
      <c r="C221" s="38" t="n"/>
      <c r="D221" s="38" t="n"/>
      <c r="E221" s="38" t="n"/>
      <c r="F221" s="39" t="n"/>
      <c r="G221" s="38" t="n"/>
      <c r="H221" s="38" t="n"/>
      <c r="I221" s="38" t="n"/>
      <c r="J221" s="38" t="n"/>
      <c r="K221" s="38" t="n"/>
      <c r="L221" s="38" t="n"/>
      <c r="M221" s="38" t="n"/>
      <c r="N221" s="38" t="n"/>
      <c r="O221" s="40" t="n"/>
      <c r="P221" s="41">
        <f>IF(D221="","",F221*O221)</f>
        <v/>
      </c>
      <c r="Q221" s="38" t="n"/>
      <c r="R221" s="38" t="n"/>
      <c r="S221" s="40" t="n"/>
      <c r="T221" s="41">
        <f>IF(D221="","",P221+Q221+R221-S221)</f>
        <v/>
      </c>
      <c r="U221" s="38" t="n"/>
      <c r="V221" s="38" t="n"/>
      <c r="W221" s="38" t="n"/>
      <c r="X221" s="38" t="n"/>
      <c r="Y221" s="38" t="n"/>
      <c r="Z221" s="38" t="n"/>
      <c r="AA221" s="38" t="n"/>
    </row>
    <row r="222" ht="21" customHeight="1">
      <c r="A222" s="38" t="n"/>
      <c r="B222" s="38" t="n"/>
      <c r="C222" s="38" t="n"/>
      <c r="D222" s="38" t="n"/>
      <c r="E222" s="38" t="n"/>
      <c r="F222" s="39" t="n"/>
      <c r="G222" s="38" t="n"/>
      <c r="H222" s="38" t="n"/>
      <c r="I222" s="38" t="n"/>
      <c r="J222" s="38" t="n"/>
      <c r="K222" s="38" t="n"/>
      <c r="L222" s="38" t="n"/>
      <c r="M222" s="38" t="n"/>
      <c r="N222" s="38" t="n"/>
      <c r="O222" s="40" t="n"/>
      <c r="P222" s="41">
        <f>IF(D222="","",F222*O222)</f>
        <v/>
      </c>
      <c r="Q222" s="38" t="n"/>
      <c r="R222" s="38" t="n"/>
      <c r="S222" s="40" t="n"/>
      <c r="T222" s="41">
        <f>IF(D222="","",P222+Q222+R222-S222)</f>
        <v/>
      </c>
      <c r="U222" s="38" t="n"/>
      <c r="V222" s="38" t="n"/>
      <c r="W222" s="38" t="n"/>
      <c r="X222" s="38" t="n"/>
      <c r="Y222" s="38" t="n"/>
      <c r="Z222" s="38" t="n"/>
      <c r="AA222" s="38" t="n"/>
    </row>
    <row r="223" ht="21" customHeight="1">
      <c r="A223" s="38" t="n"/>
      <c r="B223" s="38" t="n"/>
      <c r="C223" s="38" t="n"/>
      <c r="D223" s="38" t="n"/>
      <c r="E223" s="38" t="n"/>
      <c r="F223" s="39" t="n"/>
      <c r="G223" s="38" t="n"/>
      <c r="H223" s="38" t="n"/>
      <c r="I223" s="38" t="n"/>
      <c r="J223" s="38" t="n"/>
      <c r="K223" s="38" t="n"/>
      <c r="L223" s="38" t="n"/>
      <c r="M223" s="38" t="n"/>
      <c r="N223" s="38" t="n"/>
      <c r="O223" s="40" t="n"/>
      <c r="P223" s="41">
        <f>IF(D223="","",F223*O223)</f>
        <v/>
      </c>
      <c r="Q223" s="38" t="n"/>
      <c r="R223" s="38" t="n"/>
      <c r="S223" s="40" t="n"/>
      <c r="T223" s="41">
        <f>IF(D223="","",P223+Q223+R223-S223)</f>
        <v/>
      </c>
      <c r="U223" s="38" t="n"/>
      <c r="V223" s="38" t="n"/>
      <c r="W223" s="38" t="n"/>
      <c r="X223" s="38" t="n"/>
      <c r="Y223" s="38" t="n"/>
      <c r="Z223" s="38" t="n"/>
      <c r="AA223" s="38" t="n"/>
    </row>
    <row r="224" ht="21" customHeight="1">
      <c r="A224" s="38" t="n"/>
      <c r="B224" s="38" t="n"/>
      <c r="C224" s="38" t="n"/>
      <c r="D224" s="38" t="n"/>
      <c r="E224" s="38" t="n"/>
      <c r="F224" s="39" t="n"/>
      <c r="G224" s="38" t="n"/>
      <c r="H224" s="38" t="n"/>
      <c r="I224" s="38" t="n"/>
      <c r="J224" s="38" t="n"/>
      <c r="K224" s="38" t="n"/>
      <c r="L224" s="38" t="n"/>
      <c r="M224" s="38" t="n"/>
      <c r="N224" s="38" t="n"/>
      <c r="O224" s="40" t="n"/>
      <c r="P224" s="41">
        <f>IF(D224="","",F224*O224)</f>
        <v/>
      </c>
      <c r="Q224" s="38" t="n"/>
      <c r="R224" s="38" t="n"/>
      <c r="S224" s="40" t="n"/>
      <c r="T224" s="41">
        <f>IF(D224="","",P224+Q224+R224-S224)</f>
        <v/>
      </c>
      <c r="U224" s="38" t="n"/>
      <c r="V224" s="38" t="n"/>
      <c r="W224" s="38" t="n"/>
      <c r="X224" s="38" t="n"/>
      <c r="Y224" s="38" t="n"/>
      <c r="Z224" s="38" t="n"/>
      <c r="AA224" s="38" t="n"/>
    </row>
    <row r="225" ht="21" customHeight="1">
      <c r="A225" s="38" t="n"/>
      <c r="B225" s="38" t="n"/>
      <c r="C225" s="38" t="n"/>
      <c r="D225" s="38" t="n"/>
      <c r="E225" s="38" t="n"/>
      <c r="F225" s="39" t="n"/>
      <c r="G225" s="38" t="n"/>
      <c r="H225" s="38" t="n"/>
      <c r="I225" s="38" t="n"/>
      <c r="J225" s="38" t="n"/>
      <c r="K225" s="38" t="n"/>
      <c r="L225" s="38" t="n"/>
      <c r="M225" s="38" t="n"/>
      <c r="N225" s="38" t="n"/>
      <c r="O225" s="40" t="n"/>
      <c r="P225" s="41">
        <f>IF(D225="","",F225*O225)</f>
        <v/>
      </c>
      <c r="Q225" s="38" t="n"/>
      <c r="R225" s="38" t="n"/>
      <c r="S225" s="40" t="n"/>
      <c r="T225" s="41">
        <f>IF(D225="","",P225+Q225+R225-S225)</f>
        <v/>
      </c>
      <c r="U225" s="38" t="n"/>
      <c r="V225" s="38" t="n"/>
      <c r="W225" s="38" t="n"/>
      <c r="X225" s="38" t="n"/>
      <c r="Y225" s="38" t="n"/>
      <c r="Z225" s="38" t="n"/>
      <c r="AA225" s="38" t="n"/>
    </row>
    <row r="226" ht="21" customHeight="1">
      <c r="A226" s="38" t="n"/>
      <c r="B226" s="38" t="n"/>
      <c r="C226" s="38" t="n"/>
      <c r="D226" s="38" t="n"/>
      <c r="E226" s="38" t="n"/>
      <c r="F226" s="39" t="n"/>
      <c r="G226" s="38" t="n"/>
      <c r="H226" s="38" t="n"/>
      <c r="I226" s="38" t="n"/>
      <c r="J226" s="38" t="n"/>
      <c r="K226" s="38" t="n"/>
      <c r="L226" s="38" t="n"/>
      <c r="M226" s="38" t="n"/>
      <c r="N226" s="38" t="n"/>
      <c r="O226" s="40" t="n"/>
      <c r="P226" s="41">
        <f>IF(D226="","",F226*O226)</f>
        <v/>
      </c>
      <c r="Q226" s="38" t="n"/>
      <c r="R226" s="38" t="n"/>
      <c r="S226" s="40" t="n"/>
      <c r="T226" s="41">
        <f>IF(D226="","",P226+Q226+R226-S226)</f>
        <v/>
      </c>
      <c r="U226" s="38" t="n"/>
      <c r="V226" s="38" t="n"/>
      <c r="W226" s="38" t="n"/>
      <c r="X226" s="38" t="n"/>
      <c r="Y226" s="38" t="n"/>
      <c r="Z226" s="38" t="n"/>
      <c r="AA226" s="38" t="n"/>
    </row>
    <row r="227" ht="21" customHeight="1">
      <c r="A227" s="38" t="n"/>
      <c r="B227" s="38" t="n"/>
      <c r="C227" s="38" t="n"/>
      <c r="D227" s="38" t="n"/>
      <c r="E227" s="38" t="n"/>
      <c r="F227" s="39" t="n"/>
      <c r="G227" s="38" t="n"/>
      <c r="H227" s="38" t="n"/>
      <c r="I227" s="38" t="n"/>
      <c r="J227" s="38" t="n"/>
      <c r="K227" s="38" t="n"/>
      <c r="L227" s="38" t="n"/>
      <c r="M227" s="38" t="n"/>
      <c r="N227" s="38" t="n"/>
      <c r="O227" s="40" t="n"/>
      <c r="P227" s="41">
        <f>IF(D227="","",F227*O227)</f>
        <v/>
      </c>
      <c r="Q227" s="38" t="n"/>
      <c r="R227" s="38" t="n"/>
      <c r="S227" s="40" t="n"/>
      <c r="T227" s="41">
        <f>IF(D227="","",P227+Q227+R227-S227)</f>
        <v/>
      </c>
      <c r="U227" s="38" t="n"/>
      <c r="V227" s="38" t="n"/>
      <c r="W227" s="38" t="n"/>
      <c r="X227" s="38" t="n"/>
      <c r="Y227" s="38" t="n"/>
      <c r="Z227" s="38" t="n"/>
      <c r="AA227" s="38" t="n"/>
    </row>
    <row r="228" ht="21" customHeight="1">
      <c r="A228" s="38" t="n"/>
      <c r="B228" s="38" t="n"/>
      <c r="C228" s="38" t="n"/>
      <c r="D228" s="38" t="n"/>
      <c r="E228" s="38" t="n"/>
      <c r="F228" s="39" t="n"/>
      <c r="G228" s="38" t="n"/>
      <c r="H228" s="38" t="n"/>
      <c r="I228" s="38" t="n"/>
      <c r="J228" s="38" t="n"/>
      <c r="K228" s="38" t="n"/>
      <c r="L228" s="38" t="n"/>
      <c r="M228" s="38" t="n"/>
      <c r="N228" s="38" t="n"/>
      <c r="O228" s="40" t="n"/>
      <c r="P228" s="41">
        <f>IF(D228="","",F228*O228)</f>
        <v/>
      </c>
      <c r="Q228" s="38" t="n"/>
      <c r="R228" s="38" t="n"/>
      <c r="S228" s="40" t="n"/>
      <c r="T228" s="41">
        <f>IF(D228="","",P228+Q228+R228-S228)</f>
        <v/>
      </c>
      <c r="U228" s="38" t="n"/>
      <c r="V228" s="38" t="n"/>
      <c r="W228" s="38" t="n"/>
      <c r="X228" s="38" t="n"/>
      <c r="Y228" s="38" t="n"/>
      <c r="Z228" s="38" t="n"/>
      <c r="AA228" s="38" t="n"/>
    </row>
    <row r="229" ht="21" customHeight="1">
      <c r="A229" s="38" t="n"/>
      <c r="B229" s="38" t="n"/>
      <c r="C229" s="38" t="n"/>
      <c r="D229" s="38" t="n"/>
      <c r="E229" s="38" t="n"/>
      <c r="F229" s="39" t="n"/>
      <c r="G229" s="38" t="n"/>
      <c r="H229" s="38" t="n"/>
      <c r="I229" s="38" t="n"/>
      <c r="J229" s="38" t="n"/>
      <c r="K229" s="38" t="n"/>
      <c r="L229" s="38" t="n"/>
      <c r="M229" s="38" t="n"/>
      <c r="N229" s="38" t="n"/>
      <c r="O229" s="40" t="n"/>
      <c r="P229" s="41">
        <f>IF(D229="","",F229*O229)</f>
        <v/>
      </c>
      <c r="Q229" s="38" t="n"/>
      <c r="R229" s="38" t="n"/>
      <c r="S229" s="40" t="n"/>
      <c r="T229" s="41">
        <f>IF(D229="","",P229+Q229+R229-S229)</f>
        <v/>
      </c>
      <c r="U229" s="38" t="n"/>
      <c r="V229" s="38" t="n"/>
      <c r="W229" s="38" t="n"/>
      <c r="X229" s="38" t="n"/>
      <c r="Y229" s="38" t="n"/>
      <c r="Z229" s="38" t="n"/>
      <c r="AA229" s="38" t="n"/>
    </row>
    <row r="230" ht="21" customHeight="1">
      <c r="A230" s="38" t="n"/>
      <c r="B230" s="38" t="n"/>
      <c r="C230" s="38" t="n"/>
      <c r="D230" s="38" t="n"/>
      <c r="E230" s="38" t="n"/>
      <c r="F230" s="39" t="n"/>
      <c r="G230" s="38" t="n"/>
      <c r="H230" s="38" t="n"/>
      <c r="I230" s="38" t="n"/>
      <c r="J230" s="38" t="n"/>
      <c r="K230" s="38" t="n"/>
      <c r="L230" s="38" t="n"/>
      <c r="M230" s="38" t="n"/>
      <c r="N230" s="38" t="n"/>
      <c r="O230" s="40" t="n"/>
      <c r="P230" s="41">
        <f>IF(D230="","",F230*O230)</f>
        <v/>
      </c>
      <c r="Q230" s="38" t="n"/>
      <c r="R230" s="38" t="n"/>
      <c r="S230" s="40" t="n"/>
      <c r="T230" s="41">
        <f>IF(D230="","",P230+Q230+R230-S230)</f>
        <v/>
      </c>
      <c r="U230" s="38" t="n"/>
      <c r="V230" s="38" t="n"/>
      <c r="W230" s="38" t="n"/>
      <c r="X230" s="38" t="n"/>
      <c r="Y230" s="38" t="n"/>
      <c r="Z230" s="38" t="n"/>
      <c r="AA230" s="38" t="n"/>
    </row>
    <row r="231" ht="21" customHeight="1">
      <c r="A231" s="38" t="n"/>
      <c r="B231" s="38" t="n"/>
      <c r="C231" s="38" t="n"/>
      <c r="D231" s="38" t="n"/>
      <c r="E231" s="38" t="n"/>
      <c r="F231" s="39" t="n"/>
      <c r="G231" s="38" t="n"/>
      <c r="H231" s="38" t="n"/>
      <c r="I231" s="38" t="n"/>
      <c r="J231" s="38" t="n"/>
      <c r="K231" s="38" t="n"/>
      <c r="L231" s="38" t="n"/>
      <c r="M231" s="38" t="n"/>
      <c r="N231" s="38" t="n"/>
      <c r="O231" s="40" t="n"/>
      <c r="P231" s="41">
        <f>IF(D231="","",F231*O231)</f>
        <v/>
      </c>
      <c r="Q231" s="38" t="n"/>
      <c r="R231" s="38" t="n"/>
      <c r="S231" s="40" t="n"/>
      <c r="T231" s="41">
        <f>IF(D231="","",P231+Q231+R231-S231)</f>
        <v/>
      </c>
      <c r="U231" s="38" t="n"/>
      <c r="V231" s="38" t="n"/>
      <c r="W231" s="38" t="n"/>
      <c r="X231" s="38" t="n"/>
      <c r="Y231" s="38" t="n"/>
      <c r="Z231" s="38" t="n"/>
      <c r="AA231" s="38" t="n"/>
    </row>
    <row r="232" ht="21" customHeight="1">
      <c r="A232" s="38" t="n"/>
      <c r="B232" s="38" t="n"/>
      <c r="C232" s="38" t="n"/>
      <c r="D232" s="38" t="n"/>
      <c r="E232" s="38" t="n"/>
      <c r="F232" s="39" t="n"/>
      <c r="G232" s="38" t="n"/>
      <c r="H232" s="38" t="n"/>
      <c r="I232" s="38" t="n"/>
      <c r="J232" s="38" t="n"/>
      <c r="K232" s="38" t="n"/>
      <c r="L232" s="38" t="n"/>
      <c r="M232" s="38" t="n"/>
      <c r="N232" s="38" t="n"/>
      <c r="O232" s="40" t="n"/>
      <c r="P232" s="41">
        <f>IF(D232="","",F232*O232)</f>
        <v/>
      </c>
      <c r="Q232" s="38" t="n"/>
      <c r="R232" s="38" t="n"/>
      <c r="S232" s="40" t="n"/>
      <c r="T232" s="41">
        <f>IF(D232="","",P232+Q232+R232-S232)</f>
        <v/>
      </c>
      <c r="U232" s="38" t="n"/>
      <c r="V232" s="38" t="n"/>
      <c r="W232" s="38" t="n"/>
      <c r="X232" s="38" t="n"/>
      <c r="Y232" s="38" t="n"/>
      <c r="Z232" s="38" t="n"/>
      <c r="AA232" s="38" t="n"/>
    </row>
    <row r="233" ht="21" customHeight="1">
      <c r="A233" s="38" t="n"/>
      <c r="B233" s="38" t="n"/>
      <c r="C233" s="38" t="n"/>
      <c r="D233" s="38" t="n"/>
      <c r="E233" s="38" t="n"/>
      <c r="F233" s="39" t="n"/>
      <c r="G233" s="38" t="n"/>
      <c r="H233" s="38" t="n"/>
      <c r="I233" s="38" t="n"/>
      <c r="J233" s="38" t="n"/>
      <c r="K233" s="38" t="n"/>
      <c r="L233" s="38" t="n"/>
      <c r="M233" s="38" t="n"/>
      <c r="N233" s="38" t="n"/>
      <c r="O233" s="40" t="n"/>
      <c r="P233" s="41">
        <f>IF(D233="","",F233*O233)</f>
        <v/>
      </c>
      <c r="Q233" s="38" t="n"/>
      <c r="R233" s="38" t="n"/>
      <c r="S233" s="40" t="n"/>
      <c r="T233" s="41">
        <f>IF(D233="","",P233+Q233+R233-S233)</f>
        <v/>
      </c>
      <c r="U233" s="38" t="n"/>
      <c r="V233" s="38" t="n"/>
      <c r="W233" s="38" t="n"/>
      <c r="X233" s="38" t="n"/>
      <c r="Y233" s="38" t="n"/>
      <c r="Z233" s="38" t="n"/>
      <c r="AA233" s="38" t="n"/>
    </row>
    <row r="234" ht="21" customHeight="1">
      <c r="A234" s="38" t="n"/>
      <c r="B234" s="38" t="n"/>
      <c r="C234" s="38" t="n"/>
      <c r="D234" s="38" t="n"/>
      <c r="E234" s="38" t="n"/>
      <c r="F234" s="39" t="n"/>
      <c r="G234" s="38" t="n"/>
      <c r="H234" s="38" t="n"/>
      <c r="I234" s="38" t="n"/>
      <c r="J234" s="38" t="n"/>
      <c r="K234" s="38" t="n"/>
      <c r="L234" s="38" t="n"/>
      <c r="M234" s="38" t="n"/>
      <c r="N234" s="38" t="n"/>
      <c r="O234" s="40" t="n"/>
      <c r="P234" s="41">
        <f>IF(D234="","",F234*O234)</f>
        <v/>
      </c>
      <c r="Q234" s="38" t="n"/>
      <c r="R234" s="38" t="n"/>
      <c r="S234" s="40" t="n"/>
      <c r="T234" s="41">
        <f>IF(D234="","",P234+Q234+R234-S234)</f>
        <v/>
      </c>
      <c r="U234" s="38" t="n"/>
      <c r="V234" s="38" t="n"/>
      <c r="W234" s="38" t="n"/>
      <c r="X234" s="38" t="n"/>
      <c r="Y234" s="38" t="n"/>
      <c r="Z234" s="38" t="n"/>
      <c r="AA234" s="38" t="n"/>
    </row>
    <row r="235" ht="21" customHeight="1">
      <c r="A235" s="38" t="n"/>
      <c r="B235" s="38" t="n"/>
      <c r="C235" s="38" t="n"/>
      <c r="D235" s="38" t="n"/>
      <c r="E235" s="38" t="n"/>
      <c r="F235" s="39" t="n"/>
      <c r="G235" s="38" t="n"/>
      <c r="H235" s="38" t="n"/>
      <c r="I235" s="38" t="n"/>
      <c r="J235" s="38" t="n"/>
      <c r="K235" s="38" t="n"/>
      <c r="L235" s="38" t="n"/>
      <c r="M235" s="38" t="n"/>
      <c r="N235" s="38" t="n"/>
      <c r="O235" s="40" t="n"/>
      <c r="P235" s="41">
        <f>IF(D235="","",F235*O235)</f>
        <v/>
      </c>
      <c r="Q235" s="38" t="n"/>
      <c r="R235" s="38" t="n"/>
      <c r="S235" s="40" t="n"/>
      <c r="T235" s="41">
        <f>IF(D235="","",P235+Q235+R235-S235)</f>
        <v/>
      </c>
      <c r="U235" s="38" t="n"/>
      <c r="V235" s="38" t="n"/>
      <c r="W235" s="38" t="n"/>
      <c r="X235" s="38" t="n"/>
      <c r="Y235" s="38" t="n"/>
      <c r="Z235" s="38" t="n"/>
      <c r="AA235" s="38" t="n"/>
    </row>
    <row r="236" ht="21" customHeight="1">
      <c r="A236" s="38" t="n"/>
      <c r="B236" s="38" t="n"/>
      <c r="C236" s="38" t="n"/>
      <c r="D236" s="38" t="n"/>
      <c r="E236" s="38" t="n"/>
      <c r="F236" s="39" t="n"/>
      <c r="G236" s="38" t="n"/>
      <c r="H236" s="38" t="n"/>
      <c r="I236" s="38" t="n"/>
      <c r="J236" s="38" t="n"/>
      <c r="K236" s="38" t="n"/>
      <c r="L236" s="38" t="n"/>
      <c r="M236" s="38" t="n"/>
      <c r="N236" s="38" t="n"/>
      <c r="O236" s="40" t="n"/>
      <c r="P236" s="41">
        <f>IF(D236="","",F236*O236)</f>
        <v/>
      </c>
      <c r="Q236" s="38" t="n"/>
      <c r="R236" s="38" t="n"/>
      <c r="S236" s="40" t="n"/>
      <c r="T236" s="41">
        <f>IF(D236="","",P236+Q236+R236-S236)</f>
        <v/>
      </c>
      <c r="U236" s="38" t="n"/>
      <c r="V236" s="38" t="n"/>
      <c r="W236" s="38" t="n"/>
      <c r="X236" s="38" t="n"/>
      <c r="Y236" s="38" t="n"/>
      <c r="Z236" s="38" t="n"/>
      <c r="AA236" s="38" t="n"/>
    </row>
    <row r="237" ht="21" customHeight="1">
      <c r="A237" s="38" t="n"/>
      <c r="B237" s="38" t="n"/>
      <c r="C237" s="38" t="n"/>
      <c r="D237" s="38" t="n"/>
      <c r="E237" s="38" t="n"/>
      <c r="F237" s="39" t="n"/>
      <c r="G237" s="38" t="n"/>
      <c r="H237" s="38" t="n"/>
      <c r="I237" s="38" t="n"/>
      <c r="J237" s="38" t="n"/>
      <c r="K237" s="38" t="n"/>
      <c r="L237" s="38" t="n"/>
      <c r="M237" s="38" t="n"/>
      <c r="N237" s="38" t="n"/>
      <c r="O237" s="40" t="n"/>
      <c r="P237" s="41">
        <f>IF(D237="","",F237*O237)</f>
        <v/>
      </c>
      <c r="Q237" s="38" t="n"/>
      <c r="R237" s="38" t="n"/>
      <c r="S237" s="40" t="n"/>
      <c r="T237" s="41">
        <f>IF(D237="","",P237+Q237+R237-S237)</f>
        <v/>
      </c>
      <c r="U237" s="38" t="n"/>
      <c r="V237" s="38" t="n"/>
      <c r="W237" s="38" t="n"/>
      <c r="X237" s="38" t="n"/>
      <c r="Y237" s="38" t="n"/>
      <c r="Z237" s="38" t="n"/>
      <c r="AA237" s="38" t="n"/>
    </row>
    <row r="238" ht="21" customHeight="1">
      <c r="A238" s="38" t="n"/>
      <c r="B238" s="38" t="n"/>
      <c r="C238" s="38" t="n"/>
      <c r="D238" s="38" t="n"/>
      <c r="E238" s="38" t="n"/>
      <c r="F238" s="39" t="n"/>
      <c r="G238" s="38" t="n"/>
      <c r="H238" s="38" t="n"/>
      <c r="I238" s="38" t="n"/>
      <c r="J238" s="38" t="n"/>
      <c r="K238" s="38" t="n"/>
      <c r="L238" s="38" t="n"/>
      <c r="M238" s="38" t="n"/>
      <c r="N238" s="38" t="n"/>
      <c r="O238" s="40" t="n"/>
      <c r="P238" s="41">
        <f>IF(D238="","",F238*O238)</f>
        <v/>
      </c>
      <c r="Q238" s="38" t="n"/>
      <c r="R238" s="38" t="n"/>
      <c r="S238" s="40" t="n"/>
      <c r="T238" s="41">
        <f>IF(D238="","",P238+Q238+R238-S238)</f>
        <v/>
      </c>
      <c r="U238" s="38" t="n"/>
      <c r="V238" s="38" t="n"/>
      <c r="W238" s="38" t="n"/>
      <c r="X238" s="38" t="n"/>
      <c r="Y238" s="38" t="n"/>
      <c r="Z238" s="38" t="n"/>
      <c r="AA238" s="38" t="n"/>
    </row>
    <row r="239" ht="21" customHeight="1">
      <c r="A239" s="38" t="n"/>
      <c r="B239" s="38" t="n"/>
      <c r="C239" s="38" t="n"/>
      <c r="D239" s="38" t="n"/>
      <c r="E239" s="38" t="n"/>
      <c r="F239" s="39" t="n"/>
      <c r="G239" s="38" t="n"/>
      <c r="H239" s="38" t="n"/>
      <c r="I239" s="38" t="n"/>
      <c r="J239" s="38" t="n"/>
      <c r="K239" s="38" t="n"/>
      <c r="L239" s="38" t="n"/>
      <c r="M239" s="38" t="n"/>
      <c r="N239" s="38" t="n"/>
      <c r="O239" s="40" t="n"/>
      <c r="P239" s="41">
        <f>IF(D239="","",F239*O239)</f>
        <v/>
      </c>
      <c r="Q239" s="38" t="n"/>
      <c r="R239" s="38" t="n"/>
      <c r="S239" s="40" t="n"/>
      <c r="T239" s="41">
        <f>IF(D239="","",P239+Q239+R239-S239)</f>
        <v/>
      </c>
      <c r="U239" s="38" t="n"/>
      <c r="V239" s="38" t="n"/>
      <c r="W239" s="38" t="n"/>
      <c r="X239" s="38" t="n"/>
      <c r="Y239" s="38" t="n"/>
      <c r="Z239" s="38" t="n"/>
      <c r="AA239" s="38" t="n"/>
    </row>
    <row r="240" ht="21" customHeight="1">
      <c r="A240" s="38" t="n"/>
      <c r="B240" s="38" t="n"/>
      <c r="C240" s="38" t="n"/>
      <c r="D240" s="38" t="n"/>
      <c r="E240" s="38" t="n"/>
      <c r="F240" s="39" t="n"/>
      <c r="G240" s="38" t="n"/>
      <c r="H240" s="38" t="n"/>
      <c r="I240" s="38" t="n"/>
      <c r="J240" s="38" t="n"/>
      <c r="K240" s="38" t="n"/>
      <c r="L240" s="38" t="n"/>
      <c r="M240" s="38" t="n"/>
      <c r="N240" s="38" t="n"/>
      <c r="O240" s="40" t="n"/>
      <c r="P240" s="41">
        <f>IF(D240="","",F240*O240)</f>
        <v/>
      </c>
      <c r="Q240" s="38" t="n"/>
      <c r="R240" s="38" t="n"/>
      <c r="S240" s="40" t="n"/>
      <c r="T240" s="41">
        <f>IF(D240="","",P240+Q240+R240-S240)</f>
        <v/>
      </c>
      <c r="U240" s="38" t="n"/>
      <c r="V240" s="38" t="n"/>
      <c r="W240" s="38" t="n"/>
      <c r="X240" s="38" t="n"/>
      <c r="Y240" s="38" t="n"/>
      <c r="Z240" s="38" t="n"/>
      <c r="AA240" s="38" t="n"/>
    </row>
    <row r="241" ht="21" customHeight="1">
      <c r="A241" s="38" t="n"/>
      <c r="B241" s="38" t="n"/>
      <c r="C241" s="38" t="n"/>
      <c r="D241" s="38" t="n"/>
      <c r="E241" s="38" t="n"/>
      <c r="F241" s="39" t="n"/>
      <c r="G241" s="38" t="n"/>
      <c r="H241" s="38" t="n"/>
      <c r="I241" s="38" t="n"/>
      <c r="J241" s="38" t="n"/>
      <c r="K241" s="38" t="n"/>
      <c r="L241" s="38" t="n"/>
      <c r="M241" s="38" t="n"/>
      <c r="N241" s="38" t="n"/>
      <c r="O241" s="40" t="n"/>
      <c r="P241" s="41">
        <f>IF(D241="","",F241*O241)</f>
        <v/>
      </c>
      <c r="Q241" s="38" t="n"/>
      <c r="R241" s="38" t="n"/>
      <c r="S241" s="40" t="n"/>
      <c r="T241" s="41">
        <f>IF(D241="","",P241+Q241+R241-S241)</f>
        <v/>
      </c>
      <c r="U241" s="38" t="n"/>
      <c r="V241" s="38" t="n"/>
      <c r="W241" s="38" t="n"/>
      <c r="X241" s="38" t="n"/>
      <c r="Y241" s="38" t="n"/>
      <c r="Z241" s="38" t="n"/>
      <c r="AA241" s="38" t="n"/>
    </row>
    <row r="242" ht="21" customHeight="1">
      <c r="A242" s="38" t="n"/>
      <c r="B242" s="38" t="n"/>
      <c r="C242" s="38" t="n"/>
      <c r="D242" s="38" t="n"/>
      <c r="E242" s="38" t="n"/>
      <c r="F242" s="39" t="n"/>
      <c r="G242" s="38" t="n"/>
      <c r="H242" s="38" t="n"/>
      <c r="I242" s="38" t="n"/>
      <c r="J242" s="38" t="n"/>
      <c r="K242" s="38" t="n"/>
      <c r="L242" s="38" t="n"/>
      <c r="M242" s="38" t="n"/>
      <c r="N242" s="38" t="n"/>
      <c r="O242" s="40" t="n"/>
      <c r="P242" s="41">
        <f>IF(D242="","",F242*O242)</f>
        <v/>
      </c>
      <c r="Q242" s="38" t="n"/>
      <c r="R242" s="38" t="n"/>
      <c r="S242" s="40" t="n"/>
      <c r="T242" s="41">
        <f>IF(D242="","",P242+Q242+R242-S242)</f>
        <v/>
      </c>
      <c r="U242" s="38" t="n"/>
      <c r="V242" s="38" t="n"/>
      <c r="W242" s="38" t="n"/>
      <c r="X242" s="38" t="n"/>
      <c r="Y242" s="38" t="n"/>
      <c r="Z242" s="38" t="n"/>
      <c r="AA242" s="38" t="n"/>
    </row>
    <row r="243" ht="21" customHeight="1">
      <c r="A243" s="38" t="n"/>
      <c r="B243" s="38" t="n"/>
      <c r="C243" s="38" t="n"/>
      <c r="D243" s="38" t="n"/>
      <c r="E243" s="38" t="n"/>
      <c r="F243" s="39" t="n"/>
      <c r="G243" s="38" t="n"/>
      <c r="H243" s="38" t="n"/>
      <c r="I243" s="38" t="n"/>
      <c r="J243" s="38" t="n"/>
      <c r="K243" s="38" t="n"/>
      <c r="L243" s="38" t="n"/>
      <c r="M243" s="38" t="n"/>
      <c r="N243" s="38" t="n"/>
      <c r="O243" s="40" t="n"/>
      <c r="P243" s="41">
        <f>IF(D243="","",F243*O243)</f>
        <v/>
      </c>
      <c r="Q243" s="38" t="n"/>
      <c r="R243" s="38" t="n"/>
      <c r="S243" s="40" t="n"/>
      <c r="T243" s="41">
        <f>IF(D243="","",P243+Q243+R243-S243)</f>
        <v/>
      </c>
      <c r="U243" s="38" t="n"/>
      <c r="V243" s="38" t="n"/>
      <c r="W243" s="38" t="n"/>
      <c r="X243" s="38" t="n"/>
      <c r="Y243" s="38" t="n"/>
      <c r="Z243" s="38" t="n"/>
      <c r="AA243" s="38" t="n"/>
    </row>
    <row r="244" ht="21" customHeight="1">
      <c r="A244" s="38" t="n"/>
      <c r="B244" s="38" t="n"/>
      <c r="C244" s="38" t="n"/>
      <c r="D244" s="38" t="n"/>
      <c r="E244" s="38" t="n"/>
      <c r="F244" s="39" t="n"/>
      <c r="G244" s="38" t="n"/>
      <c r="H244" s="38" t="n"/>
      <c r="I244" s="38" t="n"/>
      <c r="J244" s="38" t="n"/>
      <c r="K244" s="38" t="n"/>
      <c r="L244" s="38" t="n"/>
      <c r="M244" s="38" t="n"/>
      <c r="N244" s="38" t="n"/>
      <c r="O244" s="40" t="n"/>
      <c r="P244" s="41">
        <f>IF(D244="","",F244*O244)</f>
        <v/>
      </c>
      <c r="Q244" s="38" t="n"/>
      <c r="R244" s="38" t="n"/>
      <c r="S244" s="40" t="n"/>
      <c r="T244" s="41">
        <f>IF(D244="","",P244+Q244+R244-S244)</f>
        <v/>
      </c>
      <c r="U244" s="38" t="n"/>
      <c r="V244" s="38" t="n"/>
      <c r="W244" s="38" t="n"/>
      <c r="X244" s="38" t="n"/>
      <c r="Y244" s="38" t="n"/>
      <c r="Z244" s="38" t="n"/>
      <c r="AA244" s="38" t="n"/>
    </row>
    <row r="245" ht="21" customHeight="1">
      <c r="A245" s="38" t="n"/>
      <c r="B245" s="38" t="n"/>
      <c r="C245" s="38" t="n"/>
      <c r="D245" s="38" t="n"/>
      <c r="E245" s="38" t="n"/>
      <c r="F245" s="39" t="n"/>
      <c r="G245" s="38" t="n"/>
      <c r="H245" s="38" t="n"/>
      <c r="I245" s="38" t="n"/>
      <c r="J245" s="38" t="n"/>
      <c r="K245" s="38" t="n"/>
      <c r="L245" s="38" t="n"/>
      <c r="M245" s="38" t="n"/>
      <c r="N245" s="38" t="n"/>
      <c r="O245" s="40" t="n"/>
      <c r="P245" s="41">
        <f>IF(D245="","",F245*O245)</f>
        <v/>
      </c>
      <c r="Q245" s="38" t="n"/>
      <c r="R245" s="38" t="n"/>
      <c r="S245" s="40" t="n"/>
      <c r="T245" s="41">
        <f>IF(D245="","",P245+Q245+R245-S245)</f>
        <v/>
      </c>
      <c r="U245" s="38" t="n"/>
      <c r="V245" s="38" t="n"/>
      <c r="W245" s="38" t="n"/>
      <c r="X245" s="38" t="n"/>
      <c r="Y245" s="38" t="n"/>
      <c r="Z245" s="38" t="n"/>
      <c r="AA245" s="38" t="n"/>
    </row>
    <row r="246" ht="21" customHeight="1">
      <c r="A246" s="38" t="n"/>
      <c r="B246" s="38" t="n"/>
      <c r="C246" s="38" t="n"/>
      <c r="D246" s="38" t="n"/>
      <c r="E246" s="38" t="n"/>
      <c r="F246" s="39" t="n"/>
      <c r="G246" s="38" t="n"/>
      <c r="H246" s="38" t="n"/>
      <c r="I246" s="38" t="n"/>
      <c r="J246" s="38" t="n"/>
      <c r="K246" s="38" t="n"/>
      <c r="L246" s="38" t="n"/>
      <c r="M246" s="38" t="n"/>
      <c r="N246" s="38" t="n"/>
      <c r="O246" s="40" t="n"/>
      <c r="P246" s="41">
        <f>IF(D246="","",F246*O246)</f>
        <v/>
      </c>
      <c r="Q246" s="38" t="n"/>
      <c r="R246" s="38" t="n"/>
      <c r="S246" s="40" t="n"/>
      <c r="T246" s="41">
        <f>IF(D246="","",P246+Q246+R246-S246)</f>
        <v/>
      </c>
      <c r="U246" s="38" t="n"/>
      <c r="V246" s="38" t="n"/>
      <c r="W246" s="38" t="n"/>
      <c r="X246" s="38" t="n"/>
      <c r="Y246" s="38" t="n"/>
      <c r="Z246" s="38" t="n"/>
      <c r="AA246" s="38" t="n"/>
    </row>
    <row r="247" ht="21" customHeight="1">
      <c r="A247" s="38" t="n"/>
      <c r="B247" s="38" t="n"/>
      <c r="C247" s="38" t="n"/>
      <c r="D247" s="38" t="n"/>
      <c r="E247" s="38" t="n"/>
      <c r="F247" s="39" t="n"/>
      <c r="G247" s="38" t="n"/>
      <c r="H247" s="38" t="n"/>
      <c r="I247" s="38" t="n"/>
      <c r="J247" s="38" t="n"/>
      <c r="K247" s="38" t="n"/>
      <c r="L247" s="38" t="n"/>
      <c r="M247" s="38" t="n"/>
      <c r="N247" s="38" t="n"/>
      <c r="O247" s="40" t="n"/>
      <c r="P247" s="41">
        <f>IF(D247="","",F247*O247)</f>
        <v/>
      </c>
      <c r="Q247" s="38" t="n"/>
      <c r="R247" s="38" t="n"/>
      <c r="S247" s="40" t="n"/>
      <c r="T247" s="41">
        <f>IF(D247="","",P247+Q247+R247-S247)</f>
        <v/>
      </c>
      <c r="U247" s="38" t="n"/>
      <c r="V247" s="38" t="n"/>
      <c r="W247" s="38" t="n"/>
      <c r="X247" s="38" t="n"/>
      <c r="Y247" s="38" t="n"/>
      <c r="Z247" s="38" t="n"/>
      <c r="AA247" s="38" t="n"/>
    </row>
    <row r="248" ht="21" customHeight="1">
      <c r="A248" s="38" t="n"/>
      <c r="B248" s="38" t="n"/>
      <c r="C248" s="38" t="n"/>
      <c r="D248" s="38" t="n"/>
      <c r="E248" s="38" t="n"/>
      <c r="F248" s="39" t="n"/>
      <c r="G248" s="38" t="n"/>
      <c r="H248" s="38" t="n"/>
      <c r="I248" s="38" t="n"/>
      <c r="J248" s="38" t="n"/>
      <c r="K248" s="38" t="n"/>
      <c r="L248" s="38" t="n"/>
      <c r="M248" s="38" t="n"/>
      <c r="N248" s="38" t="n"/>
      <c r="O248" s="40" t="n"/>
      <c r="P248" s="41">
        <f>IF(D248="","",F248*O248)</f>
        <v/>
      </c>
      <c r="Q248" s="38" t="n"/>
      <c r="R248" s="38" t="n"/>
      <c r="S248" s="40" t="n"/>
      <c r="T248" s="41">
        <f>IF(D248="","",P248+Q248+R248-S248)</f>
        <v/>
      </c>
      <c r="U248" s="38" t="n"/>
      <c r="V248" s="38" t="n"/>
      <c r="W248" s="38" t="n"/>
      <c r="X248" s="38" t="n"/>
      <c r="Y248" s="38" t="n"/>
      <c r="Z248" s="38" t="n"/>
      <c r="AA248" s="38" t="n"/>
    </row>
    <row r="249" ht="21" customHeight="1">
      <c r="A249" s="38" t="n"/>
      <c r="B249" s="38" t="n"/>
      <c r="C249" s="38" t="n"/>
      <c r="D249" s="38" t="n"/>
      <c r="E249" s="38" t="n"/>
      <c r="F249" s="39" t="n"/>
      <c r="G249" s="38" t="n"/>
      <c r="H249" s="38" t="n"/>
      <c r="I249" s="38" t="n"/>
      <c r="J249" s="38" t="n"/>
      <c r="K249" s="38" t="n"/>
      <c r="L249" s="38" t="n"/>
      <c r="M249" s="38" t="n"/>
      <c r="N249" s="38" t="n"/>
      <c r="O249" s="40" t="n"/>
      <c r="P249" s="41">
        <f>IF(D249="","",F249*O249)</f>
        <v/>
      </c>
      <c r="Q249" s="38" t="n"/>
      <c r="R249" s="38" t="n"/>
      <c r="S249" s="40" t="n"/>
      <c r="T249" s="41">
        <f>IF(D249="","",P249+Q249+R249-S249)</f>
        <v/>
      </c>
      <c r="U249" s="38" t="n"/>
      <c r="V249" s="38" t="n"/>
      <c r="W249" s="38" t="n"/>
      <c r="X249" s="38" t="n"/>
      <c r="Y249" s="38" t="n"/>
      <c r="Z249" s="38" t="n"/>
      <c r="AA249" s="38" t="n"/>
    </row>
    <row r="250" ht="21" customHeight="1">
      <c r="A250" s="38" t="n"/>
      <c r="B250" s="38" t="n"/>
      <c r="C250" s="38" t="n"/>
      <c r="D250" s="38" t="n"/>
      <c r="E250" s="38" t="n"/>
      <c r="F250" s="39" t="n"/>
      <c r="G250" s="38" t="n"/>
      <c r="H250" s="38" t="n"/>
      <c r="I250" s="38" t="n"/>
      <c r="J250" s="38" t="n"/>
      <c r="K250" s="38" t="n"/>
      <c r="L250" s="38" t="n"/>
      <c r="M250" s="38" t="n"/>
      <c r="N250" s="38" t="n"/>
      <c r="O250" s="40" t="n"/>
      <c r="P250" s="41">
        <f>IF(D250="","",F250*O250)</f>
        <v/>
      </c>
      <c r="Q250" s="38" t="n"/>
      <c r="R250" s="38" t="n"/>
      <c r="S250" s="40" t="n"/>
      <c r="T250" s="41">
        <f>IF(D250="","",P250+Q250+R250-S250)</f>
        <v/>
      </c>
      <c r="U250" s="38" t="n"/>
      <c r="V250" s="38" t="n"/>
      <c r="W250" s="38" t="n"/>
      <c r="X250" s="38" t="n"/>
      <c r="Y250" s="38" t="n"/>
      <c r="Z250" s="38" t="n"/>
      <c r="AA250" s="38" t="n"/>
    </row>
    <row r="251" ht="21" customHeight="1">
      <c r="A251" s="38" t="n"/>
      <c r="B251" s="38" t="n"/>
      <c r="C251" s="38" t="n"/>
      <c r="D251" s="38" t="n"/>
      <c r="E251" s="38" t="n"/>
      <c r="F251" s="39" t="n"/>
      <c r="G251" s="38" t="n"/>
      <c r="H251" s="38" t="n"/>
      <c r="I251" s="38" t="n"/>
      <c r="J251" s="38" t="n"/>
      <c r="K251" s="38" t="n"/>
      <c r="L251" s="38" t="n"/>
      <c r="M251" s="38" t="n"/>
      <c r="N251" s="38" t="n"/>
      <c r="O251" s="40" t="n"/>
      <c r="P251" s="41">
        <f>IF(D251="","",F251*O251)</f>
        <v/>
      </c>
      <c r="Q251" s="38" t="n"/>
      <c r="R251" s="38" t="n"/>
      <c r="S251" s="40" t="n"/>
      <c r="T251" s="41">
        <f>IF(D251="","",P251+Q251+R251-S251)</f>
        <v/>
      </c>
      <c r="U251" s="38" t="n"/>
      <c r="V251" s="38" t="n"/>
      <c r="W251" s="38" t="n"/>
      <c r="X251" s="38" t="n"/>
      <c r="Y251" s="38" t="n"/>
      <c r="Z251" s="38" t="n"/>
      <c r="AA251" s="38" t="n"/>
    </row>
    <row r="252" ht="21" customHeight="1">
      <c r="A252" s="38" t="n"/>
      <c r="B252" s="38" t="n"/>
      <c r="C252" s="38" t="n"/>
      <c r="D252" s="38" t="n"/>
      <c r="E252" s="38" t="n"/>
      <c r="F252" s="39" t="n"/>
      <c r="G252" s="38" t="n"/>
      <c r="H252" s="38" t="n"/>
      <c r="I252" s="38" t="n"/>
      <c r="J252" s="38" t="n"/>
      <c r="K252" s="38" t="n"/>
      <c r="L252" s="38" t="n"/>
      <c r="M252" s="38" t="n"/>
      <c r="N252" s="38" t="n"/>
      <c r="O252" s="40" t="n"/>
      <c r="P252" s="41">
        <f>IF(D252="","",F252*O252)</f>
        <v/>
      </c>
      <c r="Q252" s="38" t="n"/>
      <c r="R252" s="38" t="n"/>
      <c r="S252" s="40" t="n"/>
      <c r="T252" s="41">
        <f>IF(D252="","",P252+Q252+R252-S252)</f>
        <v/>
      </c>
      <c r="U252" s="38" t="n"/>
      <c r="V252" s="38" t="n"/>
      <c r="W252" s="38" t="n"/>
      <c r="X252" s="38" t="n"/>
      <c r="Y252" s="38" t="n"/>
      <c r="Z252" s="38" t="n"/>
      <c r="AA252" s="38" t="n"/>
    </row>
    <row r="253" ht="21" customHeight="1">
      <c r="A253" s="38" t="n"/>
      <c r="B253" s="38" t="n"/>
      <c r="C253" s="38" t="n"/>
      <c r="D253" s="38" t="n"/>
      <c r="E253" s="38" t="n"/>
      <c r="F253" s="39" t="n"/>
      <c r="G253" s="38" t="n"/>
      <c r="H253" s="38" t="n"/>
      <c r="I253" s="38" t="n"/>
      <c r="J253" s="38" t="n"/>
      <c r="K253" s="38" t="n"/>
      <c r="L253" s="38" t="n"/>
      <c r="M253" s="38" t="n"/>
      <c r="N253" s="38" t="n"/>
      <c r="O253" s="40" t="n"/>
      <c r="P253" s="41">
        <f>IF(D253="","",F253*O253)</f>
        <v/>
      </c>
      <c r="Q253" s="38" t="n"/>
      <c r="R253" s="38" t="n"/>
      <c r="S253" s="40" t="n"/>
      <c r="T253" s="41">
        <f>IF(D253="","",P253+Q253+R253-S253)</f>
        <v/>
      </c>
      <c r="U253" s="38" t="n"/>
      <c r="V253" s="38" t="n"/>
      <c r="W253" s="38" t="n"/>
      <c r="X253" s="38" t="n"/>
      <c r="Y253" s="38" t="n"/>
      <c r="Z253" s="38" t="n"/>
      <c r="AA253" s="38" t="n"/>
    </row>
    <row r="254" ht="21" customHeight="1">
      <c r="A254" s="38" t="n"/>
      <c r="B254" s="38" t="n"/>
      <c r="C254" s="38" t="n"/>
      <c r="D254" s="38" t="n"/>
      <c r="E254" s="38" t="n"/>
      <c r="F254" s="39" t="n"/>
      <c r="G254" s="38" t="n"/>
      <c r="H254" s="38" t="n"/>
      <c r="I254" s="38" t="n"/>
      <c r="J254" s="38" t="n"/>
      <c r="K254" s="38" t="n"/>
      <c r="L254" s="38" t="n"/>
      <c r="M254" s="38" t="n"/>
      <c r="N254" s="38" t="n"/>
      <c r="O254" s="40" t="n"/>
      <c r="P254" s="41">
        <f>IF(D254="","",F254*O254)</f>
        <v/>
      </c>
      <c r="Q254" s="38" t="n"/>
      <c r="R254" s="38" t="n"/>
      <c r="S254" s="40" t="n"/>
      <c r="T254" s="41">
        <f>IF(D254="","",P254+Q254+R254-S254)</f>
        <v/>
      </c>
      <c r="U254" s="38" t="n"/>
      <c r="V254" s="38" t="n"/>
      <c r="W254" s="38" t="n"/>
      <c r="X254" s="38" t="n"/>
      <c r="Y254" s="38" t="n"/>
      <c r="Z254" s="38" t="n"/>
      <c r="AA254" s="38" t="n"/>
    </row>
    <row r="255" ht="21" customHeight="1">
      <c r="A255" s="38" t="n"/>
      <c r="B255" s="38" t="n"/>
      <c r="C255" s="38" t="n"/>
      <c r="D255" s="38" t="n"/>
      <c r="E255" s="38" t="n"/>
      <c r="F255" s="39" t="n"/>
      <c r="G255" s="38" t="n"/>
      <c r="H255" s="38" t="n"/>
      <c r="I255" s="38" t="n"/>
      <c r="J255" s="38" t="n"/>
      <c r="K255" s="38" t="n"/>
      <c r="L255" s="38" t="n"/>
      <c r="M255" s="38" t="n"/>
      <c r="N255" s="38" t="n"/>
      <c r="O255" s="40" t="n"/>
      <c r="P255" s="41">
        <f>IF(D255="","",F255*O255)</f>
        <v/>
      </c>
      <c r="Q255" s="38" t="n"/>
      <c r="R255" s="38" t="n"/>
      <c r="S255" s="40" t="n"/>
      <c r="T255" s="41">
        <f>IF(D255="","",P255+Q255+R255-S255)</f>
        <v/>
      </c>
      <c r="U255" s="38" t="n"/>
      <c r="V255" s="38" t="n"/>
      <c r="W255" s="38" t="n"/>
      <c r="X255" s="38" t="n"/>
      <c r="Y255" s="38" t="n"/>
      <c r="Z255" s="38" t="n"/>
      <c r="AA255" s="38" t="n"/>
    </row>
    <row r="256" ht="21" customHeight="1">
      <c r="A256" s="38" t="n"/>
      <c r="B256" s="38" t="n"/>
      <c r="C256" s="38" t="n"/>
      <c r="D256" s="38" t="n"/>
      <c r="E256" s="38" t="n"/>
      <c r="F256" s="39" t="n"/>
      <c r="G256" s="38" t="n"/>
      <c r="H256" s="38" t="n"/>
      <c r="I256" s="38" t="n"/>
      <c r="J256" s="38" t="n"/>
      <c r="K256" s="38" t="n"/>
      <c r="L256" s="38" t="n"/>
      <c r="M256" s="38" t="n"/>
      <c r="N256" s="38" t="n"/>
      <c r="O256" s="40" t="n"/>
      <c r="P256" s="41">
        <f>IF(D256="","",F256*O256)</f>
        <v/>
      </c>
      <c r="Q256" s="38" t="n"/>
      <c r="R256" s="38" t="n"/>
      <c r="S256" s="40" t="n"/>
      <c r="T256" s="41">
        <f>IF(D256="","",P256+Q256+R256-S256)</f>
        <v/>
      </c>
      <c r="U256" s="38" t="n"/>
      <c r="V256" s="38" t="n"/>
      <c r="W256" s="38" t="n"/>
      <c r="X256" s="38" t="n"/>
      <c r="Y256" s="38" t="n"/>
      <c r="Z256" s="38" t="n"/>
      <c r="AA256" s="38" t="n"/>
    </row>
    <row r="257" ht="21" customHeight="1">
      <c r="A257" s="38" t="n"/>
      <c r="B257" s="38" t="n"/>
      <c r="C257" s="38" t="n"/>
      <c r="D257" s="38" t="n"/>
      <c r="E257" s="38" t="n"/>
      <c r="F257" s="39" t="n"/>
      <c r="G257" s="38" t="n"/>
      <c r="H257" s="38" t="n"/>
      <c r="I257" s="38" t="n"/>
      <c r="J257" s="38" t="n"/>
      <c r="K257" s="38" t="n"/>
      <c r="L257" s="38" t="n"/>
      <c r="M257" s="38" t="n"/>
      <c r="N257" s="38" t="n"/>
      <c r="O257" s="40" t="n"/>
      <c r="P257" s="41">
        <f>IF(D257="","",F257*O257)</f>
        <v/>
      </c>
      <c r="Q257" s="38" t="n"/>
      <c r="R257" s="38" t="n"/>
      <c r="S257" s="40" t="n"/>
      <c r="T257" s="41">
        <f>IF(D257="","",P257+Q257+R257-S257)</f>
        <v/>
      </c>
      <c r="U257" s="38" t="n"/>
      <c r="V257" s="38" t="n"/>
      <c r="W257" s="38" t="n"/>
      <c r="X257" s="38" t="n"/>
      <c r="Y257" s="38" t="n"/>
      <c r="Z257" s="38" t="n"/>
      <c r="AA257" s="38" t="n"/>
    </row>
    <row r="258" ht="21" customHeight="1">
      <c r="A258" s="38" t="n"/>
      <c r="B258" s="38" t="n"/>
      <c r="C258" s="38" t="n"/>
      <c r="D258" s="38" t="n"/>
      <c r="E258" s="38" t="n"/>
      <c r="F258" s="39" t="n"/>
      <c r="G258" s="38" t="n"/>
      <c r="H258" s="38" t="n"/>
      <c r="I258" s="38" t="n"/>
      <c r="J258" s="38" t="n"/>
      <c r="K258" s="38" t="n"/>
      <c r="L258" s="38" t="n"/>
      <c r="M258" s="38" t="n"/>
      <c r="N258" s="38" t="n"/>
      <c r="O258" s="40" t="n"/>
      <c r="P258" s="41">
        <f>IF(D258="","",F258*O258)</f>
        <v/>
      </c>
      <c r="Q258" s="38" t="n"/>
      <c r="R258" s="38" t="n"/>
      <c r="S258" s="40" t="n"/>
      <c r="T258" s="41">
        <f>IF(D258="","",P258+Q258+R258-S258)</f>
        <v/>
      </c>
      <c r="U258" s="38" t="n"/>
      <c r="V258" s="38" t="n"/>
      <c r="W258" s="38" t="n"/>
      <c r="X258" s="38" t="n"/>
      <c r="Y258" s="38" t="n"/>
      <c r="Z258" s="38" t="n"/>
      <c r="AA258" s="38" t="n"/>
    </row>
    <row r="259" ht="21" customHeight="1">
      <c r="A259" s="38" t="n"/>
      <c r="B259" s="38" t="n"/>
      <c r="C259" s="38" t="n"/>
      <c r="D259" s="38" t="n"/>
      <c r="E259" s="38" t="n"/>
      <c r="F259" s="39" t="n"/>
      <c r="G259" s="38" t="n"/>
      <c r="H259" s="38" t="n"/>
      <c r="I259" s="38" t="n"/>
      <c r="J259" s="38" t="n"/>
      <c r="K259" s="38" t="n"/>
      <c r="L259" s="38" t="n"/>
      <c r="M259" s="38" t="n"/>
      <c r="N259" s="38" t="n"/>
      <c r="O259" s="40" t="n"/>
      <c r="P259" s="41">
        <f>IF(D259="","",F259*O259)</f>
        <v/>
      </c>
      <c r="Q259" s="38" t="n"/>
      <c r="R259" s="38" t="n"/>
      <c r="S259" s="40" t="n"/>
      <c r="T259" s="41">
        <f>IF(D259="","",P259+Q259+R259-S259)</f>
        <v/>
      </c>
      <c r="U259" s="38" t="n"/>
      <c r="V259" s="38" t="n"/>
      <c r="W259" s="38" t="n"/>
      <c r="X259" s="38" t="n"/>
      <c r="Y259" s="38" t="n"/>
      <c r="Z259" s="38" t="n"/>
      <c r="AA259" s="38" t="n"/>
    </row>
    <row r="260" ht="21" customHeight="1">
      <c r="A260" s="38" t="n"/>
      <c r="B260" s="38" t="n"/>
      <c r="C260" s="38" t="n"/>
      <c r="D260" s="38" t="n"/>
      <c r="E260" s="38" t="n"/>
      <c r="F260" s="39" t="n"/>
      <c r="G260" s="38" t="n"/>
      <c r="H260" s="38" t="n"/>
      <c r="I260" s="38" t="n"/>
      <c r="J260" s="38" t="n"/>
      <c r="K260" s="38" t="n"/>
      <c r="L260" s="38" t="n"/>
      <c r="M260" s="38" t="n"/>
      <c r="N260" s="38" t="n"/>
      <c r="O260" s="40" t="n"/>
      <c r="P260" s="41">
        <f>IF(D260="","",F260*O260)</f>
        <v/>
      </c>
      <c r="Q260" s="38" t="n"/>
      <c r="R260" s="38" t="n"/>
      <c r="S260" s="40" t="n"/>
      <c r="T260" s="41">
        <f>IF(D260="","",P260+Q260+R260-S260)</f>
        <v/>
      </c>
      <c r="U260" s="38" t="n"/>
      <c r="V260" s="38" t="n"/>
      <c r="W260" s="38" t="n"/>
      <c r="X260" s="38" t="n"/>
      <c r="Y260" s="38" t="n"/>
      <c r="Z260" s="38" t="n"/>
      <c r="AA260" s="38" t="n"/>
    </row>
    <row r="261" ht="21" customHeight="1">
      <c r="A261" s="38" t="n"/>
      <c r="B261" s="38" t="n"/>
      <c r="C261" s="38" t="n"/>
      <c r="D261" s="38" t="n"/>
      <c r="E261" s="38" t="n"/>
      <c r="F261" s="39" t="n"/>
      <c r="G261" s="38" t="n"/>
      <c r="H261" s="38" t="n"/>
      <c r="I261" s="38" t="n"/>
      <c r="J261" s="38" t="n"/>
      <c r="K261" s="38" t="n"/>
      <c r="L261" s="38" t="n"/>
      <c r="M261" s="38" t="n"/>
      <c r="N261" s="38" t="n"/>
      <c r="O261" s="40" t="n"/>
      <c r="P261" s="41">
        <f>IF(D261="","",F261*O261)</f>
        <v/>
      </c>
      <c r="Q261" s="38" t="n"/>
      <c r="R261" s="38" t="n"/>
      <c r="S261" s="40" t="n"/>
      <c r="T261" s="41">
        <f>IF(D261="","",P261+Q261+R261-S261)</f>
        <v/>
      </c>
      <c r="U261" s="38" t="n"/>
      <c r="V261" s="38" t="n"/>
      <c r="W261" s="38" t="n"/>
      <c r="X261" s="38" t="n"/>
      <c r="Y261" s="38" t="n"/>
      <c r="Z261" s="38" t="n"/>
      <c r="AA261" s="38" t="n"/>
    </row>
    <row r="262" ht="21" customHeight="1">
      <c r="A262" s="38" t="n"/>
      <c r="B262" s="38" t="n"/>
      <c r="C262" s="38" t="n"/>
      <c r="D262" s="38" t="n"/>
      <c r="E262" s="38" t="n"/>
      <c r="F262" s="39" t="n"/>
      <c r="G262" s="38" t="n"/>
      <c r="H262" s="38" t="n"/>
      <c r="I262" s="38" t="n"/>
      <c r="J262" s="38" t="n"/>
      <c r="K262" s="38" t="n"/>
      <c r="L262" s="38" t="n"/>
      <c r="M262" s="38" t="n"/>
      <c r="N262" s="38" t="n"/>
      <c r="O262" s="40" t="n"/>
      <c r="P262" s="41">
        <f>IF(D262="","",F262*O262)</f>
        <v/>
      </c>
      <c r="Q262" s="38" t="n"/>
      <c r="R262" s="38" t="n"/>
      <c r="S262" s="40" t="n"/>
      <c r="T262" s="41">
        <f>IF(D262="","",P262+Q262+R262-S262)</f>
        <v/>
      </c>
      <c r="U262" s="38" t="n"/>
      <c r="V262" s="38" t="n"/>
      <c r="W262" s="38" t="n"/>
      <c r="X262" s="38" t="n"/>
      <c r="Y262" s="38" t="n"/>
      <c r="Z262" s="38" t="n"/>
      <c r="AA262" s="38" t="n"/>
    </row>
    <row r="263" ht="21" customHeight="1">
      <c r="A263" s="38" t="n"/>
      <c r="B263" s="38" t="n"/>
      <c r="C263" s="38" t="n"/>
      <c r="D263" s="38" t="n"/>
      <c r="E263" s="38" t="n"/>
      <c r="F263" s="39" t="n"/>
      <c r="G263" s="38" t="n"/>
      <c r="H263" s="38" t="n"/>
      <c r="I263" s="38" t="n"/>
      <c r="J263" s="38" t="n"/>
      <c r="K263" s="38" t="n"/>
      <c r="L263" s="38" t="n"/>
      <c r="M263" s="38" t="n"/>
      <c r="N263" s="38" t="n"/>
      <c r="O263" s="40" t="n"/>
      <c r="P263" s="41">
        <f>IF(D263="","",F263*O263)</f>
        <v/>
      </c>
      <c r="Q263" s="38" t="n"/>
      <c r="R263" s="38" t="n"/>
      <c r="S263" s="40" t="n"/>
      <c r="T263" s="41">
        <f>IF(D263="","",P263+Q263+R263-S263)</f>
        <v/>
      </c>
      <c r="U263" s="38" t="n"/>
      <c r="V263" s="38" t="n"/>
      <c r="W263" s="38" t="n"/>
      <c r="X263" s="38" t="n"/>
      <c r="Y263" s="38" t="n"/>
      <c r="Z263" s="38" t="n"/>
      <c r="AA263" s="38" t="n"/>
    </row>
    <row r="264" ht="21" customHeight="1">
      <c r="A264" s="38" t="n"/>
      <c r="B264" s="38" t="n"/>
      <c r="C264" s="38" t="n"/>
      <c r="D264" s="38" t="n"/>
      <c r="E264" s="38" t="n"/>
      <c r="F264" s="39" t="n"/>
      <c r="G264" s="38" t="n"/>
      <c r="H264" s="38" t="n"/>
      <c r="I264" s="38" t="n"/>
      <c r="J264" s="38" t="n"/>
      <c r="K264" s="38" t="n"/>
      <c r="L264" s="38" t="n"/>
      <c r="M264" s="38" t="n"/>
      <c r="N264" s="38" t="n"/>
      <c r="O264" s="40" t="n"/>
      <c r="P264" s="41">
        <f>IF(D264="","",F264*O264)</f>
        <v/>
      </c>
      <c r="Q264" s="38" t="n"/>
      <c r="R264" s="38" t="n"/>
      <c r="S264" s="40" t="n"/>
      <c r="T264" s="41">
        <f>IF(D264="","",P264+Q264+R264-S264)</f>
        <v/>
      </c>
      <c r="U264" s="38" t="n"/>
      <c r="V264" s="38" t="n"/>
      <c r="W264" s="38" t="n"/>
      <c r="X264" s="38" t="n"/>
      <c r="Y264" s="38" t="n"/>
      <c r="Z264" s="38" t="n"/>
      <c r="AA264" s="38" t="n"/>
    </row>
    <row r="265" ht="21" customHeight="1">
      <c r="A265" s="38" t="n"/>
      <c r="B265" s="38" t="n"/>
      <c r="C265" s="38" t="n"/>
      <c r="D265" s="38" t="n"/>
      <c r="E265" s="38" t="n"/>
      <c r="F265" s="39" t="n"/>
      <c r="G265" s="38" t="n"/>
      <c r="H265" s="38" t="n"/>
      <c r="I265" s="38" t="n"/>
      <c r="J265" s="38" t="n"/>
      <c r="K265" s="38" t="n"/>
      <c r="L265" s="38" t="n"/>
      <c r="M265" s="38" t="n"/>
      <c r="N265" s="38" t="n"/>
      <c r="O265" s="40" t="n"/>
      <c r="P265" s="41">
        <f>IF(D265="","",F265*O265)</f>
        <v/>
      </c>
      <c r="Q265" s="38" t="n"/>
      <c r="R265" s="38" t="n"/>
      <c r="S265" s="40" t="n"/>
      <c r="T265" s="41">
        <f>IF(D265="","",P265+Q265+R265-S265)</f>
        <v/>
      </c>
      <c r="U265" s="38" t="n"/>
      <c r="V265" s="38" t="n"/>
      <c r="W265" s="38" t="n"/>
      <c r="X265" s="38" t="n"/>
      <c r="Y265" s="38" t="n"/>
      <c r="Z265" s="38" t="n"/>
      <c r="AA265" s="38" t="n"/>
    </row>
    <row r="266" ht="21" customHeight="1">
      <c r="A266" s="38" t="n"/>
      <c r="B266" s="38" t="n"/>
      <c r="C266" s="38" t="n"/>
      <c r="D266" s="38" t="n"/>
      <c r="E266" s="38" t="n"/>
      <c r="F266" s="39" t="n"/>
      <c r="G266" s="38" t="n"/>
      <c r="H266" s="38" t="n"/>
      <c r="I266" s="38" t="n"/>
      <c r="J266" s="38" t="n"/>
      <c r="K266" s="38" t="n"/>
      <c r="L266" s="38" t="n"/>
      <c r="M266" s="38" t="n"/>
      <c r="N266" s="38" t="n"/>
      <c r="O266" s="40" t="n"/>
      <c r="P266" s="41">
        <f>IF(D266="","",F266*O266)</f>
        <v/>
      </c>
      <c r="Q266" s="38" t="n"/>
      <c r="R266" s="38" t="n"/>
      <c r="S266" s="40" t="n"/>
      <c r="T266" s="41">
        <f>IF(D266="","",P266+Q266+R266-S266)</f>
        <v/>
      </c>
      <c r="U266" s="38" t="n"/>
      <c r="V266" s="38" t="n"/>
      <c r="W266" s="38" t="n"/>
      <c r="X266" s="38" t="n"/>
      <c r="Y266" s="38" t="n"/>
      <c r="Z266" s="38" t="n"/>
      <c r="AA266" s="38" t="n"/>
    </row>
    <row r="267" ht="21" customHeight="1">
      <c r="A267" s="38" t="n"/>
      <c r="B267" s="38" t="n"/>
      <c r="C267" s="38" t="n"/>
      <c r="D267" s="38" t="n"/>
      <c r="E267" s="38" t="n"/>
      <c r="F267" s="39" t="n"/>
      <c r="G267" s="38" t="n"/>
      <c r="H267" s="38" t="n"/>
      <c r="I267" s="38" t="n"/>
      <c r="J267" s="38" t="n"/>
      <c r="K267" s="38" t="n"/>
      <c r="L267" s="38" t="n"/>
      <c r="M267" s="38" t="n"/>
      <c r="N267" s="38" t="n"/>
      <c r="O267" s="40" t="n"/>
      <c r="P267" s="41">
        <f>IF(D267="","",F267*O267)</f>
        <v/>
      </c>
      <c r="Q267" s="38" t="n"/>
      <c r="R267" s="38" t="n"/>
      <c r="S267" s="40" t="n"/>
      <c r="T267" s="41">
        <f>IF(D267="","",P267+Q267+R267-S267)</f>
        <v/>
      </c>
      <c r="U267" s="38" t="n"/>
      <c r="V267" s="38" t="n"/>
      <c r="W267" s="38" t="n"/>
      <c r="X267" s="38" t="n"/>
      <c r="Y267" s="38" t="n"/>
      <c r="Z267" s="38" t="n"/>
      <c r="AA267" s="38" t="n"/>
    </row>
    <row r="268" ht="21" customHeight="1">
      <c r="A268" s="38" t="n"/>
      <c r="B268" s="38" t="n"/>
      <c r="C268" s="38" t="n"/>
      <c r="D268" s="38" t="n"/>
      <c r="E268" s="38" t="n"/>
      <c r="F268" s="39" t="n"/>
      <c r="G268" s="38" t="n"/>
      <c r="H268" s="38" t="n"/>
      <c r="I268" s="38" t="n"/>
      <c r="J268" s="38" t="n"/>
      <c r="K268" s="38" t="n"/>
      <c r="L268" s="38" t="n"/>
      <c r="M268" s="38" t="n"/>
      <c r="N268" s="38" t="n"/>
      <c r="O268" s="40" t="n"/>
      <c r="P268" s="41">
        <f>IF(D268="","",F268*O268)</f>
        <v/>
      </c>
      <c r="Q268" s="38" t="n"/>
      <c r="R268" s="38" t="n"/>
      <c r="S268" s="40" t="n"/>
      <c r="T268" s="41">
        <f>IF(D268="","",P268+Q268+R268-S268)</f>
        <v/>
      </c>
      <c r="U268" s="38" t="n"/>
      <c r="V268" s="38" t="n"/>
      <c r="W268" s="38" t="n"/>
      <c r="X268" s="38" t="n"/>
      <c r="Y268" s="38" t="n"/>
      <c r="Z268" s="38" t="n"/>
      <c r="AA268" s="38" t="n"/>
    </row>
    <row r="269" ht="21" customHeight="1">
      <c r="A269" s="38" t="n"/>
      <c r="B269" s="38" t="n"/>
      <c r="C269" s="38" t="n"/>
      <c r="D269" s="38" t="n"/>
      <c r="E269" s="38" t="n"/>
      <c r="F269" s="39" t="n"/>
      <c r="G269" s="38" t="n"/>
      <c r="H269" s="38" t="n"/>
      <c r="I269" s="38" t="n"/>
      <c r="J269" s="38" t="n"/>
      <c r="K269" s="38" t="n"/>
      <c r="L269" s="38" t="n"/>
      <c r="M269" s="38" t="n"/>
      <c r="N269" s="38" t="n"/>
      <c r="O269" s="40" t="n"/>
      <c r="P269" s="41">
        <f>IF(D269="","",F269*O269)</f>
        <v/>
      </c>
      <c r="Q269" s="38" t="n"/>
      <c r="R269" s="38" t="n"/>
      <c r="S269" s="40" t="n"/>
      <c r="T269" s="41">
        <f>IF(D269="","",P269+Q269+R269-S269)</f>
        <v/>
      </c>
      <c r="U269" s="38" t="n"/>
      <c r="V269" s="38" t="n"/>
      <c r="W269" s="38" t="n"/>
      <c r="X269" s="38" t="n"/>
      <c r="Y269" s="38" t="n"/>
      <c r="Z269" s="38" t="n"/>
      <c r="AA269" s="38" t="n"/>
    </row>
    <row r="270" ht="21" customHeight="1">
      <c r="A270" s="38" t="n"/>
      <c r="B270" s="38" t="n"/>
      <c r="C270" s="38" t="n"/>
      <c r="D270" s="38" t="n"/>
      <c r="E270" s="38" t="n"/>
      <c r="F270" s="39" t="n"/>
      <c r="G270" s="38" t="n"/>
      <c r="H270" s="38" t="n"/>
      <c r="I270" s="38" t="n"/>
      <c r="J270" s="38" t="n"/>
      <c r="K270" s="38" t="n"/>
      <c r="L270" s="38" t="n"/>
      <c r="M270" s="38" t="n"/>
      <c r="N270" s="38" t="n"/>
      <c r="O270" s="40" t="n"/>
      <c r="P270" s="41">
        <f>IF(D270="","",F270*O270)</f>
        <v/>
      </c>
      <c r="Q270" s="38" t="n"/>
      <c r="R270" s="38" t="n"/>
      <c r="S270" s="40" t="n"/>
      <c r="T270" s="41">
        <f>IF(D270="","",P270+Q270+R270-S270)</f>
        <v/>
      </c>
      <c r="U270" s="38" t="n"/>
      <c r="V270" s="38" t="n"/>
      <c r="W270" s="38" t="n"/>
      <c r="X270" s="38" t="n"/>
      <c r="Y270" s="38" t="n"/>
      <c r="Z270" s="38" t="n"/>
      <c r="AA270" s="38" t="n"/>
    </row>
    <row r="271" ht="21" customHeight="1">
      <c r="A271" s="38" t="n"/>
      <c r="B271" s="38" t="n"/>
      <c r="C271" s="38" t="n"/>
      <c r="D271" s="38" t="n"/>
      <c r="E271" s="38" t="n"/>
      <c r="F271" s="39" t="n"/>
      <c r="G271" s="38" t="n"/>
      <c r="H271" s="38" t="n"/>
      <c r="I271" s="38" t="n"/>
      <c r="J271" s="38" t="n"/>
      <c r="K271" s="38" t="n"/>
      <c r="L271" s="38" t="n"/>
      <c r="M271" s="38" t="n"/>
      <c r="N271" s="38" t="n"/>
      <c r="O271" s="40" t="n"/>
      <c r="P271" s="41">
        <f>IF(D271="","",F271*O271)</f>
        <v/>
      </c>
      <c r="Q271" s="38" t="n"/>
      <c r="R271" s="38" t="n"/>
      <c r="S271" s="40" t="n"/>
      <c r="T271" s="41">
        <f>IF(D271="","",P271+Q271+R271-S271)</f>
        <v/>
      </c>
      <c r="U271" s="38" t="n"/>
      <c r="V271" s="38" t="n"/>
      <c r="W271" s="38" t="n"/>
      <c r="X271" s="38" t="n"/>
      <c r="Y271" s="38" t="n"/>
      <c r="Z271" s="38" t="n"/>
      <c r="AA271" s="38" t="n"/>
    </row>
    <row r="272" ht="21" customHeight="1">
      <c r="A272" s="38" t="n"/>
      <c r="B272" s="38" t="n"/>
      <c r="C272" s="38" t="n"/>
      <c r="D272" s="38" t="n"/>
      <c r="E272" s="38" t="n"/>
      <c r="F272" s="39" t="n"/>
      <c r="G272" s="38" t="n"/>
      <c r="H272" s="38" t="n"/>
      <c r="I272" s="38" t="n"/>
      <c r="J272" s="38" t="n"/>
      <c r="K272" s="38" t="n"/>
      <c r="L272" s="38" t="n"/>
      <c r="M272" s="38" t="n"/>
      <c r="N272" s="38" t="n"/>
      <c r="O272" s="40" t="n"/>
      <c r="P272" s="41">
        <f>IF(D272="","",F272*O272)</f>
        <v/>
      </c>
      <c r="Q272" s="38" t="n"/>
      <c r="R272" s="38" t="n"/>
      <c r="S272" s="40" t="n"/>
      <c r="T272" s="41">
        <f>IF(D272="","",P272+Q272+R272-S272)</f>
        <v/>
      </c>
      <c r="U272" s="38" t="n"/>
      <c r="V272" s="38" t="n"/>
      <c r="W272" s="38" t="n"/>
      <c r="X272" s="38" t="n"/>
      <c r="Y272" s="38" t="n"/>
      <c r="Z272" s="38" t="n"/>
      <c r="AA272" s="38" t="n"/>
    </row>
    <row r="273" ht="21" customHeight="1">
      <c r="A273" s="38" t="n"/>
      <c r="B273" s="38" t="n"/>
      <c r="C273" s="38" t="n"/>
      <c r="D273" s="38" t="n"/>
      <c r="E273" s="38" t="n"/>
      <c r="F273" s="39" t="n"/>
      <c r="G273" s="38" t="n"/>
      <c r="H273" s="38" t="n"/>
      <c r="I273" s="38" t="n"/>
      <c r="J273" s="38" t="n"/>
      <c r="K273" s="38" t="n"/>
      <c r="L273" s="38" t="n"/>
      <c r="M273" s="38" t="n"/>
      <c r="N273" s="38" t="n"/>
      <c r="O273" s="40" t="n"/>
      <c r="P273" s="41">
        <f>IF(D273="","",F273*O273)</f>
        <v/>
      </c>
      <c r="Q273" s="38" t="n"/>
      <c r="R273" s="38" t="n"/>
      <c r="S273" s="40" t="n"/>
      <c r="T273" s="41">
        <f>IF(D273="","",P273+Q273+R273-S273)</f>
        <v/>
      </c>
      <c r="U273" s="38" t="n"/>
      <c r="V273" s="38" t="n"/>
      <c r="W273" s="38" t="n"/>
      <c r="X273" s="38" t="n"/>
      <c r="Y273" s="38" t="n"/>
      <c r="Z273" s="38" t="n"/>
      <c r="AA273" s="38" t="n"/>
    </row>
    <row r="274" ht="21" customHeight="1">
      <c r="A274" s="38" t="n"/>
      <c r="B274" s="38" t="n"/>
      <c r="C274" s="38" t="n"/>
      <c r="D274" s="38" t="n"/>
      <c r="E274" s="38" t="n"/>
      <c r="F274" s="39" t="n"/>
      <c r="G274" s="38" t="n"/>
      <c r="H274" s="38" t="n"/>
      <c r="I274" s="38" t="n"/>
      <c r="J274" s="38" t="n"/>
      <c r="K274" s="38" t="n"/>
      <c r="L274" s="38" t="n"/>
      <c r="M274" s="38" t="n"/>
      <c r="N274" s="38" t="n"/>
      <c r="O274" s="40" t="n"/>
      <c r="P274" s="41">
        <f>IF(D274="","",F274*O274)</f>
        <v/>
      </c>
      <c r="Q274" s="38" t="n"/>
      <c r="R274" s="38" t="n"/>
      <c r="S274" s="40" t="n"/>
      <c r="T274" s="41">
        <f>IF(D274="","",P274+Q274+R274-S274)</f>
        <v/>
      </c>
      <c r="U274" s="38" t="n"/>
      <c r="V274" s="38" t="n"/>
      <c r="W274" s="38" t="n"/>
      <c r="X274" s="38" t="n"/>
      <c r="Y274" s="38" t="n"/>
      <c r="Z274" s="38" t="n"/>
      <c r="AA274" s="38" t="n"/>
    </row>
    <row r="275" ht="21" customHeight="1">
      <c r="A275" s="38" t="n"/>
      <c r="B275" s="38" t="n"/>
      <c r="C275" s="38" t="n"/>
      <c r="D275" s="38" t="n"/>
      <c r="E275" s="38" t="n"/>
      <c r="F275" s="39" t="n"/>
      <c r="G275" s="38" t="n"/>
      <c r="H275" s="38" t="n"/>
      <c r="I275" s="38" t="n"/>
      <c r="J275" s="38" t="n"/>
      <c r="K275" s="38" t="n"/>
      <c r="L275" s="38" t="n"/>
      <c r="M275" s="38" t="n"/>
      <c r="N275" s="38" t="n"/>
      <c r="O275" s="40" t="n"/>
      <c r="P275" s="41">
        <f>IF(D275="","",F275*O275)</f>
        <v/>
      </c>
      <c r="Q275" s="38" t="n"/>
      <c r="R275" s="38" t="n"/>
      <c r="S275" s="40" t="n"/>
      <c r="T275" s="41">
        <f>IF(D275="","",P275+Q275+R275-S275)</f>
        <v/>
      </c>
      <c r="U275" s="38" t="n"/>
      <c r="V275" s="38" t="n"/>
      <c r="W275" s="38" t="n"/>
      <c r="X275" s="38" t="n"/>
      <c r="Y275" s="38" t="n"/>
      <c r="Z275" s="38" t="n"/>
      <c r="AA275" s="38" t="n"/>
    </row>
    <row r="276" ht="21" customHeight="1">
      <c r="A276" s="38" t="n"/>
      <c r="B276" s="38" t="n"/>
      <c r="C276" s="38" t="n"/>
      <c r="D276" s="38" t="n"/>
      <c r="E276" s="38" t="n"/>
      <c r="F276" s="39" t="n"/>
      <c r="G276" s="38" t="n"/>
      <c r="H276" s="38" t="n"/>
      <c r="I276" s="38" t="n"/>
      <c r="J276" s="38" t="n"/>
      <c r="K276" s="38" t="n"/>
      <c r="L276" s="38" t="n"/>
      <c r="M276" s="38" t="n"/>
      <c r="N276" s="38" t="n"/>
      <c r="O276" s="40" t="n"/>
      <c r="P276" s="41">
        <f>IF(D276="","",F276*O276)</f>
        <v/>
      </c>
      <c r="Q276" s="38" t="n"/>
      <c r="R276" s="38" t="n"/>
      <c r="S276" s="40" t="n"/>
      <c r="T276" s="41">
        <f>IF(D276="","",P276+Q276+R276-S276)</f>
        <v/>
      </c>
      <c r="U276" s="38" t="n"/>
      <c r="V276" s="38" t="n"/>
      <c r="W276" s="38" t="n"/>
      <c r="X276" s="38" t="n"/>
      <c r="Y276" s="38" t="n"/>
      <c r="Z276" s="38" t="n"/>
      <c r="AA276" s="38" t="n"/>
    </row>
    <row r="277" ht="21" customHeight="1">
      <c r="A277" s="38" t="n"/>
      <c r="B277" s="38" t="n"/>
      <c r="C277" s="38" t="n"/>
      <c r="D277" s="38" t="n"/>
      <c r="E277" s="38" t="n"/>
      <c r="F277" s="39" t="n"/>
      <c r="G277" s="38" t="n"/>
      <c r="H277" s="38" t="n"/>
      <c r="I277" s="38" t="n"/>
      <c r="J277" s="38" t="n"/>
      <c r="K277" s="38" t="n"/>
      <c r="L277" s="38" t="n"/>
      <c r="M277" s="38" t="n"/>
      <c r="N277" s="38" t="n"/>
      <c r="O277" s="40" t="n"/>
      <c r="P277" s="41">
        <f>IF(D277="","",F277*O277)</f>
        <v/>
      </c>
      <c r="Q277" s="38" t="n"/>
      <c r="R277" s="38" t="n"/>
      <c r="S277" s="40" t="n"/>
      <c r="T277" s="41">
        <f>IF(D277="","",P277+Q277+R277-S277)</f>
        <v/>
      </c>
      <c r="U277" s="38" t="n"/>
      <c r="V277" s="38" t="n"/>
      <c r="W277" s="38" t="n"/>
      <c r="X277" s="38" t="n"/>
      <c r="Y277" s="38" t="n"/>
      <c r="Z277" s="38" t="n"/>
      <c r="AA277" s="38" t="n"/>
    </row>
    <row r="278" ht="21" customHeight="1">
      <c r="A278" s="38" t="n"/>
      <c r="B278" s="38" t="n"/>
      <c r="C278" s="38" t="n"/>
      <c r="D278" s="38" t="n"/>
      <c r="E278" s="38" t="n"/>
      <c r="F278" s="39" t="n"/>
      <c r="G278" s="38" t="n"/>
      <c r="H278" s="38" t="n"/>
      <c r="I278" s="38" t="n"/>
      <c r="J278" s="38" t="n"/>
      <c r="K278" s="38" t="n"/>
      <c r="L278" s="38" t="n"/>
      <c r="M278" s="38" t="n"/>
      <c r="N278" s="38" t="n"/>
      <c r="O278" s="40" t="n"/>
      <c r="P278" s="41">
        <f>IF(D278="","",F278*O278)</f>
        <v/>
      </c>
      <c r="Q278" s="38" t="n"/>
      <c r="R278" s="38" t="n"/>
      <c r="S278" s="40" t="n"/>
      <c r="T278" s="41">
        <f>IF(D278="","",P278+Q278+R278-S278)</f>
        <v/>
      </c>
      <c r="U278" s="38" t="n"/>
      <c r="V278" s="38" t="n"/>
      <c r="W278" s="38" t="n"/>
      <c r="X278" s="38" t="n"/>
      <c r="Y278" s="38" t="n"/>
      <c r="Z278" s="38" t="n"/>
      <c r="AA278" s="38" t="n"/>
    </row>
    <row r="279" ht="21" customHeight="1">
      <c r="A279" s="38" t="n"/>
      <c r="B279" s="38" t="n"/>
      <c r="C279" s="38" t="n"/>
      <c r="D279" s="38" t="n"/>
      <c r="E279" s="38" t="n"/>
      <c r="F279" s="39" t="n"/>
      <c r="G279" s="38" t="n"/>
      <c r="H279" s="38" t="n"/>
      <c r="I279" s="38" t="n"/>
      <c r="J279" s="38" t="n"/>
      <c r="K279" s="38" t="n"/>
      <c r="L279" s="38" t="n"/>
      <c r="M279" s="38" t="n"/>
      <c r="N279" s="38" t="n"/>
      <c r="O279" s="40" t="n"/>
      <c r="P279" s="41">
        <f>IF(D279="","",F279*O279)</f>
        <v/>
      </c>
      <c r="Q279" s="38" t="n"/>
      <c r="R279" s="38" t="n"/>
      <c r="S279" s="40" t="n"/>
      <c r="T279" s="41">
        <f>IF(D279="","",P279+Q279+R279-S279)</f>
        <v/>
      </c>
      <c r="U279" s="38" t="n"/>
      <c r="V279" s="38" t="n"/>
      <c r="W279" s="38" t="n"/>
      <c r="X279" s="38" t="n"/>
      <c r="Y279" s="38" t="n"/>
      <c r="Z279" s="38" t="n"/>
      <c r="AA279" s="38" t="n"/>
    </row>
    <row r="280" ht="21" customHeight="1">
      <c r="A280" s="38" t="n"/>
      <c r="B280" s="38" t="n"/>
      <c r="C280" s="38" t="n"/>
      <c r="D280" s="38" t="n"/>
      <c r="E280" s="38" t="n"/>
      <c r="F280" s="39" t="n"/>
      <c r="G280" s="38" t="n"/>
      <c r="H280" s="38" t="n"/>
      <c r="I280" s="38" t="n"/>
      <c r="J280" s="38" t="n"/>
      <c r="K280" s="38" t="n"/>
      <c r="L280" s="38" t="n"/>
      <c r="M280" s="38" t="n"/>
      <c r="N280" s="38" t="n"/>
      <c r="O280" s="40" t="n"/>
      <c r="P280" s="41">
        <f>IF(D280="","",F280*O280)</f>
        <v/>
      </c>
      <c r="Q280" s="38" t="n"/>
      <c r="R280" s="38" t="n"/>
      <c r="S280" s="40" t="n"/>
      <c r="T280" s="41">
        <f>IF(D280="","",P280+Q280+R280-S280)</f>
        <v/>
      </c>
      <c r="U280" s="38" t="n"/>
      <c r="V280" s="38" t="n"/>
      <c r="W280" s="38" t="n"/>
      <c r="X280" s="38" t="n"/>
      <c r="Y280" s="38" t="n"/>
      <c r="Z280" s="38" t="n"/>
      <c r="AA280" s="38" t="n"/>
    </row>
    <row r="281" ht="21" customHeight="1">
      <c r="A281" s="38" t="n"/>
      <c r="B281" s="38" t="n"/>
      <c r="C281" s="38" t="n"/>
      <c r="D281" s="38" t="n"/>
      <c r="E281" s="38" t="n"/>
      <c r="F281" s="39" t="n"/>
      <c r="G281" s="38" t="n"/>
      <c r="H281" s="38" t="n"/>
      <c r="I281" s="38" t="n"/>
      <c r="J281" s="38" t="n"/>
      <c r="K281" s="38" t="n"/>
      <c r="L281" s="38" t="n"/>
      <c r="M281" s="38" t="n"/>
      <c r="N281" s="38" t="n"/>
      <c r="O281" s="40" t="n"/>
      <c r="P281" s="41">
        <f>IF(D281="","",F281*O281)</f>
        <v/>
      </c>
      <c r="Q281" s="38" t="n"/>
      <c r="R281" s="38" t="n"/>
      <c r="S281" s="40" t="n"/>
      <c r="T281" s="41">
        <f>IF(D281="","",P281+Q281+R281-S281)</f>
        <v/>
      </c>
      <c r="U281" s="38" t="n"/>
      <c r="V281" s="38" t="n"/>
      <c r="W281" s="38" t="n"/>
      <c r="X281" s="38" t="n"/>
      <c r="Y281" s="38" t="n"/>
      <c r="Z281" s="38" t="n"/>
      <c r="AA281" s="38" t="n"/>
    </row>
    <row r="282" ht="21" customHeight="1">
      <c r="A282" s="38" t="n"/>
      <c r="B282" s="38" t="n"/>
      <c r="C282" s="38" t="n"/>
      <c r="D282" s="38" t="n"/>
      <c r="E282" s="38" t="n"/>
      <c r="F282" s="39" t="n"/>
      <c r="G282" s="38" t="n"/>
      <c r="H282" s="38" t="n"/>
      <c r="I282" s="38" t="n"/>
      <c r="J282" s="38" t="n"/>
      <c r="K282" s="38" t="n"/>
      <c r="L282" s="38" t="n"/>
      <c r="M282" s="38" t="n"/>
      <c r="N282" s="38" t="n"/>
      <c r="O282" s="40" t="n"/>
      <c r="P282" s="41">
        <f>IF(D282="","",F282*O282)</f>
        <v/>
      </c>
      <c r="Q282" s="38" t="n"/>
      <c r="R282" s="38" t="n"/>
      <c r="S282" s="40" t="n"/>
      <c r="T282" s="41">
        <f>IF(D282="","",P282+Q282+R282-S282)</f>
        <v/>
      </c>
      <c r="U282" s="38" t="n"/>
      <c r="V282" s="38" t="n"/>
      <c r="W282" s="38" t="n"/>
      <c r="X282" s="38" t="n"/>
      <c r="Y282" s="38" t="n"/>
      <c r="Z282" s="38" t="n"/>
      <c r="AA282" s="38" t="n"/>
    </row>
    <row r="283" ht="21" customHeight="1">
      <c r="A283" s="38" t="n"/>
      <c r="B283" s="38" t="n"/>
      <c r="C283" s="38" t="n"/>
      <c r="D283" s="38" t="n"/>
      <c r="E283" s="38" t="n"/>
      <c r="F283" s="39" t="n"/>
      <c r="G283" s="38" t="n"/>
      <c r="H283" s="38" t="n"/>
      <c r="I283" s="38" t="n"/>
      <c r="J283" s="38" t="n"/>
      <c r="K283" s="38" t="n"/>
      <c r="L283" s="38" t="n"/>
      <c r="M283" s="38" t="n"/>
      <c r="N283" s="38" t="n"/>
      <c r="O283" s="40" t="n"/>
      <c r="P283" s="41">
        <f>IF(D283="","",F283*O283)</f>
        <v/>
      </c>
      <c r="Q283" s="38" t="n"/>
      <c r="R283" s="38" t="n"/>
      <c r="S283" s="40" t="n"/>
      <c r="T283" s="41">
        <f>IF(D283="","",P283+Q283+R283-S283)</f>
        <v/>
      </c>
      <c r="U283" s="38" t="n"/>
      <c r="V283" s="38" t="n"/>
      <c r="W283" s="38" t="n"/>
      <c r="X283" s="38" t="n"/>
      <c r="Y283" s="38" t="n"/>
      <c r="Z283" s="38" t="n"/>
      <c r="AA283" s="38" t="n"/>
    </row>
    <row r="284" ht="21" customHeight="1">
      <c r="A284" s="38" t="n"/>
      <c r="B284" s="38" t="n"/>
      <c r="C284" s="38" t="n"/>
      <c r="D284" s="38" t="n"/>
      <c r="E284" s="38" t="n"/>
      <c r="F284" s="39" t="n"/>
      <c r="G284" s="38" t="n"/>
      <c r="H284" s="38" t="n"/>
      <c r="I284" s="38" t="n"/>
      <c r="J284" s="38" t="n"/>
      <c r="K284" s="38" t="n"/>
      <c r="L284" s="38" t="n"/>
      <c r="M284" s="38" t="n"/>
      <c r="N284" s="38" t="n"/>
      <c r="O284" s="40" t="n"/>
      <c r="P284" s="41">
        <f>IF(D284="","",F284*O284)</f>
        <v/>
      </c>
      <c r="Q284" s="38" t="n"/>
      <c r="R284" s="38" t="n"/>
      <c r="S284" s="40" t="n"/>
      <c r="T284" s="41">
        <f>IF(D284="","",P284+Q284+R284-S284)</f>
        <v/>
      </c>
      <c r="U284" s="38" t="n"/>
      <c r="V284" s="38" t="n"/>
      <c r="W284" s="38" t="n"/>
      <c r="X284" s="38" t="n"/>
      <c r="Y284" s="38" t="n"/>
      <c r="Z284" s="38" t="n"/>
      <c r="AA284" s="38" t="n"/>
    </row>
    <row r="285" ht="21" customHeight="1">
      <c r="A285" s="38" t="n"/>
      <c r="B285" s="38" t="n"/>
      <c r="C285" s="38" t="n"/>
      <c r="D285" s="38" t="n"/>
      <c r="E285" s="38" t="n"/>
      <c r="F285" s="39" t="n"/>
      <c r="G285" s="38" t="n"/>
      <c r="H285" s="38" t="n"/>
      <c r="I285" s="38" t="n"/>
      <c r="J285" s="38" t="n"/>
      <c r="K285" s="38" t="n"/>
      <c r="L285" s="38" t="n"/>
      <c r="M285" s="38" t="n"/>
      <c r="N285" s="38" t="n"/>
      <c r="O285" s="40" t="n"/>
      <c r="P285" s="41">
        <f>IF(D285="","",F285*O285)</f>
        <v/>
      </c>
      <c r="Q285" s="38" t="n"/>
      <c r="R285" s="38" t="n"/>
      <c r="S285" s="40" t="n"/>
      <c r="T285" s="41">
        <f>IF(D285="","",P285+Q285+R285-S285)</f>
        <v/>
      </c>
      <c r="U285" s="38" t="n"/>
      <c r="V285" s="38" t="n"/>
      <c r="W285" s="38" t="n"/>
      <c r="X285" s="38" t="n"/>
      <c r="Y285" s="38" t="n"/>
      <c r="Z285" s="38" t="n"/>
      <c r="AA285" s="38" t="n"/>
    </row>
    <row r="286" ht="21" customHeight="1">
      <c r="A286" s="38" t="n"/>
      <c r="B286" s="38" t="n"/>
      <c r="C286" s="38" t="n"/>
      <c r="D286" s="38" t="n"/>
      <c r="E286" s="38" t="n"/>
      <c r="F286" s="39" t="n"/>
      <c r="G286" s="38" t="n"/>
      <c r="H286" s="38" t="n"/>
      <c r="I286" s="38" t="n"/>
      <c r="J286" s="38" t="n"/>
      <c r="K286" s="38" t="n"/>
      <c r="L286" s="38" t="n"/>
      <c r="M286" s="38" t="n"/>
      <c r="N286" s="38" t="n"/>
      <c r="O286" s="40" t="n"/>
      <c r="P286" s="41">
        <f>IF(D286="","",F286*O286)</f>
        <v/>
      </c>
      <c r="Q286" s="38" t="n"/>
      <c r="R286" s="38" t="n"/>
      <c r="S286" s="40" t="n"/>
      <c r="T286" s="41">
        <f>IF(D286="","",P286+Q286+R286-S286)</f>
        <v/>
      </c>
      <c r="U286" s="38" t="n"/>
      <c r="V286" s="38" t="n"/>
      <c r="W286" s="38" t="n"/>
      <c r="X286" s="38" t="n"/>
      <c r="Y286" s="38" t="n"/>
      <c r="Z286" s="38" t="n"/>
      <c r="AA286" s="38" t="n"/>
    </row>
    <row r="287" ht="21" customHeight="1">
      <c r="A287" s="38" t="n"/>
      <c r="B287" s="38" t="n"/>
      <c r="C287" s="38" t="n"/>
      <c r="D287" s="38" t="n"/>
      <c r="E287" s="38" t="n"/>
      <c r="F287" s="39" t="n"/>
      <c r="G287" s="38" t="n"/>
      <c r="H287" s="38" t="n"/>
      <c r="I287" s="38" t="n"/>
      <c r="J287" s="38" t="n"/>
      <c r="K287" s="38" t="n"/>
      <c r="L287" s="38" t="n"/>
      <c r="M287" s="38" t="n"/>
      <c r="N287" s="38" t="n"/>
      <c r="O287" s="40" t="n"/>
      <c r="P287" s="41">
        <f>IF(D287="","",F287*O287)</f>
        <v/>
      </c>
      <c r="Q287" s="38" t="n"/>
      <c r="R287" s="38" t="n"/>
      <c r="S287" s="40" t="n"/>
      <c r="T287" s="41">
        <f>IF(D287="","",P287+Q287+R287-S287)</f>
        <v/>
      </c>
      <c r="U287" s="38" t="n"/>
      <c r="V287" s="38" t="n"/>
      <c r="W287" s="38" t="n"/>
      <c r="X287" s="38" t="n"/>
      <c r="Y287" s="38" t="n"/>
      <c r="Z287" s="38" t="n"/>
      <c r="AA287" s="38" t="n"/>
    </row>
    <row r="288" ht="21" customHeight="1">
      <c r="A288" s="38" t="n"/>
      <c r="B288" s="38" t="n"/>
      <c r="C288" s="38" t="n"/>
      <c r="D288" s="38" t="n"/>
      <c r="E288" s="38" t="n"/>
      <c r="F288" s="39" t="n"/>
      <c r="G288" s="38" t="n"/>
      <c r="H288" s="38" t="n"/>
      <c r="I288" s="38" t="n"/>
      <c r="J288" s="38" t="n"/>
      <c r="K288" s="38" t="n"/>
      <c r="L288" s="38" t="n"/>
      <c r="M288" s="38" t="n"/>
      <c r="N288" s="38" t="n"/>
      <c r="O288" s="40" t="n"/>
      <c r="P288" s="41">
        <f>IF(D288="","",F288*O288)</f>
        <v/>
      </c>
      <c r="Q288" s="38" t="n"/>
      <c r="R288" s="38" t="n"/>
      <c r="S288" s="40" t="n"/>
      <c r="T288" s="41">
        <f>IF(D288="","",P288+Q288+R288-S288)</f>
        <v/>
      </c>
      <c r="U288" s="38" t="n"/>
      <c r="V288" s="38" t="n"/>
      <c r="W288" s="38" t="n"/>
      <c r="X288" s="38" t="n"/>
      <c r="Y288" s="38" t="n"/>
      <c r="Z288" s="38" t="n"/>
      <c r="AA288" s="38" t="n"/>
    </row>
    <row r="289" ht="21" customHeight="1">
      <c r="A289" s="38" t="n"/>
      <c r="B289" s="38" t="n"/>
      <c r="C289" s="38" t="n"/>
      <c r="D289" s="38" t="n"/>
      <c r="E289" s="38" t="n"/>
      <c r="F289" s="39" t="n"/>
      <c r="G289" s="38" t="n"/>
      <c r="H289" s="38" t="n"/>
      <c r="I289" s="38" t="n"/>
      <c r="J289" s="38" t="n"/>
      <c r="K289" s="38" t="n"/>
      <c r="L289" s="38" t="n"/>
      <c r="M289" s="38" t="n"/>
      <c r="N289" s="38" t="n"/>
      <c r="O289" s="40" t="n"/>
      <c r="P289" s="41">
        <f>IF(D289="","",F289*O289)</f>
        <v/>
      </c>
      <c r="Q289" s="38" t="n"/>
      <c r="R289" s="38" t="n"/>
      <c r="S289" s="40" t="n"/>
      <c r="T289" s="41">
        <f>IF(D289="","",P289+Q289+R289-S289)</f>
        <v/>
      </c>
      <c r="U289" s="38" t="n"/>
      <c r="V289" s="38" t="n"/>
      <c r="W289" s="38" t="n"/>
      <c r="X289" s="38" t="n"/>
      <c r="Y289" s="38" t="n"/>
      <c r="Z289" s="38" t="n"/>
      <c r="AA289" s="38" t="n"/>
    </row>
    <row r="290" ht="21" customHeight="1">
      <c r="A290" s="38" t="n"/>
      <c r="B290" s="38" t="n"/>
      <c r="C290" s="38" t="n"/>
      <c r="D290" s="38" t="n"/>
      <c r="E290" s="38" t="n"/>
      <c r="F290" s="39" t="n"/>
      <c r="G290" s="38" t="n"/>
      <c r="H290" s="38" t="n"/>
      <c r="I290" s="38" t="n"/>
      <c r="J290" s="38" t="n"/>
      <c r="K290" s="38" t="n"/>
      <c r="L290" s="38" t="n"/>
      <c r="M290" s="38" t="n"/>
      <c r="N290" s="38" t="n"/>
      <c r="O290" s="40" t="n"/>
      <c r="P290" s="41">
        <f>IF(D290="","",F290*O290)</f>
        <v/>
      </c>
      <c r="Q290" s="38" t="n"/>
      <c r="R290" s="38" t="n"/>
      <c r="S290" s="40" t="n"/>
      <c r="T290" s="41">
        <f>IF(D290="","",P290+Q290+R290-S290)</f>
        <v/>
      </c>
      <c r="U290" s="38" t="n"/>
      <c r="V290" s="38" t="n"/>
      <c r="W290" s="38" t="n"/>
      <c r="X290" s="38" t="n"/>
      <c r="Y290" s="38" t="n"/>
      <c r="Z290" s="38" t="n"/>
      <c r="AA290" s="38" t="n"/>
    </row>
    <row r="291" ht="21" customHeight="1">
      <c r="A291" s="38" t="n"/>
      <c r="B291" s="38" t="n"/>
      <c r="C291" s="38" t="n"/>
      <c r="D291" s="38" t="n"/>
      <c r="E291" s="38" t="n"/>
      <c r="F291" s="39" t="n"/>
      <c r="G291" s="38" t="n"/>
      <c r="H291" s="38" t="n"/>
      <c r="I291" s="38" t="n"/>
      <c r="J291" s="38" t="n"/>
      <c r="K291" s="38" t="n"/>
      <c r="L291" s="38" t="n"/>
      <c r="M291" s="38" t="n"/>
      <c r="N291" s="38" t="n"/>
      <c r="O291" s="40" t="n"/>
      <c r="P291" s="41">
        <f>IF(D291="","",F291*O291)</f>
        <v/>
      </c>
      <c r="Q291" s="38" t="n"/>
      <c r="R291" s="38" t="n"/>
      <c r="S291" s="40" t="n"/>
      <c r="T291" s="41">
        <f>IF(D291="","",P291+Q291+R291-S291)</f>
        <v/>
      </c>
      <c r="U291" s="38" t="n"/>
      <c r="V291" s="38" t="n"/>
      <c r="W291" s="38" t="n"/>
      <c r="X291" s="38" t="n"/>
      <c r="Y291" s="38" t="n"/>
      <c r="Z291" s="38" t="n"/>
      <c r="AA291" s="38" t="n"/>
    </row>
    <row r="292" ht="21" customHeight="1">
      <c r="A292" s="38" t="n"/>
      <c r="B292" s="38" t="n"/>
      <c r="C292" s="38" t="n"/>
      <c r="D292" s="38" t="n"/>
      <c r="E292" s="38" t="n"/>
      <c r="F292" s="39" t="n"/>
      <c r="G292" s="38" t="n"/>
      <c r="H292" s="38" t="n"/>
      <c r="I292" s="38" t="n"/>
      <c r="J292" s="38" t="n"/>
      <c r="K292" s="38" t="n"/>
      <c r="L292" s="38" t="n"/>
      <c r="M292" s="38" t="n"/>
      <c r="N292" s="38" t="n"/>
      <c r="O292" s="40" t="n"/>
      <c r="P292" s="41">
        <f>IF(D292="","",F292*O292)</f>
        <v/>
      </c>
      <c r="Q292" s="38" t="n"/>
      <c r="R292" s="38" t="n"/>
      <c r="S292" s="40" t="n"/>
      <c r="T292" s="41">
        <f>IF(D292="","",P292+Q292+R292-S292)</f>
        <v/>
      </c>
      <c r="U292" s="38" t="n"/>
      <c r="V292" s="38" t="n"/>
      <c r="W292" s="38" t="n"/>
      <c r="X292" s="38" t="n"/>
      <c r="Y292" s="38" t="n"/>
      <c r="Z292" s="38" t="n"/>
      <c r="AA292" s="38" t="n"/>
    </row>
    <row r="293" ht="21" customHeight="1">
      <c r="A293" s="38" t="n"/>
      <c r="B293" s="38" t="n"/>
      <c r="C293" s="38" t="n"/>
      <c r="D293" s="38" t="n"/>
      <c r="E293" s="38" t="n"/>
      <c r="F293" s="39" t="n"/>
      <c r="G293" s="38" t="n"/>
      <c r="H293" s="38" t="n"/>
      <c r="I293" s="38" t="n"/>
      <c r="J293" s="38" t="n"/>
      <c r="K293" s="38" t="n"/>
      <c r="L293" s="38" t="n"/>
      <c r="M293" s="38" t="n"/>
      <c r="N293" s="38" t="n"/>
      <c r="O293" s="40" t="n"/>
      <c r="P293" s="41">
        <f>IF(D293="","",F293*O293)</f>
        <v/>
      </c>
      <c r="Q293" s="38" t="n"/>
      <c r="R293" s="38" t="n"/>
      <c r="S293" s="40" t="n"/>
      <c r="T293" s="41">
        <f>IF(D293="","",P293+Q293+R293-S293)</f>
        <v/>
      </c>
      <c r="U293" s="38" t="n"/>
      <c r="V293" s="38" t="n"/>
      <c r="W293" s="38" t="n"/>
      <c r="X293" s="38" t="n"/>
      <c r="Y293" s="38" t="n"/>
      <c r="Z293" s="38" t="n"/>
      <c r="AA293" s="38" t="n"/>
    </row>
    <row r="294" ht="21" customHeight="1">
      <c r="A294" s="38" t="n"/>
      <c r="B294" s="38" t="n"/>
      <c r="C294" s="38" t="n"/>
      <c r="D294" s="38" t="n"/>
      <c r="E294" s="38" t="n"/>
      <c r="F294" s="39" t="n"/>
      <c r="G294" s="38" t="n"/>
      <c r="H294" s="38" t="n"/>
      <c r="I294" s="38" t="n"/>
      <c r="J294" s="38" t="n"/>
      <c r="K294" s="38" t="n"/>
      <c r="L294" s="38" t="n"/>
      <c r="M294" s="38" t="n"/>
      <c r="N294" s="38" t="n"/>
      <c r="O294" s="40" t="n"/>
      <c r="P294" s="41">
        <f>IF(D294="","",F294*O294)</f>
        <v/>
      </c>
      <c r="Q294" s="38" t="n"/>
      <c r="R294" s="38" t="n"/>
      <c r="S294" s="40" t="n"/>
      <c r="T294" s="41">
        <f>IF(D294="","",P294+Q294+R294-S294)</f>
        <v/>
      </c>
      <c r="U294" s="38" t="n"/>
      <c r="V294" s="38" t="n"/>
      <c r="W294" s="38" t="n"/>
      <c r="X294" s="38" t="n"/>
      <c r="Y294" s="38" t="n"/>
      <c r="Z294" s="38" t="n"/>
      <c r="AA294" s="38" t="n"/>
    </row>
    <row r="295" ht="21" customHeight="1">
      <c r="A295" s="38" t="n"/>
      <c r="B295" s="38" t="n"/>
      <c r="C295" s="38" t="n"/>
      <c r="D295" s="38" t="n"/>
      <c r="E295" s="38" t="n"/>
      <c r="F295" s="39" t="n"/>
      <c r="G295" s="38" t="n"/>
      <c r="H295" s="38" t="n"/>
      <c r="I295" s="38" t="n"/>
      <c r="J295" s="38" t="n"/>
      <c r="K295" s="38" t="n"/>
      <c r="L295" s="38" t="n"/>
      <c r="M295" s="38" t="n"/>
      <c r="N295" s="38" t="n"/>
      <c r="O295" s="40" t="n"/>
      <c r="P295" s="41">
        <f>IF(D295="","",F295*O295)</f>
        <v/>
      </c>
      <c r="Q295" s="38" t="n"/>
      <c r="R295" s="38" t="n"/>
      <c r="S295" s="40" t="n"/>
      <c r="T295" s="41">
        <f>IF(D295="","",P295+Q295+R295-S295)</f>
        <v/>
      </c>
      <c r="U295" s="38" t="n"/>
      <c r="V295" s="38" t="n"/>
      <c r="W295" s="38" t="n"/>
      <c r="X295" s="38" t="n"/>
      <c r="Y295" s="38" t="n"/>
      <c r="Z295" s="38" t="n"/>
      <c r="AA295" s="38" t="n"/>
    </row>
    <row r="296" ht="21" customHeight="1">
      <c r="A296" s="38" t="n"/>
      <c r="B296" s="38" t="n"/>
      <c r="C296" s="38" t="n"/>
      <c r="D296" s="38" t="n"/>
      <c r="E296" s="38" t="n"/>
      <c r="F296" s="39" t="n"/>
      <c r="G296" s="38" t="n"/>
      <c r="H296" s="38" t="n"/>
      <c r="I296" s="38" t="n"/>
      <c r="J296" s="38" t="n"/>
      <c r="K296" s="38" t="n"/>
      <c r="L296" s="38" t="n"/>
      <c r="M296" s="38" t="n"/>
      <c r="N296" s="38" t="n"/>
      <c r="O296" s="40" t="n"/>
      <c r="P296" s="41">
        <f>IF(D296="","",F296*O296)</f>
        <v/>
      </c>
      <c r="Q296" s="38" t="n"/>
      <c r="R296" s="38" t="n"/>
      <c r="S296" s="40" t="n"/>
      <c r="T296" s="41">
        <f>IF(D296="","",P296+Q296+R296-S296)</f>
        <v/>
      </c>
      <c r="U296" s="38" t="n"/>
      <c r="V296" s="38" t="n"/>
      <c r="W296" s="38" t="n"/>
      <c r="X296" s="38" t="n"/>
      <c r="Y296" s="38" t="n"/>
      <c r="Z296" s="38" t="n"/>
      <c r="AA296" s="38" t="n"/>
    </row>
    <row r="297" ht="21" customHeight="1">
      <c r="A297" s="38" t="n"/>
      <c r="B297" s="38" t="n"/>
      <c r="C297" s="38" t="n"/>
      <c r="D297" s="38" t="n"/>
      <c r="E297" s="38" t="n"/>
      <c r="F297" s="39" t="n"/>
      <c r="G297" s="38" t="n"/>
      <c r="H297" s="38" t="n"/>
      <c r="I297" s="38" t="n"/>
      <c r="J297" s="38" t="n"/>
      <c r="K297" s="38" t="n"/>
      <c r="L297" s="38" t="n"/>
      <c r="M297" s="38" t="n"/>
      <c r="N297" s="38" t="n"/>
      <c r="O297" s="40" t="n"/>
      <c r="P297" s="41">
        <f>IF(D297="","",F297*O297)</f>
        <v/>
      </c>
      <c r="Q297" s="38" t="n"/>
      <c r="R297" s="38" t="n"/>
      <c r="S297" s="40" t="n"/>
      <c r="T297" s="41">
        <f>IF(D297="","",P297+Q297+R297-S297)</f>
        <v/>
      </c>
      <c r="U297" s="38" t="n"/>
      <c r="V297" s="38" t="n"/>
      <c r="W297" s="38" t="n"/>
      <c r="X297" s="38" t="n"/>
      <c r="Y297" s="38" t="n"/>
      <c r="Z297" s="38" t="n"/>
      <c r="AA297" s="38" t="n"/>
    </row>
    <row r="298" ht="21" customHeight="1">
      <c r="A298" s="38" t="n"/>
      <c r="B298" s="38" t="n"/>
      <c r="C298" s="38" t="n"/>
      <c r="D298" s="38" t="n"/>
      <c r="E298" s="38" t="n"/>
      <c r="F298" s="39" t="n"/>
      <c r="G298" s="38" t="n"/>
      <c r="H298" s="38" t="n"/>
      <c r="I298" s="38" t="n"/>
      <c r="J298" s="38" t="n"/>
      <c r="K298" s="38" t="n"/>
      <c r="L298" s="38" t="n"/>
      <c r="M298" s="38" t="n"/>
      <c r="N298" s="38" t="n"/>
      <c r="O298" s="40" t="n"/>
      <c r="P298" s="41">
        <f>IF(D298="","",F298*O298)</f>
        <v/>
      </c>
      <c r="Q298" s="38" t="n"/>
      <c r="R298" s="38" t="n"/>
      <c r="S298" s="40" t="n"/>
      <c r="T298" s="41">
        <f>IF(D298="","",P298+Q298+R298-S298)</f>
        <v/>
      </c>
      <c r="U298" s="38" t="n"/>
      <c r="V298" s="38" t="n"/>
      <c r="W298" s="38" t="n"/>
      <c r="X298" s="38" t="n"/>
      <c r="Y298" s="38" t="n"/>
      <c r="Z298" s="38" t="n"/>
      <c r="AA298" s="38" t="n"/>
    </row>
    <row r="299" ht="21" customHeight="1">
      <c r="A299" s="38" t="n"/>
      <c r="B299" s="38" t="n"/>
      <c r="C299" s="38" t="n"/>
      <c r="D299" s="38" t="n"/>
      <c r="E299" s="38" t="n"/>
      <c r="F299" s="39" t="n"/>
      <c r="G299" s="38" t="n"/>
      <c r="H299" s="38" t="n"/>
      <c r="I299" s="38" t="n"/>
      <c r="J299" s="38" t="n"/>
      <c r="K299" s="38" t="n"/>
      <c r="L299" s="38" t="n"/>
      <c r="M299" s="38" t="n"/>
      <c r="N299" s="38" t="n"/>
      <c r="O299" s="40" t="n"/>
      <c r="P299" s="41">
        <f>IF(D299="","",F299*O299)</f>
        <v/>
      </c>
      <c r="Q299" s="38" t="n"/>
      <c r="R299" s="38" t="n"/>
      <c r="S299" s="40" t="n"/>
      <c r="T299" s="41">
        <f>IF(D299="","",P299+Q299+R299-S299)</f>
        <v/>
      </c>
      <c r="U299" s="38" t="n"/>
      <c r="V299" s="38" t="n"/>
      <c r="W299" s="38" t="n"/>
      <c r="X299" s="38" t="n"/>
      <c r="Y299" s="38" t="n"/>
      <c r="Z299" s="38" t="n"/>
      <c r="AA299" s="38" t="n"/>
    </row>
    <row r="300" ht="21" customHeight="1">
      <c r="A300" s="38" t="n"/>
      <c r="B300" s="38" t="n"/>
      <c r="C300" s="38" t="n"/>
      <c r="D300" s="38" t="n"/>
      <c r="E300" s="38" t="n"/>
      <c r="F300" s="39" t="n"/>
      <c r="G300" s="38" t="n"/>
      <c r="H300" s="38" t="n"/>
      <c r="I300" s="38" t="n"/>
      <c r="J300" s="38" t="n"/>
      <c r="K300" s="38" t="n"/>
      <c r="L300" s="38" t="n"/>
      <c r="M300" s="38" t="n"/>
      <c r="N300" s="38" t="n"/>
      <c r="O300" s="40" t="n"/>
      <c r="P300" s="41">
        <f>IF(D300="","",F300*O300)</f>
        <v/>
      </c>
      <c r="Q300" s="38" t="n"/>
      <c r="R300" s="38" t="n"/>
      <c r="S300" s="40" t="n"/>
      <c r="T300" s="41">
        <f>IF(D300="","",P300+Q300+R300-S300)</f>
        <v/>
      </c>
      <c r="U300" s="38" t="n"/>
      <c r="V300" s="38" t="n"/>
      <c r="W300" s="38" t="n"/>
      <c r="X300" s="38" t="n"/>
      <c r="Y300" s="38" t="n"/>
      <c r="Z300" s="38" t="n"/>
      <c r="AA300" s="38" t="n"/>
    </row>
    <row r="301" ht="21" customHeight="1">
      <c r="A301" s="38" t="n"/>
      <c r="B301" s="38" t="n"/>
      <c r="C301" s="38" t="n"/>
      <c r="D301" s="38" t="n"/>
      <c r="E301" s="38" t="n"/>
      <c r="F301" s="39" t="n"/>
      <c r="G301" s="38" t="n"/>
      <c r="H301" s="38" t="n"/>
      <c r="I301" s="38" t="n"/>
      <c r="J301" s="38" t="n"/>
      <c r="K301" s="38" t="n"/>
      <c r="L301" s="38" t="n"/>
      <c r="M301" s="38" t="n"/>
      <c r="N301" s="38" t="n"/>
      <c r="O301" s="40" t="n"/>
      <c r="P301" s="41">
        <f>IF(D301="","",F301*O301)</f>
        <v/>
      </c>
      <c r="Q301" s="38" t="n"/>
      <c r="R301" s="38" t="n"/>
      <c r="S301" s="40" t="n"/>
      <c r="T301" s="41">
        <f>IF(D301="","",P301+Q301+R301-S301)</f>
        <v/>
      </c>
      <c r="U301" s="38" t="n"/>
      <c r="V301" s="38" t="n"/>
      <c r="W301" s="38" t="n"/>
      <c r="X301" s="38" t="n"/>
      <c r="Y301" s="38" t="n"/>
      <c r="Z301" s="38" t="n"/>
      <c r="AA301" s="38" t="n"/>
    </row>
    <row r="302" ht="21" customHeight="1">
      <c r="A302" s="38" t="n"/>
      <c r="B302" s="38" t="n"/>
      <c r="C302" s="38" t="n"/>
      <c r="D302" s="38" t="n"/>
      <c r="E302" s="38" t="n"/>
      <c r="F302" s="39" t="n"/>
      <c r="G302" s="38" t="n"/>
      <c r="H302" s="38" t="n"/>
      <c r="I302" s="38" t="n"/>
      <c r="J302" s="38" t="n"/>
      <c r="K302" s="38" t="n"/>
      <c r="L302" s="38" t="n"/>
      <c r="M302" s="38" t="n"/>
      <c r="N302" s="38" t="n"/>
      <c r="O302" s="40" t="n"/>
      <c r="P302" s="41">
        <f>IF(D302="","",F302*O302)</f>
        <v/>
      </c>
      <c r="Q302" s="38" t="n"/>
      <c r="R302" s="38" t="n"/>
      <c r="S302" s="40" t="n"/>
      <c r="T302" s="41">
        <f>IF(D302="","",P302+Q302+R302-S302)</f>
        <v/>
      </c>
      <c r="U302" s="38" t="n"/>
      <c r="V302" s="38" t="n"/>
      <c r="W302" s="38" t="n"/>
      <c r="X302" s="38" t="n"/>
      <c r="Y302" s="38" t="n"/>
      <c r="Z302" s="38" t="n"/>
      <c r="AA302" s="38" t="n"/>
    </row>
    <row r="303" ht="21" customHeight="1">
      <c r="A303" s="38" t="n"/>
      <c r="B303" s="38" t="n"/>
      <c r="C303" s="38" t="n"/>
      <c r="D303" s="38" t="n"/>
      <c r="E303" s="38" t="n"/>
      <c r="F303" s="39" t="n"/>
      <c r="G303" s="38" t="n"/>
      <c r="H303" s="38" t="n"/>
      <c r="I303" s="38" t="n"/>
      <c r="J303" s="38" t="n"/>
      <c r="K303" s="38" t="n"/>
      <c r="L303" s="38" t="n"/>
      <c r="M303" s="38" t="n"/>
      <c r="N303" s="38" t="n"/>
      <c r="O303" s="40" t="n"/>
      <c r="P303" s="41">
        <f>IF(D303="","",F303*O303)</f>
        <v/>
      </c>
      <c r="Q303" s="38" t="n"/>
      <c r="R303" s="38" t="n"/>
      <c r="S303" s="40" t="n"/>
      <c r="T303" s="41">
        <f>IF(D303="","",P303+Q303+R303-S303)</f>
        <v/>
      </c>
      <c r="U303" s="38" t="n"/>
      <c r="V303" s="38" t="n"/>
      <c r="W303" s="38" t="n"/>
      <c r="X303" s="38" t="n"/>
      <c r="Y303" s="38" t="n"/>
      <c r="Z303" s="38" t="n"/>
      <c r="AA303" s="38" t="n"/>
    </row>
    <row r="304" ht="21" customHeight="1">
      <c r="A304" s="38" t="n"/>
      <c r="B304" s="38" t="n"/>
      <c r="C304" s="38" t="n"/>
      <c r="D304" s="38" t="n"/>
      <c r="E304" s="38" t="n"/>
      <c r="F304" s="39" t="n"/>
      <c r="G304" s="38" t="n"/>
      <c r="H304" s="38" t="n"/>
      <c r="I304" s="38" t="n"/>
      <c r="J304" s="38" t="n"/>
      <c r="K304" s="38" t="n"/>
      <c r="L304" s="38" t="n"/>
      <c r="M304" s="38" t="n"/>
      <c r="N304" s="38" t="n"/>
      <c r="O304" s="40" t="n"/>
      <c r="P304" s="41">
        <f>IF(D304="","",F304*O304)</f>
        <v/>
      </c>
      <c r="Q304" s="38" t="n"/>
      <c r="R304" s="38" t="n"/>
      <c r="S304" s="40" t="n"/>
      <c r="T304" s="41">
        <f>IF(D304="","",P304+Q304+R304-S304)</f>
        <v/>
      </c>
      <c r="U304" s="38" t="n"/>
      <c r="V304" s="38" t="n"/>
      <c r="W304" s="38" t="n"/>
      <c r="X304" s="38" t="n"/>
      <c r="Y304" s="38" t="n"/>
      <c r="Z304" s="38" t="n"/>
      <c r="AA304" s="38" t="n"/>
    </row>
    <row r="305" ht="21" customHeight="1">
      <c r="A305" s="38" t="n"/>
      <c r="B305" s="38" t="n"/>
      <c r="C305" s="38" t="n"/>
      <c r="D305" s="38" t="n"/>
      <c r="E305" s="38" t="n"/>
      <c r="F305" s="39" t="n"/>
      <c r="G305" s="38" t="n"/>
      <c r="H305" s="38" t="n"/>
      <c r="I305" s="38" t="n"/>
      <c r="J305" s="38" t="n"/>
      <c r="K305" s="38" t="n"/>
      <c r="L305" s="38" t="n"/>
      <c r="M305" s="38" t="n"/>
      <c r="N305" s="38" t="n"/>
      <c r="O305" s="40" t="n"/>
      <c r="P305" s="41">
        <f>IF(D305="","",F305*O305)</f>
        <v/>
      </c>
      <c r="Q305" s="38" t="n"/>
      <c r="R305" s="38" t="n"/>
      <c r="S305" s="40" t="n"/>
      <c r="T305" s="41">
        <f>IF(D305="","",P305+Q305+R305-S305)</f>
        <v/>
      </c>
      <c r="U305" s="38" t="n"/>
      <c r="V305" s="38" t="n"/>
      <c r="W305" s="38" t="n"/>
      <c r="X305" s="38" t="n"/>
      <c r="Y305" s="38" t="n"/>
      <c r="Z305" s="38" t="n"/>
      <c r="AA305" s="38" t="n"/>
    </row>
    <row r="306" ht="21" customHeight="1">
      <c r="A306" s="38" t="n"/>
      <c r="B306" s="38" t="n"/>
      <c r="C306" s="38" t="n"/>
      <c r="D306" s="38" t="n"/>
      <c r="E306" s="38" t="n"/>
      <c r="F306" s="39" t="n"/>
      <c r="G306" s="38" t="n"/>
      <c r="H306" s="38" t="n"/>
      <c r="I306" s="38" t="n"/>
      <c r="J306" s="38" t="n"/>
      <c r="K306" s="38" t="n"/>
      <c r="L306" s="38" t="n"/>
      <c r="M306" s="38" t="n"/>
      <c r="N306" s="38" t="n"/>
      <c r="O306" s="40" t="n"/>
      <c r="P306" s="41">
        <f>IF(D306="","",F306*O306)</f>
        <v/>
      </c>
      <c r="Q306" s="38" t="n"/>
      <c r="R306" s="38" t="n"/>
      <c r="S306" s="40" t="n"/>
      <c r="T306" s="41">
        <f>IF(D306="","",P306+Q306+R306-S306)</f>
        <v/>
      </c>
      <c r="U306" s="38" t="n"/>
      <c r="V306" s="38" t="n"/>
      <c r="W306" s="38" t="n"/>
      <c r="X306" s="38" t="n"/>
      <c r="Y306" s="38" t="n"/>
      <c r="Z306" s="38" t="n"/>
      <c r="AA306" s="38" t="n"/>
    </row>
  </sheetData>
  <autoFilter ref="A6:AA306"/>
  <mergeCells count="3">
    <mergeCell ref="A1:AA2"/>
    <mergeCell ref="A3:AA3"/>
    <mergeCell ref="A4:AA4"/>
  </mergeCells>
  <conditionalFormatting sqref="V7:V306">
    <cfRule type="expression" priority="1" dxfId="2">
      <formula>=OR(V7="Complete",V7="Approved",V7="Delivered",V7="Installed",V7="Good condition",V7="Paid",V7="On budget")</formula>
    </cfRule>
    <cfRule type="expression" priority="2" dxfId="1">
      <formula>=OR(V7="Pending",V7="In progress",V7="Sent",V7="Waiting on client",V7="Waiting on vendor",V7="On hold",V7="Partially paid",V7="Scheduled")</formula>
    </cfRule>
    <cfRule type="expression" priority="3" dxfId="0">
      <formula>=OR(V7="Overdue",V7="Delayed",V7="Damaged",V7="Missing item",V7="Rejected",V7="Revisions requested")</formula>
    </cfRule>
    <cfRule type="expression" priority="4" dxfId="3">
      <formula>=OR(V7="Cancelled",V7="On hold",V7="Returned")</formula>
    </cfRule>
  </conditionalFormatting>
  <conditionalFormatting sqref="W7:W306">
    <cfRule type="expression" priority="5" dxfId="2">
      <formula>=OR(W7="Complete",W7="Approved",W7="Delivered",W7="Installed",W7="Good condition",W7="Paid",W7="On budget")</formula>
    </cfRule>
    <cfRule type="expression" priority="6" dxfId="1">
      <formula>=OR(W7="Pending",W7="In progress",W7="Sent",W7="Waiting on client",W7="Waiting on vendor",W7="On hold",W7="Partially paid",W7="Scheduled")</formula>
    </cfRule>
    <cfRule type="expression" priority="7" dxfId="0">
      <formula>=OR(W7="Overdue",W7="Delayed",W7="Damaged",W7="Missing item",W7="Rejected",W7="Revisions requested")</formula>
    </cfRule>
    <cfRule type="expression" priority="8" dxfId="3">
      <formula>=OR(W7="Cancelled",W7="On hold",W7="Returned")</formula>
    </cfRule>
  </conditionalFormatting>
  <conditionalFormatting sqref="X7:X306">
    <cfRule type="expression" priority="9" dxfId="2">
      <formula>=OR(X7="Complete",X7="Approved",X7="Delivered",X7="Installed",X7="Good condition",X7="Paid",X7="On budget")</formula>
    </cfRule>
    <cfRule type="expression" priority="10" dxfId="1">
      <formula>=OR(X7="Pending",X7="In progress",X7="Sent",X7="Waiting on client",X7="Waiting on vendor",X7="On hold",X7="Partially paid",X7="Scheduled")</formula>
    </cfRule>
    <cfRule type="expression" priority="11" dxfId="0">
      <formula>=OR(X7="Overdue",X7="Delayed",X7="Damaged",X7="Missing item",X7="Rejected",X7="Revisions requested")</formula>
    </cfRule>
    <cfRule type="expression" priority="12" dxfId="3">
      <formula>=OR(X7="Cancelled",X7="On hold",X7="Returned")</formula>
    </cfRule>
  </conditionalFormatting>
  <conditionalFormatting sqref="Y7:Y306">
    <cfRule type="expression" priority="13" dxfId="2">
      <formula>=OR(Y7="Complete",Y7="Approved",Y7="Delivered",Y7="Installed",Y7="Good condition",Y7="Paid",Y7="On budget")</formula>
    </cfRule>
    <cfRule type="expression" priority="14" dxfId="1">
      <formula>=OR(Y7="Pending",Y7="In progress",Y7="Sent",Y7="Waiting on client",Y7="Waiting on vendor",Y7="On hold",Y7="Partially paid",Y7="Scheduled")</formula>
    </cfRule>
    <cfRule type="expression" priority="15" dxfId="0">
      <formula>=OR(Y7="Overdue",Y7="Delayed",Y7="Damaged",Y7="Missing item",Y7="Rejected",Y7="Revisions requested")</formula>
    </cfRule>
    <cfRule type="expression" priority="16" dxfId="3">
      <formula>=OR(Y7="Cancelled",Y7="On hold",Y7="Returned")</formula>
    </cfRule>
  </conditionalFormatting>
  <dataValidations count="7">
    <dataValidation sqref="B7:B306" showDropDown="0" showInputMessage="1" showErrorMessage="1" allowBlank="1" errorTitle="Invalid entry" error="Please choose a value from the dropdown list." promptTitle="Choose from the dropdown" prompt="Select a value from the list." type="list">
      <formula1>=RoomNames</formula1>
    </dataValidation>
    <dataValidation sqref="C7:C306" showDropDown="0" showInputMessage="1" showErrorMessage="1" allowBlank="1" errorTitle="Invalid entry" error="Please choose a value from the dropdown list." promptTitle="Choose from the dropdown" prompt="Select a value from the list." type="list">
      <formula1>=FFECategories</formula1>
    </dataValidation>
    <dataValidation sqref="K7:K306" showDropDown="0" showInputMessage="1" showErrorMessage="1" allowBlank="1" errorTitle="Invalid entry" error="Please choose a value from the dropdown list." promptTitle="Choose from the dropdown" prompt="Select a value from the list." type="list">
      <formula1>=VendorNames</formula1>
    </dataValidation>
    <dataValidation sqref="V7:V306" showDropDown="0" showInputMessage="1" showErrorMessage="1" allowBlank="1" errorTitle="Invalid entry" error="Please choose a value from the dropdown list." promptTitle="Choose from the dropdown" prompt="Select a value from the list." type="list">
      <formula1>=OrderStatuses</formula1>
    </dataValidation>
    <dataValidation sqref="W7:W306" showDropDown="0" showInputMessage="1" showErrorMessage="1" allowBlank="1" errorTitle="Invalid entry" error="Please choose a value from the dropdown list." promptTitle="Choose from the dropdown" prompt="Select a value from the list." type="list">
      <formula1>=ApprovalStatuses</formula1>
    </dataValidation>
    <dataValidation sqref="X7:X306" showDropDown="0" showInputMessage="1" showErrorMessage="1" allowBlank="1" errorTitle="Invalid entry" error="Please choose a value from the dropdown list." promptTitle="Choose from the dropdown" prompt="Select a value from the list." type="list">
      <formula1>=DeliveryStatuses</formula1>
    </dataValidation>
    <dataValidation sqref="Y7:Y306" showDropDown="0" showInputMessage="1" showErrorMessage="1" allowBlank="1" errorTitle="Invalid entry" error="Please choose a value from the dropdown list." promptTitle="Choose from the dropdown" prompt="Select a value from the list." type="list">
      <formula1>=InstallStatuses</formula1>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6.xml><?xml version="1.0" encoding="utf-8"?>
<worksheet xmlns="http://schemas.openxmlformats.org/spreadsheetml/2006/main">
  <sheetPr>
    <tabColor rgb="007F9E9F"/>
    <outlinePr summaryBelow="1" summaryRight="1"/>
    <pageSetUpPr fitToPage="1"/>
  </sheetPr>
  <dimension ref="A1:M156"/>
  <sheetViews>
    <sheetView showGridLines="0" zoomScale="85" workbookViewId="0">
      <pane ySplit="6" topLeftCell="A7" activePane="bottomLeft" state="frozen"/>
      <selection pane="bottomLeft" activeCell="A7" sqref="A1"/>
    </sheetView>
  </sheetViews>
  <sheetFormatPr baseColWidth="8" defaultRowHeight="15"/>
  <cols>
    <col width="20" customWidth="1" min="1" max="1"/>
    <col width="28" customWidth="1" min="2" max="2"/>
    <col width="18" customWidth="1" min="3" max="3"/>
    <col width="10" customWidth="1" min="4" max="4"/>
    <col width="22" customWidth="1" min="5" max="5"/>
    <col width="30" customWidth="1" min="6" max="6"/>
    <col width="20" customWidth="1" min="7" max="7"/>
    <col width="17" customWidth="1" min="8" max="8"/>
    <col width="14" customWidth="1" min="9" max="9"/>
    <col width="18" customWidth="1" min="10" max="10"/>
    <col width="17" customWidth="1" min="11" max="11"/>
    <col width="15" customWidth="1" min="12" max="12"/>
    <col width="15" customWidth="1" min="13" max="13"/>
  </cols>
  <sheetData>
    <row r="1" ht="26" customHeight="1">
      <c r="A1" s="1" t="inlineStr">
        <is>
          <t>Furniture Schedule</t>
        </is>
      </c>
    </row>
    <row r="2" ht="26" customHeight="1"/>
    <row r="3" ht="26" customHeight="1">
      <c r="A3" s="24" t="inlineStr">
        <is>
          <t>A focused furniture-only list for quick sourcing, approval, and purchasing.</t>
        </is>
      </c>
    </row>
    <row r="4">
      <c r="A4" s="36" t="inlineStr">
        <is>
          <t>Tip: enter data in the warm cream cells. Blue cells calculate automatically. Use the filter arrows in row 6 to focus the view.</t>
        </is>
      </c>
    </row>
    <row r="6" ht="34" customHeight="1">
      <c r="A6" s="37" t="inlineStr">
        <is>
          <t>Room</t>
        </is>
      </c>
      <c r="B6" s="37" t="inlineStr">
        <is>
          <t>Furniture item</t>
        </is>
      </c>
      <c r="C6" s="37" t="inlineStr">
        <is>
          <t>Dimensions</t>
        </is>
      </c>
      <c r="D6" s="37" t="inlineStr">
        <is>
          <t>Quantity</t>
        </is>
      </c>
      <c r="E6" s="37" t="inlineStr">
        <is>
          <t>Vendor</t>
        </is>
      </c>
      <c r="F6" s="37" t="inlineStr">
        <is>
          <t>Product link</t>
        </is>
      </c>
      <c r="G6" s="37" t="inlineStr">
        <is>
          <t>Fabric/material</t>
        </is>
      </c>
      <c r="H6" s="37" t="inlineStr">
        <is>
          <t>Finish</t>
        </is>
      </c>
      <c r="I6" s="37" t="inlineStr">
        <is>
          <t>Cost</t>
        </is>
      </c>
      <c r="J6" s="37" t="inlineStr">
        <is>
          <t>Approval status</t>
        </is>
      </c>
      <c r="K6" s="37" t="inlineStr">
        <is>
          <t>Order status</t>
        </is>
      </c>
      <c r="L6" s="37" t="inlineStr">
        <is>
          <t>Delivery date</t>
        </is>
      </c>
      <c r="M6" s="37" t="inlineStr">
        <is>
          <t>Install date</t>
        </is>
      </c>
    </row>
    <row r="7" ht="21" customHeight="1">
      <c r="A7" s="38" t="n"/>
      <c r="B7" s="38" t="n"/>
      <c r="C7" s="38" t="n"/>
      <c r="D7" s="39" t="n"/>
      <c r="E7" s="38" t="n"/>
      <c r="F7" s="38" t="n"/>
      <c r="G7" s="38" t="n"/>
      <c r="H7" s="38" t="n"/>
      <c r="I7" s="40" t="n"/>
      <c r="J7" s="38" t="n"/>
      <c r="K7" s="38" t="n"/>
      <c r="L7" s="42" t="n"/>
      <c r="M7" s="42" t="n"/>
    </row>
    <row r="8" ht="21" customHeight="1">
      <c r="A8" s="38" t="n"/>
      <c r="B8" s="38" t="n"/>
      <c r="C8" s="38" t="n"/>
      <c r="D8" s="39" t="n"/>
      <c r="E8" s="38" t="n"/>
      <c r="F8" s="38" t="n"/>
      <c r="G8" s="38" t="n"/>
      <c r="H8" s="38" t="n"/>
      <c r="I8" s="40" t="n"/>
      <c r="J8" s="38" t="n"/>
      <c r="K8" s="38" t="n"/>
      <c r="L8" s="42" t="n"/>
      <c r="M8" s="42" t="n"/>
    </row>
    <row r="9" ht="21" customHeight="1">
      <c r="A9" s="38" t="n"/>
      <c r="B9" s="38" t="n"/>
      <c r="C9" s="38" t="n"/>
      <c r="D9" s="39" t="n"/>
      <c r="E9" s="38" t="n"/>
      <c r="F9" s="38" t="n"/>
      <c r="G9" s="38" t="n"/>
      <c r="H9" s="38" t="n"/>
      <c r="I9" s="40" t="n"/>
      <c r="J9" s="38" t="n"/>
      <c r="K9" s="38" t="n"/>
      <c r="L9" s="42" t="n"/>
      <c r="M9" s="42" t="n"/>
    </row>
    <row r="10" ht="21" customHeight="1">
      <c r="A10" s="38" t="n"/>
      <c r="B10" s="38" t="n"/>
      <c r="C10" s="38" t="n"/>
      <c r="D10" s="39" t="n"/>
      <c r="E10" s="38" t="n"/>
      <c r="F10" s="38" t="n"/>
      <c r="G10" s="38" t="n"/>
      <c r="H10" s="38" t="n"/>
      <c r="I10" s="40" t="n"/>
      <c r="J10" s="38" t="n"/>
      <c r="K10" s="38" t="n"/>
      <c r="L10" s="42" t="n"/>
      <c r="M10" s="42" t="n"/>
    </row>
    <row r="11" ht="21" customHeight="1">
      <c r="A11" s="38" t="n"/>
      <c r="B11" s="38" t="n"/>
      <c r="C11" s="38" t="n"/>
      <c r="D11" s="39" t="n"/>
      <c r="E11" s="38" t="n"/>
      <c r="F11" s="38" t="n"/>
      <c r="G11" s="38" t="n"/>
      <c r="H11" s="38" t="n"/>
      <c r="I11" s="40" t="n"/>
      <c r="J11" s="38" t="n"/>
      <c r="K11" s="38" t="n"/>
      <c r="L11" s="42" t="n"/>
      <c r="M11" s="42" t="n"/>
    </row>
    <row r="12" ht="21" customHeight="1">
      <c r="A12" s="38" t="n"/>
      <c r="B12" s="38" t="n"/>
      <c r="C12" s="38" t="n"/>
      <c r="D12" s="39" t="n"/>
      <c r="E12" s="38" t="n"/>
      <c r="F12" s="38" t="n"/>
      <c r="G12" s="38" t="n"/>
      <c r="H12" s="38" t="n"/>
      <c r="I12" s="40" t="n"/>
      <c r="J12" s="38" t="n"/>
      <c r="K12" s="38" t="n"/>
      <c r="L12" s="42" t="n"/>
      <c r="M12" s="42" t="n"/>
    </row>
    <row r="13" ht="21" customHeight="1">
      <c r="A13" s="38" t="n"/>
      <c r="B13" s="38" t="n"/>
      <c r="C13" s="38" t="n"/>
      <c r="D13" s="39" t="n"/>
      <c r="E13" s="38" t="n"/>
      <c r="F13" s="38" t="n"/>
      <c r="G13" s="38" t="n"/>
      <c r="H13" s="38" t="n"/>
      <c r="I13" s="40" t="n"/>
      <c r="J13" s="38" t="n"/>
      <c r="K13" s="38" t="n"/>
      <c r="L13" s="42" t="n"/>
      <c r="M13" s="42" t="n"/>
    </row>
    <row r="14" ht="21" customHeight="1">
      <c r="A14" s="38" t="n"/>
      <c r="B14" s="38" t="n"/>
      <c r="C14" s="38" t="n"/>
      <c r="D14" s="39" t="n"/>
      <c r="E14" s="38" t="n"/>
      <c r="F14" s="38" t="n"/>
      <c r="G14" s="38" t="n"/>
      <c r="H14" s="38" t="n"/>
      <c r="I14" s="40" t="n"/>
      <c r="J14" s="38" t="n"/>
      <c r="K14" s="38" t="n"/>
      <c r="L14" s="42" t="n"/>
      <c r="M14" s="42" t="n"/>
    </row>
    <row r="15" ht="21" customHeight="1">
      <c r="A15" s="38" t="n"/>
      <c r="B15" s="38" t="n"/>
      <c r="C15" s="38" t="n"/>
      <c r="D15" s="39" t="n"/>
      <c r="E15" s="38" t="n"/>
      <c r="F15" s="38" t="n"/>
      <c r="G15" s="38" t="n"/>
      <c r="H15" s="38" t="n"/>
      <c r="I15" s="40" t="n"/>
      <c r="J15" s="38" t="n"/>
      <c r="K15" s="38" t="n"/>
      <c r="L15" s="42" t="n"/>
      <c r="M15" s="42" t="n"/>
    </row>
    <row r="16" ht="21" customHeight="1">
      <c r="A16" s="38" t="n"/>
      <c r="B16" s="38" t="n"/>
      <c r="C16" s="38" t="n"/>
      <c r="D16" s="39" t="n"/>
      <c r="E16" s="38" t="n"/>
      <c r="F16" s="38" t="n"/>
      <c r="G16" s="38" t="n"/>
      <c r="H16" s="38" t="n"/>
      <c r="I16" s="40" t="n"/>
      <c r="J16" s="38" t="n"/>
      <c r="K16" s="38" t="n"/>
      <c r="L16" s="42" t="n"/>
      <c r="M16" s="42" t="n"/>
    </row>
    <row r="17" ht="21" customHeight="1">
      <c r="A17" s="38" t="n"/>
      <c r="B17" s="38" t="n"/>
      <c r="C17" s="38" t="n"/>
      <c r="D17" s="39" t="n"/>
      <c r="E17" s="38" t="n"/>
      <c r="F17" s="38" t="n"/>
      <c r="G17" s="38" t="n"/>
      <c r="H17" s="38" t="n"/>
      <c r="I17" s="40" t="n"/>
      <c r="J17" s="38" t="n"/>
      <c r="K17" s="38" t="n"/>
      <c r="L17" s="42" t="n"/>
      <c r="M17" s="42" t="n"/>
    </row>
    <row r="18" ht="21" customHeight="1">
      <c r="A18" s="38" t="n"/>
      <c r="B18" s="38" t="n"/>
      <c r="C18" s="38" t="n"/>
      <c r="D18" s="39" t="n"/>
      <c r="E18" s="38" t="n"/>
      <c r="F18" s="38" t="n"/>
      <c r="G18" s="38" t="n"/>
      <c r="H18" s="38" t="n"/>
      <c r="I18" s="40" t="n"/>
      <c r="J18" s="38" t="n"/>
      <c r="K18" s="38" t="n"/>
      <c r="L18" s="42" t="n"/>
      <c r="M18" s="42" t="n"/>
    </row>
    <row r="19" ht="21" customHeight="1">
      <c r="A19" s="38" t="n"/>
      <c r="B19" s="38" t="n"/>
      <c r="C19" s="38" t="n"/>
      <c r="D19" s="39" t="n"/>
      <c r="E19" s="38" t="n"/>
      <c r="F19" s="38" t="n"/>
      <c r="G19" s="38" t="n"/>
      <c r="H19" s="38" t="n"/>
      <c r="I19" s="40" t="n"/>
      <c r="J19" s="38" t="n"/>
      <c r="K19" s="38" t="n"/>
      <c r="L19" s="42" t="n"/>
      <c r="M19" s="42" t="n"/>
    </row>
    <row r="20" ht="21" customHeight="1">
      <c r="A20" s="38" t="n"/>
      <c r="B20" s="38" t="n"/>
      <c r="C20" s="38" t="n"/>
      <c r="D20" s="39" t="n"/>
      <c r="E20" s="38" t="n"/>
      <c r="F20" s="38" t="n"/>
      <c r="G20" s="38" t="n"/>
      <c r="H20" s="38" t="n"/>
      <c r="I20" s="40" t="n"/>
      <c r="J20" s="38" t="n"/>
      <c r="K20" s="38" t="n"/>
      <c r="L20" s="42" t="n"/>
      <c r="M20" s="42" t="n"/>
    </row>
    <row r="21" ht="21" customHeight="1">
      <c r="A21" s="38" t="n"/>
      <c r="B21" s="38" t="n"/>
      <c r="C21" s="38" t="n"/>
      <c r="D21" s="39" t="n"/>
      <c r="E21" s="38" t="n"/>
      <c r="F21" s="38" t="n"/>
      <c r="G21" s="38" t="n"/>
      <c r="H21" s="38" t="n"/>
      <c r="I21" s="40" t="n"/>
      <c r="J21" s="38" t="n"/>
      <c r="K21" s="38" t="n"/>
      <c r="L21" s="42" t="n"/>
      <c r="M21" s="42" t="n"/>
    </row>
    <row r="22" ht="21" customHeight="1">
      <c r="A22" s="38" t="n"/>
      <c r="B22" s="38" t="n"/>
      <c r="C22" s="38" t="n"/>
      <c r="D22" s="39" t="n"/>
      <c r="E22" s="38" t="n"/>
      <c r="F22" s="38" t="n"/>
      <c r="G22" s="38" t="n"/>
      <c r="H22" s="38" t="n"/>
      <c r="I22" s="40" t="n"/>
      <c r="J22" s="38" t="n"/>
      <c r="K22" s="38" t="n"/>
      <c r="L22" s="42" t="n"/>
      <c r="M22" s="42" t="n"/>
    </row>
    <row r="23" ht="21" customHeight="1">
      <c r="A23" s="38" t="n"/>
      <c r="B23" s="38" t="n"/>
      <c r="C23" s="38" t="n"/>
      <c r="D23" s="39" t="n"/>
      <c r="E23" s="38" t="n"/>
      <c r="F23" s="38" t="n"/>
      <c r="G23" s="38" t="n"/>
      <c r="H23" s="38" t="n"/>
      <c r="I23" s="40" t="n"/>
      <c r="J23" s="38" t="n"/>
      <c r="K23" s="38" t="n"/>
      <c r="L23" s="42" t="n"/>
      <c r="M23" s="42" t="n"/>
    </row>
    <row r="24" ht="21" customHeight="1">
      <c r="A24" s="38" t="n"/>
      <c r="B24" s="38" t="n"/>
      <c r="C24" s="38" t="n"/>
      <c r="D24" s="39" t="n"/>
      <c r="E24" s="38" t="n"/>
      <c r="F24" s="38" t="n"/>
      <c r="G24" s="38" t="n"/>
      <c r="H24" s="38" t="n"/>
      <c r="I24" s="40" t="n"/>
      <c r="J24" s="38" t="n"/>
      <c r="K24" s="38" t="n"/>
      <c r="L24" s="42" t="n"/>
      <c r="M24" s="42" t="n"/>
    </row>
    <row r="25" ht="21" customHeight="1">
      <c r="A25" s="38" t="n"/>
      <c r="B25" s="38" t="n"/>
      <c r="C25" s="38" t="n"/>
      <c r="D25" s="39" t="n"/>
      <c r="E25" s="38" t="n"/>
      <c r="F25" s="38" t="n"/>
      <c r="G25" s="38" t="n"/>
      <c r="H25" s="38" t="n"/>
      <c r="I25" s="40" t="n"/>
      <c r="J25" s="38" t="n"/>
      <c r="K25" s="38" t="n"/>
      <c r="L25" s="42" t="n"/>
      <c r="M25" s="42" t="n"/>
    </row>
    <row r="26" ht="21" customHeight="1">
      <c r="A26" s="38" t="n"/>
      <c r="B26" s="38" t="n"/>
      <c r="C26" s="38" t="n"/>
      <c r="D26" s="39" t="n"/>
      <c r="E26" s="38" t="n"/>
      <c r="F26" s="38" t="n"/>
      <c r="G26" s="38" t="n"/>
      <c r="H26" s="38" t="n"/>
      <c r="I26" s="40" t="n"/>
      <c r="J26" s="38" t="n"/>
      <c r="K26" s="38" t="n"/>
      <c r="L26" s="42" t="n"/>
      <c r="M26" s="42" t="n"/>
    </row>
    <row r="27" ht="21" customHeight="1">
      <c r="A27" s="38" t="n"/>
      <c r="B27" s="38" t="n"/>
      <c r="C27" s="38" t="n"/>
      <c r="D27" s="39" t="n"/>
      <c r="E27" s="38" t="n"/>
      <c r="F27" s="38" t="n"/>
      <c r="G27" s="38" t="n"/>
      <c r="H27" s="38" t="n"/>
      <c r="I27" s="40" t="n"/>
      <c r="J27" s="38" t="n"/>
      <c r="K27" s="38" t="n"/>
      <c r="L27" s="42" t="n"/>
      <c r="M27" s="42" t="n"/>
    </row>
    <row r="28" ht="21" customHeight="1">
      <c r="A28" s="38" t="n"/>
      <c r="B28" s="38" t="n"/>
      <c r="C28" s="38" t="n"/>
      <c r="D28" s="39" t="n"/>
      <c r="E28" s="38" t="n"/>
      <c r="F28" s="38" t="n"/>
      <c r="G28" s="38" t="n"/>
      <c r="H28" s="38" t="n"/>
      <c r="I28" s="40" t="n"/>
      <c r="J28" s="38" t="n"/>
      <c r="K28" s="38" t="n"/>
      <c r="L28" s="42" t="n"/>
      <c r="M28" s="42" t="n"/>
    </row>
    <row r="29" ht="21" customHeight="1">
      <c r="A29" s="38" t="n"/>
      <c r="B29" s="38" t="n"/>
      <c r="C29" s="38" t="n"/>
      <c r="D29" s="39" t="n"/>
      <c r="E29" s="38" t="n"/>
      <c r="F29" s="38" t="n"/>
      <c r="G29" s="38" t="n"/>
      <c r="H29" s="38" t="n"/>
      <c r="I29" s="40" t="n"/>
      <c r="J29" s="38" t="n"/>
      <c r="K29" s="38" t="n"/>
      <c r="L29" s="42" t="n"/>
      <c r="M29" s="42" t="n"/>
    </row>
    <row r="30" ht="21" customHeight="1">
      <c r="A30" s="38" t="n"/>
      <c r="B30" s="38" t="n"/>
      <c r="C30" s="38" t="n"/>
      <c r="D30" s="39" t="n"/>
      <c r="E30" s="38" t="n"/>
      <c r="F30" s="38" t="n"/>
      <c r="G30" s="38" t="n"/>
      <c r="H30" s="38" t="n"/>
      <c r="I30" s="40" t="n"/>
      <c r="J30" s="38" t="n"/>
      <c r="K30" s="38" t="n"/>
      <c r="L30" s="42" t="n"/>
      <c r="M30" s="42" t="n"/>
    </row>
    <row r="31" ht="21" customHeight="1">
      <c r="A31" s="38" t="n"/>
      <c r="B31" s="38" t="n"/>
      <c r="C31" s="38" t="n"/>
      <c r="D31" s="39" t="n"/>
      <c r="E31" s="38" t="n"/>
      <c r="F31" s="38" t="n"/>
      <c r="G31" s="38" t="n"/>
      <c r="H31" s="38" t="n"/>
      <c r="I31" s="40" t="n"/>
      <c r="J31" s="38" t="n"/>
      <c r="K31" s="38" t="n"/>
      <c r="L31" s="42" t="n"/>
      <c r="M31" s="42" t="n"/>
    </row>
    <row r="32" ht="21" customHeight="1">
      <c r="A32" s="38" t="n"/>
      <c r="B32" s="38" t="n"/>
      <c r="C32" s="38" t="n"/>
      <c r="D32" s="39" t="n"/>
      <c r="E32" s="38" t="n"/>
      <c r="F32" s="38" t="n"/>
      <c r="G32" s="38" t="n"/>
      <c r="H32" s="38" t="n"/>
      <c r="I32" s="40" t="n"/>
      <c r="J32" s="38" t="n"/>
      <c r="K32" s="38" t="n"/>
      <c r="L32" s="42" t="n"/>
      <c r="M32" s="42" t="n"/>
    </row>
    <row r="33" ht="21" customHeight="1">
      <c r="A33" s="38" t="n"/>
      <c r="B33" s="38" t="n"/>
      <c r="C33" s="38" t="n"/>
      <c r="D33" s="39" t="n"/>
      <c r="E33" s="38" t="n"/>
      <c r="F33" s="38" t="n"/>
      <c r="G33" s="38" t="n"/>
      <c r="H33" s="38" t="n"/>
      <c r="I33" s="40" t="n"/>
      <c r="J33" s="38" t="n"/>
      <c r="K33" s="38" t="n"/>
      <c r="L33" s="42" t="n"/>
      <c r="M33" s="42" t="n"/>
    </row>
    <row r="34" ht="21" customHeight="1">
      <c r="A34" s="38" t="n"/>
      <c r="B34" s="38" t="n"/>
      <c r="C34" s="38" t="n"/>
      <c r="D34" s="39" t="n"/>
      <c r="E34" s="38" t="n"/>
      <c r="F34" s="38" t="n"/>
      <c r="G34" s="38" t="n"/>
      <c r="H34" s="38" t="n"/>
      <c r="I34" s="40" t="n"/>
      <c r="J34" s="38" t="n"/>
      <c r="K34" s="38" t="n"/>
      <c r="L34" s="42" t="n"/>
      <c r="M34" s="42" t="n"/>
    </row>
    <row r="35" ht="21" customHeight="1">
      <c r="A35" s="38" t="n"/>
      <c r="B35" s="38" t="n"/>
      <c r="C35" s="38" t="n"/>
      <c r="D35" s="39" t="n"/>
      <c r="E35" s="38" t="n"/>
      <c r="F35" s="38" t="n"/>
      <c r="G35" s="38" t="n"/>
      <c r="H35" s="38" t="n"/>
      <c r="I35" s="40" t="n"/>
      <c r="J35" s="38" t="n"/>
      <c r="K35" s="38" t="n"/>
      <c r="L35" s="42" t="n"/>
      <c r="M35" s="42" t="n"/>
    </row>
    <row r="36" ht="21" customHeight="1">
      <c r="A36" s="38" t="n"/>
      <c r="B36" s="38" t="n"/>
      <c r="C36" s="38" t="n"/>
      <c r="D36" s="39" t="n"/>
      <c r="E36" s="38" t="n"/>
      <c r="F36" s="38" t="n"/>
      <c r="G36" s="38" t="n"/>
      <c r="H36" s="38" t="n"/>
      <c r="I36" s="40" t="n"/>
      <c r="J36" s="38" t="n"/>
      <c r="K36" s="38" t="n"/>
      <c r="L36" s="42" t="n"/>
      <c r="M36" s="42" t="n"/>
    </row>
    <row r="37" ht="21" customHeight="1">
      <c r="A37" s="38" t="n"/>
      <c r="B37" s="38" t="n"/>
      <c r="C37" s="38" t="n"/>
      <c r="D37" s="39" t="n"/>
      <c r="E37" s="38" t="n"/>
      <c r="F37" s="38" t="n"/>
      <c r="G37" s="38" t="n"/>
      <c r="H37" s="38" t="n"/>
      <c r="I37" s="40" t="n"/>
      <c r="J37" s="38" t="n"/>
      <c r="K37" s="38" t="n"/>
      <c r="L37" s="42" t="n"/>
      <c r="M37" s="42" t="n"/>
    </row>
    <row r="38" ht="21" customHeight="1">
      <c r="A38" s="38" t="n"/>
      <c r="B38" s="38" t="n"/>
      <c r="C38" s="38" t="n"/>
      <c r="D38" s="39" t="n"/>
      <c r="E38" s="38" t="n"/>
      <c r="F38" s="38" t="n"/>
      <c r="G38" s="38" t="n"/>
      <c r="H38" s="38" t="n"/>
      <c r="I38" s="40" t="n"/>
      <c r="J38" s="38" t="n"/>
      <c r="K38" s="38" t="n"/>
      <c r="L38" s="42" t="n"/>
      <c r="M38" s="42" t="n"/>
    </row>
    <row r="39" ht="21" customHeight="1">
      <c r="A39" s="38" t="n"/>
      <c r="B39" s="38" t="n"/>
      <c r="C39" s="38" t="n"/>
      <c r="D39" s="39" t="n"/>
      <c r="E39" s="38" t="n"/>
      <c r="F39" s="38" t="n"/>
      <c r="G39" s="38" t="n"/>
      <c r="H39" s="38" t="n"/>
      <c r="I39" s="40" t="n"/>
      <c r="J39" s="38" t="n"/>
      <c r="K39" s="38" t="n"/>
      <c r="L39" s="42" t="n"/>
      <c r="M39" s="42" t="n"/>
    </row>
    <row r="40" ht="21" customHeight="1">
      <c r="A40" s="38" t="n"/>
      <c r="B40" s="38" t="n"/>
      <c r="C40" s="38" t="n"/>
      <c r="D40" s="39" t="n"/>
      <c r="E40" s="38" t="n"/>
      <c r="F40" s="38" t="n"/>
      <c r="G40" s="38" t="n"/>
      <c r="H40" s="38" t="n"/>
      <c r="I40" s="40" t="n"/>
      <c r="J40" s="38" t="n"/>
      <c r="K40" s="38" t="n"/>
      <c r="L40" s="42" t="n"/>
      <c r="M40" s="42" t="n"/>
    </row>
    <row r="41" ht="21" customHeight="1">
      <c r="A41" s="38" t="n"/>
      <c r="B41" s="38" t="n"/>
      <c r="C41" s="38" t="n"/>
      <c r="D41" s="39" t="n"/>
      <c r="E41" s="38" t="n"/>
      <c r="F41" s="38" t="n"/>
      <c r="G41" s="38" t="n"/>
      <c r="H41" s="38" t="n"/>
      <c r="I41" s="40" t="n"/>
      <c r="J41" s="38" t="n"/>
      <c r="K41" s="38" t="n"/>
      <c r="L41" s="42" t="n"/>
      <c r="M41" s="42" t="n"/>
    </row>
    <row r="42" ht="21" customHeight="1">
      <c r="A42" s="38" t="n"/>
      <c r="B42" s="38" t="n"/>
      <c r="C42" s="38" t="n"/>
      <c r="D42" s="39" t="n"/>
      <c r="E42" s="38" t="n"/>
      <c r="F42" s="38" t="n"/>
      <c r="G42" s="38" t="n"/>
      <c r="H42" s="38" t="n"/>
      <c r="I42" s="40" t="n"/>
      <c r="J42" s="38" t="n"/>
      <c r="K42" s="38" t="n"/>
      <c r="L42" s="42" t="n"/>
      <c r="M42" s="42" t="n"/>
    </row>
    <row r="43" ht="21" customHeight="1">
      <c r="A43" s="38" t="n"/>
      <c r="B43" s="38" t="n"/>
      <c r="C43" s="38" t="n"/>
      <c r="D43" s="39" t="n"/>
      <c r="E43" s="38" t="n"/>
      <c r="F43" s="38" t="n"/>
      <c r="G43" s="38" t="n"/>
      <c r="H43" s="38" t="n"/>
      <c r="I43" s="40" t="n"/>
      <c r="J43" s="38" t="n"/>
      <c r="K43" s="38" t="n"/>
      <c r="L43" s="42" t="n"/>
      <c r="M43" s="42" t="n"/>
    </row>
    <row r="44" ht="21" customHeight="1">
      <c r="A44" s="38" t="n"/>
      <c r="B44" s="38" t="n"/>
      <c r="C44" s="38" t="n"/>
      <c r="D44" s="39" t="n"/>
      <c r="E44" s="38" t="n"/>
      <c r="F44" s="38" t="n"/>
      <c r="G44" s="38" t="n"/>
      <c r="H44" s="38" t="n"/>
      <c r="I44" s="40" t="n"/>
      <c r="J44" s="38" t="n"/>
      <c r="K44" s="38" t="n"/>
      <c r="L44" s="42" t="n"/>
      <c r="M44" s="42" t="n"/>
    </row>
    <row r="45" ht="21" customHeight="1">
      <c r="A45" s="38" t="n"/>
      <c r="B45" s="38" t="n"/>
      <c r="C45" s="38" t="n"/>
      <c r="D45" s="39" t="n"/>
      <c r="E45" s="38" t="n"/>
      <c r="F45" s="38" t="n"/>
      <c r="G45" s="38" t="n"/>
      <c r="H45" s="38" t="n"/>
      <c r="I45" s="40" t="n"/>
      <c r="J45" s="38" t="n"/>
      <c r="K45" s="38" t="n"/>
      <c r="L45" s="42" t="n"/>
      <c r="M45" s="42" t="n"/>
    </row>
    <row r="46" ht="21" customHeight="1">
      <c r="A46" s="38" t="n"/>
      <c r="B46" s="38" t="n"/>
      <c r="C46" s="38" t="n"/>
      <c r="D46" s="39" t="n"/>
      <c r="E46" s="38" t="n"/>
      <c r="F46" s="38" t="n"/>
      <c r="G46" s="38" t="n"/>
      <c r="H46" s="38" t="n"/>
      <c r="I46" s="40" t="n"/>
      <c r="J46" s="38" t="n"/>
      <c r="K46" s="38" t="n"/>
      <c r="L46" s="42" t="n"/>
      <c r="M46" s="42" t="n"/>
    </row>
    <row r="47" ht="21" customHeight="1">
      <c r="A47" s="38" t="n"/>
      <c r="B47" s="38" t="n"/>
      <c r="C47" s="38" t="n"/>
      <c r="D47" s="39" t="n"/>
      <c r="E47" s="38" t="n"/>
      <c r="F47" s="38" t="n"/>
      <c r="G47" s="38" t="n"/>
      <c r="H47" s="38" t="n"/>
      <c r="I47" s="40" t="n"/>
      <c r="J47" s="38" t="n"/>
      <c r="K47" s="38" t="n"/>
      <c r="L47" s="42" t="n"/>
      <c r="M47" s="42" t="n"/>
    </row>
    <row r="48" ht="21" customHeight="1">
      <c r="A48" s="38" t="n"/>
      <c r="B48" s="38" t="n"/>
      <c r="C48" s="38" t="n"/>
      <c r="D48" s="39" t="n"/>
      <c r="E48" s="38" t="n"/>
      <c r="F48" s="38" t="n"/>
      <c r="G48" s="38" t="n"/>
      <c r="H48" s="38" t="n"/>
      <c r="I48" s="40" t="n"/>
      <c r="J48" s="38" t="n"/>
      <c r="K48" s="38" t="n"/>
      <c r="L48" s="42" t="n"/>
      <c r="M48" s="42" t="n"/>
    </row>
    <row r="49" ht="21" customHeight="1">
      <c r="A49" s="38" t="n"/>
      <c r="B49" s="38" t="n"/>
      <c r="C49" s="38" t="n"/>
      <c r="D49" s="39" t="n"/>
      <c r="E49" s="38" t="n"/>
      <c r="F49" s="38" t="n"/>
      <c r="G49" s="38" t="n"/>
      <c r="H49" s="38" t="n"/>
      <c r="I49" s="40" t="n"/>
      <c r="J49" s="38" t="n"/>
      <c r="K49" s="38" t="n"/>
      <c r="L49" s="42" t="n"/>
      <c r="M49" s="42" t="n"/>
    </row>
    <row r="50" ht="21" customHeight="1">
      <c r="A50" s="38" t="n"/>
      <c r="B50" s="38" t="n"/>
      <c r="C50" s="38" t="n"/>
      <c r="D50" s="39" t="n"/>
      <c r="E50" s="38" t="n"/>
      <c r="F50" s="38" t="n"/>
      <c r="G50" s="38" t="n"/>
      <c r="H50" s="38" t="n"/>
      <c r="I50" s="40" t="n"/>
      <c r="J50" s="38" t="n"/>
      <c r="K50" s="38" t="n"/>
      <c r="L50" s="42" t="n"/>
      <c r="M50" s="42" t="n"/>
    </row>
    <row r="51" ht="21" customHeight="1">
      <c r="A51" s="38" t="n"/>
      <c r="B51" s="38" t="n"/>
      <c r="C51" s="38" t="n"/>
      <c r="D51" s="39" t="n"/>
      <c r="E51" s="38" t="n"/>
      <c r="F51" s="38" t="n"/>
      <c r="G51" s="38" t="n"/>
      <c r="H51" s="38" t="n"/>
      <c r="I51" s="40" t="n"/>
      <c r="J51" s="38" t="n"/>
      <c r="K51" s="38" t="n"/>
      <c r="L51" s="42" t="n"/>
      <c r="M51" s="42" t="n"/>
    </row>
    <row r="52" ht="21" customHeight="1">
      <c r="A52" s="38" t="n"/>
      <c r="B52" s="38" t="n"/>
      <c r="C52" s="38" t="n"/>
      <c r="D52" s="39" t="n"/>
      <c r="E52" s="38" t="n"/>
      <c r="F52" s="38" t="n"/>
      <c r="G52" s="38" t="n"/>
      <c r="H52" s="38" t="n"/>
      <c r="I52" s="40" t="n"/>
      <c r="J52" s="38" t="n"/>
      <c r="K52" s="38" t="n"/>
      <c r="L52" s="42" t="n"/>
      <c r="M52" s="42" t="n"/>
    </row>
    <row r="53" ht="21" customHeight="1">
      <c r="A53" s="38" t="n"/>
      <c r="B53" s="38" t="n"/>
      <c r="C53" s="38" t="n"/>
      <c r="D53" s="39" t="n"/>
      <c r="E53" s="38" t="n"/>
      <c r="F53" s="38" t="n"/>
      <c r="G53" s="38" t="n"/>
      <c r="H53" s="38" t="n"/>
      <c r="I53" s="40" t="n"/>
      <c r="J53" s="38" t="n"/>
      <c r="K53" s="38" t="n"/>
      <c r="L53" s="42" t="n"/>
      <c r="M53" s="42" t="n"/>
    </row>
    <row r="54" ht="21" customHeight="1">
      <c r="A54" s="38" t="n"/>
      <c r="B54" s="38" t="n"/>
      <c r="C54" s="38" t="n"/>
      <c r="D54" s="39" t="n"/>
      <c r="E54" s="38" t="n"/>
      <c r="F54" s="38" t="n"/>
      <c r="G54" s="38" t="n"/>
      <c r="H54" s="38" t="n"/>
      <c r="I54" s="40" t="n"/>
      <c r="J54" s="38" t="n"/>
      <c r="K54" s="38" t="n"/>
      <c r="L54" s="42" t="n"/>
      <c r="M54" s="42" t="n"/>
    </row>
    <row r="55" ht="21" customHeight="1">
      <c r="A55" s="38" t="n"/>
      <c r="B55" s="38" t="n"/>
      <c r="C55" s="38" t="n"/>
      <c r="D55" s="39" t="n"/>
      <c r="E55" s="38" t="n"/>
      <c r="F55" s="38" t="n"/>
      <c r="G55" s="38" t="n"/>
      <c r="H55" s="38" t="n"/>
      <c r="I55" s="40" t="n"/>
      <c r="J55" s="38" t="n"/>
      <c r="K55" s="38" t="n"/>
      <c r="L55" s="42" t="n"/>
      <c r="M55" s="42" t="n"/>
    </row>
    <row r="56" ht="21" customHeight="1">
      <c r="A56" s="38" t="n"/>
      <c r="B56" s="38" t="n"/>
      <c r="C56" s="38" t="n"/>
      <c r="D56" s="39" t="n"/>
      <c r="E56" s="38" t="n"/>
      <c r="F56" s="38" t="n"/>
      <c r="G56" s="38" t="n"/>
      <c r="H56" s="38" t="n"/>
      <c r="I56" s="40" t="n"/>
      <c r="J56" s="38" t="n"/>
      <c r="K56" s="38" t="n"/>
      <c r="L56" s="42" t="n"/>
      <c r="M56" s="42" t="n"/>
    </row>
    <row r="57" ht="21" customHeight="1">
      <c r="A57" s="38" t="n"/>
      <c r="B57" s="38" t="n"/>
      <c r="C57" s="38" t="n"/>
      <c r="D57" s="39" t="n"/>
      <c r="E57" s="38" t="n"/>
      <c r="F57" s="38" t="n"/>
      <c r="G57" s="38" t="n"/>
      <c r="H57" s="38" t="n"/>
      <c r="I57" s="40" t="n"/>
      <c r="J57" s="38" t="n"/>
      <c r="K57" s="38" t="n"/>
      <c r="L57" s="42" t="n"/>
      <c r="M57" s="42" t="n"/>
    </row>
    <row r="58" ht="21" customHeight="1">
      <c r="A58" s="38" t="n"/>
      <c r="B58" s="38" t="n"/>
      <c r="C58" s="38" t="n"/>
      <c r="D58" s="39" t="n"/>
      <c r="E58" s="38" t="n"/>
      <c r="F58" s="38" t="n"/>
      <c r="G58" s="38" t="n"/>
      <c r="H58" s="38" t="n"/>
      <c r="I58" s="40" t="n"/>
      <c r="J58" s="38" t="n"/>
      <c r="K58" s="38" t="n"/>
      <c r="L58" s="42" t="n"/>
      <c r="M58" s="42" t="n"/>
    </row>
    <row r="59" ht="21" customHeight="1">
      <c r="A59" s="38" t="n"/>
      <c r="B59" s="38" t="n"/>
      <c r="C59" s="38" t="n"/>
      <c r="D59" s="39" t="n"/>
      <c r="E59" s="38" t="n"/>
      <c r="F59" s="38" t="n"/>
      <c r="G59" s="38" t="n"/>
      <c r="H59" s="38" t="n"/>
      <c r="I59" s="40" t="n"/>
      <c r="J59" s="38" t="n"/>
      <c r="K59" s="38" t="n"/>
      <c r="L59" s="42" t="n"/>
      <c r="M59" s="42" t="n"/>
    </row>
    <row r="60" ht="21" customHeight="1">
      <c r="A60" s="38" t="n"/>
      <c r="B60" s="38" t="n"/>
      <c r="C60" s="38" t="n"/>
      <c r="D60" s="39" t="n"/>
      <c r="E60" s="38" t="n"/>
      <c r="F60" s="38" t="n"/>
      <c r="G60" s="38" t="n"/>
      <c r="H60" s="38" t="n"/>
      <c r="I60" s="40" t="n"/>
      <c r="J60" s="38" t="n"/>
      <c r="K60" s="38" t="n"/>
      <c r="L60" s="42" t="n"/>
      <c r="M60" s="42" t="n"/>
    </row>
    <row r="61" ht="21" customHeight="1">
      <c r="A61" s="38" t="n"/>
      <c r="B61" s="38" t="n"/>
      <c r="C61" s="38" t="n"/>
      <c r="D61" s="39" t="n"/>
      <c r="E61" s="38" t="n"/>
      <c r="F61" s="38" t="n"/>
      <c r="G61" s="38" t="n"/>
      <c r="H61" s="38" t="n"/>
      <c r="I61" s="40" t="n"/>
      <c r="J61" s="38" t="n"/>
      <c r="K61" s="38" t="n"/>
      <c r="L61" s="42" t="n"/>
      <c r="M61" s="42" t="n"/>
    </row>
    <row r="62" ht="21" customHeight="1">
      <c r="A62" s="38" t="n"/>
      <c r="B62" s="38" t="n"/>
      <c r="C62" s="38" t="n"/>
      <c r="D62" s="39" t="n"/>
      <c r="E62" s="38" t="n"/>
      <c r="F62" s="38" t="n"/>
      <c r="G62" s="38" t="n"/>
      <c r="H62" s="38" t="n"/>
      <c r="I62" s="40" t="n"/>
      <c r="J62" s="38" t="n"/>
      <c r="K62" s="38" t="n"/>
      <c r="L62" s="42" t="n"/>
      <c r="M62" s="42" t="n"/>
    </row>
    <row r="63" ht="21" customHeight="1">
      <c r="A63" s="38" t="n"/>
      <c r="B63" s="38" t="n"/>
      <c r="C63" s="38" t="n"/>
      <c r="D63" s="39" t="n"/>
      <c r="E63" s="38" t="n"/>
      <c r="F63" s="38" t="n"/>
      <c r="G63" s="38" t="n"/>
      <c r="H63" s="38" t="n"/>
      <c r="I63" s="40" t="n"/>
      <c r="J63" s="38" t="n"/>
      <c r="K63" s="38" t="n"/>
      <c r="L63" s="42" t="n"/>
      <c r="M63" s="42" t="n"/>
    </row>
    <row r="64" ht="21" customHeight="1">
      <c r="A64" s="38" t="n"/>
      <c r="B64" s="38" t="n"/>
      <c r="C64" s="38" t="n"/>
      <c r="D64" s="39" t="n"/>
      <c r="E64" s="38" t="n"/>
      <c r="F64" s="38" t="n"/>
      <c r="G64" s="38" t="n"/>
      <c r="H64" s="38" t="n"/>
      <c r="I64" s="40" t="n"/>
      <c r="J64" s="38" t="n"/>
      <c r="K64" s="38" t="n"/>
      <c r="L64" s="42" t="n"/>
      <c r="M64" s="42" t="n"/>
    </row>
    <row r="65" ht="21" customHeight="1">
      <c r="A65" s="38" t="n"/>
      <c r="B65" s="38" t="n"/>
      <c r="C65" s="38" t="n"/>
      <c r="D65" s="39" t="n"/>
      <c r="E65" s="38" t="n"/>
      <c r="F65" s="38" t="n"/>
      <c r="G65" s="38" t="n"/>
      <c r="H65" s="38" t="n"/>
      <c r="I65" s="40" t="n"/>
      <c r="J65" s="38" t="n"/>
      <c r="K65" s="38" t="n"/>
      <c r="L65" s="42" t="n"/>
      <c r="M65" s="42" t="n"/>
    </row>
    <row r="66" ht="21" customHeight="1">
      <c r="A66" s="38" t="n"/>
      <c r="B66" s="38" t="n"/>
      <c r="C66" s="38" t="n"/>
      <c r="D66" s="39" t="n"/>
      <c r="E66" s="38" t="n"/>
      <c r="F66" s="38" t="n"/>
      <c r="G66" s="38" t="n"/>
      <c r="H66" s="38" t="n"/>
      <c r="I66" s="40" t="n"/>
      <c r="J66" s="38" t="n"/>
      <c r="K66" s="38" t="n"/>
      <c r="L66" s="42" t="n"/>
      <c r="M66" s="42" t="n"/>
    </row>
    <row r="67" ht="21" customHeight="1">
      <c r="A67" s="38" t="n"/>
      <c r="B67" s="38" t="n"/>
      <c r="C67" s="38" t="n"/>
      <c r="D67" s="39" t="n"/>
      <c r="E67" s="38" t="n"/>
      <c r="F67" s="38" t="n"/>
      <c r="G67" s="38" t="n"/>
      <c r="H67" s="38" t="n"/>
      <c r="I67" s="40" t="n"/>
      <c r="J67" s="38" t="n"/>
      <c r="K67" s="38" t="n"/>
      <c r="L67" s="42" t="n"/>
      <c r="M67" s="42" t="n"/>
    </row>
    <row r="68" ht="21" customHeight="1">
      <c r="A68" s="38" t="n"/>
      <c r="B68" s="38" t="n"/>
      <c r="C68" s="38" t="n"/>
      <c r="D68" s="39" t="n"/>
      <c r="E68" s="38" t="n"/>
      <c r="F68" s="38" t="n"/>
      <c r="G68" s="38" t="n"/>
      <c r="H68" s="38" t="n"/>
      <c r="I68" s="40" t="n"/>
      <c r="J68" s="38" t="n"/>
      <c r="K68" s="38" t="n"/>
      <c r="L68" s="42" t="n"/>
      <c r="M68" s="42" t="n"/>
    </row>
    <row r="69" ht="21" customHeight="1">
      <c r="A69" s="38" t="n"/>
      <c r="B69" s="38" t="n"/>
      <c r="C69" s="38" t="n"/>
      <c r="D69" s="39" t="n"/>
      <c r="E69" s="38" t="n"/>
      <c r="F69" s="38" t="n"/>
      <c r="G69" s="38" t="n"/>
      <c r="H69" s="38" t="n"/>
      <c r="I69" s="40" t="n"/>
      <c r="J69" s="38" t="n"/>
      <c r="K69" s="38" t="n"/>
      <c r="L69" s="42" t="n"/>
      <c r="M69" s="42" t="n"/>
    </row>
    <row r="70" ht="21" customHeight="1">
      <c r="A70" s="38" t="n"/>
      <c r="B70" s="38" t="n"/>
      <c r="C70" s="38" t="n"/>
      <c r="D70" s="39" t="n"/>
      <c r="E70" s="38" t="n"/>
      <c r="F70" s="38" t="n"/>
      <c r="G70" s="38" t="n"/>
      <c r="H70" s="38" t="n"/>
      <c r="I70" s="40" t="n"/>
      <c r="J70" s="38" t="n"/>
      <c r="K70" s="38" t="n"/>
      <c r="L70" s="42" t="n"/>
      <c r="M70" s="42" t="n"/>
    </row>
    <row r="71" ht="21" customHeight="1">
      <c r="A71" s="38" t="n"/>
      <c r="B71" s="38" t="n"/>
      <c r="C71" s="38" t="n"/>
      <c r="D71" s="39" t="n"/>
      <c r="E71" s="38" t="n"/>
      <c r="F71" s="38" t="n"/>
      <c r="G71" s="38" t="n"/>
      <c r="H71" s="38" t="n"/>
      <c r="I71" s="40" t="n"/>
      <c r="J71" s="38" t="n"/>
      <c r="K71" s="38" t="n"/>
      <c r="L71" s="42" t="n"/>
      <c r="M71" s="42" t="n"/>
    </row>
    <row r="72" ht="21" customHeight="1">
      <c r="A72" s="38" t="n"/>
      <c r="B72" s="38" t="n"/>
      <c r="C72" s="38" t="n"/>
      <c r="D72" s="39" t="n"/>
      <c r="E72" s="38" t="n"/>
      <c r="F72" s="38" t="n"/>
      <c r="G72" s="38" t="n"/>
      <c r="H72" s="38" t="n"/>
      <c r="I72" s="40" t="n"/>
      <c r="J72" s="38" t="n"/>
      <c r="K72" s="38" t="n"/>
      <c r="L72" s="42" t="n"/>
      <c r="M72" s="42" t="n"/>
    </row>
    <row r="73" ht="21" customHeight="1">
      <c r="A73" s="38" t="n"/>
      <c r="B73" s="38" t="n"/>
      <c r="C73" s="38" t="n"/>
      <c r="D73" s="39" t="n"/>
      <c r="E73" s="38" t="n"/>
      <c r="F73" s="38" t="n"/>
      <c r="G73" s="38" t="n"/>
      <c r="H73" s="38" t="n"/>
      <c r="I73" s="40" t="n"/>
      <c r="J73" s="38" t="n"/>
      <c r="K73" s="38" t="n"/>
      <c r="L73" s="42" t="n"/>
      <c r="M73" s="42" t="n"/>
    </row>
    <row r="74" ht="21" customHeight="1">
      <c r="A74" s="38" t="n"/>
      <c r="B74" s="38" t="n"/>
      <c r="C74" s="38" t="n"/>
      <c r="D74" s="39" t="n"/>
      <c r="E74" s="38" t="n"/>
      <c r="F74" s="38" t="n"/>
      <c r="G74" s="38" t="n"/>
      <c r="H74" s="38" t="n"/>
      <c r="I74" s="40" t="n"/>
      <c r="J74" s="38" t="n"/>
      <c r="K74" s="38" t="n"/>
      <c r="L74" s="42" t="n"/>
      <c r="M74" s="42" t="n"/>
    </row>
    <row r="75" ht="21" customHeight="1">
      <c r="A75" s="38" t="n"/>
      <c r="B75" s="38" t="n"/>
      <c r="C75" s="38" t="n"/>
      <c r="D75" s="39" t="n"/>
      <c r="E75" s="38" t="n"/>
      <c r="F75" s="38" t="n"/>
      <c r="G75" s="38" t="n"/>
      <c r="H75" s="38" t="n"/>
      <c r="I75" s="40" t="n"/>
      <c r="J75" s="38" t="n"/>
      <c r="K75" s="38" t="n"/>
      <c r="L75" s="42" t="n"/>
      <c r="M75" s="42" t="n"/>
    </row>
    <row r="76" ht="21" customHeight="1">
      <c r="A76" s="38" t="n"/>
      <c r="B76" s="38" t="n"/>
      <c r="C76" s="38" t="n"/>
      <c r="D76" s="39" t="n"/>
      <c r="E76" s="38" t="n"/>
      <c r="F76" s="38" t="n"/>
      <c r="G76" s="38" t="n"/>
      <c r="H76" s="38" t="n"/>
      <c r="I76" s="40" t="n"/>
      <c r="J76" s="38" t="n"/>
      <c r="K76" s="38" t="n"/>
      <c r="L76" s="42" t="n"/>
      <c r="M76" s="42" t="n"/>
    </row>
    <row r="77" ht="21" customHeight="1">
      <c r="A77" s="38" t="n"/>
      <c r="B77" s="38" t="n"/>
      <c r="C77" s="38" t="n"/>
      <c r="D77" s="39" t="n"/>
      <c r="E77" s="38" t="n"/>
      <c r="F77" s="38" t="n"/>
      <c r="G77" s="38" t="n"/>
      <c r="H77" s="38" t="n"/>
      <c r="I77" s="40" t="n"/>
      <c r="J77" s="38" t="n"/>
      <c r="K77" s="38" t="n"/>
      <c r="L77" s="42" t="n"/>
      <c r="M77" s="42" t="n"/>
    </row>
    <row r="78" ht="21" customHeight="1">
      <c r="A78" s="38" t="n"/>
      <c r="B78" s="38" t="n"/>
      <c r="C78" s="38" t="n"/>
      <c r="D78" s="39" t="n"/>
      <c r="E78" s="38" t="n"/>
      <c r="F78" s="38" t="n"/>
      <c r="G78" s="38" t="n"/>
      <c r="H78" s="38" t="n"/>
      <c r="I78" s="40" t="n"/>
      <c r="J78" s="38" t="n"/>
      <c r="K78" s="38" t="n"/>
      <c r="L78" s="42" t="n"/>
      <c r="M78" s="42" t="n"/>
    </row>
    <row r="79" ht="21" customHeight="1">
      <c r="A79" s="38" t="n"/>
      <c r="B79" s="38" t="n"/>
      <c r="C79" s="38" t="n"/>
      <c r="D79" s="39" t="n"/>
      <c r="E79" s="38" t="n"/>
      <c r="F79" s="38" t="n"/>
      <c r="G79" s="38" t="n"/>
      <c r="H79" s="38" t="n"/>
      <c r="I79" s="40" t="n"/>
      <c r="J79" s="38" t="n"/>
      <c r="K79" s="38" t="n"/>
      <c r="L79" s="42" t="n"/>
      <c r="M79" s="42" t="n"/>
    </row>
    <row r="80" ht="21" customHeight="1">
      <c r="A80" s="38" t="n"/>
      <c r="B80" s="38" t="n"/>
      <c r="C80" s="38" t="n"/>
      <c r="D80" s="39" t="n"/>
      <c r="E80" s="38" t="n"/>
      <c r="F80" s="38" t="n"/>
      <c r="G80" s="38" t="n"/>
      <c r="H80" s="38" t="n"/>
      <c r="I80" s="40" t="n"/>
      <c r="J80" s="38" t="n"/>
      <c r="K80" s="38" t="n"/>
      <c r="L80" s="42" t="n"/>
      <c r="M80" s="42" t="n"/>
    </row>
    <row r="81" ht="21" customHeight="1">
      <c r="A81" s="38" t="n"/>
      <c r="B81" s="38" t="n"/>
      <c r="C81" s="38" t="n"/>
      <c r="D81" s="39" t="n"/>
      <c r="E81" s="38" t="n"/>
      <c r="F81" s="38" t="n"/>
      <c r="G81" s="38" t="n"/>
      <c r="H81" s="38" t="n"/>
      <c r="I81" s="40" t="n"/>
      <c r="J81" s="38" t="n"/>
      <c r="K81" s="38" t="n"/>
      <c r="L81" s="42" t="n"/>
      <c r="M81" s="42" t="n"/>
    </row>
    <row r="82" ht="21" customHeight="1">
      <c r="A82" s="38" t="n"/>
      <c r="B82" s="38" t="n"/>
      <c r="C82" s="38" t="n"/>
      <c r="D82" s="39" t="n"/>
      <c r="E82" s="38" t="n"/>
      <c r="F82" s="38" t="n"/>
      <c r="G82" s="38" t="n"/>
      <c r="H82" s="38" t="n"/>
      <c r="I82" s="40" t="n"/>
      <c r="J82" s="38" t="n"/>
      <c r="K82" s="38" t="n"/>
      <c r="L82" s="42" t="n"/>
      <c r="M82" s="42" t="n"/>
    </row>
    <row r="83" ht="21" customHeight="1">
      <c r="A83" s="38" t="n"/>
      <c r="B83" s="38" t="n"/>
      <c r="C83" s="38" t="n"/>
      <c r="D83" s="39" t="n"/>
      <c r="E83" s="38" t="n"/>
      <c r="F83" s="38" t="n"/>
      <c r="G83" s="38" t="n"/>
      <c r="H83" s="38" t="n"/>
      <c r="I83" s="40" t="n"/>
      <c r="J83" s="38" t="n"/>
      <c r="K83" s="38" t="n"/>
      <c r="L83" s="42" t="n"/>
      <c r="M83" s="42" t="n"/>
    </row>
    <row r="84" ht="21" customHeight="1">
      <c r="A84" s="38" t="n"/>
      <c r="B84" s="38" t="n"/>
      <c r="C84" s="38" t="n"/>
      <c r="D84" s="39" t="n"/>
      <c r="E84" s="38" t="n"/>
      <c r="F84" s="38" t="n"/>
      <c r="G84" s="38" t="n"/>
      <c r="H84" s="38" t="n"/>
      <c r="I84" s="40" t="n"/>
      <c r="J84" s="38" t="n"/>
      <c r="K84" s="38" t="n"/>
      <c r="L84" s="42" t="n"/>
      <c r="M84" s="42" t="n"/>
    </row>
    <row r="85" ht="21" customHeight="1">
      <c r="A85" s="38" t="n"/>
      <c r="B85" s="38" t="n"/>
      <c r="C85" s="38" t="n"/>
      <c r="D85" s="39" t="n"/>
      <c r="E85" s="38" t="n"/>
      <c r="F85" s="38" t="n"/>
      <c r="G85" s="38" t="n"/>
      <c r="H85" s="38" t="n"/>
      <c r="I85" s="40" t="n"/>
      <c r="J85" s="38" t="n"/>
      <c r="K85" s="38" t="n"/>
      <c r="L85" s="42" t="n"/>
      <c r="M85" s="42" t="n"/>
    </row>
    <row r="86" ht="21" customHeight="1">
      <c r="A86" s="38" t="n"/>
      <c r="B86" s="38" t="n"/>
      <c r="C86" s="38" t="n"/>
      <c r="D86" s="39" t="n"/>
      <c r="E86" s="38" t="n"/>
      <c r="F86" s="38" t="n"/>
      <c r="G86" s="38" t="n"/>
      <c r="H86" s="38" t="n"/>
      <c r="I86" s="40" t="n"/>
      <c r="J86" s="38" t="n"/>
      <c r="K86" s="38" t="n"/>
      <c r="L86" s="42" t="n"/>
      <c r="M86" s="42" t="n"/>
    </row>
    <row r="87" ht="21" customHeight="1">
      <c r="A87" s="38" t="n"/>
      <c r="B87" s="38" t="n"/>
      <c r="C87" s="38" t="n"/>
      <c r="D87" s="39" t="n"/>
      <c r="E87" s="38" t="n"/>
      <c r="F87" s="38" t="n"/>
      <c r="G87" s="38" t="n"/>
      <c r="H87" s="38" t="n"/>
      <c r="I87" s="40" t="n"/>
      <c r="J87" s="38" t="n"/>
      <c r="K87" s="38" t="n"/>
      <c r="L87" s="42" t="n"/>
      <c r="M87" s="42" t="n"/>
    </row>
    <row r="88" ht="21" customHeight="1">
      <c r="A88" s="38" t="n"/>
      <c r="B88" s="38" t="n"/>
      <c r="C88" s="38" t="n"/>
      <c r="D88" s="39" t="n"/>
      <c r="E88" s="38" t="n"/>
      <c r="F88" s="38" t="n"/>
      <c r="G88" s="38" t="n"/>
      <c r="H88" s="38" t="n"/>
      <c r="I88" s="40" t="n"/>
      <c r="J88" s="38" t="n"/>
      <c r="K88" s="38" t="n"/>
      <c r="L88" s="42" t="n"/>
      <c r="M88" s="42" t="n"/>
    </row>
    <row r="89" ht="21" customHeight="1">
      <c r="A89" s="38" t="n"/>
      <c r="B89" s="38" t="n"/>
      <c r="C89" s="38" t="n"/>
      <c r="D89" s="39" t="n"/>
      <c r="E89" s="38" t="n"/>
      <c r="F89" s="38" t="n"/>
      <c r="G89" s="38" t="n"/>
      <c r="H89" s="38" t="n"/>
      <c r="I89" s="40" t="n"/>
      <c r="J89" s="38" t="n"/>
      <c r="K89" s="38" t="n"/>
      <c r="L89" s="42" t="n"/>
      <c r="M89" s="42" t="n"/>
    </row>
    <row r="90" ht="21" customHeight="1">
      <c r="A90" s="38" t="n"/>
      <c r="B90" s="38" t="n"/>
      <c r="C90" s="38" t="n"/>
      <c r="D90" s="39" t="n"/>
      <c r="E90" s="38" t="n"/>
      <c r="F90" s="38" t="n"/>
      <c r="G90" s="38" t="n"/>
      <c r="H90" s="38" t="n"/>
      <c r="I90" s="40" t="n"/>
      <c r="J90" s="38" t="n"/>
      <c r="K90" s="38" t="n"/>
      <c r="L90" s="42" t="n"/>
      <c r="M90" s="42" t="n"/>
    </row>
    <row r="91" ht="21" customHeight="1">
      <c r="A91" s="38" t="n"/>
      <c r="B91" s="38" t="n"/>
      <c r="C91" s="38" t="n"/>
      <c r="D91" s="39" t="n"/>
      <c r="E91" s="38" t="n"/>
      <c r="F91" s="38" t="n"/>
      <c r="G91" s="38" t="n"/>
      <c r="H91" s="38" t="n"/>
      <c r="I91" s="40" t="n"/>
      <c r="J91" s="38" t="n"/>
      <c r="K91" s="38" t="n"/>
      <c r="L91" s="42" t="n"/>
      <c r="M91" s="42" t="n"/>
    </row>
    <row r="92" ht="21" customHeight="1">
      <c r="A92" s="38" t="n"/>
      <c r="B92" s="38" t="n"/>
      <c r="C92" s="38" t="n"/>
      <c r="D92" s="39" t="n"/>
      <c r="E92" s="38" t="n"/>
      <c r="F92" s="38" t="n"/>
      <c r="G92" s="38" t="n"/>
      <c r="H92" s="38" t="n"/>
      <c r="I92" s="40" t="n"/>
      <c r="J92" s="38" t="n"/>
      <c r="K92" s="38" t="n"/>
      <c r="L92" s="42" t="n"/>
      <c r="M92" s="42" t="n"/>
    </row>
    <row r="93" ht="21" customHeight="1">
      <c r="A93" s="38" t="n"/>
      <c r="B93" s="38" t="n"/>
      <c r="C93" s="38" t="n"/>
      <c r="D93" s="39" t="n"/>
      <c r="E93" s="38" t="n"/>
      <c r="F93" s="38" t="n"/>
      <c r="G93" s="38" t="n"/>
      <c r="H93" s="38" t="n"/>
      <c r="I93" s="40" t="n"/>
      <c r="J93" s="38" t="n"/>
      <c r="K93" s="38" t="n"/>
      <c r="L93" s="42" t="n"/>
      <c r="M93" s="42" t="n"/>
    </row>
    <row r="94" ht="21" customHeight="1">
      <c r="A94" s="38" t="n"/>
      <c r="B94" s="38" t="n"/>
      <c r="C94" s="38" t="n"/>
      <c r="D94" s="39" t="n"/>
      <c r="E94" s="38" t="n"/>
      <c r="F94" s="38" t="n"/>
      <c r="G94" s="38" t="n"/>
      <c r="H94" s="38" t="n"/>
      <c r="I94" s="40" t="n"/>
      <c r="J94" s="38" t="n"/>
      <c r="K94" s="38" t="n"/>
      <c r="L94" s="42" t="n"/>
      <c r="M94" s="42" t="n"/>
    </row>
    <row r="95" ht="21" customHeight="1">
      <c r="A95" s="38" t="n"/>
      <c r="B95" s="38" t="n"/>
      <c r="C95" s="38" t="n"/>
      <c r="D95" s="39" t="n"/>
      <c r="E95" s="38" t="n"/>
      <c r="F95" s="38" t="n"/>
      <c r="G95" s="38" t="n"/>
      <c r="H95" s="38" t="n"/>
      <c r="I95" s="40" t="n"/>
      <c r="J95" s="38" t="n"/>
      <c r="K95" s="38" t="n"/>
      <c r="L95" s="42" t="n"/>
      <c r="M95" s="42" t="n"/>
    </row>
    <row r="96" ht="21" customHeight="1">
      <c r="A96" s="38" t="n"/>
      <c r="B96" s="38" t="n"/>
      <c r="C96" s="38" t="n"/>
      <c r="D96" s="39" t="n"/>
      <c r="E96" s="38" t="n"/>
      <c r="F96" s="38" t="n"/>
      <c r="G96" s="38" t="n"/>
      <c r="H96" s="38" t="n"/>
      <c r="I96" s="40" t="n"/>
      <c r="J96" s="38" t="n"/>
      <c r="K96" s="38" t="n"/>
      <c r="L96" s="42" t="n"/>
      <c r="M96" s="42" t="n"/>
    </row>
    <row r="97" ht="21" customHeight="1">
      <c r="A97" s="38" t="n"/>
      <c r="B97" s="38" t="n"/>
      <c r="C97" s="38" t="n"/>
      <c r="D97" s="39" t="n"/>
      <c r="E97" s="38" t="n"/>
      <c r="F97" s="38" t="n"/>
      <c r="G97" s="38" t="n"/>
      <c r="H97" s="38" t="n"/>
      <c r="I97" s="40" t="n"/>
      <c r="J97" s="38" t="n"/>
      <c r="K97" s="38" t="n"/>
      <c r="L97" s="42" t="n"/>
      <c r="M97" s="42" t="n"/>
    </row>
    <row r="98" ht="21" customHeight="1">
      <c r="A98" s="38" t="n"/>
      <c r="B98" s="38" t="n"/>
      <c r="C98" s="38" t="n"/>
      <c r="D98" s="39" t="n"/>
      <c r="E98" s="38" t="n"/>
      <c r="F98" s="38" t="n"/>
      <c r="G98" s="38" t="n"/>
      <c r="H98" s="38" t="n"/>
      <c r="I98" s="40" t="n"/>
      <c r="J98" s="38" t="n"/>
      <c r="K98" s="38" t="n"/>
      <c r="L98" s="42" t="n"/>
      <c r="M98" s="42" t="n"/>
    </row>
    <row r="99" ht="21" customHeight="1">
      <c r="A99" s="38" t="n"/>
      <c r="B99" s="38" t="n"/>
      <c r="C99" s="38" t="n"/>
      <c r="D99" s="39" t="n"/>
      <c r="E99" s="38" t="n"/>
      <c r="F99" s="38" t="n"/>
      <c r="G99" s="38" t="n"/>
      <c r="H99" s="38" t="n"/>
      <c r="I99" s="40" t="n"/>
      <c r="J99" s="38" t="n"/>
      <c r="K99" s="38" t="n"/>
      <c r="L99" s="42" t="n"/>
      <c r="M99" s="42" t="n"/>
    </row>
    <row r="100" ht="21" customHeight="1">
      <c r="A100" s="38" t="n"/>
      <c r="B100" s="38" t="n"/>
      <c r="C100" s="38" t="n"/>
      <c r="D100" s="39" t="n"/>
      <c r="E100" s="38" t="n"/>
      <c r="F100" s="38" t="n"/>
      <c r="G100" s="38" t="n"/>
      <c r="H100" s="38" t="n"/>
      <c r="I100" s="40" t="n"/>
      <c r="J100" s="38" t="n"/>
      <c r="K100" s="38" t="n"/>
      <c r="L100" s="42" t="n"/>
      <c r="M100" s="42" t="n"/>
    </row>
    <row r="101" ht="21" customHeight="1">
      <c r="A101" s="38" t="n"/>
      <c r="B101" s="38" t="n"/>
      <c r="C101" s="38" t="n"/>
      <c r="D101" s="39" t="n"/>
      <c r="E101" s="38" t="n"/>
      <c r="F101" s="38" t="n"/>
      <c r="G101" s="38" t="n"/>
      <c r="H101" s="38" t="n"/>
      <c r="I101" s="40" t="n"/>
      <c r="J101" s="38" t="n"/>
      <c r="K101" s="38" t="n"/>
      <c r="L101" s="42" t="n"/>
      <c r="M101" s="42" t="n"/>
    </row>
    <row r="102" ht="21" customHeight="1">
      <c r="A102" s="38" t="n"/>
      <c r="B102" s="38" t="n"/>
      <c r="C102" s="38" t="n"/>
      <c r="D102" s="39" t="n"/>
      <c r="E102" s="38" t="n"/>
      <c r="F102" s="38" t="n"/>
      <c r="G102" s="38" t="n"/>
      <c r="H102" s="38" t="n"/>
      <c r="I102" s="40" t="n"/>
      <c r="J102" s="38" t="n"/>
      <c r="K102" s="38" t="n"/>
      <c r="L102" s="42" t="n"/>
      <c r="M102" s="42" t="n"/>
    </row>
    <row r="103" ht="21" customHeight="1">
      <c r="A103" s="38" t="n"/>
      <c r="B103" s="38" t="n"/>
      <c r="C103" s="38" t="n"/>
      <c r="D103" s="39" t="n"/>
      <c r="E103" s="38" t="n"/>
      <c r="F103" s="38" t="n"/>
      <c r="G103" s="38" t="n"/>
      <c r="H103" s="38" t="n"/>
      <c r="I103" s="40" t="n"/>
      <c r="J103" s="38" t="n"/>
      <c r="K103" s="38" t="n"/>
      <c r="L103" s="42" t="n"/>
      <c r="M103" s="42" t="n"/>
    </row>
    <row r="104" ht="21" customHeight="1">
      <c r="A104" s="38" t="n"/>
      <c r="B104" s="38" t="n"/>
      <c r="C104" s="38" t="n"/>
      <c r="D104" s="39" t="n"/>
      <c r="E104" s="38" t="n"/>
      <c r="F104" s="38" t="n"/>
      <c r="G104" s="38" t="n"/>
      <c r="H104" s="38" t="n"/>
      <c r="I104" s="40" t="n"/>
      <c r="J104" s="38" t="n"/>
      <c r="K104" s="38" t="n"/>
      <c r="L104" s="42" t="n"/>
      <c r="M104" s="42" t="n"/>
    </row>
    <row r="105" ht="21" customHeight="1">
      <c r="A105" s="38" t="n"/>
      <c r="B105" s="38" t="n"/>
      <c r="C105" s="38" t="n"/>
      <c r="D105" s="39" t="n"/>
      <c r="E105" s="38" t="n"/>
      <c r="F105" s="38" t="n"/>
      <c r="G105" s="38" t="n"/>
      <c r="H105" s="38" t="n"/>
      <c r="I105" s="40" t="n"/>
      <c r="J105" s="38" t="n"/>
      <c r="K105" s="38" t="n"/>
      <c r="L105" s="42" t="n"/>
      <c r="M105" s="42" t="n"/>
    </row>
    <row r="106" ht="21" customHeight="1">
      <c r="A106" s="38" t="n"/>
      <c r="B106" s="38" t="n"/>
      <c r="C106" s="38" t="n"/>
      <c r="D106" s="39" t="n"/>
      <c r="E106" s="38" t="n"/>
      <c r="F106" s="38" t="n"/>
      <c r="G106" s="38" t="n"/>
      <c r="H106" s="38" t="n"/>
      <c r="I106" s="40" t="n"/>
      <c r="J106" s="38" t="n"/>
      <c r="K106" s="38" t="n"/>
      <c r="L106" s="42" t="n"/>
      <c r="M106" s="42" t="n"/>
    </row>
    <row r="107" ht="21" customHeight="1">
      <c r="A107" s="38" t="n"/>
      <c r="B107" s="38" t="n"/>
      <c r="C107" s="38" t="n"/>
      <c r="D107" s="39" t="n"/>
      <c r="E107" s="38" t="n"/>
      <c r="F107" s="38" t="n"/>
      <c r="G107" s="38" t="n"/>
      <c r="H107" s="38" t="n"/>
      <c r="I107" s="40" t="n"/>
      <c r="J107" s="38" t="n"/>
      <c r="K107" s="38" t="n"/>
      <c r="L107" s="42" t="n"/>
      <c r="M107" s="42" t="n"/>
    </row>
    <row r="108" ht="21" customHeight="1">
      <c r="A108" s="38" t="n"/>
      <c r="B108" s="38" t="n"/>
      <c r="C108" s="38" t="n"/>
      <c r="D108" s="39" t="n"/>
      <c r="E108" s="38" t="n"/>
      <c r="F108" s="38" t="n"/>
      <c r="G108" s="38" t="n"/>
      <c r="H108" s="38" t="n"/>
      <c r="I108" s="40" t="n"/>
      <c r="J108" s="38" t="n"/>
      <c r="K108" s="38" t="n"/>
      <c r="L108" s="42" t="n"/>
      <c r="M108" s="42" t="n"/>
    </row>
    <row r="109" ht="21" customHeight="1">
      <c r="A109" s="38" t="n"/>
      <c r="B109" s="38" t="n"/>
      <c r="C109" s="38" t="n"/>
      <c r="D109" s="39" t="n"/>
      <c r="E109" s="38" t="n"/>
      <c r="F109" s="38" t="n"/>
      <c r="G109" s="38" t="n"/>
      <c r="H109" s="38" t="n"/>
      <c r="I109" s="40" t="n"/>
      <c r="J109" s="38" t="n"/>
      <c r="K109" s="38" t="n"/>
      <c r="L109" s="42" t="n"/>
      <c r="M109" s="42" t="n"/>
    </row>
    <row r="110" ht="21" customHeight="1">
      <c r="A110" s="38" t="n"/>
      <c r="B110" s="38" t="n"/>
      <c r="C110" s="38" t="n"/>
      <c r="D110" s="39" t="n"/>
      <c r="E110" s="38" t="n"/>
      <c r="F110" s="38" t="n"/>
      <c r="G110" s="38" t="n"/>
      <c r="H110" s="38" t="n"/>
      <c r="I110" s="40" t="n"/>
      <c r="J110" s="38" t="n"/>
      <c r="K110" s="38" t="n"/>
      <c r="L110" s="42" t="n"/>
      <c r="M110" s="42" t="n"/>
    </row>
    <row r="111" ht="21" customHeight="1">
      <c r="A111" s="38" t="n"/>
      <c r="B111" s="38" t="n"/>
      <c r="C111" s="38" t="n"/>
      <c r="D111" s="39" t="n"/>
      <c r="E111" s="38" t="n"/>
      <c r="F111" s="38" t="n"/>
      <c r="G111" s="38" t="n"/>
      <c r="H111" s="38" t="n"/>
      <c r="I111" s="40" t="n"/>
      <c r="J111" s="38" t="n"/>
      <c r="K111" s="38" t="n"/>
      <c r="L111" s="42" t="n"/>
      <c r="M111" s="42" t="n"/>
    </row>
    <row r="112" ht="21" customHeight="1">
      <c r="A112" s="38" t="n"/>
      <c r="B112" s="38" t="n"/>
      <c r="C112" s="38" t="n"/>
      <c r="D112" s="39" t="n"/>
      <c r="E112" s="38" t="n"/>
      <c r="F112" s="38" t="n"/>
      <c r="G112" s="38" t="n"/>
      <c r="H112" s="38" t="n"/>
      <c r="I112" s="40" t="n"/>
      <c r="J112" s="38" t="n"/>
      <c r="K112" s="38" t="n"/>
      <c r="L112" s="42" t="n"/>
      <c r="M112" s="42" t="n"/>
    </row>
    <row r="113" ht="21" customHeight="1">
      <c r="A113" s="38" t="n"/>
      <c r="B113" s="38" t="n"/>
      <c r="C113" s="38" t="n"/>
      <c r="D113" s="39" t="n"/>
      <c r="E113" s="38" t="n"/>
      <c r="F113" s="38" t="n"/>
      <c r="G113" s="38" t="n"/>
      <c r="H113" s="38" t="n"/>
      <c r="I113" s="40" t="n"/>
      <c r="J113" s="38" t="n"/>
      <c r="K113" s="38" t="n"/>
      <c r="L113" s="42" t="n"/>
      <c r="M113" s="42" t="n"/>
    </row>
    <row r="114" ht="21" customHeight="1">
      <c r="A114" s="38" t="n"/>
      <c r="B114" s="38" t="n"/>
      <c r="C114" s="38" t="n"/>
      <c r="D114" s="39" t="n"/>
      <c r="E114" s="38" t="n"/>
      <c r="F114" s="38" t="n"/>
      <c r="G114" s="38" t="n"/>
      <c r="H114" s="38" t="n"/>
      <c r="I114" s="40" t="n"/>
      <c r="J114" s="38" t="n"/>
      <c r="K114" s="38" t="n"/>
      <c r="L114" s="42" t="n"/>
      <c r="M114" s="42" t="n"/>
    </row>
    <row r="115" ht="21" customHeight="1">
      <c r="A115" s="38" t="n"/>
      <c r="B115" s="38" t="n"/>
      <c r="C115" s="38" t="n"/>
      <c r="D115" s="39" t="n"/>
      <c r="E115" s="38" t="n"/>
      <c r="F115" s="38" t="n"/>
      <c r="G115" s="38" t="n"/>
      <c r="H115" s="38" t="n"/>
      <c r="I115" s="40" t="n"/>
      <c r="J115" s="38" t="n"/>
      <c r="K115" s="38" t="n"/>
      <c r="L115" s="42" t="n"/>
      <c r="M115" s="42" t="n"/>
    </row>
    <row r="116" ht="21" customHeight="1">
      <c r="A116" s="38" t="n"/>
      <c r="B116" s="38" t="n"/>
      <c r="C116" s="38" t="n"/>
      <c r="D116" s="39" t="n"/>
      <c r="E116" s="38" t="n"/>
      <c r="F116" s="38" t="n"/>
      <c r="G116" s="38" t="n"/>
      <c r="H116" s="38" t="n"/>
      <c r="I116" s="40" t="n"/>
      <c r="J116" s="38" t="n"/>
      <c r="K116" s="38" t="n"/>
      <c r="L116" s="42" t="n"/>
      <c r="M116" s="42" t="n"/>
    </row>
    <row r="117" ht="21" customHeight="1">
      <c r="A117" s="38" t="n"/>
      <c r="B117" s="38" t="n"/>
      <c r="C117" s="38" t="n"/>
      <c r="D117" s="39" t="n"/>
      <c r="E117" s="38" t="n"/>
      <c r="F117" s="38" t="n"/>
      <c r="G117" s="38" t="n"/>
      <c r="H117" s="38" t="n"/>
      <c r="I117" s="40" t="n"/>
      <c r="J117" s="38" t="n"/>
      <c r="K117" s="38" t="n"/>
      <c r="L117" s="42" t="n"/>
      <c r="M117" s="42" t="n"/>
    </row>
    <row r="118" ht="21" customHeight="1">
      <c r="A118" s="38" t="n"/>
      <c r="B118" s="38" t="n"/>
      <c r="C118" s="38" t="n"/>
      <c r="D118" s="39" t="n"/>
      <c r="E118" s="38" t="n"/>
      <c r="F118" s="38" t="n"/>
      <c r="G118" s="38" t="n"/>
      <c r="H118" s="38" t="n"/>
      <c r="I118" s="40" t="n"/>
      <c r="J118" s="38" t="n"/>
      <c r="K118" s="38" t="n"/>
      <c r="L118" s="42" t="n"/>
      <c r="M118" s="42" t="n"/>
    </row>
    <row r="119" ht="21" customHeight="1">
      <c r="A119" s="38" t="n"/>
      <c r="B119" s="38" t="n"/>
      <c r="C119" s="38" t="n"/>
      <c r="D119" s="39" t="n"/>
      <c r="E119" s="38" t="n"/>
      <c r="F119" s="38" t="n"/>
      <c r="G119" s="38" t="n"/>
      <c r="H119" s="38" t="n"/>
      <c r="I119" s="40" t="n"/>
      <c r="J119" s="38" t="n"/>
      <c r="K119" s="38" t="n"/>
      <c r="L119" s="42" t="n"/>
      <c r="M119" s="42" t="n"/>
    </row>
    <row r="120" ht="21" customHeight="1">
      <c r="A120" s="38" t="n"/>
      <c r="B120" s="38" t="n"/>
      <c r="C120" s="38" t="n"/>
      <c r="D120" s="39" t="n"/>
      <c r="E120" s="38" t="n"/>
      <c r="F120" s="38" t="n"/>
      <c r="G120" s="38" t="n"/>
      <c r="H120" s="38" t="n"/>
      <c r="I120" s="40" t="n"/>
      <c r="J120" s="38" t="n"/>
      <c r="K120" s="38" t="n"/>
      <c r="L120" s="42" t="n"/>
      <c r="M120" s="42" t="n"/>
    </row>
    <row r="121" ht="21" customHeight="1">
      <c r="A121" s="38" t="n"/>
      <c r="B121" s="38" t="n"/>
      <c r="C121" s="38" t="n"/>
      <c r="D121" s="39" t="n"/>
      <c r="E121" s="38" t="n"/>
      <c r="F121" s="38" t="n"/>
      <c r="G121" s="38" t="n"/>
      <c r="H121" s="38" t="n"/>
      <c r="I121" s="40" t="n"/>
      <c r="J121" s="38" t="n"/>
      <c r="K121" s="38" t="n"/>
      <c r="L121" s="42" t="n"/>
      <c r="M121" s="42" t="n"/>
    </row>
    <row r="122" ht="21" customHeight="1">
      <c r="A122" s="38" t="n"/>
      <c r="B122" s="38" t="n"/>
      <c r="C122" s="38" t="n"/>
      <c r="D122" s="39" t="n"/>
      <c r="E122" s="38" t="n"/>
      <c r="F122" s="38" t="n"/>
      <c r="G122" s="38" t="n"/>
      <c r="H122" s="38" t="n"/>
      <c r="I122" s="40" t="n"/>
      <c r="J122" s="38" t="n"/>
      <c r="K122" s="38" t="n"/>
      <c r="L122" s="42" t="n"/>
      <c r="M122" s="42" t="n"/>
    </row>
    <row r="123" ht="21" customHeight="1">
      <c r="A123" s="38" t="n"/>
      <c r="B123" s="38" t="n"/>
      <c r="C123" s="38" t="n"/>
      <c r="D123" s="39" t="n"/>
      <c r="E123" s="38" t="n"/>
      <c r="F123" s="38" t="n"/>
      <c r="G123" s="38" t="n"/>
      <c r="H123" s="38" t="n"/>
      <c r="I123" s="40" t="n"/>
      <c r="J123" s="38" t="n"/>
      <c r="K123" s="38" t="n"/>
      <c r="L123" s="42" t="n"/>
      <c r="M123" s="42" t="n"/>
    </row>
    <row r="124" ht="21" customHeight="1">
      <c r="A124" s="38" t="n"/>
      <c r="B124" s="38" t="n"/>
      <c r="C124" s="38" t="n"/>
      <c r="D124" s="39" t="n"/>
      <c r="E124" s="38" t="n"/>
      <c r="F124" s="38" t="n"/>
      <c r="G124" s="38" t="n"/>
      <c r="H124" s="38" t="n"/>
      <c r="I124" s="40" t="n"/>
      <c r="J124" s="38" t="n"/>
      <c r="K124" s="38" t="n"/>
      <c r="L124" s="42" t="n"/>
      <c r="M124" s="42" t="n"/>
    </row>
    <row r="125" ht="21" customHeight="1">
      <c r="A125" s="38" t="n"/>
      <c r="B125" s="38" t="n"/>
      <c r="C125" s="38" t="n"/>
      <c r="D125" s="39" t="n"/>
      <c r="E125" s="38" t="n"/>
      <c r="F125" s="38" t="n"/>
      <c r="G125" s="38" t="n"/>
      <c r="H125" s="38" t="n"/>
      <c r="I125" s="40" t="n"/>
      <c r="J125" s="38" t="n"/>
      <c r="K125" s="38" t="n"/>
      <c r="L125" s="42" t="n"/>
      <c r="M125" s="42" t="n"/>
    </row>
    <row r="126" ht="21" customHeight="1">
      <c r="A126" s="38" t="n"/>
      <c r="B126" s="38" t="n"/>
      <c r="C126" s="38" t="n"/>
      <c r="D126" s="39" t="n"/>
      <c r="E126" s="38" t="n"/>
      <c r="F126" s="38" t="n"/>
      <c r="G126" s="38" t="n"/>
      <c r="H126" s="38" t="n"/>
      <c r="I126" s="40" t="n"/>
      <c r="J126" s="38" t="n"/>
      <c r="K126" s="38" t="n"/>
      <c r="L126" s="42" t="n"/>
      <c r="M126" s="42" t="n"/>
    </row>
    <row r="127" ht="21" customHeight="1">
      <c r="A127" s="38" t="n"/>
      <c r="B127" s="38" t="n"/>
      <c r="C127" s="38" t="n"/>
      <c r="D127" s="39" t="n"/>
      <c r="E127" s="38" t="n"/>
      <c r="F127" s="38" t="n"/>
      <c r="G127" s="38" t="n"/>
      <c r="H127" s="38" t="n"/>
      <c r="I127" s="40" t="n"/>
      <c r="J127" s="38" t="n"/>
      <c r="K127" s="38" t="n"/>
      <c r="L127" s="42" t="n"/>
      <c r="M127" s="42" t="n"/>
    </row>
    <row r="128" ht="21" customHeight="1">
      <c r="A128" s="38" t="n"/>
      <c r="B128" s="38" t="n"/>
      <c r="C128" s="38" t="n"/>
      <c r="D128" s="39" t="n"/>
      <c r="E128" s="38" t="n"/>
      <c r="F128" s="38" t="n"/>
      <c r="G128" s="38" t="n"/>
      <c r="H128" s="38" t="n"/>
      <c r="I128" s="40" t="n"/>
      <c r="J128" s="38" t="n"/>
      <c r="K128" s="38" t="n"/>
      <c r="L128" s="42" t="n"/>
      <c r="M128" s="42" t="n"/>
    </row>
    <row r="129" ht="21" customHeight="1">
      <c r="A129" s="38" t="n"/>
      <c r="B129" s="38" t="n"/>
      <c r="C129" s="38" t="n"/>
      <c r="D129" s="39" t="n"/>
      <c r="E129" s="38" t="n"/>
      <c r="F129" s="38" t="n"/>
      <c r="G129" s="38" t="n"/>
      <c r="H129" s="38" t="n"/>
      <c r="I129" s="40" t="n"/>
      <c r="J129" s="38" t="n"/>
      <c r="K129" s="38" t="n"/>
      <c r="L129" s="42" t="n"/>
      <c r="M129" s="42" t="n"/>
    </row>
    <row r="130" ht="21" customHeight="1">
      <c r="A130" s="38" t="n"/>
      <c r="B130" s="38" t="n"/>
      <c r="C130" s="38" t="n"/>
      <c r="D130" s="39" t="n"/>
      <c r="E130" s="38" t="n"/>
      <c r="F130" s="38" t="n"/>
      <c r="G130" s="38" t="n"/>
      <c r="H130" s="38" t="n"/>
      <c r="I130" s="40" t="n"/>
      <c r="J130" s="38" t="n"/>
      <c r="K130" s="38" t="n"/>
      <c r="L130" s="42" t="n"/>
      <c r="M130" s="42" t="n"/>
    </row>
    <row r="131" ht="21" customHeight="1">
      <c r="A131" s="38" t="n"/>
      <c r="B131" s="38" t="n"/>
      <c r="C131" s="38" t="n"/>
      <c r="D131" s="39" t="n"/>
      <c r="E131" s="38" t="n"/>
      <c r="F131" s="38" t="n"/>
      <c r="G131" s="38" t="n"/>
      <c r="H131" s="38" t="n"/>
      <c r="I131" s="40" t="n"/>
      <c r="J131" s="38" t="n"/>
      <c r="K131" s="38" t="n"/>
      <c r="L131" s="42" t="n"/>
      <c r="M131" s="42" t="n"/>
    </row>
    <row r="132" ht="21" customHeight="1">
      <c r="A132" s="38" t="n"/>
      <c r="B132" s="38" t="n"/>
      <c r="C132" s="38" t="n"/>
      <c r="D132" s="39" t="n"/>
      <c r="E132" s="38" t="n"/>
      <c r="F132" s="38" t="n"/>
      <c r="G132" s="38" t="n"/>
      <c r="H132" s="38" t="n"/>
      <c r="I132" s="40" t="n"/>
      <c r="J132" s="38" t="n"/>
      <c r="K132" s="38" t="n"/>
      <c r="L132" s="42" t="n"/>
      <c r="M132" s="42" t="n"/>
    </row>
    <row r="133" ht="21" customHeight="1">
      <c r="A133" s="38" t="n"/>
      <c r="B133" s="38" t="n"/>
      <c r="C133" s="38" t="n"/>
      <c r="D133" s="39" t="n"/>
      <c r="E133" s="38" t="n"/>
      <c r="F133" s="38" t="n"/>
      <c r="G133" s="38" t="n"/>
      <c r="H133" s="38" t="n"/>
      <c r="I133" s="40" t="n"/>
      <c r="J133" s="38" t="n"/>
      <c r="K133" s="38" t="n"/>
      <c r="L133" s="42" t="n"/>
      <c r="M133" s="42" t="n"/>
    </row>
    <row r="134" ht="21" customHeight="1">
      <c r="A134" s="38" t="n"/>
      <c r="B134" s="38" t="n"/>
      <c r="C134" s="38" t="n"/>
      <c r="D134" s="39" t="n"/>
      <c r="E134" s="38" t="n"/>
      <c r="F134" s="38" t="n"/>
      <c r="G134" s="38" t="n"/>
      <c r="H134" s="38" t="n"/>
      <c r="I134" s="40" t="n"/>
      <c r="J134" s="38" t="n"/>
      <c r="K134" s="38" t="n"/>
      <c r="L134" s="42" t="n"/>
      <c r="M134" s="42" t="n"/>
    </row>
    <row r="135" ht="21" customHeight="1">
      <c r="A135" s="38" t="n"/>
      <c r="B135" s="38" t="n"/>
      <c r="C135" s="38" t="n"/>
      <c r="D135" s="39" t="n"/>
      <c r="E135" s="38" t="n"/>
      <c r="F135" s="38" t="n"/>
      <c r="G135" s="38" t="n"/>
      <c r="H135" s="38" t="n"/>
      <c r="I135" s="40" t="n"/>
      <c r="J135" s="38" t="n"/>
      <c r="K135" s="38" t="n"/>
      <c r="L135" s="42" t="n"/>
      <c r="M135" s="42" t="n"/>
    </row>
    <row r="136" ht="21" customHeight="1">
      <c r="A136" s="38" t="n"/>
      <c r="B136" s="38" t="n"/>
      <c r="C136" s="38" t="n"/>
      <c r="D136" s="39" t="n"/>
      <c r="E136" s="38" t="n"/>
      <c r="F136" s="38" t="n"/>
      <c r="G136" s="38" t="n"/>
      <c r="H136" s="38" t="n"/>
      <c r="I136" s="40" t="n"/>
      <c r="J136" s="38" t="n"/>
      <c r="K136" s="38" t="n"/>
      <c r="L136" s="42" t="n"/>
      <c r="M136" s="42" t="n"/>
    </row>
    <row r="137" ht="21" customHeight="1">
      <c r="A137" s="38" t="n"/>
      <c r="B137" s="38" t="n"/>
      <c r="C137" s="38" t="n"/>
      <c r="D137" s="39" t="n"/>
      <c r="E137" s="38" t="n"/>
      <c r="F137" s="38" t="n"/>
      <c r="G137" s="38" t="n"/>
      <c r="H137" s="38" t="n"/>
      <c r="I137" s="40" t="n"/>
      <c r="J137" s="38" t="n"/>
      <c r="K137" s="38" t="n"/>
      <c r="L137" s="42" t="n"/>
      <c r="M137" s="42" t="n"/>
    </row>
    <row r="138" ht="21" customHeight="1">
      <c r="A138" s="38" t="n"/>
      <c r="B138" s="38" t="n"/>
      <c r="C138" s="38" t="n"/>
      <c r="D138" s="39" t="n"/>
      <c r="E138" s="38" t="n"/>
      <c r="F138" s="38" t="n"/>
      <c r="G138" s="38" t="n"/>
      <c r="H138" s="38" t="n"/>
      <c r="I138" s="40" t="n"/>
      <c r="J138" s="38" t="n"/>
      <c r="K138" s="38" t="n"/>
      <c r="L138" s="42" t="n"/>
      <c r="M138" s="42" t="n"/>
    </row>
    <row r="139" ht="21" customHeight="1">
      <c r="A139" s="38" t="n"/>
      <c r="B139" s="38" t="n"/>
      <c r="C139" s="38" t="n"/>
      <c r="D139" s="39" t="n"/>
      <c r="E139" s="38" t="n"/>
      <c r="F139" s="38" t="n"/>
      <c r="G139" s="38" t="n"/>
      <c r="H139" s="38" t="n"/>
      <c r="I139" s="40" t="n"/>
      <c r="J139" s="38" t="n"/>
      <c r="K139" s="38" t="n"/>
      <c r="L139" s="42" t="n"/>
      <c r="M139" s="42" t="n"/>
    </row>
    <row r="140" ht="21" customHeight="1">
      <c r="A140" s="38" t="n"/>
      <c r="B140" s="38" t="n"/>
      <c r="C140" s="38" t="n"/>
      <c r="D140" s="39" t="n"/>
      <c r="E140" s="38" t="n"/>
      <c r="F140" s="38" t="n"/>
      <c r="G140" s="38" t="n"/>
      <c r="H140" s="38" t="n"/>
      <c r="I140" s="40" t="n"/>
      <c r="J140" s="38" t="n"/>
      <c r="K140" s="38" t="n"/>
      <c r="L140" s="42" t="n"/>
      <c r="M140" s="42" t="n"/>
    </row>
    <row r="141" ht="21" customHeight="1">
      <c r="A141" s="38" t="n"/>
      <c r="B141" s="38" t="n"/>
      <c r="C141" s="38" t="n"/>
      <c r="D141" s="39" t="n"/>
      <c r="E141" s="38" t="n"/>
      <c r="F141" s="38" t="n"/>
      <c r="G141" s="38" t="n"/>
      <c r="H141" s="38" t="n"/>
      <c r="I141" s="40" t="n"/>
      <c r="J141" s="38" t="n"/>
      <c r="K141" s="38" t="n"/>
      <c r="L141" s="42" t="n"/>
      <c r="M141" s="42" t="n"/>
    </row>
    <row r="142" ht="21" customHeight="1">
      <c r="A142" s="38" t="n"/>
      <c r="B142" s="38" t="n"/>
      <c r="C142" s="38" t="n"/>
      <c r="D142" s="39" t="n"/>
      <c r="E142" s="38" t="n"/>
      <c r="F142" s="38" t="n"/>
      <c r="G142" s="38" t="n"/>
      <c r="H142" s="38" t="n"/>
      <c r="I142" s="40" t="n"/>
      <c r="J142" s="38" t="n"/>
      <c r="K142" s="38" t="n"/>
      <c r="L142" s="42" t="n"/>
      <c r="M142" s="42" t="n"/>
    </row>
    <row r="143" ht="21" customHeight="1">
      <c r="A143" s="38" t="n"/>
      <c r="B143" s="38" t="n"/>
      <c r="C143" s="38" t="n"/>
      <c r="D143" s="39" t="n"/>
      <c r="E143" s="38" t="n"/>
      <c r="F143" s="38" t="n"/>
      <c r="G143" s="38" t="n"/>
      <c r="H143" s="38" t="n"/>
      <c r="I143" s="40" t="n"/>
      <c r="J143" s="38" t="n"/>
      <c r="K143" s="38" t="n"/>
      <c r="L143" s="42" t="n"/>
      <c r="M143" s="42" t="n"/>
    </row>
    <row r="144" ht="21" customHeight="1">
      <c r="A144" s="38" t="n"/>
      <c r="B144" s="38" t="n"/>
      <c r="C144" s="38" t="n"/>
      <c r="D144" s="39" t="n"/>
      <c r="E144" s="38" t="n"/>
      <c r="F144" s="38" t="n"/>
      <c r="G144" s="38" t="n"/>
      <c r="H144" s="38" t="n"/>
      <c r="I144" s="40" t="n"/>
      <c r="J144" s="38" t="n"/>
      <c r="K144" s="38" t="n"/>
      <c r="L144" s="42" t="n"/>
      <c r="M144" s="42" t="n"/>
    </row>
    <row r="145" ht="21" customHeight="1">
      <c r="A145" s="38" t="n"/>
      <c r="B145" s="38" t="n"/>
      <c r="C145" s="38" t="n"/>
      <c r="D145" s="39" t="n"/>
      <c r="E145" s="38" t="n"/>
      <c r="F145" s="38" t="n"/>
      <c r="G145" s="38" t="n"/>
      <c r="H145" s="38" t="n"/>
      <c r="I145" s="40" t="n"/>
      <c r="J145" s="38" t="n"/>
      <c r="K145" s="38" t="n"/>
      <c r="L145" s="42" t="n"/>
      <c r="M145" s="42" t="n"/>
    </row>
    <row r="146" ht="21" customHeight="1">
      <c r="A146" s="38" t="n"/>
      <c r="B146" s="38" t="n"/>
      <c r="C146" s="38" t="n"/>
      <c r="D146" s="39" t="n"/>
      <c r="E146" s="38" t="n"/>
      <c r="F146" s="38" t="n"/>
      <c r="G146" s="38" t="n"/>
      <c r="H146" s="38" t="n"/>
      <c r="I146" s="40" t="n"/>
      <c r="J146" s="38" t="n"/>
      <c r="K146" s="38" t="n"/>
      <c r="L146" s="42" t="n"/>
      <c r="M146" s="42" t="n"/>
    </row>
    <row r="147" ht="21" customHeight="1">
      <c r="A147" s="38" t="n"/>
      <c r="B147" s="38" t="n"/>
      <c r="C147" s="38" t="n"/>
      <c r="D147" s="39" t="n"/>
      <c r="E147" s="38" t="n"/>
      <c r="F147" s="38" t="n"/>
      <c r="G147" s="38" t="n"/>
      <c r="H147" s="38" t="n"/>
      <c r="I147" s="40" t="n"/>
      <c r="J147" s="38" t="n"/>
      <c r="K147" s="38" t="n"/>
      <c r="L147" s="42" t="n"/>
      <c r="M147" s="42" t="n"/>
    </row>
    <row r="148" ht="21" customHeight="1">
      <c r="A148" s="38" t="n"/>
      <c r="B148" s="38" t="n"/>
      <c r="C148" s="38" t="n"/>
      <c r="D148" s="39" t="n"/>
      <c r="E148" s="38" t="n"/>
      <c r="F148" s="38" t="n"/>
      <c r="G148" s="38" t="n"/>
      <c r="H148" s="38" t="n"/>
      <c r="I148" s="40" t="n"/>
      <c r="J148" s="38" t="n"/>
      <c r="K148" s="38" t="n"/>
      <c r="L148" s="42" t="n"/>
      <c r="M148" s="42" t="n"/>
    </row>
    <row r="149" ht="21" customHeight="1">
      <c r="A149" s="38" t="n"/>
      <c r="B149" s="38" t="n"/>
      <c r="C149" s="38" t="n"/>
      <c r="D149" s="39" t="n"/>
      <c r="E149" s="38" t="n"/>
      <c r="F149" s="38" t="n"/>
      <c r="G149" s="38" t="n"/>
      <c r="H149" s="38" t="n"/>
      <c r="I149" s="40" t="n"/>
      <c r="J149" s="38" t="n"/>
      <c r="K149" s="38" t="n"/>
      <c r="L149" s="42" t="n"/>
      <c r="M149" s="42" t="n"/>
    </row>
    <row r="150" ht="21" customHeight="1">
      <c r="A150" s="38" t="n"/>
      <c r="B150" s="38" t="n"/>
      <c r="C150" s="38" t="n"/>
      <c r="D150" s="39" t="n"/>
      <c r="E150" s="38" t="n"/>
      <c r="F150" s="38" t="n"/>
      <c r="G150" s="38" t="n"/>
      <c r="H150" s="38" t="n"/>
      <c r="I150" s="40" t="n"/>
      <c r="J150" s="38" t="n"/>
      <c r="K150" s="38" t="n"/>
      <c r="L150" s="42" t="n"/>
      <c r="M150" s="42" t="n"/>
    </row>
    <row r="151" ht="21" customHeight="1">
      <c r="A151" s="38" t="n"/>
      <c r="B151" s="38" t="n"/>
      <c r="C151" s="38" t="n"/>
      <c r="D151" s="39" t="n"/>
      <c r="E151" s="38" t="n"/>
      <c r="F151" s="38" t="n"/>
      <c r="G151" s="38" t="n"/>
      <c r="H151" s="38" t="n"/>
      <c r="I151" s="40" t="n"/>
      <c r="J151" s="38" t="n"/>
      <c r="K151" s="38" t="n"/>
      <c r="L151" s="42" t="n"/>
      <c r="M151" s="42" t="n"/>
    </row>
    <row r="152" ht="21" customHeight="1">
      <c r="A152" s="38" t="n"/>
      <c r="B152" s="38" t="n"/>
      <c r="C152" s="38" t="n"/>
      <c r="D152" s="39" t="n"/>
      <c r="E152" s="38" t="n"/>
      <c r="F152" s="38" t="n"/>
      <c r="G152" s="38" t="n"/>
      <c r="H152" s="38" t="n"/>
      <c r="I152" s="40" t="n"/>
      <c r="J152" s="38" t="n"/>
      <c r="K152" s="38" t="n"/>
      <c r="L152" s="42" t="n"/>
      <c r="M152" s="42" t="n"/>
    </row>
    <row r="153" ht="21" customHeight="1">
      <c r="A153" s="38" t="n"/>
      <c r="B153" s="38" t="n"/>
      <c r="C153" s="38" t="n"/>
      <c r="D153" s="39" t="n"/>
      <c r="E153" s="38" t="n"/>
      <c r="F153" s="38" t="n"/>
      <c r="G153" s="38" t="n"/>
      <c r="H153" s="38" t="n"/>
      <c r="I153" s="40" t="n"/>
      <c r="J153" s="38" t="n"/>
      <c r="K153" s="38" t="n"/>
      <c r="L153" s="42" t="n"/>
      <c r="M153" s="42" t="n"/>
    </row>
    <row r="154" ht="21" customHeight="1">
      <c r="A154" s="38" t="n"/>
      <c r="B154" s="38" t="n"/>
      <c r="C154" s="38" t="n"/>
      <c r="D154" s="39" t="n"/>
      <c r="E154" s="38" t="n"/>
      <c r="F154" s="38" t="n"/>
      <c r="G154" s="38" t="n"/>
      <c r="H154" s="38" t="n"/>
      <c r="I154" s="40" t="n"/>
      <c r="J154" s="38" t="n"/>
      <c r="K154" s="38" t="n"/>
      <c r="L154" s="42" t="n"/>
      <c r="M154" s="42" t="n"/>
    </row>
    <row r="155" ht="21" customHeight="1">
      <c r="A155" s="38" t="n"/>
      <c r="B155" s="38" t="n"/>
      <c r="C155" s="38" t="n"/>
      <c r="D155" s="39" t="n"/>
      <c r="E155" s="38" t="n"/>
      <c r="F155" s="38" t="n"/>
      <c r="G155" s="38" t="n"/>
      <c r="H155" s="38" t="n"/>
      <c r="I155" s="40" t="n"/>
      <c r="J155" s="38" t="n"/>
      <c r="K155" s="38" t="n"/>
      <c r="L155" s="42" t="n"/>
      <c r="M155" s="42" t="n"/>
    </row>
    <row r="156" ht="21" customHeight="1">
      <c r="A156" s="38" t="n"/>
      <c r="B156" s="38" t="n"/>
      <c r="C156" s="38" t="n"/>
      <c r="D156" s="39" t="n"/>
      <c r="E156" s="38" t="n"/>
      <c r="F156" s="38" t="n"/>
      <c r="G156" s="38" t="n"/>
      <c r="H156" s="38" t="n"/>
      <c r="I156" s="40" t="n"/>
      <c r="J156" s="38" t="n"/>
      <c r="K156" s="38" t="n"/>
      <c r="L156" s="42" t="n"/>
      <c r="M156" s="42" t="n"/>
    </row>
  </sheetData>
  <autoFilter ref="A6:M156"/>
  <mergeCells count="3">
    <mergeCell ref="A1:M2"/>
    <mergeCell ref="A3:M3"/>
    <mergeCell ref="A4:M4"/>
  </mergeCells>
  <conditionalFormatting sqref="J7:J156">
    <cfRule type="expression" priority="1" dxfId="2">
      <formula>=OR(J7="Complete",J7="Approved",J7="Delivered",J7="Installed",J7="Good condition",J7="Paid",J7="On budget")</formula>
    </cfRule>
    <cfRule type="expression" priority="2" dxfId="1">
      <formula>=OR(J7="Pending",J7="In progress",J7="Sent",J7="Waiting on client",J7="Waiting on vendor",J7="On hold",J7="Partially paid",J7="Scheduled")</formula>
    </cfRule>
    <cfRule type="expression" priority="3" dxfId="0">
      <formula>=OR(J7="Overdue",J7="Delayed",J7="Damaged",J7="Missing item",J7="Rejected",J7="Revisions requested")</formula>
    </cfRule>
    <cfRule type="expression" priority="4" dxfId="3">
      <formula>=OR(J7="Cancelled",J7="On hold",J7="Returned")</formula>
    </cfRule>
  </conditionalFormatting>
  <conditionalFormatting sqref="K7:K156">
    <cfRule type="expression" priority="5" dxfId="2">
      <formula>=OR(K7="Complete",K7="Approved",K7="Delivered",K7="Installed",K7="Good condition",K7="Paid",K7="On budget")</formula>
    </cfRule>
    <cfRule type="expression" priority="6" dxfId="1">
      <formula>=OR(K7="Pending",K7="In progress",K7="Sent",K7="Waiting on client",K7="Waiting on vendor",K7="On hold",K7="Partially paid",K7="Scheduled")</formula>
    </cfRule>
    <cfRule type="expression" priority="7" dxfId="0">
      <formula>=OR(K7="Overdue",K7="Delayed",K7="Damaged",K7="Missing item",K7="Rejected",K7="Revisions requested")</formula>
    </cfRule>
    <cfRule type="expression" priority="8" dxfId="3">
      <formula>=OR(K7="Cancelled",K7="On hold",K7="Returned")</formula>
    </cfRule>
  </conditionalFormatting>
  <dataValidations count="5">
    <dataValidation sqref="A7:A156" showDropDown="0" showInputMessage="1" showErrorMessage="1" allowBlank="1" errorTitle="Invalid entry" error="Please choose a value from the dropdown list." promptTitle="Choose from the dropdown" prompt="Select a value from the list." type="list">
      <formula1>=RoomNames</formula1>
    </dataValidation>
    <dataValidation sqref="E7:E156" showDropDown="0" showInputMessage="1" showErrorMessage="1" allowBlank="1" errorTitle="Invalid entry" error="Please choose a value from the dropdown list." promptTitle="Choose from the dropdown" prompt="Select a value from the list." type="list">
      <formula1>=VendorNames</formula1>
    </dataValidation>
    <dataValidation sqref="J7:J156" showDropDown="0" showInputMessage="1" showErrorMessage="1" allowBlank="1" errorTitle="Invalid entry" error="Please choose a value from the dropdown list." promptTitle="Choose from the dropdown" prompt="Select a value from the list." type="list">
      <formula1>=ApprovalStatuses</formula1>
    </dataValidation>
    <dataValidation sqref="K7:K156" showDropDown="0" showInputMessage="1" showErrorMessage="1" allowBlank="1" errorTitle="Invalid entry" error="Please choose a value from the dropdown list." promptTitle="Choose from the dropdown" prompt="Select a value from the list." type="list">
      <formula1>=POStatuses</formula1>
    </dataValidation>
    <dataValidation sqref="L7:M156" showDropDown="0" showInputMessage="1" showErrorMessage="1" allowBlank="1" errorTitle="Invalid date" error="Enter a valid date between 1/1/1900 and 12/31/2100." promptTitle="Enter a date" prompt="Use a date such as 6/30/2026." type="date" operator="between">
      <formula1>DATE(1900,1,1)</formula1>
      <formula2>DATE(2100,12,31)</formula2>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7.xml><?xml version="1.0" encoding="utf-8"?>
<worksheet xmlns="http://schemas.openxmlformats.org/spreadsheetml/2006/main">
  <sheetPr>
    <tabColor rgb="007F9E9F"/>
    <outlinePr summaryBelow="1" summaryRight="1"/>
    <pageSetUpPr fitToPage="1"/>
  </sheetPr>
  <dimension ref="A1:N156"/>
  <sheetViews>
    <sheetView showGridLines="0" zoomScale="85" workbookViewId="0">
      <pane ySplit="6" topLeftCell="A7" activePane="bottomLeft" state="frozen"/>
      <selection pane="bottomLeft" activeCell="A7" sqref="A1"/>
    </sheetView>
  </sheetViews>
  <sheetFormatPr baseColWidth="8" defaultRowHeight="15"/>
  <cols>
    <col width="20" customWidth="1" min="1" max="1"/>
    <col width="20" customWidth="1" min="2" max="2"/>
    <col width="26" customWidth="1" min="3" max="3"/>
    <col width="18" customWidth="1" min="4" max="4"/>
    <col width="15" customWidth="1" min="5" max="5"/>
    <col width="22" customWidth="1" min="6" max="6"/>
    <col width="20" customWidth="1" min="7" max="7"/>
    <col width="10" customWidth="1" min="8" max="8"/>
    <col width="14" customWidth="1" min="9" max="9"/>
    <col width="15" customWidth="1" min="10" max="10"/>
    <col width="20" customWidth="1" min="11" max="11"/>
    <col width="17" customWidth="1" min="12" max="12"/>
    <col width="15" customWidth="1" min="13" max="13"/>
    <col width="34" customWidth="1" min="14" max="14"/>
  </cols>
  <sheetData>
    <row r="1" ht="26" customHeight="1">
      <c r="A1" s="1" t="inlineStr">
        <is>
          <t>Fixtures Schedule</t>
        </is>
      </c>
    </row>
    <row r="2" ht="26" customHeight="1"/>
    <row r="3" ht="26" customHeight="1">
      <c r="A3" s="24" t="inlineStr">
        <is>
          <t>Lighting, plumbing, hardware, appliances, and built-in fixtures.</t>
        </is>
      </c>
    </row>
    <row r="4">
      <c r="A4" s="36" t="inlineStr">
        <is>
          <t>Tip: enter data in the warm cream cells. Blue cells calculate automatically. Use the filter arrows in row 6 to focus the view.</t>
        </is>
      </c>
    </row>
    <row r="6" ht="34" customHeight="1">
      <c r="A6" s="37" t="inlineStr">
        <is>
          <t>Room</t>
        </is>
      </c>
      <c r="B6" s="37" t="inlineStr">
        <is>
          <t>Fixture type</t>
        </is>
      </c>
      <c r="C6" s="37" t="inlineStr">
        <is>
          <t>Item name</t>
        </is>
      </c>
      <c r="D6" s="37" t="inlineStr">
        <is>
          <t>Finish</t>
        </is>
      </c>
      <c r="E6" s="37" t="inlineStr">
        <is>
          <t>Size</t>
        </is>
      </c>
      <c r="F6" s="37" t="inlineStr">
        <is>
          <t>Vendor</t>
        </is>
      </c>
      <c r="G6" s="37" t="inlineStr">
        <is>
          <t>Model/SKU</t>
        </is>
      </c>
      <c r="H6" s="37" t="inlineStr">
        <is>
          <t>Quantity</t>
        </is>
      </c>
      <c r="I6" s="37" t="inlineStr">
        <is>
          <t>Unit cost</t>
        </is>
      </c>
      <c r="J6" s="37" t="inlineStr">
        <is>
          <t>Total cost</t>
        </is>
      </c>
      <c r="K6" s="37" t="inlineStr">
        <is>
          <t>Required rough-in date</t>
        </is>
      </c>
      <c r="L6" s="37" t="inlineStr">
        <is>
          <t>Order deadline</t>
        </is>
      </c>
      <c r="M6" s="37" t="inlineStr">
        <is>
          <t>Delivery date</t>
        </is>
      </c>
      <c r="N6" s="37" t="inlineStr">
        <is>
          <t>Installer notes</t>
        </is>
      </c>
    </row>
    <row r="7" ht="21" customHeight="1">
      <c r="A7" s="38" t="n"/>
      <c r="B7" s="38" t="n"/>
      <c r="C7" s="38" t="n"/>
      <c r="D7" s="38" t="n"/>
      <c r="E7" s="38" t="n"/>
      <c r="F7" s="38" t="n"/>
      <c r="G7" s="38" t="n"/>
      <c r="H7" s="39" t="n"/>
      <c r="I7" s="40" t="n"/>
      <c r="J7" s="41">
        <f>IF(C7="","",H7*I7)</f>
        <v/>
      </c>
      <c r="K7" s="42" t="n"/>
      <c r="L7" s="38" t="n"/>
      <c r="M7" s="42" t="n"/>
      <c r="N7" s="38" t="n"/>
    </row>
    <row r="8" ht="21" customHeight="1">
      <c r="A8" s="38" t="n"/>
      <c r="B8" s="38" t="n"/>
      <c r="C8" s="38" t="n"/>
      <c r="D8" s="38" t="n"/>
      <c r="E8" s="38" t="n"/>
      <c r="F8" s="38" t="n"/>
      <c r="G8" s="38" t="n"/>
      <c r="H8" s="39" t="n"/>
      <c r="I8" s="40" t="n"/>
      <c r="J8" s="41">
        <f>IF(C8="","",H8*I8)</f>
        <v/>
      </c>
      <c r="K8" s="42" t="n"/>
      <c r="L8" s="38" t="n"/>
      <c r="M8" s="42" t="n"/>
      <c r="N8" s="38" t="n"/>
    </row>
    <row r="9" ht="21" customHeight="1">
      <c r="A9" s="38" t="n"/>
      <c r="B9" s="38" t="n"/>
      <c r="C9" s="38" t="n"/>
      <c r="D9" s="38" t="n"/>
      <c r="E9" s="38" t="n"/>
      <c r="F9" s="38" t="n"/>
      <c r="G9" s="38" t="n"/>
      <c r="H9" s="39" t="n"/>
      <c r="I9" s="40" t="n"/>
      <c r="J9" s="41">
        <f>IF(C9="","",H9*I9)</f>
        <v/>
      </c>
      <c r="K9" s="42" t="n"/>
      <c r="L9" s="38" t="n"/>
      <c r="M9" s="42" t="n"/>
      <c r="N9" s="38" t="n"/>
    </row>
    <row r="10" ht="21" customHeight="1">
      <c r="A10" s="38" t="n"/>
      <c r="B10" s="38" t="n"/>
      <c r="C10" s="38" t="n"/>
      <c r="D10" s="38" t="n"/>
      <c r="E10" s="38" t="n"/>
      <c r="F10" s="38" t="n"/>
      <c r="G10" s="38" t="n"/>
      <c r="H10" s="39" t="n"/>
      <c r="I10" s="40" t="n"/>
      <c r="J10" s="41">
        <f>IF(C10="","",H10*I10)</f>
        <v/>
      </c>
      <c r="K10" s="42" t="n"/>
      <c r="L10" s="38" t="n"/>
      <c r="M10" s="42" t="n"/>
      <c r="N10" s="38" t="n"/>
    </row>
    <row r="11" ht="21" customHeight="1">
      <c r="A11" s="38" t="n"/>
      <c r="B11" s="38" t="n"/>
      <c r="C11" s="38" t="n"/>
      <c r="D11" s="38" t="n"/>
      <c r="E11" s="38" t="n"/>
      <c r="F11" s="38" t="n"/>
      <c r="G11" s="38" t="n"/>
      <c r="H11" s="39" t="n"/>
      <c r="I11" s="40" t="n"/>
      <c r="J11" s="41">
        <f>IF(C11="","",H11*I11)</f>
        <v/>
      </c>
      <c r="K11" s="42" t="n"/>
      <c r="L11" s="38" t="n"/>
      <c r="M11" s="42" t="n"/>
      <c r="N11" s="38" t="n"/>
    </row>
    <row r="12" ht="21" customHeight="1">
      <c r="A12" s="38" t="n"/>
      <c r="B12" s="38" t="n"/>
      <c r="C12" s="38" t="n"/>
      <c r="D12" s="38" t="n"/>
      <c r="E12" s="38" t="n"/>
      <c r="F12" s="38" t="n"/>
      <c r="G12" s="38" t="n"/>
      <c r="H12" s="39" t="n"/>
      <c r="I12" s="40" t="n"/>
      <c r="J12" s="41">
        <f>IF(C12="","",H12*I12)</f>
        <v/>
      </c>
      <c r="K12" s="42" t="n"/>
      <c r="L12" s="38" t="n"/>
      <c r="M12" s="42" t="n"/>
      <c r="N12" s="38" t="n"/>
    </row>
    <row r="13" ht="21" customHeight="1">
      <c r="A13" s="38" t="n"/>
      <c r="B13" s="38" t="n"/>
      <c r="C13" s="38" t="n"/>
      <c r="D13" s="38" t="n"/>
      <c r="E13" s="38" t="n"/>
      <c r="F13" s="38" t="n"/>
      <c r="G13" s="38" t="n"/>
      <c r="H13" s="39" t="n"/>
      <c r="I13" s="40" t="n"/>
      <c r="J13" s="41">
        <f>IF(C13="","",H13*I13)</f>
        <v/>
      </c>
      <c r="K13" s="42" t="n"/>
      <c r="L13" s="38" t="n"/>
      <c r="M13" s="42" t="n"/>
      <c r="N13" s="38" t="n"/>
    </row>
    <row r="14" ht="21" customHeight="1">
      <c r="A14" s="38" t="n"/>
      <c r="B14" s="38" t="n"/>
      <c r="C14" s="38" t="n"/>
      <c r="D14" s="38" t="n"/>
      <c r="E14" s="38" t="n"/>
      <c r="F14" s="38" t="n"/>
      <c r="G14" s="38" t="n"/>
      <c r="H14" s="39" t="n"/>
      <c r="I14" s="40" t="n"/>
      <c r="J14" s="41">
        <f>IF(C14="","",H14*I14)</f>
        <v/>
      </c>
      <c r="K14" s="42" t="n"/>
      <c r="L14" s="38" t="n"/>
      <c r="M14" s="42" t="n"/>
      <c r="N14" s="38" t="n"/>
    </row>
    <row r="15" ht="21" customHeight="1">
      <c r="A15" s="38" t="n"/>
      <c r="B15" s="38" t="n"/>
      <c r="C15" s="38" t="n"/>
      <c r="D15" s="38" t="n"/>
      <c r="E15" s="38" t="n"/>
      <c r="F15" s="38" t="n"/>
      <c r="G15" s="38" t="n"/>
      <c r="H15" s="39" t="n"/>
      <c r="I15" s="40" t="n"/>
      <c r="J15" s="41">
        <f>IF(C15="","",H15*I15)</f>
        <v/>
      </c>
      <c r="K15" s="42" t="n"/>
      <c r="L15" s="38" t="n"/>
      <c r="M15" s="42" t="n"/>
      <c r="N15" s="38" t="n"/>
    </row>
    <row r="16" ht="21" customHeight="1">
      <c r="A16" s="38" t="n"/>
      <c r="B16" s="38" t="n"/>
      <c r="C16" s="38" t="n"/>
      <c r="D16" s="38" t="n"/>
      <c r="E16" s="38" t="n"/>
      <c r="F16" s="38" t="n"/>
      <c r="G16" s="38" t="n"/>
      <c r="H16" s="39" t="n"/>
      <c r="I16" s="40" t="n"/>
      <c r="J16" s="41">
        <f>IF(C16="","",H16*I16)</f>
        <v/>
      </c>
      <c r="K16" s="42" t="n"/>
      <c r="L16" s="38" t="n"/>
      <c r="M16" s="42" t="n"/>
      <c r="N16" s="38" t="n"/>
    </row>
    <row r="17" ht="21" customHeight="1">
      <c r="A17" s="38" t="n"/>
      <c r="B17" s="38" t="n"/>
      <c r="C17" s="38" t="n"/>
      <c r="D17" s="38" t="n"/>
      <c r="E17" s="38" t="n"/>
      <c r="F17" s="38" t="n"/>
      <c r="G17" s="38" t="n"/>
      <c r="H17" s="39" t="n"/>
      <c r="I17" s="40" t="n"/>
      <c r="J17" s="41">
        <f>IF(C17="","",H17*I17)</f>
        <v/>
      </c>
      <c r="K17" s="42" t="n"/>
      <c r="L17" s="38" t="n"/>
      <c r="M17" s="42" t="n"/>
      <c r="N17" s="38" t="n"/>
    </row>
    <row r="18" ht="21" customHeight="1">
      <c r="A18" s="38" t="n"/>
      <c r="B18" s="38" t="n"/>
      <c r="C18" s="38" t="n"/>
      <c r="D18" s="38" t="n"/>
      <c r="E18" s="38" t="n"/>
      <c r="F18" s="38" t="n"/>
      <c r="G18" s="38" t="n"/>
      <c r="H18" s="39" t="n"/>
      <c r="I18" s="40" t="n"/>
      <c r="J18" s="41">
        <f>IF(C18="","",H18*I18)</f>
        <v/>
      </c>
      <c r="K18" s="42" t="n"/>
      <c r="L18" s="38" t="n"/>
      <c r="M18" s="42" t="n"/>
      <c r="N18" s="38" t="n"/>
    </row>
    <row r="19" ht="21" customHeight="1">
      <c r="A19" s="38" t="n"/>
      <c r="B19" s="38" t="n"/>
      <c r="C19" s="38" t="n"/>
      <c r="D19" s="38" t="n"/>
      <c r="E19" s="38" t="n"/>
      <c r="F19" s="38" t="n"/>
      <c r="G19" s="38" t="n"/>
      <c r="H19" s="39" t="n"/>
      <c r="I19" s="40" t="n"/>
      <c r="J19" s="41">
        <f>IF(C19="","",H19*I19)</f>
        <v/>
      </c>
      <c r="K19" s="42" t="n"/>
      <c r="L19" s="38" t="n"/>
      <c r="M19" s="42" t="n"/>
      <c r="N19" s="38" t="n"/>
    </row>
    <row r="20" ht="21" customHeight="1">
      <c r="A20" s="38" t="n"/>
      <c r="B20" s="38" t="n"/>
      <c r="C20" s="38" t="n"/>
      <c r="D20" s="38" t="n"/>
      <c r="E20" s="38" t="n"/>
      <c r="F20" s="38" t="n"/>
      <c r="G20" s="38" t="n"/>
      <c r="H20" s="39" t="n"/>
      <c r="I20" s="40" t="n"/>
      <c r="J20" s="41">
        <f>IF(C20="","",H20*I20)</f>
        <v/>
      </c>
      <c r="K20" s="42" t="n"/>
      <c r="L20" s="38" t="n"/>
      <c r="M20" s="42" t="n"/>
      <c r="N20" s="38" t="n"/>
    </row>
    <row r="21" ht="21" customHeight="1">
      <c r="A21" s="38" t="n"/>
      <c r="B21" s="38" t="n"/>
      <c r="C21" s="38" t="n"/>
      <c r="D21" s="38" t="n"/>
      <c r="E21" s="38" t="n"/>
      <c r="F21" s="38" t="n"/>
      <c r="G21" s="38" t="n"/>
      <c r="H21" s="39" t="n"/>
      <c r="I21" s="40" t="n"/>
      <c r="J21" s="41">
        <f>IF(C21="","",H21*I21)</f>
        <v/>
      </c>
      <c r="K21" s="42" t="n"/>
      <c r="L21" s="38" t="n"/>
      <c r="M21" s="42" t="n"/>
      <c r="N21" s="38" t="n"/>
    </row>
    <row r="22" ht="21" customHeight="1">
      <c r="A22" s="38" t="n"/>
      <c r="B22" s="38" t="n"/>
      <c r="C22" s="38" t="n"/>
      <c r="D22" s="38" t="n"/>
      <c r="E22" s="38" t="n"/>
      <c r="F22" s="38" t="n"/>
      <c r="G22" s="38" t="n"/>
      <c r="H22" s="39" t="n"/>
      <c r="I22" s="40" t="n"/>
      <c r="J22" s="41">
        <f>IF(C22="","",H22*I22)</f>
        <v/>
      </c>
      <c r="K22" s="42" t="n"/>
      <c r="L22" s="38" t="n"/>
      <c r="M22" s="42" t="n"/>
      <c r="N22" s="38" t="n"/>
    </row>
    <row r="23" ht="21" customHeight="1">
      <c r="A23" s="38" t="n"/>
      <c r="B23" s="38" t="n"/>
      <c r="C23" s="38" t="n"/>
      <c r="D23" s="38" t="n"/>
      <c r="E23" s="38" t="n"/>
      <c r="F23" s="38" t="n"/>
      <c r="G23" s="38" t="n"/>
      <c r="H23" s="39" t="n"/>
      <c r="I23" s="40" t="n"/>
      <c r="J23" s="41">
        <f>IF(C23="","",H23*I23)</f>
        <v/>
      </c>
      <c r="K23" s="42" t="n"/>
      <c r="L23" s="38" t="n"/>
      <c r="M23" s="42" t="n"/>
      <c r="N23" s="38" t="n"/>
    </row>
    <row r="24" ht="21" customHeight="1">
      <c r="A24" s="38" t="n"/>
      <c r="B24" s="38" t="n"/>
      <c r="C24" s="38" t="n"/>
      <c r="D24" s="38" t="n"/>
      <c r="E24" s="38" t="n"/>
      <c r="F24" s="38" t="n"/>
      <c r="G24" s="38" t="n"/>
      <c r="H24" s="39" t="n"/>
      <c r="I24" s="40" t="n"/>
      <c r="J24" s="41">
        <f>IF(C24="","",H24*I24)</f>
        <v/>
      </c>
      <c r="K24" s="42" t="n"/>
      <c r="L24" s="38" t="n"/>
      <c r="M24" s="42" t="n"/>
      <c r="N24" s="38" t="n"/>
    </row>
    <row r="25" ht="21" customHeight="1">
      <c r="A25" s="38" t="n"/>
      <c r="B25" s="38" t="n"/>
      <c r="C25" s="38" t="n"/>
      <c r="D25" s="38" t="n"/>
      <c r="E25" s="38" t="n"/>
      <c r="F25" s="38" t="n"/>
      <c r="G25" s="38" t="n"/>
      <c r="H25" s="39" t="n"/>
      <c r="I25" s="40" t="n"/>
      <c r="J25" s="41">
        <f>IF(C25="","",H25*I25)</f>
        <v/>
      </c>
      <c r="K25" s="42" t="n"/>
      <c r="L25" s="38" t="n"/>
      <c r="M25" s="42" t="n"/>
      <c r="N25" s="38" t="n"/>
    </row>
    <row r="26" ht="21" customHeight="1">
      <c r="A26" s="38" t="n"/>
      <c r="B26" s="38" t="n"/>
      <c r="C26" s="38" t="n"/>
      <c r="D26" s="38" t="n"/>
      <c r="E26" s="38" t="n"/>
      <c r="F26" s="38" t="n"/>
      <c r="G26" s="38" t="n"/>
      <c r="H26" s="39" t="n"/>
      <c r="I26" s="40" t="n"/>
      <c r="J26" s="41">
        <f>IF(C26="","",H26*I26)</f>
        <v/>
      </c>
      <c r="K26" s="42" t="n"/>
      <c r="L26" s="38" t="n"/>
      <c r="M26" s="42" t="n"/>
      <c r="N26" s="38" t="n"/>
    </row>
    <row r="27" ht="21" customHeight="1">
      <c r="A27" s="38" t="n"/>
      <c r="B27" s="38" t="n"/>
      <c r="C27" s="38" t="n"/>
      <c r="D27" s="38" t="n"/>
      <c r="E27" s="38" t="n"/>
      <c r="F27" s="38" t="n"/>
      <c r="G27" s="38" t="n"/>
      <c r="H27" s="39" t="n"/>
      <c r="I27" s="40" t="n"/>
      <c r="J27" s="41">
        <f>IF(C27="","",H27*I27)</f>
        <v/>
      </c>
      <c r="K27" s="42" t="n"/>
      <c r="L27" s="38" t="n"/>
      <c r="M27" s="42" t="n"/>
      <c r="N27" s="38" t="n"/>
    </row>
    <row r="28" ht="21" customHeight="1">
      <c r="A28" s="38" t="n"/>
      <c r="B28" s="38" t="n"/>
      <c r="C28" s="38" t="n"/>
      <c r="D28" s="38" t="n"/>
      <c r="E28" s="38" t="n"/>
      <c r="F28" s="38" t="n"/>
      <c r="G28" s="38" t="n"/>
      <c r="H28" s="39" t="n"/>
      <c r="I28" s="40" t="n"/>
      <c r="J28" s="41">
        <f>IF(C28="","",H28*I28)</f>
        <v/>
      </c>
      <c r="K28" s="42" t="n"/>
      <c r="L28" s="38" t="n"/>
      <c r="M28" s="42" t="n"/>
      <c r="N28" s="38" t="n"/>
    </row>
    <row r="29" ht="21" customHeight="1">
      <c r="A29" s="38" t="n"/>
      <c r="B29" s="38" t="n"/>
      <c r="C29" s="38" t="n"/>
      <c r="D29" s="38" t="n"/>
      <c r="E29" s="38" t="n"/>
      <c r="F29" s="38" t="n"/>
      <c r="G29" s="38" t="n"/>
      <c r="H29" s="39" t="n"/>
      <c r="I29" s="40" t="n"/>
      <c r="J29" s="41">
        <f>IF(C29="","",H29*I29)</f>
        <v/>
      </c>
      <c r="K29" s="42" t="n"/>
      <c r="L29" s="38" t="n"/>
      <c r="M29" s="42" t="n"/>
      <c r="N29" s="38" t="n"/>
    </row>
    <row r="30" ht="21" customHeight="1">
      <c r="A30" s="38" t="n"/>
      <c r="B30" s="38" t="n"/>
      <c r="C30" s="38" t="n"/>
      <c r="D30" s="38" t="n"/>
      <c r="E30" s="38" t="n"/>
      <c r="F30" s="38" t="n"/>
      <c r="G30" s="38" t="n"/>
      <c r="H30" s="39" t="n"/>
      <c r="I30" s="40" t="n"/>
      <c r="J30" s="41">
        <f>IF(C30="","",H30*I30)</f>
        <v/>
      </c>
      <c r="K30" s="42" t="n"/>
      <c r="L30" s="38" t="n"/>
      <c r="M30" s="42" t="n"/>
      <c r="N30" s="38" t="n"/>
    </row>
    <row r="31" ht="21" customHeight="1">
      <c r="A31" s="38" t="n"/>
      <c r="B31" s="38" t="n"/>
      <c r="C31" s="38" t="n"/>
      <c r="D31" s="38" t="n"/>
      <c r="E31" s="38" t="n"/>
      <c r="F31" s="38" t="n"/>
      <c r="G31" s="38" t="n"/>
      <c r="H31" s="39" t="n"/>
      <c r="I31" s="40" t="n"/>
      <c r="J31" s="41">
        <f>IF(C31="","",H31*I31)</f>
        <v/>
      </c>
      <c r="K31" s="42" t="n"/>
      <c r="L31" s="38" t="n"/>
      <c r="M31" s="42" t="n"/>
      <c r="N31" s="38" t="n"/>
    </row>
    <row r="32" ht="21" customHeight="1">
      <c r="A32" s="38" t="n"/>
      <c r="B32" s="38" t="n"/>
      <c r="C32" s="38" t="n"/>
      <c r="D32" s="38" t="n"/>
      <c r="E32" s="38" t="n"/>
      <c r="F32" s="38" t="n"/>
      <c r="G32" s="38" t="n"/>
      <c r="H32" s="39" t="n"/>
      <c r="I32" s="40" t="n"/>
      <c r="J32" s="41">
        <f>IF(C32="","",H32*I32)</f>
        <v/>
      </c>
      <c r="K32" s="42" t="n"/>
      <c r="L32" s="38" t="n"/>
      <c r="M32" s="42" t="n"/>
      <c r="N32" s="38" t="n"/>
    </row>
    <row r="33" ht="21" customHeight="1">
      <c r="A33" s="38" t="n"/>
      <c r="B33" s="38" t="n"/>
      <c r="C33" s="38" t="n"/>
      <c r="D33" s="38" t="n"/>
      <c r="E33" s="38" t="n"/>
      <c r="F33" s="38" t="n"/>
      <c r="G33" s="38" t="n"/>
      <c r="H33" s="39" t="n"/>
      <c r="I33" s="40" t="n"/>
      <c r="J33" s="41">
        <f>IF(C33="","",H33*I33)</f>
        <v/>
      </c>
      <c r="K33" s="42" t="n"/>
      <c r="L33" s="38" t="n"/>
      <c r="M33" s="42" t="n"/>
      <c r="N33" s="38" t="n"/>
    </row>
    <row r="34" ht="21" customHeight="1">
      <c r="A34" s="38" t="n"/>
      <c r="B34" s="38" t="n"/>
      <c r="C34" s="38" t="n"/>
      <c r="D34" s="38" t="n"/>
      <c r="E34" s="38" t="n"/>
      <c r="F34" s="38" t="n"/>
      <c r="G34" s="38" t="n"/>
      <c r="H34" s="39" t="n"/>
      <c r="I34" s="40" t="n"/>
      <c r="J34" s="41">
        <f>IF(C34="","",H34*I34)</f>
        <v/>
      </c>
      <c r="K34" s="42" t="n"/>
      <c r="L34" s="38" t="n"/>
      <c r="M34" s="42" t="n"/>
      <c r="N34" s="38" t="n"/>
    </row>
    <row r="35" ht="21" customHeight="1">
      <c r="A35" s="38" t="n"/>
      <c r="B35" s="38" t="n"/>
      <c r="C35" s="38" t="n"/>
      <c r="D35" s="38" t="n"/>
      <c r="E35" s="38" t="n"/>
      <c r="F35" s="38" t="n"/>
      <c r="G35" s="38" t="n"/>
      <c r="H35" s="39" t="n"/>
      <c r="I35" s="40" t="n"/>
      <c r="J35" s="41">
        <f>IF(C35="","",H35*I35)</f>
        <v/>
      </c>
      <c r="K35" s="42" t="n"/>
      <c r="L35" s="38" t="n"/>
      <c r="M35" s="42" t="n"/>
      <c r="N35" s="38" t="n"/>
    </row>
    <row r="36" ht="21" customHeight="1">
      <c r="A36" s="38" t="n"/>
      <c r="B36" s="38" t="n"/>
      <c r="C36" s="38" t="n"/>
      <c r="D36" s="38" t="n"/>
      <c r="E36" s="38" t="n"/>
      <c r="F36" s="38" t="n"/>
      <c r="G36" s="38" t="n"/>
      <c r="H36" s="39" t="n"/>
      <c r="I36" s="40" t="n"/>
      <c r="J36" s="41">
        <f>IF(C36="","",H36*I36)</f>
        <v/>
      </c>
      <c r="K36" s="42" t="n"/>
      <c r="L36" s="38" t="n"/>
      <c r="M36" s="42" t="n"/>
      <c r="N36" s="38" t="n"/>
    </row>
    <row r="37" ht="21" customHeight="1">
      <c r="A37" s="38" t="n"/>
      <c r="B37" s="38" t="n"/>
      <c r="C37" s="38" t="n"/>
      <c r="D37" s="38" t="n"/>
      <c r="E37" s="38" t="n"/>
      <c r="F37" s="38" t="n"/>
      <c r="G37" s="38" t="n"/>
      <c r="H37" s="39" t="n"/>
      <c r="I37" s="40" t="n"/>
      <c r="J37" s="41">
        <f>IF(C37="","",H37*I37)</f>
        <v/>
      </c>
      <c r="K37" s="42" t="n"/>
      <c r="L37" s="38" t="n"/>
      <c r="M37" s="42" t="n"/>
      <c r="N37" s="38" t="n"/>
    </row>
    <row r="38" ht="21" customHeight="1">
      <c r="A38" s="38" t="n"/>
      <c r="B38" s="38" t="n"/>
      <c r="C38" s="38" t="n"/>
      <c r="D38" s="38" t="n"/>
      <c r="E38" s="38" t="n"/>
      <c r="F38" s="38" t="n"/>
      <c r="G38" s="38" t="n"/>
      <c r="H38" s="39" t="n"/>
      <c r="I38" s="40" t="n"/>
      <c r="J38" s="41">
        <f>IF(C38="","",H38*I38)</f>
        <v/>
      </c>
      <c r="K38" s="42" t="n"/>
      <c r="L38" s="38" t="n"/>
      <c r="M38" s="42" t="n"/>
      <c r="N38" s="38" t="n"/>
    </row>
    <row r="39" ht="21" customHeight="1">
      <c r="A39" s="38" t="n"/>
      <c r="B39" s="38" t="n"/>
      <c r="C39" s="38" t="n"/>
      <c r="D39" s="38" t="n"/>
      <c r="E39" s="38" t="n"/>
      <c r="F39" s="38" t="n"/>
      <c r="G39" s="38" t="n"/>
      <c r="H39" s="39" t="n"/>
      <c r="I39" s="40" t="n"/>
      <c r="J39" s="41">
        <f>IF(C39="","",H39*I39)</f>
        <v/>
      </c>
      <c r="K39" s="42" t="n"/>
      <c r="L39" s="38" t="n"/>
      <c r="M39" s="42" t="n"/>
      <c r="N39" s="38" t="n"/>
    </row>
    <row r="40" ht="21" customHeight="1">
      <c r="A40" s="38" t="n"/>
      <c r="B40" s="38" t="n"/>
      <c r="C40" s="38" t="n"/>
      <c r="D40" s="38" t="n"/>
      <c r="E40" s="38" t="n"/>
      <c r="F40" s="38" t="n"/>
      <c r="G40" s="38" t="n"/>
      <c r="H40" s="39" t="n"/>
      <c r="I40" s="40" t="n"/>
      <c r="J40" s="41">
        <f>IF(C40="","",H40*I40)</f>
        <v/>
      </c>
      <c r="K40" s="42" t="n"/>
      <c r="L40" s="38" t="n"/>
      <c r="M40" s="42" t="n"/>
      <c r="N40" s="38" t="n"/>
    </row>
    <row r="41" ht="21" customHeight="1">
      <c r="A41" s="38" t="n"/>
      <c r="B41" s="38" t="n"/>
      <c r="C41" s="38" t="n"/>
      <c r="D41" s="38" t="n"/>
      <c r="E41" s="38" t="n"/>
      <c r="F41" s="38" t="n"/>
      <c r="G41" s="38" t="n"/>
      <c r="H41" s="39" t="n"/>
      <c r="I41" s="40" t="n"/>
      <c r="J41" s="41">
        <f>IF(C41="","",H41*I41)</f>
        <v/>
      </c>
      <c r="K41" s="42" t="n"/>
      <c r="L41" s="38" t="n"/>
      <c r="M41" s="42" t="n"/>
      <c r="N41" s="38" t="n"/>
    </row>
    <row r="42" ht="21" customHeight="1">
      <c r="A42" s="38" t="n"/>
      <c r="B42" s="38" t="n"/>
      <c r="C42" s="38" t="n"/>
      <c r="D42" s="38" t="n"/>
      <c r="E42" s="38" t="n"/>
      <c r="F42" s="38" t="n"/>
      <c r="G42" s="38" t="n"/>
      <c r="H42" s="39" t="n"/>
      <c r="I42" s="40" t="n"/>
      <c r="J42" s="41">
        <f>IF(C42="","",H42*I42)</f>
        <v/>
      </c>
      <c r="K42" s="42" t="n"/>
      <c r="L42" s="38" t="n"/>
      <c r="M42" s="42" t="n"/>
      <c r="N42" s="38" t="n"/>
    </row>
    <row r="43" ht="21" customHeight="1">
      <c r="A43" s="38" t="n"/>
      <c r="B43" s="38" t="n"/>
      <c r="C43" s="38" t="n"/>
      <c r="D43" s="38" t="n"/>
      <c r="E43" s="38" t="n"/>
      <c r="F43" s="38" t="n"/>
      <c r="G43" s="38" t="n"/>
      <c r="H43" s="39" t="n"/>
      <c r="I43" s="40" t="n"/>
      <c r="J43" s="41">
        <f>IF(C43="","",H43*I43)</f>
        <v/>
      </c>
      <c r="K43" s="42" t="n"/>
      <c r="L43" s="38" t="n"/>
      <c r="M43" s="42" t="n"/>
      <c r="N43" s="38" t="n"/>
    </row>
    <row r="44" ht="21" customHeight="1">
      <c r="A44" s="38" t="n"/>
      <c r="B44" s="38" t="n"/>
      <c r="C44" s="38" t="n"/>
      <c r="D44" s="38" t="n"/>
      <c r="E44" s="38" t="n"/>
      <c r="F44" s="38" t="n"/>
      <c r="G44" s="38" t="n"/>
      <c r="H44" s="39" t="n"/>
      <c r="I44" s="40" t="n"/>
      <c r="J44" s="41">
        <f>IF(C44="","",H44*I44)</f>
        <v/>
      </c>
      <c r="K44" s="42" t="n"/>
      <c r="L44" s="38" t="n"/>
      <c r="M44" s="42" t="n"/>
      <c r="N44" s="38" t="n"/>
    </row>
    <row r="45" ht="21" customHeight="1">
      <c r="A45" s="38" t="n"/>
      <c r="B45" s="38" t="n"/>
      <c r="C45" s="38" t="n"/>
      <c r="D45" s="38" t="n"/>
      <c r="E45" s="38" t="n"/>
      <c r="F45" s="38" t="n"/>
      <c r="G45" s="38" t="n"/>
      <c r="H45" s="39" t="n"/>
      <c r="I45" s="40" t="n"/>
      <c r="J45" s="41">
        <f>IF(C45="","",H45*I45)</f>
        <v/>
      </c>
      <c r="K45" s="42" t="n"/>
      <c r="L45" s="38" t="n"/>
      <c r="M45" s="42" t="n"/>
      <c r="N45" s="38" t="n"/>
    </row>
    <row r="46" ht="21" customHeight="1">
      <c r="A46" s="38" t="n"/>
      <c r="B46" s="38" t="n"/>
      <c r="C46" s="38" t="n"/>
      <c r="D46" s="38" t="n"/>
      <c r="E46" s="38" t="n"/>
      <c r="F46" s="38" t="n"/>
      <c r="G46" s="38" t="n"/>
      <c r="H46" s="39" t="n"/>
      <c r="I46" s="40" t="n"/>
      <c r="J46" s="41">
        <f>IF(C46="","",H46*I46)</f>
        <v/>
      </c>
      <c r="K46" s="42" t="n"/>
      <c r="L46" s="38" t="n"/>
      <c r="M46" s="42" t="n"/>
      <c r="N46" s="38" t="n"/>
    </row>
    <row r="47" ht="21" customHeight="1">
      <c r="A47" s="38" t="n"/>
      <c r="B47" s="38" t="n"/>
      <c r="C47" s="38" t="n"/>
      <c r="D47" s="38" t="n"/>
      <c r="E47" s="38" t="n"/>
      <c r="F47" s="38" t="n"/>
      <c r="G47" s="38" t="n"/>
      <c r="H47" s="39" t="n"/>
      <c r="I47" s="40" t="n"/>
      <c r="J47" s="41">
        <f>IF(C47="","",H47*I47)</f>
        <v/>
      </c>
      <c r="K47" s="42" t="n"/>
      <c r="L47" s="38" t="n"/>
      <c r="M47" s="42" t="n"/>
      <c r="N47" s="38" t="n"/>
    </row>
    <row r="48" ht="21" customHeight="1">
      <c r="A48" s="38" t="n"/>
      <c r="B48" s="38" t="n"/>
      <c r="C48" s="38" t="n"/>
      <c r="D48" s="38" t="n"/>
      <c r="E48" s="38" t="n"/>
      <c r="F48" s="38" t="n"/>
      <c r="G48" s="38" t="n"/>
      <c r="H48" s="39" t="n"/>
      <c r="I48" s="40" t="n"/>
      <c r="J48" s="41">
        <f>IF(C48="","",H48*I48)</f>
        <v/>
      </c>
      <c r="K48" s="42" t="n"/>
      <c r="L48" s="38" t="n"/>
      <c r="M48" s="42" t="n"/>
      <c r="N48" s="38" t="n"/>
    </row>
    <row r="49" ht="21" customHeight="1">
      <c r="A49" s="38" t="n"/>
      <c r="B49" s="38" t="n"/>
      <c r="C49" s="38" t="n"/>
      <c r="D49" s="38" t="n"/>
      <c r="E49" s="38" t="n"/>
      <c r="F49" s="38" t="n"/>
      <c r="G49" s="38" t="n"/>
      <c r="H49" s="39" t="n"/>
      <c r="I49" s="40" t="n"/>
      <c r="J49" s="41">
        <f>IF(C49="","",H49*I49)</f>
        <v/>
      </c>
      <c r="K49" s="42" t="n"/>
      <c r="L49" s="38" t="n"/>
      <c r="M49" s="42" t="n"/>
      <c r="N49" s="38" t="n"/>
    </row>
    <row r="50" ht="21" customHeight="1">
      <c r="A50" s="38" t="n"/>
      <c r="B50" s="38" t="n"/>
      <c r="C50" s="38" t="n"/>
      <c r="D50" s="38" t="n"/>
      <c r="E50" s="38" t="n"/>
      <c r="F50" s="38" t="n"/>
      <c r="G50" s="38" t="n"/>
      <c r="H50" s="39" t="n"/>
      <c r="I50" s="40" t="n"/>
      <c r="J50" s="41">
        <f>IF(C50="","",H50*I50)</f>
        <v/>
      </c>
      <c r="K50" s="42" t="n"/>
      <c r="L50" s="38" t="n"/>
      <c r="M50" s="42" t="n"/>
      <c r="N50" s="38" t="n"/>
    </row>
    <row r="51" ht="21" customHeight="1">
      <c r="A51" s="38" t="n"/>
      <c r="B51" s="38" t="n"/>
      <c r="C51" s="38" t="n"/>
      <c r="D51" s="38" t="n"/>
      <c r="E51" s="38" t="n"/>
      <c r="F51" s="38" t="n"/>
      <c r="G51" s="38" t="n"/>
      <c r="H51" s="39" t="n"/>
      <c r="I51" s="40" t="n"/>
      <c r="J51" s="41">
        <f>IF(C51="","",H51*I51)</f>
        <v/>
      </c>
      <c r="K51" s="42" t="n"/>
      <c r="L51" s="38" t="n"/>
      <c r="M51" s="42" t="n"/>
      <c r="N51" s="38" t="n"/>
    </row>
    <row r="52" ht="21" customHeight="1">
      <c r="A52" s="38" t="n"/>
      <c r="B52" s="38" t="n"/>
      <c r="C52" s="38" t="n"/>
      <c r="D52" s="38" t="n"/>
      <c r="E52" s="38" t="n"/>
      <c r="F52" s="38" t="n"/>
      <c r="G52" s="38" t="n"/>
      <c r="H52" s="39" t="n"/>
      <c r="I52" s="40" t="n"/>
      <c r="J52" s="41">
        <f>IF(C52="","",H52*I52)</f>
        <v/>
      </c>
      <c r="K52" s="42" t="n"/>
      <c r="L52" s="38" t="n"/>
      <c r="M52" s="42" t="n"/>
      <c r="N52" s="38" t="n"/>
    </row>
    <row r="53" ht="21" customHeight="1">
      <c r="A53" s="38" t="n"/>
      <c r="B53" s="38" t="n"/>
      <c r="C53" s="38" t="n"/>
      <c r="D53" s="38" t="n"/>
      <c r="E53" s="38" t="n"/>
      <c r="F53" s="38" t="n"/>
      <c r="G53" s="38" t="n"/>
      <c r="H53" s="39" t="n"/>
      <c r="I53" s="40" t="n"/>
      <c r="J53" s="41">
        <f>IF(C53="","",H53*I53)</f>
        <v/>
      </c>
      <c r="K53" s="42" t="n"/>
      <c r="L53" s="38" t="n"/>
      <c r="M53" s="42" t="n"/>
      <c r="N53" s="38" t="n"/>
    </row>
    <row r="54" ht="21" customHeight="1">
      <c r="A54" s="38" t="n"/>
      <c r="B54" s="38" t="n"/>
      <c r="C54" s="38" t="n"/>
      <c r="D54" s="38" t="n"/>
      <c r="E54" s="38" t="n"/>
      <c r="F54" s="38" t="n"/>
      <c r="G54" s="38" t="n"/>
      <c r="H54" s="39" t="n"/>
      <c r="I54" s="40" t="n"/>
      <c r="J54" s="41">
        <f>IF(C54="","",H54*I54)</f>
        <v/>
      </c>
      <c r="K54" s="42" t="n"/>
      <c r="L54" s="38" t="n"/>
      <c r="M54" s="42" t="n"/>
      <c r="N54" s="38" t="n"/>
    </row>
    <row r="55" ht="21" customHeight="1">
      <c r="A55" s="38" t="n"/>
      <c r="B55" s="38" t="n"/>
      <c r="C55" s="38" t="n"/>
      <c r="D55" s="38" t="n"/>
      <c r="E55" s="38" t="n"/>
      <c r="F55" s="38" t="n"/>
      <c r="G55" s="38" t="n"/>
      <c r="H55" s="39" t="n"/>
      <c r="I55" s="40" t="n"/>
      <c r="J55" s="41">
        <f>IF(C55="","",H55*I55)</f>
        <v/>
      </c>
      <c r="K55" s="42" t="n"/>
      <c r="L55" s="38" t="n"/>
      <c r="M55" s="42" t="n"/>
      <c r="N55" s="38" t="n"/>
    </row>
    <row r="56" ht="21" customHeight="1">
      <c r="A56" s="38" t="n"/>
      <c r="B56" s="38" t="n"/>
      <c r="C56" s="38" t="n"/>
      <c r="D56" s="38" t="n"/>
      <c r="E56" s="38" t="n"/>
      <c r="F56" s="38" t="n"/>
      <c r="G56" s="38" t="n"/>
      <c r="H56" s="39" t="n"/>
      <c r="I56" s="40" t="n"/>
      <c r="J56" s="41">
        <f>IF(C56="","",H56*I56)</f>
        <v/>
      </c>
      <c r="K56" s="42" t="n"/>
      <c r="L56" s="38" t="n"/>
      <c r="M56" s="42" t="n"/>
      <c r="N56" s="38" t="n"/>
    </row>
    <row r="57" ht="21" customHeight="1">
      <c r="A57" s="38" t="n"/>
      <c r="B57" s="38" t="n"/>
      <c r="C57" s="38" t="n"/>
      <c r="D57" s="38" t="n"/>
      <c r="E57" s="38" t="n"/>
      <c r="F57" s="38" t="n"/>
      <c r="G57" s="38" t="n"/>
      <c r="H57" s="39" t="n"/>
      <c r="I57" s="40" t="n"/>
      <c r="J57" s="41">
        <f>IF(C57="","",H57*I57)</f>
        <v/>
      </c>
      <c r="K57" s="42" t="n"/>
      <c r="L57" s="38" t="n"/>
      <c r="M57" s="42" t="n"/>
      <c r="N57" s="38" t="n"/>
    </row>
    <row r="58" ht="21" customHeight="1">
      <c r="A58" s="38" t="n"/>
      <c r="B58" s="38" t="n"/>
      <c r="C58" s="38" t="n"/>
      <c r="D58" s="38" t="n"/>
      <c r="E58" s="38" t="n"/>
      <c r="F58" s="38" t="n"/>
      <c r="G58" s="38" t="n"/>
      <c r="H58" s="39" t="n"/>
      <c r="I58" s="40" t="n"/>
      <c r="J58" s="41">
        <f>IF(C58="","",H58*I58)</f>
        <v/>
      </c>
      <c r="K58" s="42" t="n"/>
      <c r="L58" s="38" t="n"/>
      <c r="M58" s="42" t="n"/>
      <c r="N58" s="38" t="n"/>
    </row>
    <row r="59" ht="21" customHeight="1">
      <c r="A59" s="38" t="n"/>
      <c r="B59" s="38" t="n"/>
      <c r="C59" s="38" t="n"/>
      <c r="D59" s="38" t="n"/>
      <c r="E59" s="38" t="n"/>
      <c r="F59" s="38" t="n"/>
      <c r="G59" s="38" t="n"/>
      <c r="H59" s="39" t="n"/>
      <c r="I59" s="40" t="n"/>
      <c r="J59" s="41">
        <f>IF(C59="","",H59*I59)</f>
        <v/>
      </c>
      <c r="K59" s="42" t="n"/>
      <c r="L59" s="38" t="n"/>
      <c r="M59" s="42" t="n"/>
      <c r="N59" s="38" t="n"/>
    </row>
    <row r="60" ht="21" customHeight="1">
      <c r="A60" s="38" t="n"/>
      <c r="B60" s="38" t="n"/>
      <c r="C60" s="38" t="n"/>
      <c r="D60" s="38" t="n"/>
      <c r="E60" s="38" t="n"/>
      <c r="F60" s="38" t="n"/>
      <c r="G60" s="38" t="n"/>
      <c r="H60" s="39" t="n"/>
      <c r="I60" s="40" t="n"/>
      <c r="J60" s="41">
        <f>IF(C60="","",H60*I60)</f>
        <v/>
      </c>
      <c r="K60" s="42" t="n"/>
      <c r="L60" s="38" t="n"/>
      <c r="M60" s="42" t="n"/>
      <c r="N60" s="38" t="n"/>
    </row>
    <row r="61" ht="21" customHeight="1">
      <c r="A61" s="38" t="n"/>
      <c r="B61" s="38" t="n"/>
      <c r="C61" s="38" t="n"/>
      <c r="D61" s="38" t="n"/>
      <c r="E61" s="38" t="n"/>
      <c r="F61" s="38" t="n"/>
      <c r="G61" s="38" t="n"/>
      <c r="H61" s="39" t="n"/>
      <c r="I61" s="40" t="n"/>
      <c r="J61" s="41">
        <f>IF(C61="","",H61*I61)</f>
        <v/>
      </c>
      <c r="K61" s="42" t="n"/>
      <c r="L61" s="38" t="n"/>
      <c r="M61" s="42" t="n"/>
      <c r="N61" s="38" t="n"/>
    </row>
    <row r="62" ht="21" customHeight="1">
      <c r="A62" s="38" t="n"/>
      <c r="B62" s="38" t="n"/>
      <c r="C62" s="38" t="n"/>
      <c r="D62" s="38" t="n"/>
      <c r="E62" s="38" t="n"/>
      <c r="F62" s="38" t="n"/>
      <c r="G62" s="38" t="n"/>
      <c r="H62" s="39" t="n"/>
      <c r="I62" s="40" t="n"/>
      <c r="J62" s="41">
        <f>IF(C62="","",H62*I62)</f>
        <v/>
      </c>
      <c r="K62" s="42" t="n"/>
      <c r="L62" s="38" t="n"/>
      <c r="M62" s="42" t="n"/>
      <c r="N62" s="38" t="n"/>
    </row>
    <row r="63" ht="21" customHeight="1">
      <c r="A63" s="38" t="n"/>
      <c r="B63" s="38" t="n"/>
      <c r="C63" s="38" t="n"/>
      <c r="D63" s="38" t="n"/>
      <c r="E63" s="38" t="n"/>
      <c r="F63" s="38" t="n"/>
      <c r="G63" s="38" t="n"/>
      <c r="H63" s="39" t="n"/>
      <c r="I63" s="40" t="n"/>
      <c r="J63" s="41">
        <f>IF(C63="","",H63*I63)</f>
        <v/>
      </c>
      <c r="K63" s="42" t="n"/>
      <c r="L63" s="38" t="n"/>
      <c r="M63" s="42" t="n"/>
      <c r="N63" s="38" t="n"/>
    </row>
    <row r="64" ht="21" customHeight="1">
      <c r="A64" s="38" t="n"/>
      <c r="B64" s="38" t="n"/>
      <c r="C64" s="38" t="n"/>
      <c r="D64" s="38" t="n"/>
      <c r="E64" s="38" t="n"/>
      <c r="F64" s="38" t="n"/>
      <c r="G64" s="38" t="n"/>
      <c r="H64" s="39" t="n"/>
      <c r="I64" s="40" t="n"/>
      <c r="J64" s="41">
        <f>IF(C64="","",H64*I64)</f>
        <v/>
      </c>
      <c r="K64" s="42" t="n"/>
      <c r="L64" s="38" t="n"/>
      <c r="M64" s="42" t="n"/>
      <c r="N64" s="38" t="n"/>
    </row>
    <row r="65" ht="21" customHeight="1">
      <c r="A65" s="38" t="n"/>
      <c r="B65" s="38" t="n"/>
      <c r="C65" s="38" t="n"/>
      <c r="D65" s="38" t="n"/>
      <c r="E65" s="38" t="n"/>
      <c r="F65" s="38" t="n"/>
      <c r="G65" s="38" t="n"/>
      <c r="H65" s="39" t="n"/>
      <c r="I65" s="40" t="n"/>
      <c r="J65" s="41">
        <f>IF(C65="","",H65*I65)</f>
        <v/>
      </c>
      <c r="K65" s="42" t="n"/>
      <c r="L65" s="38" t="n"/>
      <c r="M65" s="42" t="n"/>
      <c r="N65" s="38" t="n"/>
    </row>
    <row r="66" ht="21" customHeight="1">
      <c r="A66" s="38" t="n"/>
      <c r="B66" s="38" t="n"/>
      <c r="C66" s="38" t="n"/>
      <c r="D66" s="38" t="n"/>
      <c r="E66" s="38" t="n"/>
      <c r="F66" s="38" t="n"/>
      <c r="G66" s="38" t="n"/>
      <c r="H66" s="39" t="n"/>
      <c r="I66" s="40" t="n"/>
      <c r="J66" s="41">
        <f>IF(C66="","",H66*I66)</f>
        <v/>
      </c>
      <c r="K66" s="42" t="n"/>
      <c r="L66" s="38" t="n"/>
      <c r="M66" s="42" t="n"/>
      <c r="N66" s="38" t="n"/>
    </row>
    <row r="67" ht="21" customHeight="1">
      <c r="A67" s="38" t="n"/>
      <c r="B67" s="38" t="n"/>
      <c r="C67" s="38" t="n"/>
      <c r="D67" s="38" t="n"/>
      <c r="E67" s="38" t="n"/>
      <c r="F67" s="38" t="n"/>
      <c r="G67" s="38" t="n"/>
      <c r="H67" s="39" t="n"/>
      <c r="I67" s="40" t="n"/>
      <c r="J67" s="41">
        <f>IF(C67="","",H67*I67)</f>
        <v/>
      </c>
      <c r="K67" s="42" t="n"/>
      <c r="L67" s="38" t="n"/>
      <c r="M67" s="42" t="n"/>
      <c r="N67" s="38" t="n"/>
    </row>
    <row r="68" ht="21" customHeight="1">
      <c r="A68" s="38" t="n"/>
      <c r="B68" s="38" t="n"/>
      <c r="C68" s="38" t="n"/>
      <c r="D68" s="38" t="n"/>
      <c r="E68" s="38" t="n"/>
      <c r="F68" s="38" t="n"/>
      <c r="G68" s="38" t="n"/>
      <c r="H68" s="39" t="n"/>
      <c r="I68" s="40" t="n"/>
      <c r="J68" s="41">
        <f>IF(C68="","",H68*I68)</f>
        <v/>
      </c>
      <c r="K68" s="42" t="n"/>
      <c r="L68" s="38" t="n"/>
      <c r="M68" s="42" t="n"/>
      <c r="N68" s="38" t="n"/>
    </row>
    <row r="69" ht="21" customHeight="1">
      <c r="A69" s="38" t="n"/>
      <c r="B69" s="38" t="n"/>
      <c r="C69" s="38" t="n"/>
      <c r="D69" s="38" t="n"/>
      <c r="E69" s="38" t="n"/>
      <c r="F69" s="38" t="n"/>
      <c r="G69" s="38" t="n"/>
      <c r="H69" s="39" t="n"/>
      <c r="I69" s="40" t="n"/>
      <c r="J69" s="41">
        <f>IF(C69="","",H69*I69)</f>
        <v/>
      </c>
      <c r="K69" s="42" t="n"/>
      <c r="L69" s="38" t="n"/>
      <c r="M69" s="42" t="n"/>
      <c r="N69" s="38" t="n"/>
    </row>
    <row r="70" ht="21" customHeight="1">
      <c r="A70" s="38" t="n"/>
      <c r="B70" s="38" t="n"/>
      <c r="C70" s="38" t="n"/>
      <c r="D70" s="38" t="n"/>
      <c r="E70" s="38" t="n"/>
      <c r="F70" s="38" t="n"/>
      <c r="G70" s="38" t="n"/>
      <c r="H70" s="39" t="n"/>
      <c r="I70" s="40" t="n"/>
      <c r="J70" s="41">
        <f>IF(C70="","",H70*I70)</f>
        <v/>
      </c>
      <c r="K70" s="42" t="n"/>
      <c r="L70" s="38" t="n"/>
      <c r="M70" s="42" t="n"/>
      <c r="N70" s="38" t="n"/>
    </row>
    <row r="71" ht="21" customHeight="1">
      <c r="A71" s="38" t="n"/>
      <c r="B71" s="38" t="n"/>
      <c r="C71" s="38" t="n"/>
      <c r="D71" s="38" t="n"/>
      <c r="E71" s="38" t="n"/>
      <c r="F71" s="38" t="n"/>
      <c r="G71" s="38" t="n"/>
      <c r="H71" s="39" t="n"/>
      <c r="I71" s="40" t="n"/>
      <c r="J71" s="41">
        <f>IF(C71="","",H71*I71)</f>
        <v/>
      </c>
      <c r="K71" s="42" t="n"/>
      <c r="L71" s="38" t="n"/>
      <c r="M71" s="42" t="n"/>
      <c r="N71" s="38" t="n"/>
    </row>
    <row r="72" ht="21" customHeight="1">
      <c r="A72" s="38" t="n"/>
      <c r="B72" s="38" t="n"/>
      <c r="C72" s="38" t="n"/>
      <c r="D72" s="38" t="n"/>
      <c r="E72" s="38" t="n"/>
      <c r="F72" s="38" t="n"/>
      <c r="G72" s="38" t="n"/>
      <c r="H72" s="39" t="n"/>
      <c r="I72" s="40" t="n"/>
      <c r="J72" s="41">
        <f>IF(C72="","",H72*I72)</f>
        <v/>
      </c>
      <c r="K72" s="42" t="n"/>
      <c r="L72" s="38" t="n"/>
      <c r="M72" s="42" t="n"/>
      <c r="N72" s="38" t="n"/>
    </row>
    <row r="73" ht="21" customHeight="1">
      <c r="A73" s="38" t="n"/>
      <c r="B73" s="38" t="n"/>
      <c r="C73" s="38" t="n"/>
      <c r="D73" s="38" t="n"/>
      <c r="E73" s="38" t="n"/>
      <c r="F73" s="38" t="n"/>
      <c r="G73" s="38" t="n"/>
      <c r="H73" s="39" t="n"/>
      <c r="I73" s="40" t="n"/>
      <c r="J73" s="41">
        <f>IF(C73="","",H73*I73)</f>
        <v/>
      </c>
      <c r="K73" s="42" t="n"/>
      <c r="L73" s="38" t="n"/>
      <c r="M73" s="42" t="n"/>
      <c r="N73" s="38" t="n"/>
    </row>
    <row r="74" ht="21" customHeight="1">
      <c r="A74" s="38" t="n"/>
      <c r="B74" s="38" t="n"/>
      <c r="C74" s="38" t="n"/>
      <c r="D74" s="38" t="n"/>
      <c r="E74" s="38" t="n"/>
      <c r="F74" s="38" t="n"/>
      <c r="G74" s="38" t="n"/>
      <c r="H74" s="39" t="n"/>
      <c r="I74" s="40" t="n"/>
      <c r="J74" s="41">
        <f>IF(C74="","",H74*I74)</f>
        <v/>
      </c>
      <c r="K74" s="42" t="n"/>
      <c r="L74" s="38" t="n"/>
      <c r="M74" s="42" t="n"/>
      <c r="N74" s="38" t="n"/>
    </row>
    <row r="75" ht="21" customHeight="1">
      <c r="A75" s="38" t="n"/>
      <c r="B75" s="38" t="n"/>
      <c r="C75" s="38" t="n"/>
      <c r="D75" s="38" t="n"/>
      <c r="E75" s="38" t="n"/>
      <c r="F75" s="38" t="n"/>
      <c r="G75" s="38" t="n"/>
      <c r="H75" s="39" t="n"/>
      <c r="I75" s="40" t="n"/>
      <c r="J75" s="41">
        <f>IF(C75="","",H75*I75)</f>
        <v/>
      </c>
      <c r="K75" s="42" t="n"/>
      <c r="L75" s="38" t="n"/>
      <c r="M75" s="42" t="n"/>
      <c r="N75" s="38" t="n"/>
    </row>
    <row r="76" ht="21" customHeight="1">
      <c r="A76" s="38" t="n"/>
      <c r="B76" s="38" t="n"/>
      <c r="C76" s="38" t="n"/>
      <c r="D76" s="38" t="n"/>
      <c r="E76" s="38" t="n"/>
      <c r="F76" s="38" t="n"/>
      <c r="G76" s="38" t="n"/>
      <c r="H76" s="39" t="n"/>
      <c r="I76" s="40" t="n"/>
      <c r="J76" s="41">
        <f>IF(C76="","",H76*I76)</f>
        <v/>
      </c>
      <c r="K76" s="42" t="n"/>
      <c r="L76" s="38" t="n"/>
      <c r="M76" s="42" t="n"/>
      <c r="N76" s="38" t="n"/>
    </row>
    <row r="77" ht="21" customHeight="1">
      <c r="A77" s="38" t="n"/>
      <c r="B77" s="38" t="n"/>
      <c r="C77" s="38" t="n"/>
      <c r="D77" s="38" t="n"/>
      <c r="E77" s="38" t="n"/>
      <c r="F77" s="38" t="n"/>
      <c r="G77" s="38" t="n"/>
      <c r="H77" s="39" t="n"/>
      <c r="I77" s="40" t="n"/>
      <c r="J77" s="41">
        <f>IF(C77="","",H77*I77)</f>
        <v/>
      </c>
      <c r="K77" s="42" t="n"/>
      <c r="L77" s="38" t="n"/>
      <c r="M77" s="42" t="n"/>
      <c r="N77" s="38" t="n"/>
    </row>
    <row r="78" ht="21" customHeight="1">
      <c r="A78" s="38" t="n"/>
      <c r="B78" s="38" t="n"/>
      <c r="C78" s="38" t="n"/>
      <c r="D78" s="38" t="n"/>
      <c r="E78" s="38" t="n"/>
      <c r="F78" s="38" t="n"/>
      <c r="G78" s="38" t="n"/>
      <c r="H78" s="39" t="n"/>
      <c r="I78" s="40" t="n"/>
      <c r="J78" s="41">
        <f>IF(C78="","",H78*I78)</f>
        <v/>
      </c>
      <c r="K78" s="42" t="n"/>
      <c r="L78" s="38" t="n"/>
      <c r="M78" s="42" t="n"/>
      <c r="N78" s="38" t="n"/>
    </row>
    <row r="79" ht="21" customHeight="1">
      <c r="A79" s="38" t="n"/>
      <c r="B79" s="38" t="n"/>
      <c r="C79" s="38" t="n"/>
      <c r="D79" s="38" t="n"/>
      <c r="E79" s="38" t="n"/>
      <c r="F79" s="38" t="n"/>
      <c r="G79" s="38" t="n"/>
      <c r="H79" s="39" t="n"/>
      <c r="I79" s="40" t="n"/>
      <c r="J79" s="41">
        <f>IF(C79="","",H79*I79)</f>
        <v/>
      </c>
      <c r="K79" s="42" t="n"/>
      <c r="L79" s="38" t="n"/>
      <c r="M79" s="42" t="n"/>
      <c r="N79" s="38" t="n"/>
    </row>
    <row r="80" ht="21" customHeight="1">
      <c r="A80" s="38" t="n"/>
      <c r="B80" s="38" t="n"/>
      <c r="C80" s="38" t="n"/>
      <c r="D80" s="38" t="n"/>
      <c r="E80" s="38" t="n"/>
      <c r="F80" s="38" t="n"/>
      <c r="G80" s="38" t="n"/>
      <c r="H80" s="39" t="n"/>
      <c r="I80" s="40" t="n"/>
      <c r="J80" s="41">
        <f>IF(C80="","",H80*I80)</f>
        <v/>
      </c>
      <c r="K80" s="42" t="n"/>
      <c r="L80" s="38" t="n"/>
      <c r="M80" s="42" t="n"/>
      <c r="N80" s="38" t="n"/>
    </row>
    <row r="81" ht="21" customHeight="1">
      <c r="A81" s="38" t="n"/>
      <c r="B81" s="38" t="n"/>
      <c r="C81" s="38" t="n"/>
      <c r="D81" s="38" t="n"/>
      <c r="E81" s="38" t="n"/>
      <c r="F81" s="38" t="n"/>
      <c r="G81" s="38" t="n"/>
      <c r="H81" s="39" t="n"/>
      <c r="I81" s="40" t="n"/>
      <c r="J81" s="41">
        <f>IF(C81="","",H81*I81)</f>
        <v/>
      </c>
      <c r="K81" s="42" t="n"/>
      <c r="L81" s="38" t="n"/>
      <c r="M81" s="42" t="n"/>
      <c r="N81" s="38" t="n"/>
    </row>
    <row r="82" ht="21" customHeight="1">
      <c r="A82" s="38" t="n"/>
      <c r="B82" s="38" t="n"/>
      <c r="C82" s="38" t="n"/>
      <c r="D82" s="38" t="n"/>
      <c r="E82" s="38" t="n"/>
      <c r="F82" s="38" t="n"/>
      <c r="G82" s="38" t="n"/>
      <c r="H82" s="39" t="n"/>
      <c r="I82" s="40" t="n"/>
      <c r="J82" s="41">
        <f>IF(C82="","",H82*I82)</f>
        <v/>
      </c>
      <c r="K82" s="42" t="n"/>
      <c r="L82" s="38" t="n"/>
      <c r="M82" s="42" t="n"/>
      <c r="N82" s="38" t="n"/>
    </row>
    <row r="83" ht="21" customHeight="1">
      <c r="A83" s="38" t="n"/>
      <c r="B83" s="38" t="n"/>
      <c r="C83" s="38" t="n"/>
      <c r="D83" s="38" t="n"/>
      <c r="E83" s="38" t="n"/>
      <c r="F83" s="38" t="n"/>
      <c r="G83" s="38" t="n"/>
      <c r="H83" s="39" t="n"/>
      <c r="I83" s="40" t="n"/>
      <c r="J83" s="41">
        <f>IF(C83="","",H83*I83)</f>
        <v/>
      </c>
      <c r="K83" s="42" t="n"/>
      <c r="L83" s="38" t="n"/>
      <c r="M83" s="42" t="n"/>
      <c r="N83" s="38" t="n"/>
    </row>
    <row r="84" ht="21" customHeight="1">
      <c r="A84" s="38" t="n"/>
      <c r="B84" s="38" t="n"/>
      <c r="C84" s="38" t="n"/>
      <c r="D84" s="38" t="n"/>
      <c r="E84" s="38" t="n"/>
      <c r="F84" s="38" t="n"/>
      <c r="G84" s="38" t="n"/>
      <c r="H84" s="39" t="n"/>
      <c r="I84" s="40" t="n"/>
      <c r="J84" s="41">
        <f>IF(C84="","",H84*I84)</f>
        <v/>
      </c>
      <c r="K84" s="42" t="n"/>
      <c r="L84" s="38" t="n"/>
      <c r="M84" s="42" t="n"/>
      <c r="N84" s="38" t="n"/>
    </row>
    <row r="85" ht="21" customHeight="1">
      <c r="A85" s="38" t="n"/>
      <c r="B85" s="38" t="n"/>
      <c r="C85" s="38" t="n"/>
      <c r="D85" s="38" t="n"/>
      <c r="E85" s="38" t="n"/>
      <c r="F85" s="38" t="n"/>
      <c r="G85" s="38" t="n"/>
      <c r="H85" s="39" t="n"/>
      <c r="I85" s="40" t="n"/>
      <c r="J85" s="41">
        <f>IF(C85="","",H85*I85)</f>
        <v/>
      </c>
      <c r="K85" s="42" t="n"/>
      <c r="L85" s="38" t="n"/>
      <c r="M85" s="42" t="n"/>
      <c r="N85" s="38" t="n"/>
    </row>
    <row r="86" ht="21" customHeight="1">
      <c r="A86" s="38" t="n"/>
      <c r="B86" s="38" t="n"/>
      <c r="C86" s="38" t="n"/>
      <c r="D86" s="38" t="n"/>
      <c r="E86" s="38" t="n"/>
      <c r="F86" s="38" t="n"/>
      <c r="G86" s="38" t="n"/>
      <c r="H86" s="39" t="n"/>
      <c r="I86" s="40" t="n"/>
      <c r="J86" s="41">
        <f>IF(C86="","",H86*I86)</f>
        <v/>
      </c>
      <c r="K86" s="42" t="n"/>
      <c r="L86" s="38" t="n"/>
      <c r="M86" s="42" t="n"/>
      <c r="N86" s="38" t="n"/>
    </row>
    <row r="87" ht="21" customHeight="1">
      <c r="A87" s="38" t="n"/>
      <c r="B87" s="38" t="n"/>
      <c r="C87" s="38" t="n"/>
      <c r="D87" s="38" t="n"/>
      <c r="E87" s="38" t="n"/>
      <c r="F87" s="38" t="n"/>
      <c r="G87" s="38" t="n"/>
      <c r="H87" s="39" t="n"/>
      <c r="I87" s="40" t="n"/>
      <c r="J87" s="41">
        <f>IF(C87="","",H87*I87)</f>
        <v/>
      </c>
      <c r="K87" s="42" t="n"/>
      <c r="L87" s="38" t="n"/>
      <c r="M87" s="42" t="n"/>
      <c r="N87" s="38" t="n"/>
    </row>
    <row r="88" ht="21" customHeight="1">
      <c r="A88" s="38" t="n"/>
      <c r="B88" s="38" t="n"/>
      <c r="C88" s="38" t="n"/>
      <c r="D88" s="38" t="n"/>
      <c r="E88" s="38" t="n"/>
      <c r="F88" s="38" t="n"/>
      <c r="G88" s="38" t="n"/>
      <c r="H88" s="39" t="n"/>
      <c r="I88" s="40" t="n"/>
      <c r="J88" s="41">
        <f>IF(C88="","",H88*I88)</f>
        <v/>
      </c>
      <c r="K88" s="42" t="n"/>
      <c r="L88" s="38" t="n"/>
      <c r="M88" s="42" t="n"/>
      <c r="N88" s="38" t="n"/>
    </row>
    <row r="89" ht="21" customHeight="1">
      <c r="A89" s="38" t="n"/>
      <c r="B89" s="38" t="n"/>
      <c r="C89" s="38" t="n"/>
      <c r="D89" s="38" t="n"/>
      <c r="E89" s="38" t="n"/>
      <c r="F89" s="38" t="n"/>
      <c r="G89" s="38" t="n"/>
      <c r="H89" s="39" t="n"/>
      <c r="I89" s="40" t="n"/>
      <c r="J89" s="41">
        <f>IF(C89="","",H89*I89)</f>
        <v/>
      </c>
      <c r="K89" s="42" t="n"/>
      <c r="L89" s="38" t="n"/>
      <c r="M89" s="42" t="n"/>
      <c r="N89" s="38" t="n"/>
    </row>
    <row r="90" ht="21" customHeight="1">
      <c r="A90" s="38" t="n"/>
      <c r="B90" s="38" t="n"/>
      <c r="C90" s="38" t="n"/>
      <c r="D90" s="38" t="n"/>
      <c r="E90" s="38" t="n"/>
      <c r="F90" s="38" t="n"/>
      <c r="G90" s="38" t="n"/>
      <c r="H90" s="39" t="n"/>
      <c r="I90" s="40" t="n"/>
      <c r="J90" s="41">
        <f>IF(C90="","",H90*I90)</f>
        <v/>
      </c>
      <c r="K90" s="42" t="n"/>
      <c r="L90" s="38" t="n"/>
      <c r="M90" s="42" t="n"/>
      <c r="N90" s="38" t="n"/>
    </row>
    <row r="91" ht="21" customHeight="1">
      <c r="A91" s="38" t="n"/>
      <c r="B91" s="38" t="n"/>
      <c r="C91" s="38" t="n"/>
      <c r="D91" s="38" t="n"/>
      <c r="E91" s="38" t="n"/>
      <c r="F91" s="38" t="n"/>
      <c r="G91" s="38" t="n"/>
      <c r="H91" s="39" t="n"/>
      <c r="I91" s="40" t="n"/>
      <c r="J91" s="41">
        <f>IF(C91="","",H91*I91)</f>
        <v/>
      </c>
      <c r="K91" s="42" t="n"/>
      <c r="L91" s="38" t="n"/>
      <c r="M91" s="42" t="n"/>
      <c r="N91" s="38" t="n"/>
    </row>
    <row r="92" ht="21" customHeight="1">
      <c r="A92" s="38" t="n"/>
      <c r="B92" s="38" t="n"/>
      <c r="C92" s="38" t="n"/>
      <c r="D92" s="38" t="n"/>
      <c r="E92" s="38" t="n"/>
      <c r="F92" s="38" t="n"/>
      <c r="G92" s="38" t="n"/>
      <c r="H92" s="39" t="n"/>
      <c r="I92" s="40" t="n"/>
      <c r="J92" s="41">
        <f>IF(C92="","",H92*I92)</f>
        <v/>
      </c>
      <c r="K92" s="42" t="n"/>
      <c r="L92" s="38" t="n"/>
      <c r="M92" s="42" t="n"/>
      <c r="N92" s="38" t="n"/>
    </row>
    <row r="93" ht="21" customHeight="1">
      <c r="A93" s="38" t="n"/>
      <c r="B93" s="38" t="n"/>
      <c r="C93" s="38" t="n"/>
      <c r="D93" s="38" t="n"/>
      <c r="E93" s="38" t="n"/>
      <c r="F93" s="38" t="n"/>
      <c r="G93" s="38" t="n"/>
      <c r="H93" s="39" t="n"/>
      <c r="I93" s="40" t="n"/>
      <c r="J93" s="41">
        <f>IF(C93="","",H93*I93)</f>
        <v/>
      </c>
      <c r="K93" s="42" t="n"/>
      <c r="L93" s="38" t="n"/>
      <c r="M93" s="42" t="n"/>
      <c r="N93" s="38" t="n"/>
    </row>
    <row r="94" ht="21" customHeight="1">
      <c r="A94" s="38" t="n"/>
      <c r="B94" s="38" t="n"/>
      <c r="C94" s="38" t="n"/>
      <c r="D94" s="38" t="n"/>
      <c r="E94" s="38" t="n"/>
      <c r="F94" s="38" t="n"/>
      <c r="G94" s="38" t="n"/>
      <c r="H94" s="39" t="n"/>
      <c r="I94" s="40" t="n"/>
      <c r="J94" s="41">
        <f>IF(C94="","",H94*I94)</f>
        <v/>
      </c>
      <c r="K94" s="42" t="n"/>
      <c r="L94" s="38" t="n"/>
      <c r="M94" s="42" t="n"/>
      <c r="N94" s="38" t="n"/>
    </row>
    <row r="95" ht="21" customHeight="1">
      <c r="A95" s="38" t="n"/>
      <c r="B95" s="38" t="n"/>
      <c r="C95" s="38" t="n"/>
      <c r="D95" s="38" t="n"/>
      <c r="E95" s="38" t="n"/>
      <c r="F95" s="38" t="n"/>
      <c r="G95" s="38" t="n"/>
      <c r="H95" s="39" t="n"/>
      <c r="I95" s="40" t="n"/>
      <c r="J95" s="41">
        <f>IF(C95="","",H95*I95)</f>
        <v/>
      </c>
      <c r="K95" s="42" t="n"/>
      <c r="L95" s="38" t="n"/>
      <c r="M95" s="42" t="n"/>
      <c r="N95" s="38" t="n"/>
    </row>
    <row r="96" ht="21" customHeight="1">
      <c r="A96" s="38" t="n"/>
      <c r="B96" s="38" t="n"/>
      <c r="C96" s="38" t="n"/>
      <c r="D96" s="38" t="n"/>
      <c r="E96" s="38" t="n"/>
      <c r="F96" s="38" t="n"/>
      <c r="G96" s="38" t="n"/>
      <c r="H96" s="39" t="n"/>
      <c r="I96" s="40" t="n"/>
      <c r="J96" s="41">
        <f>IF(C96="","",H96*I96)</f>
        <v/>
      </c>
      <c r="K96" s="42" t="n"/>
      <c r="L96" s="38" t="n"/>
      <c r="M96" s="42" t="n"/>
      <c r="N96" s="38" t="n"/>
    </row>
    <row r="97" ht="21" customHeight="1">
      <c r="A97" s="38" t="n"/>
      <c r="B97" s="38" t="n"/>
      <c r="C97" s="38" t="n"/>
      <c r="D97" s="38" t="n"/>
      <c r="E97" s="38" t="n"/>
      <c r="F97" s="38" t="n"/>
      <c r="G97" s="38" t="n"/>
      <c r="H97" s="39" t="n"/>
      <c r="I97" s="40" t="n"/>
      <c r="J97" s="41">
        <f>IF(C97="","",H97*I97)</f>
        <v/>
      </c>
      <c r="K97" s="42" t="n"/>
      <c r="L97" s="38" t="n"/>
      <c r="M97" s="42" t="n"/>
      <c r="N97" s="38" t="n"/>
    </row>
    <row r="98" ht="21" customHeight="1">
      <c r="A98" s="38" t="n"/>
      <c r="B98" s="38" t="n"/>
      <c r="C98" s="38" t="n"/>
      <c r="D98" s="38" t="n"/>
      <c r="E98" s="38" t="n"/>
      <c r="F98" s="38" t="n"/>
      <c r="G98" s="38" t="n"/>
      <c r="H98" s="39" t="n"/>
      <c r="I98" s="40" t="n"/>
      <c r="J98" s="41">
        <f>IF(C98="","",H98*I98)</f>
        <v/>
      </c>
      <c r="K98" s="42" t="n"/>
      <c r="L98" s="38" t="n"/>
      <c r="M98" s="42" t="n"/>
      <c r="N98" s="38" t="n"/>
    </row>
    <row r="99" ht="21" customHeight="1">
      <c r="A99" s="38" t="n"/>
      <c r="B99" s="38" t="n"/>
      <c r="C99" s="38" t="n"/>
      <c r="D99" s="38" t="n"/>
      <c r="E99" s="38" t="n"/>
      <c r="F99" s="38" t="n"/>
      <c r="G99" s="38" t="n"/>
      <c r="H99" s="39" t="n"/>
      <c r="I99" s="40" t="n"/>
      <c r="J99" s="41">
        <f>IF(C99="","",H99*I99)</f>
        <v/>
      </c>
      <c r="K99" s="42" t="n"/>
      <c r="L99" s="38" t="n"/>
      <c r="M99" s="42" t="n"/>
      <c r="N99" s="38" t="n"/>
    </row>
    <row r="100" ht="21" customHeight="1">
      <c r="A100" s="38" t="n"/>
      <c r="B100" s="38" t="n"/>
      <c r="C100" s="38" t="n"/>
      <c r="D100" s="38" t="n"/>
      <c r="E100" s="38" t="n"/>
      <c r="F100" s="38" t="n"/>
      <c r="G100" s="38" t="n"/>
      <c r="H100" s="39" t="n"/>
      <c r="I100" s="40" t="n"/>
      <c r="J100" s="41">
        <f>IF(C100="","",H100*I100)</f>
        <v/>
      </c>
      <c r="K100" s="42" t="n"/>
      <c r="L100" s="38" t="n"/>
      <c r="M100" s="42" t="n"/>
      <c r="N100" s="38" t="n"/>
    </row>
    <row r="101" ht="21" customHeight="1">
      <c r="A101" s="38" t="n"/>
      <c r="B101" s="38" t="n"/>
      <c r="C101" s="38" t="n"/>
      <c r="D101" s="38" t="n"/>
      <c r="E101" s="38" t="n"/>
      <c r="F101" s="38" t="n"/>
      <c r="G101" s="38" t="n"/>
      <c r="H101" s="39" t="n"/>
      <c r="I101" s="40" t="n"/>
      <c r="J101" s="41">
        <f>IF(C101="","",H101*I101)</f>
        <v/>
      </c>
      <c r="K101" s="42" t="n"/>
      <c r="L101" s="38" t="n"/>
      <c r="M101" s="42" t="n"/>
      <c r="N101" s="38" t="n"/>
    </row>
    <row r="102" ht="21" customHeight="1">
      <c r="A102" s="38" t="n"/>
      <c r="B102" s="38" t="n"/>
      <c r="C102" s="38" t="n"/>
      <c r="D102" s="38" t="n"/>
      <c r="E102" s="38" t="n"/>
      <c r="F102" s="38" t="n"/>
      <c r="G102" s="38" t="n"/>
      <c r="H102" s="39" t="n"/>
      <c r="I102" s="40" t="n"/>
      <c r="J102" s="41">
        <f>IF(C102="","",H102*I102)</f>
        <v/>
      </c>
      <c r="K102" s="42" t="n"/>
      <c r="L102" s="38" t="n"/>
      <c r="M102" s="42" t="n"/>
      <c r="N102" s="38" t="n"/>
    </row>
    <row r="103" ht="21" customHeight="1">
      <c r="A103" s="38" t="n"/>
      <c r="B103" s="38" t="n"/>
      <c r="C103" s="38" t="n"/>
      <c r="D103" s="38" t="n"/>
      <c r="E103" s="38" t="n"/>
      <c r="F103" s="38" t="n"/>
      <c r="G103" s="38" t="n"/>
      <c r="H103" s="39" t="n"/>
      <c r="I103" s="40" t="n"/>
      <c r="J103" s="41">
        <f>IF(C103="","",H103*I103)</f>
        <v/>
      </c>
      <c r="K103" s="42" t="n"/>
      <c r="L103" s="38" t="n"/>
      <c r="M103" s="42" t="n"/>
      <c r="N103" s="38" t="n"/>
    </row>
    <row r="104" ht="21" customHeight="1">
      <c r="A104" s="38" t="n"/>
      <c r="B104" s="38" t="n"/>
      <c r="C104" s="38" t="n"/>
      <c r="D104" s="38" t="n"/>
      <c r="E104" s="38" t="n"/>
      <c r="F104" s="38" t="n"/>
      <c r="G104" s="38" t="n"/>
      <c r="H104" s="39" t="n"/>
      <c r="I104" s="40" t="n"/>
      <c r="J104" s="41">
        <f>IF(C104="","",H104*I104)</f>
        <v/>
      </c>
      <c r="K104" s="42" t="n"/>
      <c r="L104" s="38" t="n"/>
      <c r="M104" s="42" t="n"/>
      <c r="N104" s="38" t="n"/>
    </row>
    <row r="105" ht="21" customHeight="1">
      <c r="A105" s="38" t="n"/>
      <c r="B105" s="38" t="n"/>
      <c r="C105" s="38" t="n"/>
      <c r="D105" s="38" t="n"/>
      <c r="E105" s="38" t="n"/>
      <c r="F105" s="38" t="n"/>
      <c r="G105" s="38" t="n"/>
      <c r="H105" s="39" t="n"/>
      <c r="I105" s="40" t="n"/>
      <c r="J105" s="41">
        <f>IF(C105="","",H105*I105)</f>
        <v/>
      </c>
      <c r="K105" s="42" t="n"/>
      <c r="L105" s="38" t="n"/>
      <c r="M105" s="42" t="n"/>
      <c r="N105" s="38" t="n"/>
    </row>
    <row r="106" ht="21" customHeight="1">
      <c r="A106" s="38" t="n"/>
      <c r="B106" s="38" t="n"/>
      <c r="C106" s="38" t="n"/>
      <c r="D106" s="38" t="n"/>
      <c r="E106" s="38" t="n"/>
      <c r="F106" s="38" t="n"/>
      <c r="G106" s="38" t="n"/>
      <c r="H106" s="39" t="n"/>
      <c r="I106" s="40" t="n"/>
      <c r="J106" s="41">
        <f>IF(C106="","",H106*I106)</f>
        <v/>
      </c>
      <c r="K106" s="42" t="n"/>
      <c r="L106" s="38" t="n"/>
      <c r="M106" s="42" t="n"/>
      <c r="N106" s="38" t="n"/>
    </row>
    <row r="107" ht="21" customHeight="1">
      <c r="A107" s="38" t="n"/>
      <c r="B107" s="38" t="n"/>
      <c r="C107" s="38" t="n"/>
      <c r="D107" s="38" t="n"/>
      <c r="E107" s="38" t="n"/>
      <c r="F107" s="38" t="n"/>
      <c r="G107" s="38" t="n"/>
      <c r="H107" s="39" t="n"/>
      <c r="I107" s="40" t="n"/>
      <c r="J107" s="41">
        <f>IF(C107="","",H107*I107)</f>
        <v/>
      </c>
      <c r="K107" s="42" t="n"/>
      <c r="L107" s="38" t="n"/>
      <c r="M107" s="42" t="n"/>
      <c r="N107" s="38" t="n"/>
    </row>
    <row r="108" ht="21" customHeight="1">
      <c r="A108" s="38" t="n"/>
      <c r="B108" s="38" t="n"/>
      <c r="C108" s="38" t="n"/>
      <c r="D108" s="38" t="n"/>
      <c r="E108" s="38" t="n"/>
      <c r="F108" s="38" t="n"/>
      <c r="G108" s="38" t="n"/>
      <c r="H108" s="39" t="n"/>
      <c r="I108" s="40" t="n"/>
      <c r="J108" s="41">
        <f>IF(C108="","",H108*I108)</f>
        <v/>
      </c>
      <c r="K108" s="42" t="n"/>
      <c r="L108" s="38" t="n"/>
      <c r="M108" s="42" t="n"/>
      <c r="N108" s="38" t="n"/>
    </row>
    <row r="109" ht="21" customHeight="1">
      <c r="A109" s="38" t="n"/>
      <c r="B109" s="38" t="n"/>
      <c r="C109" s="38" t="n"/>
      <c r="D109" s="38" t="n"/>
      <c r="E109" s="38" t="n"/>
      <c r="F109" s="38" t="n"/>
      <c r="G109" s="38" t="n"/>
      <c r="H109" s="39" t="n"/>
      <c r="I109" s="40" t="n"/>
      <c r="J109" s="41">
        <f>IF(C109="","",H109*I109)</f>
        <v/>
      </c>
      <c r="K109" s="42" t="n"/>
      <c r="L109" s="38" t="n"/>
      <c r="M109" s="42" t="n"/>
      <c r="N109" s="38" t="n"/>
    </row>
    <row r="110" ht="21" customHeight="1">
      <c r="A110" s="38" t="n"/>
      <c r="B110" s="38" t="n"/>
      <c r="C110" s="38" t="n"/>
      <c r="D110" s="38" t="n"/>
      <c r="E110" s="38" t="n"/>
      <c r="F110" s="38" t="n"/>
      <c r="G110" s="38" t="n"/>
      <c r="H110" s="39" t="n"/>
      <c r="I110" s="40" t="n"/>
      <c r="J110" s="41">
        <f>IF(C110="","",H110*I110)</f>
        <v/>
      </c>
      <c r="K110" s="42" t="n"/>
      <c r="L110" s="38" t="n"/>
      <c r="M110" s="42" t="n"/>
      <c r="N110" s="38" t="n"/>
    </row>
    <row r="111" ht="21" customHeight="1">
      <c r="A111" s="38" t="n"/>
      <c r="B111" s="38" t="n"/>
      <c r="C111" s="38" t="n"/>
      <c r="D111" s="38" t="n"/>
      <c r="E111" s="38" t="n"/>
      <c r="F111" s="38" t="n"/>
      <c r="G111" s="38" t="n"/>
      <c r="H111" s="39" t="n"/>
      <c r="I111" s="40" t="n"/>
      <c r="J111" s="41">
        <f>IF(C111="","",H111*I111)</f>
        <v/>
      </c>
      <c r="K111" s="42" t="n"/>
      <c r="L111" s="38" t="n"/>
      <c r="M111" s="42" t="n"/>
      <c r="N111" s="38" t="n"/>
    </row>
    <row r="112" ht="21" customHeight="1">
      <c r="A112" s="38" t="n"/>
      <c r="B112" s="38" t="n"/>
      <c r="C112" s="38" t="n"/>
      <c r="D112" s="38" t="n"/>
      <c r="E112" s="38" t="n"/>
      <c r="F112" s="38" t="n"/>
      <c r="G112" s="38" t="n"/>
      <c r="H112" s="39" t="n"/>
      <c r="I112" s="40" t="n"/>
      <c r="J112" s="41">
        <f>IF(C112="","",H112*I112)</f>
        <v/>
      </c>
      <c r="K112" s="42" t="n"/>
      <c r="L112" s="38" t="n"/>
      <c r="M112" s="42" t="n"/>
      <c r="N112" s="38" t="n"/>
    </row>
    <row r="113" ht="21" customHeight="1">
      <c r="A113" s="38" t="n"/>
      <c r="B113" s="38" t="n"/>
      <c r="C113" s="38" t="n"/>
      <c r="D113" s="38" t="n"/>
      <c r="E113" s="38" t="n"/>
      <c r="F113" s="38" t="n"/>
      <c r="G113" s="38" t="n"/>
      <c r="H113" s="39" t="n"/>
      <c r="I113" s="40" t="n"/>
      <c r="J113" s="41">
        <f>IF(C113="","",H113*I113)</f>
        <v/>
      </c>
      <c r="K113" s="42" t="n"/>
      <c r="L113" s="38" t="n"/>
      <c r="M113" s="42" t="n"/>
      <c r="N113" s="38" t="n"/>
    </row>
    <row r="114" ht="21" customHeight="1">
      <c r="A114" s="38" t="n"/>
      <c r="B114" s="38" t="n"/>
      <c r="C114" s="38" t="n"/>
      <c r="D114" s="38" t="n"/>
      <c r="E114" s="38" t="n"/>
      <c r="F114" s="38" t="n"/>
      <c r="G114" s="38" t="n"/>
      <c r="H114" s="39" t="n"/>
      <c r="I114" s="40" t="n"/>
      <c r="J114" s="41">
        <f>IF(C114="","",H114*I114)</f>
        <v/>
      </c>
      <c r="K114" s="42" t="n"/>
      <c r="L114" s="38" t="n"/>
      <c r="M114" s="42" t="n"/>
      <c r="N114" s="38" t="n"/>
    </row>
    <row r="115" ht="21" customHeight="1">
      <c r="A115" s="38" t="n"/>
      <c r="B115" s="38" t="n"/>
      <c r="C115" s="38" t="n"/>
      <c r="D115" s="38" t="n"/>
      <c r="E115" s="38" t="n"/>
      <c r="F115" s="38" t="n"/>
      <c r="G115" s="38" t="n"/>
      <c r="H115" s="39" t="n"/>
      <c r="I115" s="40" t="n"/>
      <c r="J115" s="41">
        <f>IF(C115="","",H115*I115)</f>
        <v/>
      </c>
      <c r="K115" s="42" t="n"/>
      <c r="L115" s="38" t="n"/>
      <c r="M115" s="42" t="n"/>
      <c r="N115" s="38" t="n"/>
    </row>
    <row r="116" ht="21" customHeight="1">
      <c r="A116" s="38" t="n"/>
      <c r="B116" s="38" t="n"/>
      <c r="C116" s="38" t="n"/>
      <c r="D116" s="38" t="n"/>
      <c r="E116" s="38" t="n"/>
      <c r="F116" s="38" t="n"/>
      <c r="G116" s="38" t="n"/>
      <c r="H116" s="39" t="n"/>
      <c r="I116" s="40" t="n"/>
      <c r="J116" s="41">
        <f>IF(C116="","",H116*I116)</f>
        <v/>
      </c>
      <c r="K116" s="42" t="n"/>
      <c r="L116" s="38" t="n"/>
      <c r="M116" s="42" t="n"/>
      <c r="N116" s="38" t="n"/>
    </row>
    <row r="117" ht="21" customHeight="1">
      <c r="A117" s="38" t="n"/>
      <c r="B117" s="38" t="n"/>
      <c r="C117" s="38" t="n"/>
      <c r="D117" s="38" t="n"/>
      <c r="E117" s="38" t="n"/>
      <c r="F117" s="38" t="n"/>
      <c r="G117" s="38" t="n"/>
      <c r="H117" s="39" t="n"/>
      <c r="I117" s="40" t="n"/>
      <c r="J117" s="41">
        <f>IF(C117="","",H117*I117)</f>
        <v/>
      </c>
      <c r="K117" s="42" t="n"/>
      <c r="L117" s="38" t="n"/>
      <c r="M117" s="42" t="n"/>
      <c r="N117" s="38" t="n"/>
    </row>
    <row r="118" ht="21" customHeight="1">
      <c r="A118" s="38" t="n"/>
      <c r="B118" s="38" t="n"/>
      <c r="C118" s="38" t="n"/>
      <c r="D118" s="38" t="n"/>
      <c r="E118" s="38" t="n"/>
      <c r="F118" s="38" t="n"/>
      <c r="G118" s="38" t="n"/>
      <c r="H118" s="39" t="n"/>
      <c r="I118" s="40" t="n"/>
      <c r="J118" s="41">
        <f>IF(C118="","",H118*I118)</f>
        <v/>
      </c>
      <c r="K118" s="42" t="n"/>
      <c r="L118" s="38" t="n"/>
      <c r="M118" s="42" t="n"/>
      <c r="N118" s="38" t="n"/>
    </row>
    <row r="119" ht="21" customHeight="1">
      <c r="A119" s="38" t="n"/>
      <c r="B119" s="38" t="n"/>
      <c r="C119" s="38" t="n"/>
      <c r="D119" s="38" t="n"/>
      <c r="E119" s="38" t="n"/>
      <c r="F119" s="38" t="n"/>
      <c r="G119" s="38" t="n"/>
      <c r="H119" s="39" t="n"/>
      <c r="I119" s="40" t="n"/>
      <c r="J119" s="41">
        <f>IF(C119="","",H119*I119)</f>
        <v/>
      </c>
      <c r="K119" s="42" t="n"/>
      <c r="L119" s="38" t="n"/>
      <c r="M119" s="42" t="n"/>
      <c r="N119" s="38" t="n"/>
    </row>
    <row r="120" ht="21" customHeight="1">
      <c r="A120" s="38" t="n"/>
      <c r="B120" s="38" t="n"/>
      <c r="C120" s="38" t="n"/>
      <c r="D120" s="38" t="n"/>
      <c r="E120" s="38" t="n"/>
      <c r="F120" s="38" t="n"/>
      <c r="G120" s="38" t="n"/>
      <c r="H120" s="39" t="n"/>
      <c r="I120" s="40" t="n"/>
      <c r="J120" s="41">
        <f>IF(C120="","",H120*I120)</f>
        <v/>
      </c>
      <c r="K120" s="42" t="n"/>
      <c r="L120" s="38" t="n"/>
      <c r="M120" s="42" t="n"/>
      <c r="N120" s="38" t="n"/>
    </row>
    <row r="121" ht="21" customHeight="1">
      <c r="A121" s="38" t="n"/>
      <c r="B121" s="38" t="n"/>
      <c r="C121" s="38" t="n"/>
      <c r="D121" s="38" t="n"/>
      <c r="E121" s="38" t="n"/>
      <c r="F121" s="38" t="n"/>
      <c r="G121" s="38" t="n"/>
      <c r="H121" s="39" t="n"/>
      <c r="I121" s="40" t="n"/>
      <c r="J121" s="41">
        <f>IF(C121="","",H121*I121)</f>
        <v/>
      </c>
      <c r="K121" s="42" t="n"/>
      <c r="L121" s="38" t="n"/>
      <c r="M121" s="42" t="n"/>
      <c r="N121" s="38" t="n"/>
    </row>
    <row r="122" ht="21" customHeight="1">
      <c r="A122" s="38" t="n"/>
      <c r="B122" s="38" t="n"/>
      <c r="C122" s="38" t="n"/>
      <c r="D122" s="38" t="n"/>
      <c r="E122" s="38" t="n"/>
      <c r="F122" s="38" t="n"/>
      <c r="G122" s="38" t="n"/>
      <c r="H122" s="39" t="n"/>
      <c r="I122" s="40" t="n"/>
      <c r="J122" s="41">
        <f>IF(C122="","",H122*I122)</f>
        <v/>
      </c>
      <c r="K122" s="42" t="n"/>
      <c r="L122" s="38" t="n"/>
      <c r="M122" s="42" t="n"/>
      <c r="N122" s="38" t="n"/>
    </row>
    <row r="123" ht="21" customHeight="1">
      <c r="A123" s="38" t="n"/>
      <c r="B123" s="38" t="n"/>
      <c r="C123" s="38" t="n"/>
      <c r="D123" s="38" t="n"/>
      <c r="E123" s="38" t="n"/>
      <c r="F123" s="38" t="n"/>
      <c r="G123" s="38" t="n"/>
      <c r="H123" s="39" t="n"/>
      <c r="I123" s="40" t="n"/>
      <c r="J123" s="41">
        <f>IF(C123="","",H123*I123)</f>
        <v/>
      </c>
      <c r="K123" s="42" t="n"/>
      <c r="L123" s="38" t="n"/>
      <c r="M123" s="42" t="n"/>
      <c r="N123" s="38" t="n"/>
    </row>
    <row r="124" ht="21" customHeight="1">
      <c r="A124" s="38" t="n"/>
      <c r="B124" s="38" t="n"/>
      <c r="C124" s="38" t="n"/>
      <c r="D124" s="38" t="n"/>
      <c r="E124" s="38" t="n"/>
      <c r="F124" s="38" t="n"/>
      <c r="G124" s="38" t="n"/>
      <c r="H124" s="39" t="n"/>
      <c r="I124" s="40" t="n"/>
      <c r="J124" s="41">
        <f>IF(C124="","",H124*I124)</f>
        <v/>
      </c>
      <c r="K124" s="42" t="n"/>
      <c r="L124" s="38" t="n"/>
      <c r="M124" s="42" t="n"/>
      <c r="N124" s="38" t="n"/>
    </row>
    <row r="125" ht="21" customHeight="1">
      <c r="A125" s="38" t="n"/>
      <c r="B125" s="38" t="n"/>
      <c r="C125" s="38" t="n"/>
      <c r="D125" s="38" t="n"/>
      <c r="E125" s="38" t="n"/>
      <c r="F125" s="38" t="n"/>
      <c r="G125" s="38" t="n"/>
      <c r="H125" s="39" t="n"/>
      <c r="I125" s="40" t="n"/>
      <c r="J125" s="41">
        <f>IF(C125="","",H125*I125)</f>
        <v/>
      </c>
      <c r="K125" s="42" t="n"/>
      <c r="L125" s="38" t="n"/>
      <c r="M125" s="42" t="n"/>
      <c r="N125" s="38" t="n"/>
    </row>
    <row r="126" ht="21" customHeight="1">
      <c r="A126" s="38" t="n"/>
      <c r="B126" s="38" t="n"/>
      <c r="C126" s="38" t="n"/>
      <c r="D126" s="38" t="n"/>
      <c r="E126" s="38" t="n"/>
      <c r="F126" s="38" t="n"/>
      <c r="G126" s="38" t="n"/>
      <c r="H126" s="39" t="n"/>
      <c r="I126" s="40" t="n"/>
      <c r="J126" s="41">
        <f>IF(C126="","",H126*I126)</f>
        <v/>
      </c>
      <c r="K126" s="42" t="n"/>
      <c r="L126" s="38" t="n"/>
      <c r="M126" s="42" t="n"/>
      <c r="N126" s="38" t="n"/>
    </row>
    <row r="127" ht="21" customHeight="1">
      <c r="A127" s="38" t="n"/>
      <c r="B127" s="38" t="n"/>
      <c r="C127" s="38" t="n"/>
      <c r="D127" s="38" t="n"/>
      <c r="E127" s="38" t="n"/>
      <c r="F127" s="38" t="n"/>
      <c r="G127" s="38" t="n"/>
      <c r="H127" s="39" t="n"/>
      <c r="I127" s="40" t="n"/>
      <c r="J127" s="41">
        <f>IF(C127="","",H127*I127)</f>
        <v/>
      </c>
      <c r="K127" s="42" t="n"/>
      <c r="L127" s="38" t="n"/>
      <c r="M127" s="42" t="n"/>
      <c r="N127" s="38" t="n"/>
    </row>
    <row r="128" ht="21" customHeight="1">
      <c r="A128" s="38" t="n"/>
      <c r="B128" s="38" t="n"/>
      <c r="C128" s="38" t="n"/>
      <c r="D128" s="38" t="n"/>
      <c r="E128" s="38" t="n"/>
      <c r="F128" s="38" t="n"/>
      <c r="G128" s="38" t="n"/>
      <c r="H128" s="39" t="n"/>
      <c r="I128" s="40" t="n"/>
      <c r="J128" s="41">
        <f>IF(C128="","",H128*I128)</f>
        <v/>
      </c>
      <c r="K128" s="42" t="n"/>
      <c r="L128" s="38" t="n"/>
      <c r="M128" s="42" t="n"/>
      <c r="N128" s="38" t="n"/>
    </row>
    <row r="129" ht="21" customHeight="1">
      <c r="A129" s="38" t="n"/>
      <c r="B129" s="38" t="n"/>
      <c r="C129" s="38" t="n"/>
      <c r="D129" s="38" t="n"/>
      <c r="E129" s="38" t="n"/>
      <c r="F129" s="38" t="n"/>
      <c r="G129" s="38" t="n"/>
      <c r="H129" s="39" t="n"/>
      <c r="I129" s="40" t="n"/>
      <c r="J129" s="41">
        <f>IF(C129="","",H129*I129)</f>
        <v/>
      </c>
      <c r="K129" s="42" t="n"/>
      <c r="L129" s="38" t="n"/>
      <c r="M129" s="42" t="n"/>
      <c r="N129" s="38" t="n"/>
    </row>
    <row r="130" ht="21" customHeight="1">
      <c r="A130" s="38" t="n"/>
      <c r="B130" s="38" t="n"/>
      <c r="C130" s="38" t="n"/>
      <c r="D130" s="38" t="n"/>
      <c r="E130" s="38" t="n"/>
      <c r="F130" s="38" t="n"/>
      <c r="G130" s="38" t="n"/>
      <c r="H130" s="39" t="n"/>
      <c r="I130" s="40" t="n"/>
      <c r="J130" s="41">
        <f>IF(C130="","",H130*I130)</f>
        <v/>
      </c>
      <c r="K130" s="42" t="n"/>
      <c r="L130" s="38" t="n"/>
      <c r="M130" s="42" t="n"/>
      <c r="N130" s="38" t="n"/>
    </row>
    <row r="131" ht="21" customHeight="1">
      <c r="A131" s="38" t="n"/>
      <c r="B131" s="38" t="n"/>
      <c r="C131" s="38" t="n"/>
      <c r="D131" s="38" t="n"/>
      <c r="E131" s="38" t="n"/>
      <c r="F131" s="38" t="n"/>
      <c r="G131" s="38" t="n"/>
      <c r="H131" s="39" t="n"/>
      <c r="I131" s="40" t="n"/>
      <c r="J131" s="41">
        <f>IF(C131="","",H131*I131)</f>
        <v/>
      </c>
      <c r="K131" s="42" t="n"/>
      <c r="L131" s="38" t="n"/>
      <c r="M131" s="42" t="n"/>
      <c r="N131" s="38" t="n"/>
    </row>
    <row r="132" ht="21" customHeight="1">
      <c r="A132" s="38" t="n"/>
      <c r="B132" s="38" t="n"/>
      <c r="C132" s="38" t="n"/>
      <c r="D132" s="38" t="n"/>
      <c r="E132" s="38" t="n"/>
      <c r="F132" s="38" t="n"/>
      <c r="G132" s="38" t="n"/>
      <c r="H132" s="39" t="n"/>
      <c r="I132" s="40" t="n"/>
      <c r="J132" s="41">
        <f>IF(C132="","",H132*I132)</f>
        <v/>
      </c>
      <c r="K132" s="42" t="n"/>
      <c r="L132" s="38" t="n"/>
      <c r="M132" s="42" t="n"/>
      <c r="N132" s="38" t="n"/>
    </row>
    <row r="133" ht="21" customHeight="1">
      <c r="A133" s="38" t="n"/>
      <c r="B133" s="38" t="n"/>
      <c r="C133" s="38" t="n"/>
      <c r="D133" s="38" t="n"/>
      <c r="E133" s="38" t="n"/>
      <c r="F133" s="38" t="n"/>
      <c r="G133" s="38" t="n"/>
      <c r="H133" s="39" t="n"/>
      <c r="I133" s="40" t="n"/>
      <c r="J133" s="41">
        <f>IF(C133="","",H133*I133)</f>
        <v/>
      </c>
      <c r="K133" s="42" t="n"/>
      <c r="L133" s="38" t="n"/>
      <c r="M133" s="42" t="n"/>
      <c r="N133" s="38" t="n"/>
    </row>
    <row r="134" ht="21" customHeight="1">
      <c r="A134" s="38" t="n"/>
      <c r="B134" s="38" t="n"/>
      <c r="C134" s="38" t="n"/>
      <c r="D134" s="38" t="n"/>
      <c r="E134" s="38" t="n"/>
      <c r="F134" s="38" t="n"/>
      <c r="G134" s="38" t="n"/>
      <c r="H134" s="39" t="n"/>
      <c r="I134" s="40" t="n"/>
      <c r="J134" s="41">
        <f>IF(C134="","",H134*I134)</f>
        <v/>
      </c>
      <c r="K134" s="42" t="n"/>
      <c r="L134" s="38" t="n"/>
      <c r="M134" s="42" t="n"/>
      <c r="N134" s="38" t="n"/>
    </row>
    <row r="135" ht="21" customHeight="1">
      <c r="A135" s="38" t="n"/>
      <c r="B135" s="38" t="n"/>
      <c r="C135" s="38" t="n"/>
      <c r="D135" s="38" t="n"/>
      <c r="E135" s="38" t="n"/>
      <c r="F135" s="38" t="n"/>
      <c r="G135" s="38" t="n"/>
      <c r="H135" s="39" t="n"/>
      <c r="I135" s="40" t="n"/>
      <c r="J135" s="41">
        <f>IF(C135="","",H135*I135)</f>
        <v/>
      </c>
      <c r="K135" s="42" t="n"/>
      <c r="L135" s="38" t="n"/>
      <c r="M135" s="42" t="n"/>
      <c r="N135" s="38" t="n"/>
    </row>
    <row r="136" ht="21" customHeight="1">
      <c r="A136" s="38" t="n"/>
      <c r="B136" s="38" t="n"/>
      <c r="C136" s="38" t="n"/>
      <c r="D136" s="38" t="n"/>
      <c r="E136" s="38" t="n"/>
      <c r="F136" s="38" t="n"/>
      <c r="G136" s="38" t="n"/>
      <c r="H136" s="39" t="n"/>
      <c r="I136" s="40" t="n"/>
      <c r="J136" s="41">
        <f>IF(C136="","",H136*I136)</f>
        <v/>
      </c>
      <c r="K136" s="42" t="n"/>
      <c r="L136" s="38" t="n"/>
      <c r="M136" s="42" t="n"/>
      <c r="N136" s="38" t="n"/>
    </row>
    <row r="137" ht="21" customHeight="1">
      <c r="A137" s="38" t="n"/>
      <c r="B137" s="38" t="n"/>
      <c r="C137" s="38" t="n"/>
      <c r="D137" s="38" t="n"/>
      <c r="E137" s="38" t="n"/>
      <c r="F137" s="38" t="n"/>
      <c r="G137" s="38" t="n"/>
      <c r="H137" s="39" t="n"/>
      <c r="I137" s="40" t="n"/>
      <c r="J137" s="41">
        <f>IF(C137="","",H137*I137)</f>
        <v/>
      </c>
      <c r="K137" s="42" t="n"/>
      <c r="L137" s="38" t="n"/>
      <c r="M137" s="42" t="n"/>
      <c r="N137" s="38" t="n"/>
    </row>
    <row r="138" ht="21" customHeight="1">
      <c r="A138" s="38" t="n"/>
      <c r="B138" s="38" t="n"/>
      <c r="C138" s="38" t="n"/>
      <c r="D138" s="38" t="n"/>
      <c r="E138" s="38" t="n"/>
      <c r="F138" s="38" t="n"/>
      <c r="G138" s="38" t="n"/>
      <c r="H138" s="39" t="n"/>
      <c r="I138" s="40" t="n"/>
      <c r="J138" s="41">
        <f>IF(C138="","",H138*I138)</f>
        <v/>
      </c>
      <c r="K138" s="42" t="n"/>
      <c r="L138" s="38" t="n"/>
      <c r="M138" s="42" t="n"/>
      <c r="N138" s="38" t="n"/>
    </row>
    <row r="139" ht="21" customHeight="1">
      <c r="A139" s="38" t="n"/>
      <c r="B139" s="38" t="n"/>
      <c r="C139" s="38" t="n"/>
      <c r="D139" s="38" t="n"/>
      <c r="E139" s="38" t="n"/>
      <c r="F139" s="38" t="n"/>
      <c r="G139" s="38" t="n"/>
      <c r="H139" s="39" t="n"/>
      <c r="I139" s="40" t="n"/>
      <c r="J139" s="41">
        <f>IF(C139="","",H139*I139)</f>
        <v/>
      </c>
      <c r="K139" s="42" t="n"/>
      <c r="L139" s="38" t="n"/>
      <c r="M139" s="42" t="n"/>
      <c r="N139" s="38" t="n"/>
    </row>
    <row r="140" ht="21" customHeight="1">
      <c r="A140" s="38" t="n"/>
      <c r="B140" s="38" t="n"/>
      <c r="C140" s="38" t="n"/>
      <c r="D140" s="38" t="n"/>
      <c r="E140" s="38" t="n"/>
      <c r="F140" s="38" t="n"/>
      <c r="G140" s="38" t="n"/>
      <c r="H140" s="39" t="n"/>
      <c r="I140" s="40" t="n"/>
      <c r="J140" s="41">
        <f>IF(C140="","",H140*I140)</f>
        <v/>
      </c>
      <c r="K140" s="42" t="n"/>
      <c r="L140" s="38" t="n"/>
      <c r="M140" s="42" t="n"/>
      <c r="N140" s="38" t="n"/>
    </row>
    <row r="141" ht="21" customHeight="1">
      <c r="A141" s="38" t="n"/>
      <c r="B141" s="38" t="n"/>
      <c r="C141" s="38" t="n"/>
      <c r="D141" s="38" t="n"/>
      <c r="E141" s="38" t="n"/>
      <c r="F141" s="38" t="n"/>
      <c r="G141" s="38" t="n"/>
      <c r="H141" s="39" t="n"/>
      <c r="I141" s="40" t="n"/>
      <c r="J141" s="41">
        <f>IF(C141="","",H141*I141)</f>
        <v/>
      </c>
      <c r="K141" s="42" t="n"/>
      <c r="L141" s="38" t="n"/>
      <c r="M141" s="42" t="n"/>
      <c r="N141" s="38" t="n"/>
    </row>
    <row r="142" ht="21" customHeight="1">
      <c r="A142" s="38" t="n"/>
      <c r="B142" s="38" t="n"/>
      <c r="C142" s="38" t="n"/>
      <c r="D142" s="38" t="n"/>
      <c r="E142" s="38" t="n"/>
      <c r="F142" s="38" t="n"/>
      <c r="G142" s="38" t="n"/>
      <c r="H142" s="39" t="n"/>
      <c r="I142" s="40" t="n"/>
      <c r="J142" s="41">
        <f>IF(C142="","",H142*I142)</f>
        <v/>
      </c>
      <c r="K142" s="42" t="n"/>
      <c r="L142" s="38" t="n"/>
      <c r="M142" s="42" t="n"/>
      <c r="N142" s="38" t="n"/>
    </row>
    <row r="143" ht="21" customHeight="1">
      <c r="A143" s="38" t="n"/>
      <c r="B143" s="38" t="n"/>
      <c r="C143" s="38" t="n"/>
      <c r="D143" s="38" t="n"/>
      <c r="E143" s="38" t="n"/>
      <c r="F143" s="38" t="n"/>
      <c r="G143" s="38" t="n"/>
      <c r="H143" s="39" t="n"/>
      <c r="I143" s="40" t="n"/>
      <c r="J143" s="41">
        <f>IF(C143="","",H143*I143)</f>
        <v/>
      </c>
      <c r="K143" s="42" t="n"/>
      <c r="L143" s="38" t="n"/>
      <c r="M143" s="42" t="n"/>
      <c r="N143" s="38" t="n"/>
    </row>
    <row r="144" ht="21" customHeight="1">
      <c r="A144" s="38" t="n"/>
      <c r="B144" s="38" t="n"/>
      <c r="C144" s="38" t="n"/>
      <c r="D144" s="38" t="n"/>
      <c r="E144" s="38" t="n"/>
      <c r="F144" s="38" t="n"/>
      <c r="G144" s="38" t="n"/>
      <c r="H144" s="39" t="n"/>
      <c r="I144" s="40" t="n"/>
      <c r="J144" s="41">
        <f>IF(C144="","",H144*I144)</f>
        <v/>
      </c>
      <c r="K144" s="42" t="n"/>
      <c r="L144" s="38" t="n"/>
      <c r="M144" s="42" t="n"/>
      <c r="N144" s="38" t="n"/>
    </row>
    <row r="145" ht="21" customHeight="1">
      <c r="A145" s="38" t="n"/>
      <c r="B145" s="38" t="n"/>
      <c r="C145" s="38" t="n"/>
      <c r="D145" s="38" t="n"/>
      <c r="E145" s="38" t="n"/>
      <c r="F145" s="38" t="n"/>
      <c r="G145" s="38" t="n"/>
      <c r="H145" s="39" t="n"/>
      <c r="I145" s="40" t="n"/>
      <c r="J145" s="41">
        <f>IF(C145="","",H145*I145)</f>
        <v/>
      </c>
      <c r="K145" s="42" t="n"/>
      <c r="L145" s="38" t="n"/>
      <c r="M145" s="42" t="n"/>
      <c r="N145" s="38" t="n"/>
    </row>
    <row r="146" ht="21" customHeight="1">
      <c r="A146" s="38" t="n"/>
      <c r="B146" s="38" t="n"/>
      <c r="C146" s="38" t="n"/>
      <c r="D146" s="38" t="n"/>
      <c r="E146" s="38" t="n"/>
      <c r="F146" s="38" t="n"/>
      <c r="G146" s="38" t="n"/>
      <c r="H146" s="39" t="n"/>
      <c r="I146" s="40" t="n"/>
      <c r="J146" s="41">
        <f>IF(C146="","",H146*I146)</f>
        <v/>
      </c>
      <c r="K146" s="42" t="n"/>
      <c r="L146" s="38" t="n"/>
      <c r="M146" s="42" t="n"/>
      <c r="N146" s="38" t="n"/>
    </row>
    <row r="147" ht="21" customHeight="1">
      <c r="A147" s="38" t="n"/>
      <c r="B147" s="38" t="n"/>
      <c r="C147" s="38" t="n"/>
      <c r="D147" s="38" t="n"/>
      <c r="E147" s="38" t="n"/>
      <c r="F147" s="38" t="n"/>
      <c r="G147" s="38" t="n"/>
      <c r="H147" s="39" t="n"/>
      <c r="I147" s="40" t="n"/>
      <c r="J147" s="41">
        <f>IF(C147="","",H147*I147)</f>
        <v/>
      </c>
      <c r="K147" s="42" t="n"/>
      <c r="L147" s="38" t="n"/>
      <c r="M147" s="42" t="n"/>
      <c r="N147" s="38" t="n"/>
    </row>
    <row r="148" ht="21" customHeight="1">
      <c r="A148" s="38" t="n"/>
      <c r="B148" s="38" t="n"/>
      <c r="C148" s="38" t="n"/>
      <c r="D148" s="38" t="n"/>
      <c r="E148" s="38" t="n"/>
      <c r="F148" s="38" t="n"/>
      <c r="G148" s="38" t="n"/>
      <c r="H148" s="39" t="n"/>
      <c r="I148" s="40" t="n"/>
      <c r="J148" s="41">
        <f>IF(C148="","",H148*I148)</f>
        <v/>
      </c>
      <c r="K148" s="42" t="n"/>
      <c r="L148" s="38" t="n"/>
      <c r="M148" s="42" t="n"/>
      <c r="N148" s="38" t="n"/>
    </row>
    <row r="149" ht="21" customHeight="1">
      <c r="A149" s="38" t="n"/>
      <c r="B149" s="38" t="n"/>
      <c r="C149" s="38" t="n"/>
      <c r="D149" s="38" t="n"/>
      <c r="E149" s="38" t="n"/>
      <c r="F149" s="38" t="n"/>
      <c r="G149" s="38" t="n"/>
      <c r="H149" s="39" t="n"/>
      <c r="I149" s="40" t="n"/>
      <c r="J149" s="41">
        <f>IF(C149="","",H149*I149)</f>
        <v/>
      </c>
      <c r="K149" s="42" t="n"/>
      <c r="L149" s="38" t="n"/>
      <c r="M149" s="42" t="n"/>
      <c r="N149" s="38" t="n"/>
    </row>
    <row r="150" ht="21" customHeight="1">
      <c r="A150" s="38" t="n"/>
      <c r="B150" s="38" t="n"/>
      <c r="C150" s="38" t="n"/>
      <c r="D150" s="38" t="n"/>
      <c r="E150" s="38" t="n"/>
      <c r="F150" s="38" t="n"/>
      <c r="G150" s="38" t="n"/>
      <c r="H150" s="39" t="n"/>
      <c r="I150" s="40" t="n"/>
      <c r="J150" s="41">
        <f>IF(C150="","",H150*I150)</f>
        <v/>
      </c>
      <c r="K150" s="42" t="n"/>
      <c r="L150" s="38" t="n"/>
      <c r="M150" s="42" t="n"/>
      <c r="N150" s="38" t="n"/>
    </row>
    <row r="151" ht="21" customHeight="1">
      <c r="A151" s="38" t="n"/>
      <c r="B151" s="38" t="n"/>
      <c r="C151" s="38" t="n"/>
      <c r="D151" s="38" t="n"/>
      <c r="E151" s="38" t="n"/>
      <c r="F151" s="38" t="n"/>
      <c r="G151" s="38" t="n"/>
      <c r="H151" s="39" t="n"/>
      <c r="I151" s="40" t="n"/>
      <c r="J151" s="41">
        <f>IF(C151="","",H151*I151)</f>
        <v/>
      </c>
      <c r="K151" s="42" t="n"/>
      <c r="L151" s="38" t="n"/>
      <c r="M151" s="42" t="n"/>
      <c r="N151" s="38" t="n"/>
    </row>
    <row r="152" ht="21" customHeight="1">
      <c r="A152" s="38" t="n"/>
      <c r="B152" s="38" t="n"/>
      <c r="C152" s="38" t="n"/>
      <c r="D152" s="38" t="n"/>
      <c r="E152" s="38" t="n"/>
      <c r="F152" s="38" t="n"/>
      <c r="G152" s="38" t="n"/>
      <c r="H152" s="39" t="n"/>
      <c r="I152" s="40" t="n"/>
      <c r="J152" s="41">
        <f>IF(C152="","",H152*I152)</f>
        <v/>
      </c>
      <c r="K152" s="42" t="n"/>
      <c r="L152" s="38" t="n"/>
      <c r="M152" s="42" t="n"/>
      <c r="N152" s="38" t="n"/>
    </row>
    <row r="153" ht="21" customHeight="1">
      <c r="A153" s="38" t="n"/>
      <c r="B153" s="38" t="n"/>
      <c r="C153" s="38" t="n"/>
      <c r="D153" s="38" t="n"/>
      <c r="E153" s="38" t="n"/>
      <c r="F153" s="38" t="n"/>
      <c r="G153" s="38" t="n"/>
      <c r="H153" s="39" t="n"/>
      <c r="I153" s="40" t="n"/>
      <c r="J153" s="41">
        <f>IF(C153="","",H153*I153)</f>
        <v/>
      </c>
      <c r="K153" s="42" t="n"/>
      <c r="L153" s="38" t="n"/>
      <c r="M153" s="42" t="n"/>
      <c r="N153" s="38" t="n"/>
    </row>
    <row r="154" ht="21" customHeight="1">
      <c r="A154" s="38" t="n"/>
      <c r="B154" s="38" t="n"/>
      <c r="C154" s="38" t="n"/>
      <c r="D154" s="38" t="n"/>
      <c r="E154" s="38" t="n"/>
      <c r="F154" s="38" t="n"/>
      <c r="G154" s="38" t="n"/>
      <c r="H154" s="39" t="n"/>
      <c r="I154" s="40" t="n"/>
      <c r="J154" s="41">
        <f>IF(C154="","",H154*I154)</f>
        <v/>
      </c>
      <c r="K154" s="42" t="n"/>
      <c r="L154" s="38" t="n"/>
      <c r="M154" s="42" t="n"/>
      <c r="N154" s="38" t="n"/>
    </row>
    <row r="155" ht="21" customHeight="1">
      <c r="A155" s="38" t="n"/>
      <c r="B155" s="38" t="n"/>
      <c r="C155" s="38" t="n"/>
      <c r="D155" s="38" t="n"/>
      <c r="E155" s="38" t="n"/>
      <c r="F155" s="38" t="n"/>
      <c r="G155" s="38" t="n"/>
      <c r="H155" s="39" t="n"/>
      <c r="I155" s="40" t="n"/>
      <c r="J155" s="41">
        <f>IF(C155="","",H155*I155)</f>
        <v/>
      </c>
      <c r="K155" s="42" t="n"/>
      <c r="L155" s="38" t="n"/>
      <c r="M155" s="42" t="n"/>
      <c r="N155" s="38" t="n"/>
    </row>
    <row r="156" ht="21" customHeight="1">
      <c r="A156" s="38" t="n"/>
      <c r="B156" s="38" t="n"/>
      <c r="C156" s="38" t="n"/>
      <c r="D156" s="38" t="n"/>
      <c r="E156" s="38" t="n"/>
      <c r="F156" s="38" t="n"/>
      <c r="G156" s="38" t="n"/>
      <c r="H156" s="39" t="n"/>
      <c r="I156" s="40" t="n"/>
      <c r="J156" s="41">
        <f>IF(C156="","",H156*I156)</f>
        <v/>
      </c>
      <c r="K156" s="42" t="n"/>
      <c r="L156" s="38" t="n"/>
      <c r="M156" s="42" t="n"/>
      <c r="N156" s="38" t="n"/>
    </row>
  </sheetData>
  <autoFilter ref="A6:N156"/>
  <mergeCells count="3">
    <mergeCell ref="A1:N2"/>
    <mergeCell ref="A3:N3"/>
    <mergeCell ref="A4:N4"/>
  </mergeCells>
  <dataValidations count="4">
    <dataValidation sqref="A7:A156" showDropDown="0" showInputMessage="1" showErrorMessage="1" allowBlank="1" errorTitle="Invalid entry" error="Please choose a value from the dropdown list." promptTitle="Choose from the dropdown" prompt="Select a value from the list." type="list">
      <formula1>=RoomNames</formula1>
    </dataValidation>
    <dataValidation sqref="B7:B156" showDropDown="0" showInputMessage="1" showErrorMessage="1" allowBlank="1" errorTitle="Invalid entry" error="Please choose a value from the dropdown list." promptTitle="Choose from the dropdown" prompt="Select a value from the list." type="list">
      <formula1>=FixtureTypes</formula1>
    </dataValidation>
    <dataValidation sqref="F7:F156" showDropDown="0" showInputMessage="1" showErrorMessage="1" allowBlank="1" errorTitle="Invalid entry" error="Please choose a value from the dropdown list." promptTitle="Choose from the dropdown" prompt="Select a value from the list." type="list">
      <formula1>=VendorNames</formula1>
    </dataValidation>
    <dataValidation sqref="K7:M156" showDropDown="0" showInputMessage="1" showErrorMessage="1" allowBlank="1" errorTitle="Invalid date" error="Enter a valid date between 1/1/1900 and 12/31/2100." promptTitle="Enter a date" prompt="Use a date such as 6/30/2026." type="date" operator="between">
      <formula1>DATE(1900,1,1)</formula1>
      <formula2>DATE(2100,12,31)</formula2>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8.xml><?xml version="1.0" encoding="utf-8"?>
<worksheet xmlns="http://schemas.openxmlformats.org/spreadsheetml/2006/main">
  <sheetPr>
    <tabColor rgb="007F9E9F"/>
    <outlinePr summaryBelow="1" summaryRight="1"/>
    <pageSetUpPr fitToPage="1"/>
  </sheetPr>
  <dimension ref="A1:O156"/>
  <sheetViews>
    <sheetView showGridLines="0" zoomScale="85" workbookViewId="0">
      <pane ySplit="6" topLeftCell="A7" activePane="bottomLeft" state="frozen"/>
      <selection pane="bottomLeft" activeCell="A7" sqref="A1"/>
    </sheetView>
  </sheetViews>
  <sheetFormatPr baseColWidth="8" defaultRowHeight="15"/>
  <cols>
    <col width="20" customWidth="1" min="1" max="1"/>
    <col width="21" customWidth="1" min="2" max="2"/>
    <col width="19" customWidth="1" min="3" max="3"/>
    <col width="27" customWidth="1" min="4" max="4"/>
    <col width="20" customWidth="1" min="5" max="5"/>
    <col width="18" customWidth="1" min="6" max="6"/>
    <col width="22" customWidth="1" min="7" max="7"/>
    <col width="30" customWidth="1" min="8" max="8"/>
    <col width="18" customWidth="1" min="9" max="9"/>
    <col width="15" customWidth="1" min="10" max="10"/>
    <col width="14" customWidth="1" min="11" max="11"/>
    <col width="15" customWidth="1" min="12" max="12"/>
    <col width="16" customWidth="1" min="13" max="13"/>
    <col width="16" customWidth="1" min="14" max="14"/>
    <col width="34" customWidth="1" min="15" max="15"/>
  </cols>
  <sheetData>
    <row r="1" ht="26" customHeight="1">
      <c r="A1" s="1" t="inlineStr">
        <is>
          <t>Finishes Schedule</t>
        </is>
      </c>
    </row>
    <row r="2" ht="26" customHeight="1"/>
    <row r="3" ht="26" customHeight="1">
      <c r="A3" s="24" t="inlineStr">
        <is>
          <t>Track finish selections, samples, quantities, pricing, and installer notes by room.</t>
        </is>
      </c>
    </row>
    <row r="4">
      <c r="A4" s="36" t="inlineStr">
        <is>
          <t>Tip: enter data in the warm cream cells. Blue cells calculate automatically. Use the filter arrows in row 6 to focus the view.</t>
        </is>
      </c>
    </row>
    <row r="6" ht="34" customHeight="1">
      <c r="A6" s="37" t="inlineStr">
        <is>
          <t>Room</t>
        </is>
      </c>
      <c r="B6" s="37" t="inlineStr">
        <is>
          <t>Surface/application</t>
        </is>
      </c>
      <c r="C6" s="37" t="inlineStr">
        <is>
          <t>Finish type</t>
        </is>
      </c>
      <c r="D6" s="37" t="inlineStr">
        <is>
          <t>Product name</t>
        </is>
      </c>
      <c r="E6" s="37" t="inlineStr">
        <is>
          <t>Color/finish</t>
        </is>
      </c>
      <c r="F6" s="37" t="inlineStr">
        <is>
          <t>Material</t>
        </is>
      </c>
      <c r="G6" s="37" t="inlineStr">
        <is>
          <t>Vendor</t>
        </is>
      </c>
      <c r="H6" s="37" t="inlineStr">
        <is>
          <t>Product link</t>
        </is>
      </c>
      <c r="I6" s="37" t="inlineStr">
        <is>
          <t>SKU</t>
        </is>
      </c>
      <c r="J6" s="37" t="inlineStr">
        <is>
          <t>Quantity needed</t>
        </is>
      </c>
      <c r="K6" s="37" t="inlineStr">
        <is>
          <t>Unit cost</t>
        </is>
      </c>
      <c r="L6" s="37" t="inlineStr">
        <is>
          <t>Total cost</t>
        </is>
      </c>
      <c r="M6" s="37" t="inlineStr">
        <is>
          <t>Sample ordered</t>
        </is>
      </c>
      <c r="N6" s="37" t="inlineStr">
        <is>
          <t>Sample approved</t>
        </is>
      </c>
      <c r="O6" s="37" t="inlineStr">
        <is>
          <t>Installer notes</t>
        </is>
      </c>
    </row>
    <row r="7" ht="21" customHeight="1">
      <c r="A7" s="38" t="n"/>
      <c r="B7" s="38" t="n"/>
      <c r="C7" s="38" t="n"/>
      <c r="D7" s="38" t="n"/>
      <c r="E7" s="38" t="n"/>
      <c r="F7" s="38" t="n"/>
      <c r="G7" s="38" t="n"/>
      <c r="H7" s="38" t="n"/>
      <c r="I7" s="38" t="n"/>
      <c r="J7" s="39" t="n"/>
      <c r="K7" s="40" t="n"/>
      <c r="L7" s="41">
        <f>IF(D7="","",J7*K7)</f>
        <v/>
      </c>
      <c r="M7" s="38" t="n"/>
      <c r="N7" s="38" t="n"/>
      <c r="O7" s="38" t="n"/>
    </row>
    <row r="8" ht="21" customHeight="1">
      <c r="A8" s="38" t="n"/>
      <c r="B8" s="38" t="n"/>
      <c r="C8" s="38" t="n"/>
      <c r="D8" s="38" t="n"/>
      <c r="E8" s="38" t="n"/>
      <c r="F8" s="38" t="n"/>
      <c r="G8" s="38" t="n"/>
      <c r="H8" s="38" t="n"/>
      <c r="I8" s="38" t="n"/>
      <c r="J8" s="39" t="n"/>
      <c r="K8" s="40" t="n"/>
      <c r="L8" s="41">
        <f>IF(D8="","",J8*K8)</f>
        <v/>
      </c>
      <c r="M8" s="38" t="n"/>
      <c r="N8" s="38" t="n"/>
      <c r="O8" s="38" t="n"/>
    </row>
    <row r="9" ht="21" customHeight="1">
      <c r="A9" s="38" t="n"/>
      <c r="B9" s="38" t="n"/>
      <c r="C9" s="38" t="n"/>
      <c r="D9" s="38" t="n"/>
      <c r="E9" s="38" t="n"/>
      <c r="F9" s="38" t="n"/>
      <c r="G9" s="38" t="n"/>
      <c r="H9" s="38" t="n"/>
      <c r="I9" s="38" t="n"/>
      <c r="J9" s="39" t="n"/>
      <c r="K9" s="40" t="n"/>
      <c r="L9" s="41">
        <f>IF(D9="","",J9*K9)</f>
        <v/>
      </c>
      <c r="M9" s="38" t="n"/>
      <c r="N9" s="38" t="n"/>
      <c r="O9" s="38" t="n"/>
    </row>
    <row r="10" ht="21" customHeight="1">
      <c r="A10" s="38" t="n"/>
      <c r="B10" s="38" t="n"/>
      <c r="C10" s="38" t="n"/>
      <c r="D10" s="38" t="n"/>
      <c r="E10" s="38" t="n"/>
      <c r="F10" s="38" t="n"/>
      <c r="G10" s="38" t="n"/>
      <c r="H10" s="38" t="n"/>
      <c r="I10" s="38" t="n"/>
      <c r="J10" s="39" t="n"/>
      <c r="K10" s="40" t="n"/>
      <c r="L10" s="41">
        <f>IF(D10="","",J10*K10)</f>
        <v/>
      </c>
      <c r="M10" s="38" t="n"/>
      <c r="N10" s="38" t="n"/>
      <c r="O10" s="38" t="n"/>
    </row>
    <row r="11" ht="21" customHeight="1">
      <c r="A11" s="38" t="n"/>
      <c r="B11" s="38" t="n"/>
      <c r="C11" s="38" t="n"/>
      <c r="D11" s="38" t="n"/>
      <c r="E11" s="38" t="n"/>
      <c r="F11" s="38" t="n"/>
      <c r="G11" s="38" t="n"/>
      <c r="H11" s="38" t="n"/>
      <c r="I11" s="38" t="n"/>
      <c r="J11" s="39" t="n"/>
      <c r="K11" s="40" t="n"/>
      <c r="L11" s="41">
        <f>IF(D11="","",J11*K11)</f>
        <v/>
      </c>
      <c r="M11" s="38" t="n"/>
      <c r="N11" s="38" t="n"/>
      <c r="O11" s="38" t="n"/>
    </row>
    <row r="12" ht="21" customHeight="1">
      <c r="A12" s="38" t="n"/>
      <c r="B12" s="38" t="n"/>
      <c r="C12" s="38" t="n"/>
      <c r="D12" s="38" t="n"/>
      <c r="E12" s="38" t="n"/>
      <c r="F12" s="38" t="n"/>
      <c r="G12" s="38" t="n"/>
      <c r="H12" s="38" t="n"/>
      <c r="I12" s="38" t="n"/>
      <c r="J12" s="39" t="n"/>
      <c r="K12" s="40" t="n"/>
      <c r="L12" s="41">
        <f>IF(D12="","",J12*K12)</f>
        <v/>
      </c>
      <c r="M12" s="38" t="n"/>
      <c r="N12" s="38" t="n"/>
      <c r="O12" s="38" t="n"/>
    </row>
    <row r="13" ht="21" customHeight="1">
      <c r="A13" s="38" t="n"/>
      <c r="B13" s="38" t="n"/>
      <c r="C13" s="38" t="n"/>
      <c r="D13" s="38" t="n"/>
      <c r="E13" s="38" t="n"/>
      <c r="F13" s="38" t="n"/>
      <c r="G13" s="38" t="n"/>
      <c r="H13" s="38" t="n"/>
      <c r="I13" s="38" t="n"/>
      <c r="J13" s="39" t="n"/>
      <c r="K13" s="40" t="n"/>
      <c r="L13" s="41">
        <f>IF(D13="","",J13*K13)</f>
        <v/>
      </c>
      <c r="M13" s="38" t="n"/>
      <c r="N13" s="38" t="n"/>
      <c r="O13" s="38" t="n"/>
    </row>
    <row r="14" ht="21" customHeight="1">
      <c r="A14" s="38" t="n"/>
      <c r="B14" s="38" t="n"/>
      <c r="C14" s="38" t="n"/>
      <c r="D14" s="38" t="n"/>
      <c r="E14" s="38" t="n"/>
      <c r="F14" s="38" t="n"/>
      <c r="G14" s="38" t="n"/>
      <c r="H14" s="38" t="n"/>
      <c r="I14" s="38" t="n"/>
      <c r="J14" s="39" t="n"/>
      <c r="K14" s="40" t="n"/>
      <c r="L14" s="41">
        <f>IF(D14="","",J14*K14)</f>
        <v/>
      </c>
      <c r="M14" s="38" t="n"/>
      <c r="N14" s="38" t="n"/>
      <c r="O14" s="38" t="n"/>
    </row>
    <row r="15" ht="21" customHeight="1">
      <c r="A15" s="38" t="n"/>
      <c r="B15" s="38" t="n"/>
      <c r="C15" s="38" t="n"/>
      <c r="D15" s="38" t="n"/>
      <c r="E15" s="38" t="n"/>
      <c r="F15" s="38" t="n"/>
      <c r="G15" s="38" t="n"/>
      <c r="H15" s="38" t="n"/>
      <c r="I15" s="38" t="n"/>
      <c r="J15" s="39" t="n"/>
      <c r="K15" s="40" t="n"/>
      <c r="L15" s="41">
        <f>IF(D15="","",J15*K15)</f>
        <v/>
      </c>
      <c r="M15" s="38" t="n"/>
      <c r="N15" s="38" t="n"/>
      <c r="O15" s="38" t="n"/>
    </row>
    <row r="16" ht="21" customHeight="1">
      <c r="A16" s="38" t="n"/>
      <c r="B16" s="38" t="n"/>
      <c r="C16" s="38" t="n"/>
      <c r="D16" s="38" t="n"/>
      <c r="E16" s="38" t="n"/>
      <c r="F16" s="38" t="n"/>
      <c r="G16" s="38" t="n"/>
      <c r="H16" s="38" t="n"/>
      <c r="I16" s="38" t="n"/>
      <c r="J16" s="39" t="n"/>
      <c r="K16" s="40" t="n"/>
      <c r="L16" s="41">
        <f>IF(D16="","",J16*K16)</f>
        <v/>
      </c>
      <c r="M16" s="38" t="n"/>
      <c r="N16" s="38" t="n"/>
      <c r="O16" s="38" t="n"/>
    </row>
    <row r="17" ht="21" customHeight="1">
      <c r="A17" s="38" t="n"/>
      <c r="B17" s="38" t="n"/>
      <c r="C17" s="38" t="n"/>
      <c r="D17" s="38" t="n"/>
      <c r="E17" s="38" t="n"/>
      <c r="F17" s="38" t="n"/>
      <c r="G17" s="38" t="n"/>
      <c r="H17" s="38" t="n"/>
      <c r="I17" s="38" t="n"/>
      <c r="J17" s="39" t="n"/>
      <c r="K17" s="40" t="n"/>
      <c r="L17" s="41">
        <f>IF(D17="","",J17*K17)</f>
        <v/>
      </c>
      <c r="M17" s="38" t="n"/>
      <c r="N17" s="38" t="n"/>
      <c r="O17" s="38" t="n"/>
    </row>
    <row r="18" ht="21" customHeight="1">
      <c r="A18" s="38" t="n"/>
      <c r="B18" s="38" t="n"/>
      <c r="C18" s="38" t="n"/>
      <c r="D18" s="38" t="n"/>
      <c r="E18" s="38" t="n"/>
      <c r="F18" s="38" t="n"/>
      <c r="G18" s="38" t="n"/>
      <c r="H18" s="38" t="n"/>
      <c r="I18" s="38" t="n"/>
      <c r="J18" s="39" t="n"/>
      <c r="K18" s="40" t="n"/>
      <c r="L18" s="41">
        <f>IF(D18="","",J18*K18)</f>
        <v/>
      </c>
      <c r="M18" s="38" t="n"/>
      <c r="N18" s="38" t="n"/>
      <c r="O18" s="38" t="n"/>
    </row>
    <row r="19" ht="21" customHeight="1">
      <c r="A19" s="38" t="n"/>
      <c r="B19" s="38" t="n"/>
      <c r="C19" s="38" t="n"/>
      <c r="D19" s="38" t="n"/>
      <c r="E19" s="38" t="n"/>
      <c r="F19" s="38" t="n"/>
      <c r="G19" s="38" t="n"/>
      <c r="H19" s="38" t="n"/>
      <c r="I19" s="38" t="n"/>
      <c r="J19" s="39" t="n"/>
      <c r="K19" s="40" t="n"/>
      <c r="L19" s="41">
        <f>IF(D19="","",J19*K19)</f>
        <v/>
      </c>
      <c r="M19" s="38" t="n"/>
      <c r="N19" s="38" t="n"/>
      <c r="O19" s="38" t="n"/>
    </row>
    <row r="20" ht="21" customHeight="1">
      <c r="A20" s="38" t="n"/>
      <c r="B20" s="38" t="n"/>
      <c r="C20" s="38" t="n"/>
      <c r="D20" s="38" t="n"/>
      <c r="E20" s="38" t="n"/>
      <c r="F20" s="38" t="n"/>
      <c r="G20" s="38" t="n"/>
      <c r="H20" s="38" t="n"/>
      <c r="I20" s="38" t="n"/>
      <c r="J20" s="39" t="n"/>
      <c r="K20" s="40" t="n"/>
      <c r="L20" s="41">
        <f>IF(D20="","",J20*K20)</f>
        <v/>
      </c>
      <c r="M20" s="38" t="n"/>
      <c r="N20" s="38" t="n"/>
      <c r="O20" s="38" t="n"/>
    </row>
    <row r="21" ht="21" customHeight="1">
      <c r="A21" s="38" t="n"/>
      <c r="B21" s="38" t="n"/>
      <c r="C21" s="38" t="n"/>
      <c r="D21" s="38" t="n"/>
      <c r="E21" s="38" t="n"/>
      <c r="F21" s="38" t="n"/>
      <c r="G21" s="38" t="n"/>
      <c r="H21" s="38" t="n"/>
      <c r="I21" s="38" t="n"/>
      <c r="J21" s="39" t="n"/>
      <c r="K21" s="40" t="n"/>
      <c r="L21" s="41">
        <f>IF(D21="","",J21*K21)</f>
        <v/>
      </c>
      <c r="M21" s="38" t="n"/>
      <c r="N21" s="38" t="n"/>
      <c r="O21" s="38" t="n"/>
    </row>
    <row r="22" ht="21" customHeight="1">
      <c r="A22" s="38" t="n"/>
      <c r="B22" s="38" t="n"/>
      <c r="C22" s="38" t="n"/>
      <c r="D22" s="38" t="n"/>
      <c r="E22" s="38" t="n"/>
      <c r="F22" s="38" t="n"/>
      <c r="G22" s="38" t="n"/>
      <c r="H22" s="38" t="n"/>
      <c r="I22" s="38" t="n"/>
      <c r="J22" s="39" t="n"/>
      <c r="K22" s="40" t="n"/>
      <c r="L22" s="41">
        <f>IF(D22="","",J22*K22)</f>
        <v/>
      </c>
      <c r="M22" s="38" t="n"/>
      <c r="N22" s="38" t="n"/>
      <c r="O22" s="38" t="n"/>
    </row>
    <row r="23" ht="21" customHeight="1">
      <c r="A23" s="38" t="n"/>
      <c r="B23" s="38" t="n"/>
      <c r="C23" s="38" t="n"/>
      <c r="D23" s="38" t="n"/>
      <c r="E23" s="38" t="n"/>
      <c r="F23" s="38" t="n"/>
      <c r="G23" s="38" t="n"/>
      <c r="H23" s="38" t="n"/>
      <c r="I23" s="38" t="n"/>
      <c r="J23" s="39" t="n"/>
      <c r="K23" s="40" t="n"/>
      <c r="L23" s="41">
        <f>IF(D23="","",J23*K23)</f>
        <v/>
      </c>
      <c r="M23" s="38" t="n"/>
      <c r="N23" s="38" t="n"/>
      <c r="O23" s="38" t="n"/>
    </row>
    <row r="24" ht="21" customHeight="1">
      <c r="A24" s="38" t="n"/>
      <c r="B24" s="38" t="n"/>
      <c r="C24" s="38" t="n"/>
      <c r="D24" s="38" t="n"/>
      <c r="E24" s="38" t="n"/>
      <c r="F24" s="38" t="n"/>
      <c r="G24" s="38" t="n"/>
      <c r="H24" s="38" t="n"/>
      <c r="I24" s="38" t="n"/>
      <c r="J24" s="39" t="n"/>
      <c r="K24" s="40" t="n"/>
      <c r="L24" s="41">
        <f>IF(D24="","",J24*K24)</f>
        <v/>
      </c>
      <c r="M24" s="38" t="n"/>
      <c r="N24" s="38" t="n"/>
      <c r="O24" s="38" t="n"/>
    </row>
    <row r="25" ht="21" customHeight="1">
      <c r="A25" s="38" t="n"/>
      <c r="B25" s="38" t="n"/>
      <c r="C25" s="38" t="n"/>
      <c r="D25" s="38" t="n"/>
      <c r="E25" s="38" t="n"/>
      <c r="F25" s="38" t="n"/>
      <c r="G25" s="38" t="n"/>
      <c r="H25" s="38" t="n"/>
      <c r="I25" s="38" t="n"/>
      <c r="J25" s="39" t="n"/>
      <c r="K25" s="40" t="n"/>
      <c r="L25" s="41">
        <f>IF(D25="","",J25*K25)</f>
        <v/>
      </c>
      <c r="M25" s="38" t="n"/>
      <c r="N25" s="38" t="n"/>
      <c r="O25" s="38" t="n"/>
    </row>
    <row r="26" ht="21" customHeight="1">
      <c r="A26" s="38" t="n"/>
      <c r="B26" s="38" t="n"/>
      <c r="C26" s="38" t="n"/>
      <c r="D26" s="38" t="n"/>
      <c r="E26" s="38" t="n"/>
      <c r="F26" s="38" t="n"/>
      <c r="G26" s="38" t="n"/>
      <c r="H26" s="38" t="n"/>
      <c r="I26" s="38" t="n"/>
      <c r="J26" s="39" t="n"/>
      <c r="K26" s="40" t="n"/>
      <c r="L26" s="41">
        <f>IF(D26="","",J26*K26)</f>
        <v/>
      </c>
      <c r="M26" s="38" t="n"/>
      <c r="N26" s="38" t="n"/>
      <c r="O26" s="38" t="n"/>
    </row>
    <row r="27" ht="21" customHeight="1">
      <c r="A27" s="38" t="n"/>
      <c r="B27" s="38" t="n"/>
      <c r="C27" s="38" t="n"/>
      <c r="D27" s="38" t="n"/>
      <c r="E27" s="38" t="n"/>
      <c r="F27" s="38" t="n"/>
      <c r="G27" s="38" t="n"/>
      <c r="H27" s="38" t="n"/>
      <c r="I27" s="38" t="n"/>
      <c r="J27" s="39" t="n"/>
      <c r="K27" s="40" t="n"/>
      <c r="L27" s="41">
        <f>IF(D27="","",J27*K27)</f>
        <v/>
      </c>
      <c r="M27" s="38" t="n"/>
      <c r="N27" s="38" t="n"/>
      <c r="O27" s="38" t="n"/>
    </row>
    <row r="28" ht="21" customHeight="1">
      <c r="A28" s="38" t="n"/>
      <c r="B28" s="38" t="n"/>
      <c r="C28" s="38" t="n"/>
      <c r="D28" s="38" t="n"/>
      <c r="E28" s="38" t="n"/>
      <c r="F28" s="38" t="n"/>
      <c r="G28" s="38" t="n"/>
      <c r="H28" s="38" t="n"/>
      <c r="I28" s="38" t="n"/>
      <c r="J28" s="39" t="n"/>
      <c r="K28" s="40" t="n"/>
      <c r="L28" s="41">
        <f>IF(D28="","",J28*K28)</f>
        <v/>
      </c>
      <c r="M28" s="38" t="n"/>
      <c r="N28" s="38" t="n"/>
      <c r="O28" s="38" t="n"/>
    </row>
    <row r="29" ht="21" customHeight="1">
      <c r="A29" s="38" t="n"/>
      <c r="B29" s="38" t="n"/>
      <c r="C29" s="38" t="n"/>
      <c r="D29" s="38" t="n"/>
      <c r="E29" s="38" t="n"/>
      <c r="F29" s="38" t="n"/>
      <c r="G29" s="38" t="n"/>
      <c r="H29" s="38" t="n"/>
      <c r="I29" s="38" t="n"/>
      <c r="J29" s="39" t="n"/>
      <c r="K29" s="40" t="n"/>
      <c r="L29" s="41">
        <f>IF(D29="","",J29*K29)</f>
        <v/>
      </c>
      <c r="M29" s="38" t="n"/>
      <c r="N29" s="38" t="n"/>
      <c r="O29" s="38" t="n"/>
    </row>
    <row r="30" ht="21" customHeight="1">
      <c r="A30" s="38" t="n"/>
      <c r="B30" s="38" t="n"/>
      <c r="C30" s="38" t="n"/>
      <c r="D30" s="38" t="n"/>
      <c r="E30" s="38" t="n"/>
      <c r="F30" s="38" t="n"/>
      <c r="G30" s="38" t="n"/>
      <c r="H30" s="38" t="n"/>
      <c r="I30" s="38" t="n"/>
      <c r="J30" s="39" t="n"/>
      <c r="K30" s="40" t="n"/>
      <c r="L30" s="41">
        <f>IF(D30="","",J30*K30)</f>
        <v/>
      </c>
      <c r="M30" s="38" t="n"/>
      <c r="N30" s="38" t="n"/>
      <c r="O30" s="38" t="n"/>
    </row>
    <row r="31" ht="21" customHeight="1">
      <c r="A31" s="38" t="n"/>
      <c r="B31" s="38" t="n"/>
      <c r="C31" s="38" t="n"/>
      <c r="D31" s="38" t="n"/>
      <c r="E31" s="38" t="n"/>
      <c r="F31" s="38" t="n"/>
      <c r="G31" s="38" t="n"/>
      <c r="H31" s="38" t="n"/>
      <c r="I31" s="38" t="n"/>
      <c r="J31" s="39" t="n"/>
      <c r="K31" s="40" t="n"/>
      <c r="L31" s="41">
        <f>IF(D31="","",J31*K31)</f>
        <v/>
      </c>
      <c r="M31" s="38" t="n"/>
      <c r="N31" s="38" t="n"/>
      <c r="O31" s="38" t="n"/>
    </row>
    <row r="32" ht="21" customHeight="1">
      <c r="A32" s="38" t="n"/>
      <c r="B32" s="38" t="n"/>
      <c r="C32" s="38" t="n"/>
      <c r="D32" s="38" t="n"/>
      <c r="E32" s="38" t="n"/>
      <c r="F32" s="38" t="n"/>
      <c r="G32" s="38" t="n"/>
      <c r="H32" s="38" t="n"/>
      <c r="I32" s="38" t="n"/>
      <c r="J32" s="39" t="n"/>
      <c r="K32" s="40" t="n"/>
      <c r="L32" s="41">
        <f>IF(D32="","",J32*K32)</f>
        <v/>
      </c>
      <c r="M32" s="38" t="n"/>
      <c r="N32" s="38" t="n"/>
      <c r="O32" s="38" t="n"/>
    </row>
    <row r="33" ht="21" customHeight="1">
      <c r="A33" s="38" t="n"/>
      <c r="B33" s="38" t="n"/>
      <c r="C33" s="38" t="n"/>
      <c r="D33" s="38" t="n"/>
      <c r="E33" s="38" t="n"/>
      <c r="F33" s="38" t="n"/>
      <c r="G33" s="38" t="n"/>
      <c r="H33" s="38" t="n"/>
      <c r="I33" s="38" t="n"/>
      <c r="J33" s="39" t="n"/>
      <c r="K33" s="40" t="n"/>
      <c r="L33" s="41">
        <f>IF(D33="","",J33*K33)</f>
        <v/>
      </c>
      <c r="M33" s="38" t="n"/>
      <c r="N33" s="38" t="n"/>
      <c r="O33" s="38" t="n"/>
    </row>
    <row r="34" ht="21" customHeight="1">
      <c r="A34" s="38" t="n"/>
      <c r="B34" s="38" t="n"/>
      <c r="C34" s="38" t="n"/>
      <c r="D34" s="38" t="n"/>
      <c r="E34" s="38" t="n"/>
      <c r="F34" s="38" t="n"/>
      <c r="G34" s="38" t="n"/>
      <c r="H34" s="38" t="n"/>
      <c r="I34" s="38" t="n"/>
      <c r="J34" s="39" t="n"/>
      <c r="K34" s="40" t="n"/>
      <c r="L34" s="41">
        <f>IF(D34="","",J34*K34)</f>
        <v/>
      </c>
      <c r="M34" s="38" t="n"/>
      <c r="N34" s="38" t="n"/>
      <c r="O34" s="38" t="n"/>
    </row>
    <row r="35" ht="21" customHeight="1">
      <c r="A35" s="38" t="n"/>
      <c r="B35" s="38" t="n"/>
      <c r="C35" s="38" t="n"/>
      <c r="D35" s="38" t="n"/>
      <c r="E35" s="38" t="n"/>
      <c r="F35" s="38" t="n"/>
      <c r="G35" s="38" t="n"/>
      <c r="H35" s="38" t="n"/>
      <c r="I35" s="38" t="n"/>
      <c r="J35" s="39" t="n"/>
      <c r="K35" s="40" t="n"/>
      <c r="L35" s="41">
        <f>IF(D35="","",J35*K35)</f>
        <v/>
      </c>
      <c r="M35" s="38" t="n"/>
      <c r="N35" s="38" t="n"/>
      <c r="O35" s="38" t="n"/>
    </row>
    <row r="36" ht="21" customHeight="1">
      <c r="A36" s="38" t="n"/>
      <c r="B36" s="38" t="n"/>
      <c r="C36" s="38" t="n"/>
      <c r="D36" s="38" t="n"/>
      <c r="E36" s="38" t="n"/>
      <c r="F36" s="38" t="n"/>
      <c r="G36" s="38" t="n"/>
      <c r="H36" s="38" t="n"/>
      <c r="I36" s="38" t="n"/>
      <c r="J36" s="39" t="n"/>
      <c r="K36" s="40" t="n"/>
      <c r="L36" s="41">
        <f>IF(D36="","",J36*K36)</f>
        <v/>
      </c>
      <c r="M36" s="38" t="n"/>
      <c r="N36" s="38" t="n"/>
      <c r="O36" s="38" t="n"/>
    </row>
    <row r="37" ht="21" customHeight="1">
      <c r="A37" s="38" t="n"/>
      <c r="B37" s="38" t="n"/>
      <c r="C37" s="38" t="n"/>
      <c r="D37" s="38" t="n"/>
      <c r="E37" s="38" t="n"/>
      <c r="F37" s="38" t="n"/>
      <c r="G37" s="38" t="n"/>
      <c r="H37" s="38" t="n"/>
      <c r="I37" s="38" t="n"/>
      <c r="J37" s="39" t="n"/>
      <c r="K37" s="40" t="n"/>
      <c r="L37" s="41">
        <f>IF(D37="","",J37*K37)</f>
        <v/>
      </c>
      <c r="M37" s="38" t="n"/>
      <c r="N37" s="38" t="n"/>
      <c r="O37" s="38" t="n"/>
    </row>
    <row r="38" ht="21" customHeight="1">
      <c r="A38" s="38" t="n"/>
      <c r="B38" s="38" t="n"/>
      <c r="C38" s="38" t="n"/>
      <c r="D38" s="38" t="n"/>
      <c r="E38" s="38" t="n"/>
      <c r="F38" s="38" t="n"/>
      <c r="G38" s="38" t="n"/>
      <c r="H38" s="38" t="n"/>
      <c r="I38" s="38" t="n"/>
      <c r="J38" s="39" t="n"/>
      <c r="K38" s="40" t="n"/>
      <c r="L38" s="41">
        <f>IF(D38="","",J38*K38)</f>
        <v/>
      </c>
      <c r="M38" s="38" t="n"/>
      <c r="N38" s="38" t="n"/>
      <c r="O38" s="38" t="n"/>
    </row>
    <row r="39" ht="21" customHeight="1">
      <c r="A39" s="38" t="n"/>
      <c r="B39" s="38" t="n"/>
      <c r="C39" s="38" t="n"/>
      <c r="D39" s="38" t="n"/>
      <c r="E39" s="38" t="n"/>
      <c r="F39" s="38" t="n"/>
      <c r="G39" s="38" t="n"/>
      <c r="H39" s="38" t="n"/>
      <c r="I39" s="38" t="n"/>
      <c r="J39" s="39" t="n"/>
      <c r="K39" s="40" t="n"/>
      <c r="L39" s="41">
        <f>IF(D39="","",J39*K39)</f>
        <v/>
      </c>
      <c r="M39" s="38" t="n"/>
      <c r="N39" s="38" t="n"/>
      <c r="O39" s="38" t="n"/>
    </row>
    <row r="40" ht="21" customHeight="1">
      <c r="A40" s="38" t="n"/>
      <c r="B40" s="38" t="n"/>
      <c r="C40" s="38" t="n"/>
      <c r="D40" s="38" t="n"/>
      <c r="E40" s="38" t="n"/>
      <c r="F40" s="38" t="n"/>
      <c r="G40" s="38" t="n"/>
      <c r="H40" s="38" t="n"/>
      <c r="I40" s="38" t="n"/>
      <c r="J40" s="39" t="n"/>
      <c r="K40" s="40" t="n"/>
      <c r="L40" s="41">
        <f>IF(D40="","",J40*K40)</f>
        <v/>
      </c>
      <c r="M40" s="38" t="n"/>
      <c r="N40" s="38" t="n"/>
      <c r="O40" s="38" t="n"/>
    </row>
    <row r="41" ht="21" customHeight="1">
      <c r="A41" s="38" t="n"/>
      <c r="B41" s="38" t="n"/>
      <c r="C41" s="38" t="n"/>
      <c r="D41" s="38" t="n"/>
      <c r="E41" s="38" t="n"/>
      <c r="F41" s="38" t="n"/>
      <c r="G41" s="38" t="n"/>
      <c r="H41" s="38" t="n"/>
      <c r="I41" s="38" t="n"/>
      <c r="J41" s="39" t="n"/>
      <c r="K41" s="40" t="n"/>
      <c r="L41" s="41">
        <f>IF(D41="","",J41*K41)</f>
        <v/>
      </c>
      <c r="M41" s="38" t="n"/>
      <c r="N41" s="38" t="n"/>
      <c r="O41" s="38" t="n"/>
    </row>
    <row r="42" ht="21" customHeight="1">
      <c r="A42" s="38" t="n"/>
      <c r="B42" s="38" t="n"/>
      <c r="C42" s="38" t="n"/>
      <c r="D42" s="38" t="n"/>
      <c r="E42" s="38" t="n"/>
      <c r="F42" s="38" t="n"/>
      <c r="G42" s="38" t="n"/>
      <c r="H42" s="38" t="n"/>
      <c r="I42" s="38" t="n"/>
      <c r="J42" s="39" t="n"/>
      <c r="K42" s="40" t="n"/>
      <c r="L42" s="41">
        <f>IF(D42="","",J42*K42)</f>
        <v/>
      </c>
      <c r="M42" s="38" t="n"/>
      <c r="N42" s="38" t="n"/>
      <c r="O42" s="38" t="n"/>
    </row>
    <row r="43" ht="21" customHeight="1">
      <c r="A43" s="38" t="n"/>
      <c r="B43" s="38" t="n"/>
      <c r="C43" s="38" t="n"/>
      <c r="D43" s="38" t="n"/>
      <c r="E43" s="38" t="n"/>
      <c r="F43" s="38" t="n"/>
      <c r="G43" s="38" t="n"/>
      <c r="H43" s="38" t="n"/>
      <c r="I43" s="38" t="n"/>
      <c r="J43" s="39" t="n"/>
      <c r="K43" s="40" t="n"/>
      <c r="L43" s="41">
        <f>IF(D43="","",J43*K43)</f>
        <v/>
      </c>
      <c r="M43" s="38" t="n"/>
      <c r="N43" s="38" t="n"/>
      <c r="O43" s="38" t="n"/>
    </row>
    <row r="44" ht="21" customHeight="1">
      <c r="A44" s="38" t="n"/>
      <c r="B44" s="38" t="n"/>
      <c r="C44" s="38" t="n"/>
      <c r="D44" s="38" t="n"/>
      <c r="E44" s="38" t="n"/>
      <c r="F44" s="38" t="n"/>
      <c r="G44" s="38" t="n"/>
      <c r="H44" s="38" t="n"/>
      <c r="I44" s="38" t="n"/>
      <c r="J44" s="39" t="n"/>
      <c r="K44" s="40" t="n"/>
      <c r="L44" s="41">
        <f>IF(D44="","",J44*K44)</f>
        <v/>
      </c>
      <c r="M44" s="38" t="n"/>
      <c r="N44" s="38" t="n"/>
      <c r="O44" s="38" t="n"/>
    </row>
    <row r="45" ht="21" customHeight="1">
      <c r="A45" s="38" t="n"/>
      <c r="B45" s="38" t="n"/>
      <c r="C45" s="38" t="n"/>
      <c r="D45" s="38" t="n"/>
      <c r="E45" s="38" t="n"/>
      <c r="F45" s="38" t="n"/>
      <c r="G45" s="38" t="n"/>
      <c r="H45" s="38" t="n"/>
      <c r="I45" s="38" t="n"/>
      <c r="J45" s="39" t="n"/>
      <c r="K45" s="40" t="n"/>
      <c r="L45" s="41">
        <f>IF(D45="","",J45*K45)</f>
        <v/>
      </c>
      <c r="M45" s="38" t="n"/>
      <c r="N45" s="38" t="n"/>
      <c r="O45" s="38" t="n"/>
    </row>
    <row r="46" ht="21" customHeight="1">
      <c r="A46" s="38" t="n"/>
      <c r="B46" s="38" t="n"/>
      <c r="C46" s="38" t="n"/>
      <c r="D46" s="38" t="n"/>
      <c r="E46" s="38" t="n"/>
      <c r="F46" s="38" t="n"/>
      <c r="G46" s="38" t="n"/>
      <c r="H46" s="38" t="n"/>
      <c r="I46" s="38" t="n"/>
      <c r="J46" s="39" t="n"/>
      <c r="K46" s="40" t="n"/>
      <c r="L46" s="41">
        <f>IF(D46="","",J46*K46)</f>
        <v/>
      </c>
      <c r="M46" s="38" t="n"/>
      <c r="N46" s="38" t="n"/>
      <c r="O46" s="38" t="n"/>
    </row>
    <row r="47" ht="21" customHeight="1">
      <c r="A47" s="38" t="n"/>
      <c r="B47" s="38" t="n"/>
      <c r="C47" s="38" t="n"/>
      <c r="D47" s="38" t="n"/>
      <c r="E47" s="38" t="n"/>
      <c r="F47" s="38" t="n"/>
      <c r="G47" s="38" t="n"/>
      <c r="H47" s="38" t="n"/>
      <c r="I47" s="38" t="n"/>
      <c r="J47" s="39" t="n"/>
      <c r="K47" s="40" t="n"/>
      <c r="L47" s="41">
        <f>IF(D47="","",J47*K47)</f>
        <v/>
      </c>
      <c r="M47" s="38" t="n"/>
      <c r="N47" s="38" t="n"/>
      <c r="O47" s="38" t="n"/>
    </row>
    <row r="48" ht="21" customHeight="1">
      <c r="A48" s="38" t="n"/>
      <c r="B48" s="38" t="n"/>
      <c r="C48" s="38" t="n"/>
      <c r="D48" s="38" t="n"/>
      <c r="E48" s="38" t="n"/>
      <c r="F48" s="38" t="n"/>
      <c r="G48" s="38" t="n"/>
      <c r="H48" s="38" t="n"/>
      <c r="I48" s="38" t="n"/>
      <c r="J48" s="39" t="n"/>
      <c r="K48" s="40" t="n"/>
      <c r="L48" s="41">
        <f>IF(D48="","",J48*K48)</f>
        <v/>
      </c>
      <c r="M48" s="38" t="n"/>
      <c r="N48" s="38" t="n"/>
      <c r="O48" s="38" t="n"/>
    </row>
    <row r="49" ht="21" customHeight="1">
      <c r="A49" s="38" t="n"/>
      <c r="B49" s="38" t="n"/>
      <c r="C49" s="38" t="n"/>
      <c r="D49" s="38" t="n"/>
      <c r="E49" s="38" t="n"/>
      <c r="F49" s="38" t="n"/>
      <c r="G49" s="38" t="n"/>
      <c r="H49" s="38" t="n"/>
      <c r="I49" s="38" t="n"/>
      <c r="J49" s="39" t="n"/>
      <c r="K49" s="40" t="n"/>
      <c r="L49" s="41">
        <f>IF(D49="","",J49*K49)</f>
        <v/>
      </c>
      <c r="M49" s="38" t="n"/>
      <c r="N49" s="38" t="n"/>
      <c r="O49" s="38" t="n"/>
    </row>
    <row r="50" ht="21" customHeight="1">
      <c r="A50" s="38" t="n"/>
      <c r="B50" s="38" t="n"/>
      <c r="C50" s="38" t="n"/>
      <c r="D50" s="38" t="n"/>
      <c r="E50" s="38" t="n"/>
      <c r="F50" s="38" t="n"/>
      <c r="G50" s="38" t="n"/>
      <c r="H50" s="38" t="n"/>
      <c r="I50" s="38" t="n"/>
      <c r="J50" s="39" t="n"/>
      <c r="K50" s="40" t="n"/>
      <c r="L50" s="41">
        <f>IF(D50="","",J50*K50)</f>
        <v/>
      </c>
      <c r="M50" s="38" t="n"/>
      <c r="N50" s="38" t="n"/>
      <c r="O50" s="38" t="n"/>
    </row>
    <row r="51" ht="21" customHeight="1">
      <c r="A51" s="38" t="n"/>
      <c r="B51" s="38" t="n"/>
      <c r="C51" s="38" t="n"/>
      <c r="D51" s="38" t="n"/>
      <c r="E51" s="38" t="n"/>
      <c r="F51" s="38" t="n"/>
      <c r="G51" s="38" t="n"/>
      <c r="H51" s="38" t="n"/>
      <c r="I51" s="38" t="n"/>
      <c r="J51" s="39" t="n"/>
      <c r="K51" s="40" t="n"/>
      <c r="L51" s="41">
        <f>IF(D51="","",J51*K51)</f>
        <v/>
      </c>
      <c r="M51" s="38" t="n"/>
      <c r="N51" s="38" t="n"/>
      <c r="O51" s="38" t="n"/>
    </row>
    <row r="52" ht="21" customHeight="1">
      <c r="A52" s="38" t="n"/>
      <c r="B52" s="38" t="n"/>
      <c r="C52" s="38" t="n"/>
      <c r="D52" s="38" t="n"/>
      <c r="E52" s="38" t="n"/>
      <c r="F52" s="38" t="n"/>
      <c r="G52" s="38" t="n"/>
      <c r="H52" s="38" t="n"/>
      <c r="I52" s="38" t="n"/>
      <c r="J52" s="39" t="n"/>
      <c r="K52" s="40" t="n"/>
      <c r="L52" s="41">
        <f>IF(D52="","",J52*K52)</f>
        <v/>
      </c>
      <c r="M52" s="38" t="n"/>
      <c r="N52" s="38" t="n"/>
      <c r="O52" s="38" t="n"/>
    </row>
    <row r="53" ht="21" customHeight="1">
      <c r="A53" s="38" t="n"/>
      <c r="B53" s="38" t="n"/>
      <c r="C53" s="38" t="n"/>
      <c r="D53" s="38" t="n"/>
      <c r="E53" s="38" t="n"/>
      <c r="F53" s="38" t="n"/>
      <c r="G53" s="38" t="n"/>
      <c r="H53" s="38" t="n"/>
      <c r="I53" s="38" t="n"/>
      <c r="J53" s="39" t="n"/>
      <c r="K53" s="40" t="n"/>
      <c r="L53" s="41">
        <f>IF(D53="","",J53*K53)</f>
        <v/>
      </c>
      <c r="M53" s="38" t="n"/>
      <c r="N53" s="38" t="n"/>
      <c r="O53" s="38" t="n"/>
    </row>
    <row r="54" ht="21" customHeight="1">
      <c r="A54" s="38" t="n"/>
      <c r="B54" s="38" t="n"/>
      <c r="C54" s="38" t="n"/>
      <c r="D54" s="38" t="n"/>
      <c r="E54" s="38" t="n"/>
      <c r="F54" s="38" t="n"/>
      <c r="G54" s="38" t="n"/>
      <c r="H54" s="38" t="n"/>
      <c r="I54" s="38" t="n"/>
      <c r="J54" s="39" t="n"/>
      <c r="K54" s="40" t="n"/>
      <c r="L54" s="41">
        <f>IF(D54="","",J54*K54)</f>
        <v/>
      </c>
      <c r="M54" s="38" t="n"/>
      <c r="N54" s="38" t="n"/>
      <c r="O54" s="38" t="n"/>
    </row>
    <row r="55" ht="21" customHeight="1">
      <c r="A55" s="38" t="n"/>
      <c r="B55" s="38" t="n"/>
      <c r="C55" s="38" t="n"/>
      <c r="D55" s="38" t="n"/>
      <c r="E55" s="38" t="n"/>
      <c r="F55" s="38" t="n"/>
      <c r="G55" s="38" t="n"/>
      <c r="H55" s="38" t="n"/>
      <c r="I55" s="38" t="n"/>
      <c r="J55" s="39" t="n"/>
      <c r="K55" s="40" t="n"/>
      <c r="L55" s="41">
        <f>IF(D55="","",J55*K55)</f>
        <v/>
      </c>
      <c r="M55" s="38" t="n"/>
      <c r="N55" s="38" t="n"/>
      <c r="O55" s="38" t="n"/>
    </row>
    <row r="56" ht="21" customHeight="1">
      <c r="A56" s="38" t="n"/>
      <c r="B56" s="38" t="n"/>
      <c r="C56" s="38" t="n"/>
      <c r="D56" s="38" t="n"/>
      <c r="E56" s="38" t="n"/>
      <c r="F56" s="38" t="n"/>
      <c r="G56" s="38" t="n"/>
      <c r="H56" s="38" t="n"/>
      <c r="I56" s="38" t="n"/>
      <c r="J56" s="39" t="n"/>
      <c r="K56" s="40" t="n"/>
      <c r="L56" s="41">
        <f>IF(D56="","",J56*K56)</f>
        <v/>
      </c>
      <c r="M56" s="38" t="n"/>
      <c r="N56" s="38" t="n"/>
      <c r="O56" s="38" t="n"/>
    </row>
    <row r="57" ht="21" customHeight="1">
      <c r="A57" s="38" t="n"/>
      <c r="B57" s="38" t="n"/>
      <c r="C57" s="38" t="n"/>
      <c r="D57" s="38" t="n"/>
      <c r="E57" s="38" t="n"/>
      <c r="F57" s="38" t="n"/>
      <c r="G57" s="38" t="n"/>
      <c r="H57" s="38" t="n"/>
      <c r="I57" s="38" t="n"/>
      <c r="J57" s="39" t="n"/>
      <c r="K57" s="40" t="n"/>
      <c r="L57" s="41">
        <f>IF(D57="","",J57*K57)</f>
        <v/>
      </c>
      <c r="M57" s="38" t="n"/>
      <c r="N57" s="38" t="n"/>
      <c r="O57" s="38" t="n"/>
    </row>
    <row r="58" ht="21" customHeight="1">
      <c r="A58" s="38" t="n"/>
      <c r="B58" s="38" t="n"/>
      <c r="C58" s="38" t="n"/>
      <c r="D58" s="38" t="n"/>
      <c r="E58" s="38" t="n"/>
      <c r="F58" s="38" t="n"/>
      <c r="G58" s="38" t="n"/>
      <c r="H58" s="38" t="n"/>
      <c r="I58" s="38" t="n"/>
      <c r="J58" s="39" t="n"/>
      <c r="K58" s="40" t="n"/>
      <c r="L58" s="41">
        <f>IF(D58="","",J58*K58)</f>
        <v/>
      </c>
      <c r="M58" s="38" t="n"/>
      <c r="N58" s="38" t="n"/>
      <c r="O58" s="38" t="n"/>
    </row>
    <row r="59" ht="21" customHeight="1">
      <c r="A59" s="38" t="n"/>
      <c r="B59" s="38" t="n"/>
      <c r="C59" s="38" t="n"/>
      <c r="D59" s="38" t="n"/>
      <c r="E59" s="38" t="n"/>
      <c r="F59" s="38" t="n"/>
      <c r="G59" s="38" t="n"/>
      <c r="H59" s="38" t="n"/>
      <c r="I59" s="38" t="n"/>
      <c r="J59" s="39" t="n"/>
      <c r="K59" s="40" t="n"/>
      <c r="L59" s="41">
        <f>IF(D59="","",J59*K59)</f>
        <v/>
      </c>
      <c r="M59" s="38" t="n"/>
      <c r="N59" s="38" t="n"/>
      <c r="O59" s="38" t="n"/>
    </row>
    <row r="60" ht="21" customHeight="1">
      <c r="A60" s="38" t="n"/>
      <c r="B60" s="38" t="n"/>
      <c r="C60" s="38" t="n"/>
      <c r="D60" s="38" t="n"/>
      <c r="E60" s="38" t="n"/>
      <c r="F60" s="38" t="n"/>
      <c r="G60" s="38" t="n"/>
      <c r="H60" s="38" t="n"/>
      <c r="I60" s="38" t="n"/>
      <c r="J60" s="39" t="n"/>
      <c r="K60" s="40" t="n"/>
      <c r="L60" s="41">
        <f>IF(D60="","",J60*K60)</f>
        <v/>
      </c>
      <c r="M60" s="38" t="n"/>
      <c r="N60" s="38" t="n"/>
      <c r="O60" s="38" t="n"/>
    </row>
    <row r="61" ht="21" customHeight="1">
      <c r="A61" s="38" t="n"/>
      <c r="B61" s="38" t="n"/>
      <c r="C61" s="38" t="n"/>
      <c r="D61" s="38" t="n"/>
      <c r="E61" s="38" t="n"/>
      <c r="F61" s="38" t="n"/>
      <c r="G61" s="38" t="n"/>
      <c r="H61" s="38" t="n"/>
      <c r="I61" s="38" t="n"/>
      <c r="J61" s="39" t="n"/>
      <c r="K61" s="40" t="n"/>
      <c r="L61" s="41">
        <f>IF(D61="","",J61*K61)</f>
        <v/>
      </c>
      <c r="M61" s="38" t="n"/>
      <c r="N61" s="38" t="n"/>
      <c r="O61" s="38" t="n"/>
    </row>
    <row r="62" ht="21" customHeight="1">
      <c r="A62" s="38" t="n"/>
      <c r="B62" s="38" t="n"/>
      <c r="C62" s="38" t="n"/>
      <c r="D62" s="38" t="n"/>
      <c r="E62" s="38" t="n"/>
      <c r="F62" s="38" t="n"/>
      <c r="G62" s="38" t="n"/>
      <c r="H62" s="38" t="n"/>
      <c r="I62" s="38" t="n"/>
      <c r="J62" s="39" t="n"/>
      <c r="K62" s="40" t="n"/>
      <c r="L62" s="41">
        <f>IF(D62="","",J62*K62)</f>
        <v/>
      </c>
      <c r="M62" s="38" t="n"/>
      <c r="N62" s="38" t="n"/>
      <c r="O62" s="38" t="n"/>
    </row>
    <row r="63" ht="21" customHeight="1">
      <c r="A63" s="38" t="n"/>
      <c r="B63" s="38" t="n"/>
      <c r="C63" s="38" t="n"/>
      <c r="D63" s="38" t="n"/>
      <c r="E63" s="38" t="n"/>
      <c r="F63" s="38" t="n"/>
      <c r="G63" s="38" t="n"/>
      <c r="H63" s="38" t="n"/>
      <c r="I63" s="38" t="n"/>
      <c r="J63" s="39" t="n"/>
      <c r="K63" s="40" t="n"/>
      <c r="L63" s="41">
        <f>IF(D63="","",J63*K63)</f>
        <v/>
      </c>
      <c r="M63" s="38" t="n"/>
      <c r="N63" s="38" t="n"/>
      <c r="O63" s="38" t="n"/>
    </row>
    <row r="64" ht="21" customHeight="1">
      <c r="A64" s="38" t="n"/>
      <c r="B64" s="38" t="n"/>
      <c r="C64" s="38" t="n"/>
      <c r="D64" s="38" t="n"/>
      <c r="E64" s="38" t="n"/>
      <c r="F64" s="38" t="n"/>
      <c r="G64" s="38" t="n"/>
      <c r="H64" s="38" t="n"/>
      <c r="I64" s="38" t="n"/>
      <c r="J64" s="39" t="n"/>
      <c r="K64" s="40" t="n"/>
      <c r="L64" s="41">
        <f>IF(D64="","",J64*K64)</f>
        <v/>
      </c>
      <c r="M64" s="38" t="n"/>
      <c r="N64" s="38" t="n"/>
      <c r="O64" s="38" t="n"/>
    </row>
    <row r="65" ht="21" customHeight="1">
      <c r="A65" s="38" t="n"/>
      <c r="B65" s="38" t="n"/>
      <c r="C65" s="38" t="n"/>
      <c r="D65" s="38" t="n"/>
      <c r="E65" s="38" t="n"/>
      <c r="F65" s="38" t="n"/>
      <c r="G65" s="38" t="n"/>
      <c r="H65" s="38" t="n"/>
      <c r="I65" s="38" t="n"/>
      <c r="J65" s="39" t="n"/>
      <c r="K65" s="40" t="n"/>
      <c r="L65" s="41">
        <f>IF(D65="","",J65*K65)</f>
        <v/>
      </c>
      <c r="M65" s="38" t="n"/>
      <c r="N65" s="38" t="n"/>
      <c r="O65" s="38" t="n"/>
    </row>
    <row r="66" ht="21" customHeight="1">
      <c r="A66" s="38" t="n"/>
      <c r="B66" s="38" t="n"/>
      <c r="C66" s="38" t="n"/>
      <c r="D66" s="38" t="n"/>
      <c r="E66" s="38" t="n"/>
      <c r="F66" s="38" t="n"/>
      <c r="G66" s="38" t="n"/>
      <c r="H66" s="38" t="n"/>
      <c r="I66" s="38" t="n"/>
      <c r="J66" s="39" t="n"/>
      <c r="K66" s="40" t="n"/>
      <c r="L66" s="41">
        <f>IF(D66="","",J66*K66)</f>
        <v/>
      </c>
      <c r="M66" s="38" t="n"/>
      <c r="N66" s="38" t="n"/>
      <c r="O66" s="38" t="n"/>
    </row>
    <row r="67" ht="21" customHeight="1">
      <c r="A67" s="38" t="n"/>
      <c r="B67" s="38" t="n"/>
      <c r="C67" s="38" t="n"/>
      <c r="D67" s="38" t="n"/>
      <c r="E67" s="38" t="n"/>
      <c r="F67" s="38" t="n"/>
      <c r="G67" s="38" t="n"/>
      <c r="H67" s="38" t="n"/>
      <c r="I67" s="38" t="n"/>
      <c r="J67" s="39" t="n"/>
      <c r="K67" s="40" t="n"/>
      <c r="L67" s="41">
        <f>IF(D67="","",J67*K67)</f>
        <v/>
      </c>
      <c r="M67" s="38" t="n"/>
      <c r="N67" s="38" t="n"/>
      <c r="O67" s="38" t="n"/>
    </row>
    <row r="68" ht="21" customHeight="1">
      <c r="A68" s="38" t="n"/>
      <c r="B68" s="38" t="n"/>
      <c r="C68" s="38" t="n"/>
      <c r="D68" s="38" t="n"/>
      <c r="E68" s="38" t="n"/>
      <c r="F68" s="38" t="n"/>
      <c r="G68" s="38" t="n"/>
      <c r="H68" s="38" t="n"/>
      <c r="I68" s="38" t="n"/>
      <c r="J68" s="39" t="n"/>
      <c r="K68" s="40" t="n"/>
      <c r="L68" s="41">
        <f>IF(D68="","",J68*K68)</f>
        <v/>
      </c>
      <c r="M68" s="38" t="n"/>
      <c r="N68" s="38" t="n"/>
      <c r="O68" s="38" t="n"/>
    </row>
    <row r="69" ht="21" customHeight="1">
      <c r="A69" s="38" t="n"/>
      <c r="B69" s="38" t="n"/>
      <c r="C69" s="38" t="n"/>
      <c r="D69" s="38" t="n"/>
      <c r="E69" s="38" t="n"/>
      <c r="F69" s="38" t="n"/>
      <c r="G69" s="38" t="n"/>
      <c r="H69" s="38" t="n"/>
      <c r="I69" s="38" t="n"/>
      <c r="J69" s="39" t="n"/>
      <c r="K69" s="40" t="n"/>
      <c r="L69" s="41">
        <f>IF(D69="","",J69*K69)</f>
        <v/>
      </c>
      <c r="M69" s="38" t="n"/>
      <c r="N69" s="38" t="n"/>
      <c r="O69" s="38" t="n"/>
    </row>
    <row r="70" ht="21" customHeight="1">
      <c r="A70" s="38" t="n"/>
      <c r="B70" s="38" t="n"/>
      <c r="C70" s="38" t="n"/>
      <c r="D70" s="38" t="n"/>
      <c r="E70" s="38" t="n"/>
      <c r="F70" s="38" t="n"/>
      <c r="G70" s="38" t="n"/>
      <c r="H70" s="38" t="n"/>
      <c r="I70" s="38" t="n"/>
      <c r="J70" s="39" t="n"/>
      <c r="K70" s="40" t="n"/>
      <c r="L70" s="41">
        <f>IF(D70="","",J70*K70)</f>
        <v/>
      </c>
      <c r="M70" s="38" t="n"/>
      <c r="N70" s="38" t="n"/>
      <c r="O70" s="38" t="n"/>
    </row>
    <row r="71" ht="21" customHeight="1">
      <c r="A71" s="38" t="n"/>
      <c r="B71" s="38" t="n"/>
      <c r="C71" s="38" t="n"/>
      <c r="D71" s="38" t="n"/>
      <c r="E71" s="38" t="n"/>
      <c r="F71" s="38" t="n"/>
      <c r="G71" s="38" t="n"/>
      <c r="H71" s="38" t="n"/>
      <c r="I71" s="38" t="n"/>
      <c r="J71" s="39" t="n"/>
      <c r="K71" s="40" t="n"/>
      <c r="L71" s="41">
        <f>IF(D71="","",J71*K71)</f>
        <v/>
      </c>
      <c r="M71" s="38" t="n"/>
      <c r="N71" s="38" t="n"/>
      <c r="O71" s="38" t="n"/>
    </row>
    <row r="72" ht="21" customHeight="1">
      <c r="A72" s="38" t="n"/>
      <c r="B72" s="38" t="n"/>
      <c r="C72" s="38" t="n"/>
      <c r="D72" s="38" t="n"/>
      <c r="E72" s="38" t="n"/>
      <c r="F72" s="38" t="n"/>
      <c r="G72" s="38" t="n"/>
      <c r="H72" s="38" t="n"/>
      <c r="I72" s="38" t="n"/>
      <c r="J72" s="39" t="n"/>
      <c r="K72" s="40" t="n"/>
      <c r="L72" s="41">
        <f>IF(D72="","",J72*K72)</f>
        <v/>
      </c>
      <c r="M72" s="38" t="n"/>
      <c r="N72" s="38" t="n"/>
      <c r="O72" s="38" t="n"/>
    </row>
    <row r="73" ht="21" customHeight="1">
      <c r="A73" s="38" t="n"/>
      <c r="B73" s="38" t="n"/>
      <c r="C73" s="38" t="n"/>
      <c r="D73" s="38" t="n"/>
      <c r="E73" s="38" t="n"/>
      <c r="F73" s="38" t="n"/>
      <c r="G73" s="38" t="n"/>
      <c r="H73" s="38" t="n"/>
      <c r="I73" s="38" t="n"/>
      <c r="J73" s="39" t="n"/>
      <c r="K73" s="40" t="n"/>
      <c r="L73" s="41">
        <f>IF(D73="","",J73*K73)</f>
        <v/>
      </c>
      <c r="M73" s="38" t="n"/>
      <c r="N73" s="38" t="n"/>
      <c r="O73" s="38" t="n"/>
    </row>
    <row r="74" ht="21" customHeight="1">
      <c r="A74" s="38" t="n"/>
      <c r="B74" s="38" t="n"/>
      <c r="C74" s="38" t="n"/>
      <c r="D74" s="38" t="n"/>
      <c r="E74" s="38" t="n"/>
      <c r="F74" s="38" t="n"/>
      <c r="G74" s="38" t="n"/>
      <c r="H74" s="38" t="n"/>
      <c r="I74" s="38" t="n"/>
      <c r="J74" s="39" t="n"/>
      <c r="K74" s="40" t="n"/>
      <c r="L74" s="41">
        <f>IF(D74="","",J74*K74)</f>
        <v/>
      </c>
      <c r="M74" s="38" t="n"/>
      <c r="N74" s="38" t="n"/>
      <c r="O74" s="38" t="n"/>
    </row>
    <row r="75" ht="21" customHeight="1">
      <c r="A75" s="38" t="n"/>
      <c r="B75" s="38" t="n"/>
      <c r="C75" s="38" t="n"/>
      <c r="D75" s="38" t="n"/>
      <c r="E75" s="38" t="n"/>
      <c r="F75" s="38" t="n"/>
      <c r="G75" s="38" t="n"/>
      <c r="H75" s="38" t="n"/>
      <c r="I75" s="38" t="n"/>
      <c r="J75" s="39" t="n"/>
      <c r="K75" s="40" t="n"/>
      <c r="L75" s="41">
        <f>IF(D75="","",J75*K75)</f>
        <v/>
      </c>
      <c r="M75" s="38" t="n"/>
      <c r="N75" s="38" t="n"/>
      <c r="O75" s="38" t="n"/>
    </row>
    <row r="76" ht="21" customHeight="1">
      <c r="A76" s="38" t="n"/>
      <c r="B76" s="38" t="n"/>
      <c r="C76" s="38" t="n"/>
      <c r="D76" s="38" t="n"/>
      <c r="E76" s="38" t="n"/>
      <c r="F76" s="38" t="n"/>
      <c r="G76" s="38" t="n"/>
      <c r="H76" s="38" t="n"/>
      <c r="I76" s="38" t="n"/>
      <c r="J76" s="39" t="n"/>
      <c r="K76" s="40" t="n"/>
      <c r="L76" s="41">
        <f>IF(D76="","",J76*K76)</f>
        <v/>
      </c>
      <c r="M76" s="38" t="n"/>
      <c r="N76" s="38" t="n"/>
      <c r="O76" s="38" t="n"/>
    </row>
    <row r="77" ht="21" customHeight="1">
      <c r="A77" s="38" t="n"/>
      <c r="B77" s="38" t="n"/>
      <c r="C77" s="38" t="n"/>
      <c r="D77" s="38" t="n"/>
      <c r="E77" s="38" t="n"/>
      <c r="F77" s="38" t="n"/>
      <c r="G77" s="38" t="n"/>
      <c r="H77" s="38" t="n"/>
      <c r="I77" s="38" t="n"/>
      <c r="J77" s="39" t="n"/>
      <c r="K77" s="40" t="n"/>
      <c r="L77" s="41">
        <f>IF(D77="","",J77*K77)</f>
        <v/>
      </c>
      <c r="M77" s="38" t="n"/>
      <c r="N77" s="38" t="n"/>
      <c r="O77" s="38" t="n"/>
    </row>
    <row r="78" ht="21" customHeight="1">
      <c r="A78" s="38" t="n"/>
      <c r="B78" s="38" t="n"/>
      <c r="C78" s="38" t="n"/>
      <c r="D78" s="38" t="n"/>
      <c r="E78" s="38" t="n"/>
      <c r="F78" s="38" t="n"/>
      <c r="G78" s="38" t="n"/>
      <c r="H78" s="38" t="n"/>
      <c r="I78" s="38" t="n"/>
      <c r="J78" s="39" t="n"/>
      <c r="K78" s="40" t="n"/>
      <c r="L78" s="41">
        <f>IF(D78="","",J78*K78)</f>
        <v/>
      </c>
      <c r="M78" s="38" t="n"/>
      <c r="N78" s="38" t="n"/>
      <c r="O78" s="38" t="n"/>
    </row>
    <row r="79" ht="21" customHeight="1">
      <c r="A79" s="38" t="n"/>
      <c r="B79" s="38" t="n"/>
      <c r="C79" s="38" t="n"/>
      <c r="D79" s="38" t="n"/>
      <c r="E79" s="38" t="n"/>
      <c r="F79" s="38" t="n"/>
      <c r="G79" s="38" t="n"/>
      <c r="H79" s="38" t="n"/>
      <c r="I79" s="38" t="n"/>
      <c r="J79" s="39" t="n"/>
      <c r="K79" s="40" t="n"/>
      <c r="L79" s="41">
        <f>IF(D79="","",J79*K79)</f>
        <v/>
      </c>
      <c r="M79" s="38" t="n"/>
      <c r="N79" s="38" t="n"/>
      <c r="O79" s="38" t="n"/>
    </row>
    <row r="80" ht="21" customHeight="1">
      <c r="A80" s="38" t="n"/>
      <c r="B80" s="38" t="n"/>
      <c r="C80" s="38" t="n"/>
      <c r="D80" s="38" t="n"/>
      <c r="E80" s="38" t="n"/>
      <c r="F80" s="38" t="n"/>
      <c r="G80" s="38" t="n"/>
      <c r="H80" s="38" t="n"/>
      <c r="I80" s="38" t="n"/>
      <c r="J80" s="39" t="n"/>
      <c r="K80" s="40" t="n"/>
      <c r="L80" s="41">
        <f>IF(D80="","",J80*K80)</f>
        <v/>
      </c>
      <c r="M80" s="38" t="n"/>
      <c r="N80" s="38" t="n"/>
      <c r="O80" s="38" t="n"/>
    </row>
    <row r="81" ht="21" customHeight="1">
      <c r="A81" s="38" t="n"/>
      <c r="B81" s="38" t="n"/>
      <c r="C81" s="38" t="n"/>
      <c r="D81" s="38" t="n"/>
      <c r="E81" s="38" t="n"/>
      <c r="F81" s="38" t="n"/>
      <c r="G81" s="38" t="n"/>
      <c r="H81" s="38" t="n"/>
      <c r="I81" s="38" t="n"/>
      <c r="J81" s="39" t="n"/>
      <c r="K81" s="40" t="n"/>
      <c r="L81" s="41">
        <f>IF(D81="","",J81*K81)</f>
        <v/>
      </c>
      <c r="M81" s="38" t="n"/>
      <c r="N81" s="38" t="n"/>
      <c r="O81" s="38" t="n"/>
    </row>
    <row r="82" ht="21" customHeight="1">
      <c r="A82" s="38" t="n"/>
      <c r="B82" s="38" t="n"/>
      <c r="C82" s="38" t="n"/>
      <c r="D82" s="38" t="n"/>
      <c r="E82" s="38" t="n"/>
      <c r="F82" s="38" t="n"/>
      <c r="G82" s="38" t="n"/>
      <c r="H82" s="38" t="n"/>
      <c r="I82" s="38" t="n"/>
      <c r="J82" s="39" t="n"/>
      <c r="K82" s="40" t="n"/>
      <c r="L82" s="41">
        <f>IF(D82="","",J82*K82)</f>
        <v/>
      </c>
      <c r="M82" s="38" t="n"/>
      <c r="N82" s="38" t="n"/>
      <c r="O82" s="38" t="n"/>
    </row>
    <row r="83" ht="21" customHeight="1">
      <c r="A83" s="38" t="n"/>
      <c r="B83" s="38" t="n"/>
      <c r="C83" s="38" t="n"/>
      <c r="D83" s="38" t="n"/>
      <c r="E83" s="38" t="n"/>
      <c r="F83" s="38" t="n"/>
      <c r="G83" s="38" t="n"/>
      <c r="H83" s="38" t="n"/>
      <c r="I83" s="38" t="n"/>
      <c r="J83" s="39" t="n"/>
      <c r="K83" s="40" t="n"/>
      <c r="L83" s="41">
        <f>IF(D83="","",J83*K83)</f>
        <v/>
      </c>
      <c r="M83" s="38" t="n"/>
      <c r="N83" s="38" t="n"/>
      <c r="O83" s="38" t="n"/>
    </row>
    <row r="84" ht="21" customHeight="1">
      <c r="A84" s="38" t="n"/>
      <c r="B84" s="38" t="n"/>
      <c r="C84" s="38" t="n"/>
      <c r="D84" s="38" t="n"/>
      <c r="E84" s="38" t="n"/>
      <c r="F84" s="38" t="n"/>
      <c r="G84" s="38" t="n"/>
      <c r="H84" s="38" t="n"/>
      <c r="I84" s="38" t="n"/>
      <c r="J84" s="39" t="n"/>
      <c r="K84" s="40" t="n"/>
      <c r="L84" s="41">
        <f>IF(D84="","",J84*K84)</f>
        <v/>
      </c>
      <c r="M84" s="38" t="n"/>
      <c r="N84" s="38" t="n"/>
      <c r="O84" s="38" t="n"/>
    </row>
    <row r="85" ht="21" customHeight="1">
      <c r="A85" s="38" t="n"/>
      <c r="B85" s="38" t="n"/>
      <c r="C85" s="38" t="n"/>
      <c r="D85" s="38" t="n"/>
      <c r="E85" s="38" t="n"/>
      <c r="F85" s="38" t="n"/>
      <c r="G85" s="38" t="n"/>
      <c r="H85" s="38" t="n"/>
      <c r="I85" s="38" t="n"/>
      <c r="J85" s="39" t="n"/>
      <c r="K85" s="40" t="n"/>
      <c r="L85" s="41">
        <f>IF(D85="","",J85*K85)</f>
        <v/>
      </c>
      <c r="M85" s="38" t="n"/>
      <c r="N85" s="38" t="n"/>
      <c r="O85" s="38" t="n"/>
    </row>
    <row r="86" ht="21" customHeight="1">
      <c r="A86" s="38" t="n"/>
      <c r="B86" s="38" t="n"/>
      <c r="C86" s="38" t="n"/>
      <c r="D86" s="38" t="n"/>
      <c r="E86" s="38" t="n"/>
      <c r="F86" s="38" t="n"/>
      <c r="G86" s="38" t="n"/>
      <c r="H86" s="38" t="n"/>
      <c r="I86" s="38" t="n"/>
      <c r="J86" s="39" t="n"/>
      <c r="K86" s="40" t="n"/>
      <c r="L86" s="41">
        <f>IF(D86="","",J86*K86)</f>
        <v/>
      </c>
      <c r="M86" s="38" t="n"/>
      <c r="N86" s="38" t="n"/>
      <c r="O86" s="38" t="n"/>
    </row>
    <row r="87" ht="21" customHeight="1">
      <c r="A87" s="38" t="n"/>
      <c r="B87" s="38" t="n"/>
      <c r="C87" s="38" t="n"/>
      <c r="D87" s="38" t="n"/>
      <c r="E87" s="38" t="n"/>
      <c r="F87" s="38" t="n"/>
      <c r="G87" s="38" t="n"/>
      <c r="H87" s="38" t="n"/>
      <c r="I87" s="38" t="n"/>
      <c r="J87" s="39" t="n"/>
      <c r="K87" s="40" t="n"/>
      <c r="L87" s="41">
        <f>IF(D87="","",J87*K87)</f>
        <v/>
      </c>
      <c r="M87" s="38" t="n"/>
      <c r="N87" s="38" t="n"/>
      <c r="O87" s="38" t="n"/>
    </row>
    <row r="88" ht="21" customHeight="1">
      <c r="A88" s="38" t="n"/>
      <c r="B88" s="38" t="n"/>
      <c r="C88" s="38" t="n"/>
      <c r="D88" s="38" t="n"/>
      <c r="E88" s="38" t="n"/>
      <c r="F88" s="38" t="n"/>
      <c r="G88" s="38" t="n"/>
      <c r="H88" s="38" t="n"/>
      <c r="I88" s="38" t="n"/>
      <c r="J88" s="39" t="n"/>
      <c r="K88" s="40" t="n"/>
      <c r="L88" s="41">
        <f>IF(D88="","",J88*K88)</f>
        <v/>
      </c>
      <c r="M88" s="38" t="n"/>
      <c r="N88" s="38" t="n"/>
      <c r="O88" s="38" t="n"/>
    </row>
    <row r="89" ht="21" customHeight="1">
      <c r="A89" s="38" t="n"/>
      <c r="B89" s="38" t="n"/>
      <c r="C89" s="38" t="n"/>
      <c r="D89" s="38" t="n"/>
      <c r="E89" s="38" t="n"/>
      <c r="F89" s="38" t="n"/>
      <c r="G89" s="38" t="n"/>
      <c r="H89" s="38" t="n"/>
      <c r="I89" s="38" t="n"/>
      <c r="J89" s="39" t="n"/>
      <c r="K89" s="40" t="n"/>
      <c r="L89" s="41">
        <f>IF(D89="","",J89*K89)</f>
        <v/>
      </c>
      <c r="M89" s="38" t="n"/>
      <c r="N89" s="38" t="n"/>
      <c r="O89" s="38" t="n"/>
    </row>
    <row r="90" ht="21" customHeight="1">
      <c r="A90" s="38" t="n"/>
      <c r="B90" s="38" t="n"/>
      <c r="C90" s="38" t="n"/>
      <c r="D90" s="38" t="n"/>
      <c r="E90" s="38" t="n"/>
      <c r="F90" s="38" t="n"/>
      <c r="G90" s="38" t="n"/>
      <c r="H90" s="38" t="n"/>
      <c r="I90" s="38" t="n"/>
      <c r="J90" s="39" t="n"/>
      <c r="K90" s="40" t="n"/>
      <c r="L90" s="41">
        <f>IF(D90="","",J90*K90)</f>
        <v/>
      </c>
      <c r="M90" s="38" t="n"/>
      <c r="N90" s="38" t="n"/>
      <c r="O90" s="38" t="n"/>
    </row>
    <row r="91" ht="21" customHeight="1">
      <c r="A91" s="38" t="n"/>
      <c r="B91" s="38" t="n"/>
      <c r="C91" s="38" t="n"/>
      <c r="D91" s="38" t="n"/>
      <c r="E91" s="38" t="n"/>
      <c r="F91" s="38" t="n"/>
      <c r="G91" s="38" t="n"/>
      <c r="H91" s="38" t="n"/>
      <c r="I91" s="38" t="n"/>
      <c r="J91" s="39" t="n"/>
      <c r="K91" s="40" t="n"/>
      <c r="L91" s="41">
        <f>IF(D91="","",J91*K91)</f>
        <v/>
      </c>
      <c r="M91" s="38" t="n"/>
      <c r="N91" s="38" t="n"/>
      <c r="O91" s="38" t="n"/>
    </row>
    <row r="92" ht="21" customHeight="1">
      <c r="A92" s="38" t="n"/>
      <c r="B92" s="38" t="n"/>
      <c r="C92" s="38" t="n"/>
      <c r="D92" s="38" t="n"/>
      <c r="E92" s="38" t="n"/>
      <c r="F92" s="38" t="n"/>
      <c r="G92" s="38" t="n"/>
      <c r="H92" s="38" t="n"/>
      <c r="I92" s="38" t="n"/>
      <c r="J92" s="39" t="n"/>
      <c r="K92" s="40" t="n"/>
      <c r="L92" s="41">
        <f>IF(D92="","",J92*K92)</f>
        <v/>
      </c>
      <c r="M92" s="38" t="n"/>
      <c r="N92" s="38" t="n"/>
      <c r="O92" s="38" t="n"/>
    </row>
    <row r="93" ht="21" customHeight="1">
      <c r="A93" s="38" t="n"/>
      <c r="B93" s="38" t="n"/>
      <c r="C93" s="38" t="n"/>
      <c r="D93" s="38" t="n"/>
      <c r="E93" s="38" t="n"/>
      <c r="F93" s="38" t="n"/>
      <c r="G93" s="38" t="n"/>
      <c r="H93" s="38" t="n"/>
      <c r="I93" s="38" t="n"/>
      <c r="J93" s="39" t="n"/>
      <c r="K93" s="40" t="n"/>
      <c r="L93" s="41">
        <f>IF(D93="","",J93*K93)</f>
        <v/>
      </c>
      <c r="M93" s="38" t="n"/>
      <c r="N93" s="38" t="n"/>
      <c r="O93" s="38" t="n"/>
    </row>
    <row r="94" ht="21" customHeight="1">
      <c r="A94" s="38" t="n"/>
      <c r="B94" s="38" t="n"/>
      <c r="C94" s="38" t="n"/>
      <c r="D94" s="38" t="n"/>
      <c r="E94" s="38" t="n"/>
      <c r="F94" s="38" t="n"/>
      <c r="G94" s="38" t="n"/>
      <c r="H94" s="38" t="n"/>
      <c r="I94" s="38" t="n"/>
      <c r="J94" s="39" t="n"/>
      <c r="K94" s="40" t="n"/>
      <c r="L94" s="41">
        <f>IF(D94="","",J94*K94)</f>
        <v/>
      </c>
      <c r="M94" s="38" t="n"/>
      <c r="N94" s="38" t="n"/>
      <c r="O94" s="38" t="n"/>
    </row>
    <row r="95" ht="21" customHeight="1">
      <c r="A95" s="38" t="n"/>
      <c r="B95" s="38" t="n"/>
      <c r="C95" s="38" t="n"/>
      <c r="D95" s="38" t="n"/>
      <c r="E95" s="38" t="n"/>
      <c r="F95" s="38" t="n"/>
      <c r="G95" s="38" t="n"/>
      <c r="H95" s="38" t="n"/>
      <c r="I95" s="38" t="n"/>
      <c r="J95" s="39" t="n"/>
      <c r="K95" s="40" t="n"/>
      <c r="L95" s="41">
        <f>IF(D95="","",J95*K95)</f>
        <v/>
      </c>
      <c r="M95" s="38" t="n"/>
      <c r="N95" s="38" t="n"/>
      <c r="O95" s="38" t="n"/>
    </row>
    <row r="96" ht="21" customHeight="1">
      <c r="A96" s="38" t="n"/>
      <c r="B96" s="38" t="n"/>
      <c r="C96" s="38" t="n"/>
      <c r="D96" s="38" t="n"/>
      <c r="E96" s="38" t="n"/>
      <c r="F96" s="38" t="n"/>
      <c r="G96" s="38" t="n"/>
      <c r="H96" s="38" t="n"/>
      <c r="I96" s="38" t="n"/>
      <c r="J96" s="39" t="n"/>
      <c r="K96" s="40" t="n"/>
      <c r="L96" s="41">
        <f>IF(D96="","",J96*K96)</f>
        <v/>
      </c>
      <c r="M96" s="38" t="n"/>
      <c r="N96" s="38" t="n"/>
      <c r="O96" s="38" t="n"/>
    </row>
    <row r="97" ht="21" customHeight="1">
      <c r="A97" s="38" t="n"/>
      <c r="B97" s="38" t="n"/>
      <c r="C97" s="38" t="n"/>
      <c r="D97" s="38" t="n"/>
      <c r="E97" s="38" t="n"/>
      <c r="F97" s="38" t="n"/>
      <c r="G97" s="38" t="n"/>
      <c r="H97" s="38" t="n"/>
      <c r="I97" s="38" t="n"/>
      <c r="J97" s="39" t="n"/>
      <c r="K97" s="40" t="n"/>
      <c r="L97" s="41">
        <f>IF(D97="","",J97*K97)</f>
        <v/>
      </c>
      <c r="M97" s="38" t="n"/>
      <c r="N97" s="38" t="n"/>
      <c r="O97" s="38" t="n"/>
    </row>
    <row r="98" ht="21" customHeight="1">
      <c r="A98" s="38" t="n"/>
      <c r="B98" s="38" t="n"/>
      <c r="C98" s="38" t="n"/>
      <c r="D98" s="38" t="n"/>
      <c r="E98" s="38" t="n"/>
      <c r="F98" s="38" t="n"/>
      <c r="G98" s="38" t="n"/>
      <c r="H98" s="38" t="n"/>
      <c r="I98" s="38" t="n"/>
      <c r="J98" s="39" t="n"/>
      <c r="K98" s="40" t="n"/>
      <c r="L98" s="41">
        <f>IF(D98="","",J98*K98)</f>
        <v/>
      </c>
      <c r="M98" s="38" t="n"/>
      <c r="N98" s="38" t="n"/>
      <c r="O98" s="38" t="n"/>
    </row>
    <row r="99" ht="21" customHeight="1">
      <c r="A99" s="38" t="n"/>
      <c r="B99" s="38" t="n"/>
      <c r="C99" s="38" t="n"/>
      <c r="D99" s="38" t="n"/>
      <c r="E99" s="38" t="n"/>
      <c r="F99" s="38" t="n"/>
      <c r="G99" s="38" t="n"/>
      <c r="H99" s="38" t="n"/>
      <c r="I99" s="38" t="n"/>
      <c r="J99" s="39" t="n"/>
      <c r="K99" s="40" t="n"/>
      <c r="L99" s="41">
        <f>IF(D99="","",J99*K99)</f>
        <v/>
      </c>
      <c r="M99" s="38" t="n"/>
      <c r="N99" s="38" t="n"/>
      <c r="O99" s="38" t="n"/>
    </row>
    <row r="100" ht="21" customHeight="1">
      <c r="A100" s="38" t="n"/>
      <c r="B100" s="38" t="n"/>
      <c r="C100" s="38" t="n"/>
      <c r="D100" s="38" t="n"/>
      <c r="E100" s="38" t="n"/>
      <c r="F100" s="38" t="n"/>
      <c r="G100" s="38" t="n"/>
      <c r="H100" s="38" t="n"/>
      <c r="I100" s="38" t="n"/>
      <c r="J100" s="39" t="n"/>
      <c r="K100" s="40" t="n"/>
      <c r="L100" s="41">
        <f>IF(D100="","",J100*K100)</f>
        <v/>
      </c>
      <c r="M100" s="38" t="n"/>
      <c r="N100" s="38" t="n"/>
      <c r="O100" s="38" t="n"/>
    </row>
    <row r="101" ht="21" customHeight="1">
      <c r="A101" s="38" t="n"/>
      <c r="B101" s="38" t="n"/>
      <c r="C101" s="38" t="n"/>
      <c r="D101" s="38" t="n"/>
      <c r="E101" s="38" t="n"/>
      <c r="F101" s="38" t="n"/>
      <c r="G101" s="38" t="n"/>
      <c r="H101" s="38" t="n"/>
      <c r="I101" s="38" t="n"/>
      <c r="J101" s="39" t="n"/>
      <c r="K101" s="40" t="n"/>
      <c r="L101" s="41">
        <f>IF(D101="","",J101*K101)</f>
        <v/>
      </c>
      <c r="M101" s="38" t="n"/>
      <c r="N101" s="38" t="n"/>
      <c r="O101" s="38" t="n"/>
    </row>
    <row r="102" ht="21" customHeight="1">
      <c r="A102" s="38" t="n"/>
      <c r="B102" s="38" t="n"/>
      <c r="C102" s="38" t="n"/>
      <c r="D102" s="38" t="n"/>
      <c r="E102" s="38" t="n"/>
      <c r="F102" s="38" t="n"/>
      <c r="G102" s="38" t="n"/>
      <c r="H102" s="38" t="n"/>
      <c r="I102" s="38" t="n"/>
      <c r="J102" s="39" t="n"/>
      <c r="K102" s="40" t="n"/>
      <c r="L102" s="41">
        <f>IF(D102="","",J102*K102)</f>
        <v/>
      </c>
      <c r="M102" s="38" t="n"/>
      <c r="N102" s="38" t="n"/>
      <c r="O102" s="38" t="n"/>
    </row>
    <row r="103" ht="21" customHeight="1">
      <c r="A103" s="38" t="n"/>
      <c r="B103" s="38" t="n"/>
      <c r="C103" s="38" t="n"/>
      <c r="D103" s="38" t="n"/>
      <c r="E103" s="38" t="n"/>
      <c r="F103" s="38" t="n"/>
      <c r="G103" s="38" t="n"/>
      <c r="H103" s="38" t="n"/>
      <c r="I103" s="38" t="n"/>
      <c r="J103" s="39" t="n"/>
      <c r="K103" s="40" t="n"/>
      <c r="L103" s="41">
        <f>IF(D103="","",J103*K103)</f>
        <v/>
      </c>
      <c r="M103" s="38" t="n"/>
      <c r="N103" s="38" t="n"/>
      <c r="O103" s="38" t="n"/>
    </row>
    <row r="104" ht="21" customHeight="1">
      <c r="A104" s="38" t="n"/>
      <c r="B104" s="38" t="n"/>
      <c r="C104" s="38" t="n"/>
      <c r="D104" s="38" t="n"/>
      <c r="E104" s="38" t="n"/>
      <c r="F104" s="38" t="n"/>
      <c r="G104" s="38" t="n"/>
      <c r="H104" s="38" t="n"/>
      <c r="I104" s="38" t="n"/>
      <c r="J104" s="39" t="n"/>
      <c r="K104" s="40" t="n"/>
      <c r="L104" s="41">
        <f>IF(D104="","",J104*K104)</f>
        <v/>
      </c>
      <c r="M104" s="38" t="n"/>
      <c r="N104" s="38" t="n"/>
      <c r="O104" s="38" t="n"/>
    </row>
    <row r="105" ht="21" customHeight="1">
      <c r="A105" s="38" t="n"/>
      <c r="B105" s="38" t="n"/>
      <c r="C105" s="38" t="n"/>
      <c r="D105" s="38" t="n"/>
      <c r="E105" s="38" t="n"/>
      <c r="F105" s="38" t="n"/>
      <c r="G105" s="38" t="n"/>
      <c r="H105" s="38" t="n"/>
      <c r="I105" s="38" t="n"/>
      <c r="J105" s="39" t="n"/>
      <c r="K105" s="40" t="n"/>
      <c r="L105" s="41">
        <f>IF(D105="","",J105*K105)</f>
        <v/>
      </c>
      <c r="M105" s="38" t="n"/>
      <c r="N105" s="38" t="n"/>
      <c r="O105" s="38" t="n"/>
    </row>
    <row r="106" ht="21" customHeight="1">
      <c r="A106" s="38" t="n"/>
      <c r="B106" s="38" t="n"/>
      <c r="C106" s="38" t="n"/>
      <c r="D106" s="38" t="n"/>
      <c r="E106" s="38" t="n"/>
      <c r="F106" s="38" t="n"/>
      <c r="G106" s="38" t="n"/>
      <c r="H106" s="38" t="n"/>
      <c r="I106" s="38" t="n"/>
      <c r="J106" s="39" t="n"/>
      <c r="K106" s="40" t="n"/>
      <c r="L106" s="41">
        <f>IF(D106="","",J106*K106)</f>
        <v/>
      </c>
      <c r="M106" s="38" t="n"/>
      <c r="N106" s="38" t="n"/>
      <c r="O106" s="38" t="n"/>
    </row>
    <row r="107" ht="21" customHeight="1">
      <c r="A107" s="38" t="n"/>
      <c r="B107" s="38" t="n"/>
      <c r="C107" s="38" t="n"/>
      <c r="D107" s="38" t="n"/>
      <c r="E107" s="38" t="n"/>
      <c r="F107" s="38" t="n"/>
      <c r="G107" s="38" t="n"/>
      <c r="H107" s="38" t="n"/>
      <c r="I107" s="38" t="n"/>
      <c r="J107" s="39" t="n"/>
      <c r="K107" s="40" t="n"/>
      <c r="L107" s="41">
        <f>IF(D107="","",J107*K107)</f>
        <v/>
      </c>
      <c r="M107" s="38" t="n"/>
      <c r="N107" s="38" t="n"/>
      <c r="O107" s="38" t="n"/>
    </row>
    <row r="108" ht="21" customHeight="1">
      <c r="A108" s="38" t="n"/>
      <c r="B108" s="38" t="n"/>
      <c r="C108" s="38" t="n"/>
      <c r="D108" s="38" t="n"/>
      <c r="E108" s="38" t="n"/>
      <c r="F108" s="38" t="n"/>
      <c r="G108" s="38" t="n"/>
      <c r="H108" s="38" t="n"/>
      <c r="I108" s="38" t="n"/>
      <c r="J108" s="39" t="n"/>
      <c r="K108" s="40" t="n"/>
      <c r="L108" s="41">
        <f>IF(D108="","",J108*K108)</f>
        <v/>
      </c>
      <c r="M108" s="38" t="n"/>
      <c r="N108" s="38" t="n"/>
      <c r="O108" s="38" t="n"/>
    </row>
    <row r="109" ht="21" customHeight="1">
      <c r="A109" s="38" t="n"/>
      <c r="B109" s="38" t="n"/>
      <c r="C109" s="38" t="n"/>
      <c r="D109" s="38" t="n"/>
      <c r="E109" s="38" t="n"/>
      <c r="F109" s="38" t="n"/>
      <c r="G109" s="38" t="n"/>
      <c r="H109" s="38" t="n"/>
      <c r="I109" s="38" t="n"/>
      <c r="J109" s="39" t="n"/>
      <c r="K109" s="40" t="n"/>
      <c r="L109" s="41">
        <f>IF(D109="","",J109*K109)</f>
        <v/>
      </c>
      <c r="M109" s="38" t="n"/>
      <c r="N109" s="38" t="n"/>
      <c r="O109" s="38" t="n"/>
    </row>
    <row r="110" ht="21" customHeight="1">
      <c r="A110" s="38" t="n"/>
      <c r="B110" s="38" t="n"/>
      <c r="C110" s="38" t="n"/>
      <c r="D110" s="38" t="n"/>
      <c r="E110" s="38" t="n"/>
      <c r="F110" s="38" t="n"/>
      <c r="G110" s="38" t="n"/>
      <c r="H110" s="38" t="n"/>
      <c r="I110" s="38" t="n"/>
      <c r="J110" s="39" t="n"/>
      <c r="K110" s="40" t="n"/>
      <c r="L110" s="41">
        <f>IF(D110="","",J110*K110)</f>
        <v/>
      </c>
      <c r="M110" s="38" t="n"/>
      <c r="N110" s="38" t="n"/>
      <c r="O110" s="38" t="n"/>
    </row>
    <row r="111" ht="21" customHeight="1">
      <c r="A111" s="38" t="n"/>
      <c r="B111" s="38" t="n"/>
      <c r="C111" s="38" t="n"/>
      <c r="D111" s="38" t="n"/>
      <c r="E111" s="38" t="n"/>
      <c r="F111" s="38" t="n"/>
      <c r="G111" s="38" t="n"/>
      <c r="H111" s="38" t="n"/>
      <c r="I111" s="38" t="n"/>
      <c r="J111" s="39" t="n"/>
      <c r="K111" s="40" t="n"/>
      <c r="L111" s="41">
        <f>IF(D111="","",J111*K111)</f>
        <v/>
      </c>
      <c r="M111" s="38" t="n"/>
      <c r="N111" s="38" t="n"/>
      <c r="O111" s="38" t="n"/>
    </row>
    <row r="112" ht="21" customHeight="1">
      <c r="A112" s="38" t="n"/>
      <c r="B112" s="38" t="n"/>
      <c r="C112" s="38" t="n"/>
      <c r="D112" s="38" t="n"/>
      <c r="E112" s="38" t="n"/>
      <c r="F112" s="38" t="n"/>
      <c r="G112" s="38" t="n"/>
      <c r="H112" s="38" t="n"/>
      <c r="I112" s="38" t="n"/>
      <c r="J112" s="39" t="n"/>
      <c r="K112" s="40" t="n"/>
      <c r="L112" s="41">
        <f>IF(D112="","",J112*K112)</f>
        <v/>
      </c>
      <c r="M112" s="38" t="n"/>
      <c r="N112" s="38" t="n"/>
      <c r="O112" s="38" t="n"/>
    </row>
    <row r="113" ht="21" customHeight="1">
      <c r="A113" s="38" t="n"/>
      <c r="B113" s="38" t="n"/>
      <c r="C113" s="38" t="n"/>
      <c r="D113" s="38" t="n"/>
      <c r="E113" s="38" t="n"/>
      <c r="F113" s="38" t="n"/>
      <c r="G113" s="38" t="n"/>
      <c r="H113" s="38" t="n"/>
      <c r="I113" s="38" t="n"/>
      <c r="J113" s="39" t="n"/>
      <c r="K113" s="40" t="n"/>
      <c r="L113" s="41">
        <f>IF(D113="","",J113*K113)</f>
        <v/>
      </c>
      <c r="M113" s="38" t="n"/>
      <c r="N113" s="38" t="n"/>
      <c r="O113" s="38" t="n"/>
    </row>
    <row r="114" ht="21" customHeight="1">
      <c r="A114" s="38" t="n"/>
      <c r="B114" s="38" t="n"/>
      <c r="C114" s="38" t="n"/>
      <c r="D114" s="38" t="n"/>
      <c r="E114" s="38" t="n"/>
      <c r="F114" s="38" t="n"/>
      <c r="G114" s="38" t="n"/>
      <c r="H114" s="38" t="n"/>
      <c r="I114" s="38" t="n"/>
      <c r="J114" s="39" t="n"/>
      <c r="K114" s="40" t="n"/>
      <c r="L114" s="41">
        <f>IF(D114="","",J114*K114)</f>
        <v/>
      </c>
      <c r="M114" s="38" t="n"/>
      <c r="N114" s="38" t="n"/>
      <c r="O114" s="38" t="n"/>
    </row>
    <row r="115" ht="21" customHeight="1">
      <c r="A115" s="38" t="n"/>
      <c r="B115" s="38" t="n"/>
      <c r="C115" s="38" t="n"/>
      <c r="D115" s="38" t="n"/>
      <c r="E115" s="38" t="n"/>
      <c r="F115" s="38" t="n"/>
      <c r="G115" s="38" t="n"/>
      <c r="H115" s="38" t="n"/>
      <c r="I115" s="38" t="n"/>
      <c r="J115" s="39" t="n"/>
      <c r="K115" s="40" t="n"/>
      <c r="L115" s="41">
        <f>IF(D115="","",J115*K115)</f>
        <v/>
      </c>
      <c r="M115" s="38" t="n"/>
      <c r="N115" s="38" t="n"/>
      <c r="O115" s="38" t="n"/>
    </row>
    <row r="116" ht="21" customHeight="1">
      <c r="A116" s="38" t="n"/>
      <c r="B116" s="38" t="n"/>
      <c r="C116" s="38" t="n"/>
      <c r="D116" s="38" t="n"/>
      <c r="E116" s="38" t="n"/>
      <c r="F116" s="38" t="n"/>
      <c r="G116" s="38" t="n"/>
      <c r="H116" s="38" t="n"/>
      <c r="I116" s="38" t="n"/>
      <c r="J116" s="39" t="n"/>
      <c r="K116" s="40" t="n"/>
      <c r="L116" s="41">
        <f>IF(D116="","",J116*K116)</f>
        <v/>
      </c>
      <c r="M116" s="38" t="n"/>
      <c r="N116" s="38" t="n"/>
      <c r="O116" s="38" t="n"/>
    </row>
    <row r="117" ht="21" customHeight="1">
      <c r="A117" s="38" t="n"/>
      <c r="B117" s="38" t="n"/>
      <c r="C117" s="38" t="n"/>
      <c r="D117" s="38" t="n"/>
      <c r="E117" s="38" t="n"/>
      <c r="F117" s="38" t="n"/>
      <c r="G117" s="38" t="n"/>
      <c r="H117" s="38" t="n"/>
      <c r="I117" s="38" t="n"/>
      <c r="J117" s="39" t="n"/>
      <c r="K117" s="40" t="n"/>
      <c r="L117" s="41">
        <f>IF(D117="","",J117*K117)</f>
        <v/>
      </c>
      <c r="M117" s="38" t="n"/>
      <c r="N117" s="38" t="n"/>
      <c r="O117" s="38" t="n"/>
    </row>
    <row r="118" ht="21" customHeight="1">
      <c r="A118" s="38" t="n"/>
      <c r="B118" s="38" t="n"/>
      <c r="C118" s="38" t="n"/>
      <c r="D118" s="38" t="n"/>
      <c r="E118" s="38" t="n"/>
      <c r="F118" s="38" t="n"/>
      <c r="G118" s="38" t="n"/>
      <c r="H118" s="38" t="n"/>
      <c r="I118" s="38" t="n"/>
      <c r="J118" s="39" t="n"/>
      <c r="K118" s="40" t="n"/>
      <c r="L118" s="41">
        <f>IF(D118="","",J118*K118)</f>
        <v/>
      </c>
      <c r="M118" s="38" t="n"/>
      <c r="N118" s="38" t="n"/>
      <c r="O118" s="38" t="n"/>
    </row>
    <row r="119" ht="21" customHeight="1">
      <c r="A119" s="38" t="n"/>
      <c r="B119" s="38" t="n"/>
      <c r="C119" s="38" t="n"/>
      <c r="D119" s="38" t="n"/>
      <c r="E119" s="38" t="n"/>
      <c r="F119" s="38" t="n"/>
      <c r="G119" s="38" t="n"/>
      <c r="H119" s="38" t="n"/>
      <c r="I119" s="38" t="n"/>
      <c r="J119" s="39" t="n"/>
      <c r="K119" s="40" t="n"/>
      <c r="L119" s="41">
        <f>IF(D119="","",J119*K119)</f>
        <v/>
      </c>
      <c r="M119" s="38" t="n"/>
      <c r="N119" s="38" t="n"/>
      <c r="O119" s="38" t="n"/>
    </row>
    <row r="120" ht="21" customHeight="1">
      <c r="A120" s="38" t="n"/>
      <c r="B120" s="38" t="n"/>
      <c r="C120" s="38" t="n"/>
      <c r="D120" s="38" t="n"/>
      <c r="E120" s="38" t="n"/>
      <c r="F120" s="38" t="n"/>
      <c r="G120" s="38" t="n"/>
      <c r="H120" s="38" t="n"/>
      <c r="I120" s="38" t="n"/>
      <c r="J120" s="39" t="n"/>
      <c r="K120" s="40" t="n"/>
      <c r="L120" s="41">
        <f>IF(D120="","",J120*K120)</f>
        <v/>
      </c>
      <c r="M120" s="38" t="n"/>
      <c r="N120" s="38" t="n"/>
      <c r="O120" s="38" t="n"/>
    </row>
    <row r="121" ht="21" customHeight="1">
      <c r="A121" s="38" t="n"/>
      <c r="B121" s="38" t="n"/>
      <c r="C121" s="38" t="n"/>
      <c r="D121" s="38" t="n"/>
      <c r="E121" s="38" t="n"/>
      <c r="F121" s="38" t="n"/>
      <c r="G121" s="38" t="n"/>
      <c r="H121" s="38" t="n"/>
      <c r="I121" s="38" t="n"/>
      <c r="J121" s="39" t="n"/>
      <c r="K121" s="40" t="n"/>
      <c r="L121" s="41">
        <f>IF(D121="","",J121*K121)</f>
        <v/>
      </c>
      <c r="M121" s="38" t="n"/>
      <c r="N121" s="38" t="n"/>
      <c r="O121" s="38" t="n"/>
    </row>
    <row r="122" ht="21" customHeight="1">
      <c r="A122" s="38" t="n"/>
      <c r="B122" s="38" t="n"/>
      <c r="C122" s="38" t="n"/>
      <c r="D122" s="38" t="n"/>
      <c r="E122" s="38" t="n"/>
      <c r="F122" s="38" t="n"/>
      <c r="G122" s="38" t="n"/>
      <c r="H122" s="38" t="n"/>
      <c r="I122" s="38" t="n"/>
      <c r="J122" s="39" t="n"/>
      <c r="K122" s="40" t="n"/>
      <c r="L122" s="41">
        <f>IF(D122="","",J122*K122)</f>
        <v/>
      </c>
      <c r="M122" s="38" t="n"/>
      <c r="N122" s="38" t="n"/>
      <c r="O122" s="38" t="n"/>
    </row>
    <row r="123" ht="21" customHeight="1">
      <c r="A123" s="38" t="n"/>
      <c r="B123" s="38" t="n"/>
      <c r="C123" s="38" t="n"/>
      <c r="D123" s="38" t="n"/>
      <c r="E123" s="38" t="n"/>
      <c r="F123" s="38" t="n"/>
      <c r="G123" s="38" t="n"/>
      <c r="H123" s="38" t="n"/>
      <c r="I123" s="38" t="n"/>
      <c r="J123" s="39" t="n"/>
      <c r="K123" s="40" t="n"/>
      <c r="L123" s="41">
        <f>IF(D123="","",J123*K123)</f>
        <v/>
      </c>
      <c r="M123" s="38" t="n"/>
      <c r="N123" s="38" t="n"/>
      <c r="O123" s="38" t="n"/>
    </row>
    <row r="124" ht="21" customHeight="1">
      <c r="A124" s="38" t="n"/>
      <c r="B124" s="38" t="n"/>
      <c r="C124" s="38" t="n"/>
      <c r="D124" s="38" t="n"/>
      <c r="E124" s="38" t="n"/>
      <c r="F124" s="38" t="n"/>
      <c r="G124" s="38" t="n"/>
      <c r="H124" s="38" t="n"/>
      <c r="I124" s="38" t="n"/>
      <c r="J124" s="39" t="n"/>
      <c r="K124" s="40" t="n"/>
      <c r="L124" s="41">
        <f>IF(D124="","",J124*K124)</f>
        <v/>
      </c>
      <c r="M124" s="38" t="n"/>
      <c r="N124" s="38" t="n"/>
      <c r="O124" s="38" t="n"/>
    </row>
    <row r="125" ht="21" customHeight="1">
      <c r="A125" s="38" t="n"/>
      <c r="B125" s="38" t="n"/>
      <c r="C125" s="38" t="n"/>
      <c r="D125" s="38" t="n"/>
      <c r="E125" s="38" t="n"/>
      <c r="F125" s="38" t="n"/>
      <c r="G125" s="38" t="n"/>
      <c r="H125" s="38" t="n"/>
      <c r="I125" s="38" t="n"/>
      <c r="J125" s="39" t="n"/>
      <c r="K125" s="40" t="n"/>
      <c r="L125" s="41">
        <f>IF(D125="","",J125*K125)</f>
        <v/>
      </c>
      <c r="M125" s="38" t="n"/>
      <c r="N125" s="38" t="n"/>
      <c r="O125" s="38" t="n"/>
    </row>
    <row r="126" ht="21" customHeight="1">
      <c r="A126" s="38" t="n"/>
      <c r="B126" s="38" t="n"/>
      <c r="C126" s="38" t="n"/>
      <c r="D126" s="38" t="n"/>
      <c r="E126" s="38" t="n"/>
      <c r="F126" s="38" t="n"/>
      <c r="G126" s="38" t="n"/>
      <c r="H126" s="38" t="n"/>
      <c r="I126" s="38" t="n"/>
      <c r="J126" s="39" t="n"/>
      <c r="K126" s="40" t="n"/>
      <c r="L126" s="41">
        <f>IF(D126="","",J126*K126)</f>
        <v/>
      </c>
      <c r="M126" s="38" t="n"/>
      <c r="N126" s="38" t="n"/>
      <c r="O126" s="38" t="n"/>
    </row>
    <row r="127" ht="21" customHeight="1">
      <c r="A127" s="38" t="n"/>
      <c r="B127" s="38" t="n"/>
      <c r="C127" s="38" t="n"/>
      <c r="D127" s="38" t="n"/>
      <c r="E127" s="38" t="n"/>
      <c r="F127" s="38" t="n"/>
      <c r="G127" s="38" t="n"/>
      <c r="H127" s="38" t="n"/>
      <c r="I127" s="38" t="n"/>
      <c r="J127" s="39" t="n"/>
      <c r="K127" s="40" t="n"/>
      <c r="L127" s="41">
        <f>IF(D127="","",J127*K127)</f>
        <v/>
      </c>
      <c r="M127" s="38" t="n"/>
      <c r="N127" s="38" t="n"/>
      <c r="O127" s="38" t="n"/>
    </row>
    <row r="128" ht="21" customHeight="1">
      <c r="A128" s="38" t="n"/>
      <c r="B128" s="38" t="n"/>
      <c r="C128" s="38" t="n"/>
      <c r="D128" s="38" t="n"/>
      <c r="E128" s="38" t="n"/>
      <c r="F128" s="38" t="n"/>
      <c r="G128" s="38" t="n"/>
      <c r="H128" s="38" t="n"/>
      <c r="I128" s="38" t="n"/>
      <c r="J128" s="39" t="n"/>
      <c r="K128" s="40" t="n"/>
      <c r="L128" s="41">
        <f>IF(D128="","",J128*K128)</f>
        <v/>
      </c>
      <c r="M128" s="38" t="n"/>
      <c r="N128" s="38" t="n"/>
      <c r="O128" s="38" t="n"/>
    </row>
    <row r="129" ht="21" customHeight="1">
      <c r="A129" s="38" t="n"/>
      <c r="B129" s="38" t="n"/>
      <c r="C129" s="38" t="n"/>
      <c r="D129" s="38" t="n"/>
      <c r="E129" s="38" t="n"/>
      <c r="F129" s="38" t="n"/>
      <c r="G129" s="38" t="n"/>
      <c r="H129" s="38" t="n"/>
      <c r="I129" s="38" t="n"/>
      <c r="J129" s="39" t="n"/>
      <c r="K129" s="40" t="n"/>
      <c r="L129" s="41">
        <f>IF(D129="","",J129*K129)</f>
        <v/>
      </c>
      <c r="M129" s="38" t="n"/>
      <c r="N129" s="38" t="n"/>
      <c r="O129" s="38" t="n"/>
    </row>
    <row r="130" ht="21" customHeight="1">
      <c r="A130" s="38" t="n"/>
      <c r="B130" s="38" t="n"/>
      <c r="C130" s="38" t="n"/>
      <c r="D130" s="38" t="n"/>
      <c r="E130" s="38" t="n"/>
      <c r="F130" s="38" t="n"/>
      <c r="G130" s="38" t="n"/>
      <c r="H130" s="38" t="n"/>
      <c r="I130" s="38" t="n"/>
      <c r="J130" s="39" t="n"/>
      <c r="K130" s="40" t="n"/>
      <c r="L130" s="41">
        <f>IF(D130="","",J130*K130)</f>
        <v/>
      </c>
      <c r="M130" s="38" t="n"/>
      <c r="N130" s="38" t="n"/>
      <c r="O130" s="38" t="n"/>
    </row>
    <row r="131" ht="21" customHeight="1">
      <c r="A131" s="38" t="n"/>
      <c r="B131" s="38" t="n"/>
      <c r="C131" s="38" t="n"/>
      <c r="D131" s="38" t="n"/>
      <c r="E131" s="38" t="n"/>
      <c r="F131" s="38" t="n"/>
      <c r="G131" s="38" t="n"/>
      <c r="H131" s="38" t="n"/>
      <c r="I131" s="38" t="n"/>
      <c r="J131" s="39" t="n"/>
      <c r="K131" s="40" t="n"/>
      <c r="L131" s="41">
        <f>IF(D131="","",J131*K131)</f>
        <v/>
      </c>
      <c r="M131" s="38" t="n"/>
      <c r="N131" s="38" t="n"/>
      <c r="O131" s="38" t="n"/>
    </row>
    <row r="132" ht="21" customHeight="1">
      <c r="A132" s="38" t="n"/>
      <c r="B132" s="38" t="n"/>
      <c r="C132" s="38" t="n"/>
      <c r="D132" s="38" t="n"/>
      <c r="E132" s="38" t="n"/>
      <c r="F132" s="38" t="n"/>
      <c r="G132" s="38" t="n"/>
      <c r="H132" s="38" t="n"/>
      <c r="I132" s="38" t="n"/>
      <c r="J132" s="39" t="n"/>
      <c r="K132" s="40" t="n"/>
      <c r="L132" s="41">
        <f>IF(D132="","",J132*K132)</f>
        <v/>
      </c>
      <c r="M132" s="38" t="n"/>
      <c r="N132" s="38" t="n"/>
      <c r="O132" s="38" t="n"/>
    </row>
    <row r="133" ht="21" customHeight="1">
      <c r="A133" s="38" t="n"/>
      <c r="B133" s="38" t="n"/>
      <c r="C133" s="38" t="n"/>
      <c r="D133" s="38" t="n"/>
      <c r="E133" s="38" t="n"/>
      <c r="F133" s="38" t="n"/>
      <c r="G133" s="38" t="n"/>
      <c r="H133" s="38" t="n"/>
      <c r="I133" s="38" t="n"/>
      <c r="J133" s="39" t="n"/>
      <c r="K133" s="40" t="n"/>
      <c r="L133" s="41">
        <f>IF(D133="","",J133*K133)</f>
        <v/>
      </c>
      <c r="M133" s="38" t="n"/>
      <c r="N133" s="38" t="n"/>
      <c r="O133" s="38" t="n"/>
    </row>
    <row r="134" ht="21" customHeight="1">
      <c r="A134" s="38" t="n"/>
      <c r="B134" s="38" t="n"/>
      <c r="C134" s="38" t="n"/>
      <c r="D134" s="38" t="n"/>
      <c r="E134" s="38" t="n"/>
      <c r="F134" s="38" t="n"/>
      <c r="G134" s="38" t="n"/>
      <c r="H134" s="38" t="n"/>
      <c r="I134" s="38" t="n"/>
      <c r="J134" s="39" t="n"/>
      <c r="K134" s="40" t="n"/>
      <c r="L134" s="41">
        <f>IF(D134="","",J134*K134)</f>
        <v/>
      </c>
      <c r="M134" s="38" t="n"/>
      <c r="N134" s="38" t="n"/>
      <c r="O134" s="38" t="n"/>
    </row>
    <row r="135" ht="21" customHeight="1">
      <c r="A135" s="38" t="n"/>
      <c r="B135" s="38" t="n"/>
      <c r="C135" s="38" t="n"/>
      <c r="D135" s="38" t="n"/>
      <c r="E135" s="38" t="n"/>
      <c r="F135" s="38" t="n"/>
      <c r="G135" s="38" t="n"/>
      <c r="H135" s="38" t="n"/>
      <c r="I135" s="38" t="n"/>
      <c r="J135" s="39" t="n"/>
      <c r="K135" s="40" t="n"/>
      <c r="L135" s="41">
        <f>IF(D135="","",J135*K135)</f>
        <v/>
      </c>
      <c r="M135" s="38" t="n"/>
      <c r="N135" s="38" t="n"/>
      <c r="O135" s="38" t="n"/>
    </row>
    <row r="136" ht="21" customHeight="1">
      <c r="A136" s="38" t="n"/>
      <c r="B136" s="38" t="n"/>
      <c r="C136" s="38" t="n"/>
      <c r="D136" s="38" t="n"/>
      <c r="E136" s="38" t="n"/>
      <c r="F136" s="38" t="n"/>
      <c r="G136" s="38" t="n"/>
      <c r="H136" s="38" t="n"/>
      <c r="I136" s="38" t="n"/>
      <c r="J136" s="39" t="n"/>
      <c r="K136" s="40" t="n"/>
      <c r="L136" s="41">
        <f>IF(D136="","",J136*K136)</f>
        <v/>
      </c>
      <c r="M136" s="38" t="n"/>
      <c r="N136" s="38" t="n"/>
      <c r="O136" s="38" t="n"/>
    </row>
    <row r="137" ht="21" customHeight="1">
      <c r="A137" s="38" t="n"/>
      <c r="B137" s="38" t="n"/>
      <c r="C137" s="38" t="n"/>
      <c r="D137" s="38" t="n"/>
      <c r="E137" s="38" t="n"/>
      <c r="F137" s="38" t="n"/>
      <c r="G137" s="38" t="n"/>
      <c r="H137" s="38" t="n"/>
      <c r="I137" s="38" t="n"/>
      <c r="J137" s="39" t="n"/>
      <c r="K137" s="40" t="n"/>
      <c r="L137" s="41">
        <f>IF(D137="","",J137*K137)</f>
        <v/>
      </c>
      <c r="M137" s="38" t="n"/>
      <c r="N137" s="38" t="n"/>
      <c r="O137" s="38" t="n"/>
    </row>
    <row r="138" ht="21" customHeight="1">
      <c r="A138" s="38" t="n"/>
      <c r="B138" s="38" t="n"/>
      <c r="C138" s="38" t="n"/>
      <c r="D138" s="38" t="n"/>
      <c r="E138" s="38" t="n"/>
      <c r="F138" s="38" t="n"/>
      <c r="G138" s="38" t="n"/>
      <c r="H138" s="38" t="n"/>
      <c r="I138" s="38" t="n"/>
      <c r="J138" s="39" t="n"/>
      <c r="K138" s="40" t="n"/>
      <c r="L138" s="41">
        <f>IF(D138="","",J138*K138)</f>
        <v/>
      </c>
      <c r="M138" s="38" t="n"/>
      <c r="N138" s="38" t="n"/>
      <c r="O138" s="38" t="n"/>
    </row>
    <row r="139" ht="21" customHeight="1">
      <c r="A139" s="38" t="n"/>
      <c r="B139" s="38" t="n"/>
      <c r="C139" s="38" t="n"/>
      <c r="D139" s="38" t="n"/>
      <c r="E139" s="38" t="n"/>
      <c r="F139" s="38" t="n"/>
      <c r="G139" s="38" t="n"/>
      <c r="H139" s="38" t="n"/>
      <c r="I139" s="38" t="n"/>
      <c r="J139" s="39" t="n"/>
      <c r="K139" s="40" t="n"/>
      <c r="L139" s="41">
        <f>IF(D139="","",J139*K139)</f>
        <v/>
      </c>
      <c r="M139" s="38" t="n"/>
      <c r="N139" s="38" t="n"/>
      <c r="O139" s="38" t="n"/>
    </row>
    <row r="140" ht="21" customHeight="1">
      <c r="A140" s="38" t="n"/>
      <c r="B140" s="38" t="n"/>
      <c r="C140" s="38" t="n"/>
      <c r="D140" s="38" t="n"/>
      <c r="E140" s="38" t="n"/>
      <c r="F140" s="38" t="n"/>
      <c r="G140" s="38" t="n"/>
      <c r="H140" s="38" t="n"/>
      <c r="I140" s="38" t="n"/>
      <c r="J140" s="39" t="n"/>
      <c r="K140" s="40" t="n"/>
      <c r="L140" s="41">
        <f>IF(D140="","",J140*K140)</f>
        <v/>
      </c>
      <c r="M140" s="38" t="n"/>
      <c r="N140" s="38" t="n"/>
      <c r="O140" s="38" t="n"/>
    </row>
    <row r="141" ht="21" customHeight="1">
      <c r="A141" s="38" t="n"/>
      <c r="B141" s="38" t="n"/>
      <c r="C141" s="38" t="n"/>
      <c r="D141" s="38" t="n"/>
      <c r="E141" s="38" t="n"/>
      <c r="F141" s="38" t="n"/>
      <c r="G141" s="38" t="n"/>
      <c r="H141" s="38" t="n"/>
      <c r="I141" s="38" t="n"/>
      <c r="J141" s="39" t="n"/>
      <c r="K141" s="40" t="n"/>
      <c r="L141" s="41">
        <f>IF(D141="","",J141*K141)</f>
        <v/>
      </c>
      <c r="M141" s="38" t="n"/>
      <c r="N141" s="38" t="n"/>
      <c r="O141" s="38" t="n"/>
    </row>
    <row r="142" ht="21" customHeight="1">
      <c r="A142" s="38" t="n"/>
      <c r="B142" s="38" t="n"/>
      <c r="C142" s="38" t="n"/>
      <c r="D142" s="38" t="n"/>
      <c r="E142" s="38" t="n"/>
      <c r="F142" s="38" t="n"/>
      <c r="G142" s="38" t="n"/>
      <c r="H142" s="38" t="n"/>
      <c r="I142" s="38" t="n"/>
      <c r="J142" s="39" t="n"/>
      <c r="K142" s="40" t="n"/>
      <c r="L142" s="41">
        <f>IF(D142="","",J142*K142)</f>
        <v/>
      </c>
      <c r="M142" s="38" t="n"/>
      <c r="N142" s="38" t="n"/>
      <c r="O142" s="38" t="n"/>
    </row>
    <row r="143" ht="21" customHeight="1">
      <c r="A143" s="38" t="n"/>
      <c r="B143" s="38" t="n"/>
      <c r="C143" s="38" t="n"/>
      <c r="D143" s="38" t="n"/>
      <c r="E143" s="38" t="n"/>
      <c r="F143" s="38" t="n"/>
      <c r="G143" s="38" t="n"/>
      <c r="H143" s="38" t="n"/>
      <c r="I143" s="38" t="n"/>
      <c r="J143" s="39" t="n"/>
      <c r="K143" s="40" t="n"/>
      <c r="L143" s="41">
        <f>IF(D143="","",J143*K143)</f>
        <v/>
      </c>
      <c r="M143" s="38" t="n"/>
      <c r="N143" s="38" t="n"/>
      <c r="O143" s="38" t="n"/>
    </row>
    <row r="144" ht="21" customHeight="1">
      <c r="A144" s="38" t="n"/>
      <c r="B144" s="38" t="n"/>
      <c r="C144" s="38" t="n"/>
      <c r="D144" s="38" t="n"/>
      <c r="E144" s="38" t="n"/>
      <c r="F144" s="38" t="n"/>
      <c r="G144" s="38" t="n"/>
      <c r="H144" s="38" t="n"/>
      <c r="I144" s="38" t="n"/>
      <c r="J144" s="39" t="n"/>
      <c r="K144" s="40" t="n"/>
      <c r="L144" s="41">
        <f>IF(D144="","",J144*K144)</f>
        <v/>
      </c>
      <c r="M144" s="38" t="n"/>
      <c r="N144" s="38" t="n"/>
      <c r="O144" s="38" t="n"/>
    </row>
    <row r="145" ht="21" customHeight="1">
      <c r="A145" s="38" t="n"/>
      <c r="B145" s="38" t="n"/>
      <c r="C145" s="38" t="n"/>
      <c r="D145" s="38" t="n"/>
      <c r="E145" s="38" t="n"/>
      <c r="F145" s="38" t="n"/>
      <c r="G145" s="38" t="n"/>
      <c r="H145" s="38" t="n"/>
      <c r="I145" s="38" t="n"/>
      <c r="J145" s="39" t="n"/>
      <c r="K145" s="40" t="n"/>
      <c r="L145" s="41">
        <f>IF(D145="","",J145*K145)</f>
        <v/>
      </c>
      <c r="M145" s="38" t="n"/>
      <c r="N145" s="38" t="n"/>
      <c r="O145" s="38" t="n"/>
    </row>
    <row r="146" ht="21" customHeight="1">
      <c r="A146" s="38" t="n"/>
      <c r="B146" s="38" t="n"/>
      <c r="C146" s="38" t="n"/>
      <c r="D146" s="38" t="n"/>
      <c r="E146" s="38" t="n"/>
      <c r="F146" s="38" t="n"/>
      <c r="G146" s="38" t="n"/>
      <c r="H146" s="38" t="n"/>
      <c r="I146" s="38" t="n"/>
      <c r="J146" s="39" t="n"/>
      <c r="K146" s="40" t="n"/>
      <c r="L146" s="41">
        <f>IF(D146="","",J146*K146)</f>
        <v/>
      </c>
      <c r="M146" s="38" t="n"/>
      <c r="N146" s="38" t="n"/>
      <c r="O146" s="38" t="n"/>
    </row>
    <row r="147" ht="21" customHeight="1">
      <c r="A147" s="38" t="n"/>
      <c r="B147" s="38" t="n"/>
      <c r="C147" s="38" t="n"/>
      <c r="D147" s="38" t="n"/>
      <c r="E147" s="38" t="n"/>
      <c r="F147" s="38" t="n"/>
      <c r="G147" s="38" t="n"/>
      <c r="H147" s="38" t="n"/>
      <c r="I147" s="38" t="n"/>
      <c r="J147" s="39" t="n"/>
      <c r="K147" s="40" t="n"/>
      <c r="L147" s="41">
        <f>IF(D147="","",J147*K147)</f>
        <v/>
      </c>
      <c r="M147" s="38" t="n"/>
      <c r="N147" s="38" t="n"/>
      <c r="O147" s="38" t="n"/>
    </row>
    <row r="148" ht="21" customHeight="1">
      <c r="A148" s="38" t="n"/>
      <c r="B148" s="38" t="n"/>
      <c r="C148" s="38" t="n"/>
      <c r="D148" s="38" t="n"/>
      <c r="E148" s="38" t="n"/>
      <c r="F148" s="38" t="n"/>
      <c r="G148" s="38" t="n"/>
      <c r="H148" s="38" t="n"/>
      <c r="I148" s="38" t="n"/>
      <c r="J148" s="39" t="n"/>
      <c r="K148" s="40" t="n"/>
      <c r="L148" s="41">
        <f>IF(D148="","",J148*K148)</f>
        <v/>
      </c>
      <c r="M148" s="38" t="n"/>
      <c r="N148" s="38" t="n"/>
      <c r="O148" s="38" t="n"/>
    </row>
    <row r="149" ht="21" customHeight="1">
      <c r="A149" s="38" t="n"/>
      <c r="B149" s="38" t="n"/>
      <c r="C149" s="38" t="n"/>
      <c r="D149" s="38" t="n"/>
      <c r="E149" s="38" t="n"/>
      <c r="F149" s="38" t="n"/>
      <c r="G149" s="38" t="n"/>
      <c r="H149" s="38" t="n"/>
      <c r="I149" s="38" t="n"/>
      <c r="J149" s="39" t="n"/>
      <c r="K149" s="40" t="n"/>
      <c r="L149" s="41">
        <f>IF(D149="","",J149*K149)</f>
        <v/>
      </c>
      <c r="M149" s="38" t="n"/>
      <c r="N149" s="38" t="n"/>
      <c r="O149" s="38" t="n"/>
    </row>
    <row r="150" ht="21" customHeight="1">
      <c r="A150" s="38" t="n"/>
      <c r="B150" s="38" t="n"/>
      <c r="C150" s="38" t="n"/>
      <c r="D150" s="38" t="n"/>
      <c r="E150" s="38" t="n"/>
      <c r="F150" s="38" t="n"/>
      <c r="G150" s="38" t="n"/>
      <c r="H150" s="38" t="n"/>
      <c r="I150" s="38" t="n"/>
      <c r="J150" s="39" t="n"/>
      <c r="K150" s="40" t="n"/>
      <c r="L150" s="41">
        <f>IF(D150="","",J150*K150)</f>
        <v/>
      </c>
      <c r="M150" s="38" t="n"/>
      <c r="N150" s="38" t="n"/>
      <c r="O150" s="38" t="n"/>
    </row>
    <row r="151" ht="21" customHeight="1">
      <c r="A151" s="38" t="n"/>
      <c r="B151" s="38" t="n"/>
      <c r="C151" s="38" t="n"/>
      <c r="D151" s="38" t="n"/>
      <c r="E151" s="38" t="n"/>
      <c r="F151" s="38" t="n"/>
      <c r="G151" s="38" t="n"/>
      <c r="H151" s="38" t="n"/>
      <c r="I151" s="38" t="n"/>
      <c r="J151" s="39" t="n"/>
      <c r="K151" s="40" t="n"/>
      <c r="L151" s="41">
        <f>IF(D151="","",J151*K151)</f>
        <v/>
      </c>
      <c r="M151" s="38" t="n"/>
      <c r="N151" s="38" t="n"/>
      <c r="O151" s="38" t="n"/>
    </row>
    <row r="152" ht="21" customHeight="1">
      <c r="A152" s="38" t="n"/>
      <c r="B152" s="38" t="n"/>
      <c r="C152" s="38" t="n"/>
      <c r="D152" s="38" t="n"/>
      <c r="E152" s="38" t="n"/>
      <c r="F152" s="38" t="n"/>
      <c r="G152" s="38" t="n"/>
      <c r="H152" s="38" t="n"/>
      <c r="I152" s="38" t="n"/>
      <c r="J152" s="39" t="n"/>
      <c r="K152" s="40" t="n"/>
      <c r="L152" s="41">
        <f>IF(D152="","",J152*K152)</f>
        <v/>
      </c>
      <c r="M152" s="38" t="n"/>
      <c r="N152" s="38" t="n"/>
      <c r="O152" s="38" t="n"/>
    </row>
    <row r="153" ht="21" customHeight="1">
      <c r="A153" s="38" t="n"/>
      <c r="B153" s="38" t="n"/>
      <c r="C153" s="38" t="n"/>
      <c r="D153" s="38" t="n"/>
      <c r="E153" s="38" t="n"/>
      <c r="F153" s="38" t="n"/>
      <c r="G153" s="38" t="n"/>
      <c r="H153" s="38" t="n"/>
      <c r="I153" s="38" t="n"/>
      <c r="J153" s="39" t="n"/>
      <c r="K153" s="40" t="n"/>
      <c r="L153" s="41">
        <f>IF(D153="","",J153*K153)</f>
        <v/>
      </c>
      <c r="M153" s="38" t="n"/>
      <c r="N153" s="38" t="n"/>
      <c r="O153" s="38" t="n"/>
    </row>
    <row r="154" ht="21" customHeight="1">
      <c r="A154" s="38" t="n"/>
      <c r="B154" s="38" t="n"/>
      <c r="C154" s="38" t="n"/>
      <c r="D154" s="38" t="n"/>
      <c r="E154" s="38" t="n"/>
      <c r="F154" s="38" t="n"/>
      <c r="G154" s="38" t="n"/>
      <c r="H154" s="38" t="n"/>
      <c r="I154" s="38" t="n"/>
      <c r="J154" s="39" t="n"/>
      <c r="K154" s="40" t="n"/>
      <c r="L154" s="41">
        <f>IF(D154="","",J154*K154)</f>
        <v/>
      </c>
      <c r="M154" s="38" t="n"/>
      <c r="N154" s="38" t="n"/>
      <c r="O154" s="38" t="n"/>
    </row>
    <row r="155" ht="21" customHeight="1">
      <c r="A155" s="38" t="n"/>
      <c r="B155" s="38" t="n"/>
      <c r="C155" s="38" t="n"/>
      <c r="D155" s="38" t="n"/>
      <c r="E155" s="38" t="n"/>
      <c r="F155" s="38" t="n"/>
      <c r="G155" s="38" t="n"/>
      <c r="H155" s="38" t="n"/>
      <c r="I155" s="38" t="n"/>
      <c r="J155" s="39" t="n"/>
      <c r="K155" s="40" t="n"/>
      <c r="L155" s="41">
        <f>IF(D155="","",J155*K155)</f>
        <v/>
      </c>
      <c r="M155" s="38" t="n"/>
      <c r="N155" s="38" t="n"/>
      <c r="O155" s="38" t="n"/>
    </row>
    <row r="156" ht="21" customHeight="1">
      <c r="A156" s="38" t="n"/>
      <c r="B156" s="38" t="n"/>
      <c r="C156" s="38" t="n"/>
      <c r="D156" s="38" t="n"/>
      <c r="E156" s="38" t="n"/>
      <c r="F156" s="38" t="n"/>
      <c r="G156" s="38" t="n"/>
      <c r="H156" s="38" t="n"/>
      <c r="I156" s="38" t="n"/>
      <c r="J156" s="39" t="n"/>
      <c r="K156" s="40" t="n"/>
      <c r="L156" s="41">
        <f>IF(D156="","",J156*K156)</f>
        <v/>
      </c>
      <c r="M156" s="38" t="n"/>
      <c r="N156" s="38" t="n"/>
      <c r="O156" s="38" t="n"/>
    </row>
  </sheetData>
  <autoFilter ref="A6:O156"/>
  <mergeCells count="3">
    <mergeCell ref="A1:O2"/>
    <mergeCell ref="A4:O4"/>
    <mergeCell ref="A3:O3"/>
  </mergeCells>
  <dataValidations count="5">
    <dataValidation sqref="A7:A156" showDropDown="0" showInputMessage="1" showErrorMessage="1" allowBlank="1" errorTitle="Invalid entry" error="Please choose a value from the dropdown list." promptTitle="Choose from the dropdown" prompt="Select a value from the list." type="list">
      <formula1>=RoomNames</formula1>
    </dataValidation>
    <dataValidation sqref="B7:B156" showDropDown="0" showInputMessage="1" showErrorMessage="1" allowBlank="1" errorTitle="Invalid entry" error="Please choose a value from the dropdown list." promptTitle="Choose from the dropdown" prompt="Select a value from the list." type="list">
      <formula1>=SurfaceApplications</formula1>
    </dataValidation>
    <dataValidation sqref="C7:C156" showDropDown="0" showInputMessage="1" showErrorMessage="1" allowBlank="1" errorTitle="Invalid entry" error="Please choose a value from the dropdown list." promptTitle="Choose from the dropdown" prompt="Select a value from the list." type="list">
      <formula1>=FinishTypes</formula1>
    </dataValidation>
    <dataValidation sqref="G7:G156" showDropDown="0" showInputMessage="1" showErrorMessage="1" allowBlank="1" errorTitle="Invalid entry" error="Please choose a value from the dropdown list." promptTitle="Choose from the dropdown" prompt="Select a value from the list." type="list">
      <formula1>=VendorNames</formula1>
    </dataValidation>
    <dataValidation sqref="M7:N156" showDropDown="0" showInputMessage="1" showErrorMessage="1" allowBlank="1" errorTitle="Invalid entry" error="Please choose a value from the dropdown list." promptTitle="Choose from the dropdown" prompt="Select a value from the list." type="list">
      <formula1>=YesNo</formula1>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9.xml><?xml version="1.0" encoding="utf-8"?>
<worksheet xmlns="http://schemas.openxmlformats.org/spreadsheetml/2006/main">
  <sheetPr>
    <tabColor rgb="00D6A756"/>
    <outlinePr summaryBelow="1" summaryRight="1"/>
    <pageSetUpPr fitToPage="1"/>
  </sheetPr>
  <dimension ref="A1:M156"/>
  <sheetViews>
    <sheetView showGridLines="0" zoomScale="85" workbookViewId="0">
      <pane ySplit="6" topLeftCell="A7" activePane="bottomLeft" state="frozen"/>
      <selection pane="bottomLeft" activeCell="A7" sqref="A1"/>
    </sheetView>
  </sheetViews>
  <sheetFormatPr baseColWidth="8" defaultRowHeight="15"/>
  <cols>
    <col width="20" customWidth="1" min="1" max="1"/>
    <col width="26" customWidth="1" min="2" max="2"/>
    <col width="30" customWidth="1" min="3" max="3"/>
    <col width="14" customWidth="1" min="4" max="4"/>
    <col width="30" customWidth="1" min="5" max="5"/>
    <col width="14" customWidth="1" min="6" max="6"/>
    <col width="30" customWidth="1" min="7" max="7"/>
    <col width="14" customWidth="1" min="8" max="8"/>
    <col width="17" customWidth="1" min="9" max="9"/>
    <col width="28" customWidth="1" min="10" max="10"/>
    <col width="28" customWidth="1" min="11" max="11"/>
    <col width="30" customWidth="1" min="12" max="12"/>
    <col width="28" customWidth="1" min="13" max="13"/>
  </cols>
  <sheetData>
    <row r="1" ht="26" customHeight="1">
      <c r="A1" s="1" t="inlineStr">
        <is>
          <t>Product Sourcing Tracker</t>
        </is>
      </c>
    </row>
    <row r="2" ht="26" customHeight="1"/>
    <row r="3" ht="26" customHeight="1">
      <c r="A3" s="24" t="inlineStr">
        <is>
          <t>Compare up to three options before committing to a final FF&amp;E selection.</t>
        </is>
      </c>
    </row>
    <row r="4">
      <c r="A4" s="36" t="inlineStr">
        <is>
          <t>Tip: enter data in the warm cream cells. Blue cells calculate automatically. Use the filter arrows in row 6 to focus the view.</t>
        </is>
      </c>
    </row>
    <row r="6" ht="34" customHeight="1">
      <c r="A6" s="37" t="inlineStr">
        <is>
          <t>Room</t>
        </is>
      </c>
      <c r="B6" s="37" t="inlineStr">
        <is>
          <t>Item needed</t>
        </is>
      </c>
      <c r="C6" s="37" t="inlineStr">
        <is>
          <t>Option 1 link</t>
        </is>
      </c>
      <c r="D6" s="37" t="inlineStr">
        <is>
          <t>Option 1 price</t>
        </is>
      </c>
      <c r="E6" s="37" t="inlineStr">
        <is>
          <t>Option 2 link</t>
        </is>
      </c>
      <c r="F6" s="37" t="inlineStr">
        <is>
          <t>Option 2 price</t>
        </is>
      </c>
      <c r="G6" s="37" t="inlineStr">
        <is>
          <t>Option 3 link</t>
        </is>
      </c>
      <c r="H6" s="37" t="inlineStr">
        <is>
          <t>Option 3 price</t>
        </is>
      </c>
      <c r="I6" s="37" t="inlineStr">
        <is>
          <t>Preferred option</t>
        </is>
      </c>
      <c r="J6" s="37" t="inlineStr">
        <is>
          <t>Pros</t>
        </is>
      </c>
      <c r="K6" s="37" t="inlineStr">
        <is>
          <t>Cons</t>
        </is>
      </c>
      <c r="L6" s="37" t="inlineStr">
        <is>
          <t>Client feedback</t>
        </is>
      </c>
      <c r="M6" s="37" t="inlineStr">
        <is>
          <t>Final selection</t>
        </is>
      </c>
    </row>
    <row r="7" ht="21" customHeight="1">
      <c r="A7" s="38" t="n"/>
      <c r="B7" s="38" t="n"/>
      <c r="C7" s="38" t="n"/>
      <c r="D7" s="40" t="n"/>
      <c r="E7" s="38" t="n"/>
      <c r="F7" s="40" t="n"/>
      <c r="G7" s="38" t="n"/>
      <c r="H7" s="40" t="n"/>
      <c r="I7" s="38" t="n"/>
      <c r="J7" s="38" t="n"/>
      <c r="K7" s="38" t="n"/>
      <c r="L7" s="40" t="n"/>
      <c r="M7" s="38" t="n"/>
    </row>
    <row r="8" ht="21" customHeight="1">
      <c r="A8" s="38" t="n"/>
      <c r="B8" s="38" t="n"/>
      <c r="C8" s="38" t="n"/>
      <c r="D8" s="40" t="n"/>
      <c r="E8" s="38" t="n"/>
      <c r="F8" s="40" t="n"/>
      <c r="G8" s="38" t="n"/>
      <c r="H8" s="40" t="n"/>
      <c r="I8" s="38" t="n"/>
      <c r="J8" s="38" t="n"/>
      <c r="K8" s="38" t="n"/>
      <c r="L8" s="40" t="n"/>
      <c r="M8" s="38" t="n"/>
    </row>
    <row r="9" ht="21" customHeight="1">
      <c r="A9" s="38" t="n"/>
      <c r="B9" s="38" t="n"/>
      <c r="C9" s="38" t="n"/>
      <c r="D9" s="40" t="n"/>
      <c r="E9" s="38" t="n"/>
      <c r="F9" s="40" t="n"/>
      <c r="G9" s="38" t="n"/>
      <c r="H9" s="40" t="n"/>
      <c r="I9" s="38" t="n"/>
      <c r="J9" s="38" t="n"/>
      <c r="K9" s="38" t="n"/>
      <c r="L9" s="40" t="n"/>
      <c r="M9" s="38" t="n"/>
    </row>
    <row r="10" ht="21" customHeight="1">
      <c r="A10" s="38" t="n"/>
      <c r="B10" s="38" t="n"/>
      <c r="C10" s="38" t="n"/>
      <c r="D10" s="40" t="n"/>
      <c r="E10" s="38" t="n"/>
      <c r="F10" s="40" t="n"/>
      <c r="G10" s="38" t="n"/>
      <c r="H10" s="40" t="n"/>
      <c r="I10" s="38" t="n"/>
      <c r="J10" s="38" t="n"/>
      <c r="K10" s="38" t="n"/>
      <c r="L10" s="40" t="n"/>
      <c r="M10" s="38" t="n"/>
    </row>
    <row r="11" ht="21" customHeight="1">
      <c r="A11" s="38" t="n"/>
      <c r="B11" s="38" t="n"/>
      <c r="C11" s="38" t="n"/>
      <c r="D11" s="40" t="n"/>
      <c r="E11" s="38" t="n"/>
      <c r="F11" s="40" t="n"/>
      <c r="G11" s="38" t="n"/>
      <c r="H11" s="40" t="n"/>
      <c r="I11" s="38" t="n"/>
      <c r="J11" s="38" t="n"/>
      <c r="K11" s="38" t="n"/>
      <c r="L11" s="40" t="n"/>
      <c r="M11" s="38" t="n"/>
    </row>
    <row r="12" ht="21" customHeight="1">
      <c r="A12" s="38" t="n"/>
      <c r="B12" s="38" t="n"/>
      <c r="C12" s="38" t="n"/>
      <c r="D12" s="40" t="n"/>
      <c r="E12" s="38" t="n"/>
      <c r="F12" s="40" t="n"/>
      <c r="G12" s="38" t="n"/>
      <c r="H12" s="40" t="n"/>
      <c r="I12" s="38" t="n"/>
      <c r="J12" s="38" t="n"/>
      <c r="K12" s="38" t="n"/>
      <c r="L12" s="40" t="n"/>
      <c r="M12" s="38" t="n"/>
    </row>
    <row r="13" ht="21" customHeight="1">
      <c r="A13" s="38" t="n"/>
      <c r="B13" s="38" t="n"/>
      <c r="C13" s="38" t="n"/>
      <c r="D13" s="40" t="n"/>
      <c r="E13" s="38" t="n"/>
      <c r="F13" s="40" t="n"/>
      <c r="G13" s="38" t="n"/>
      <c r="H13" s="40" t="n"/>
      <c r="I13" s="38" t="n"/>
      <c r="J13" s="38" t="n"/>
      <c r="K13" s="38" t="n"/>
      <c r="L13" s="40" t="n"/>
      <c r="M13" s="38" t="n"/>
    </row>
    <row r="14" ht="21" customHeight="1">
      <c r="A14" s="38" t="n"/>
      <c r="B14" s="38" t="n"/>
      <c r="C14" s="38" t="n"/>
      <c r="D14" s="40" t="n"/>
      <c r="E14" s="38" t="n"/>
      <c r="F14" s="40" t="n"/>
      <c r="G14" s="38" t="n"/>
      <c r="H14" s="40" t="n"/>
      <c r="I14" s="38" t="n"/>
      <c r="J14" s="38" t="n"/>
      <c r="K14" s="38" t="n"/>
      <c r="L14" s="40" t="n"/>
      <c r="M14" s="38" t="n"/>
    </row>
    <row r="15" ht="21" customHeight="1">
      <c r="A15" s="38" t="n"/>
      <c r="B15" s="38" t="n"/>
      <c r="C15" s="38" t="n"/>
      <c r="D15" s="40" t="n"/>
      <c r="E15" s="38" t="n"/>
      <c r="F15" s="40" t="n"/>
      <c r="G15" s="38" t="n"/>
      <c r="H15" s="40" t="n"/>
      <c r="I15" s="38" t="n"/>
      <c r="J15" s="38" t="n"/>
      <c r="K15" s="38" t="n"/>
      <c r="L15" s="40" t="n"/>
      <c r="M15" s="38" t="n"/>
    </row>
    <row r="16" ht="21" customHeight="1">
      <c r="A16" s="38" t="n"/>
      <c r="B16" s="38" t="n"/>
      <c r="C16" s="38" t="n"/>
      <c r="D16" s="40" t="n"/>
      <c r="E16" s="38" t="n"/>
      <c r="F16" s="40" t="n"/>
      <c r="G16" s="38" t="n"/>
      <c r="H16" s="40" t="n"/>
      <c r="I16" s="38" t="n"/>
      <c r="J16" s="38" t="n"/>
      <c r="K16" s="38" t="n"/>
      <c r="L16" s="40" t="n"/>
      <c r="M16" s="38" t="n"/>
    </row>
    <row r="17" ht="21" customHeight="1">
      <c r="A17" s="38" t="n"/>
      <c r="B17" s="38" t="n"/>
      <c r="C17" s="38" t="n"/>
      <c r="D17" s="40" t="n"/>
      <c r="E17" s="38" t="n"/>
      <c r="F17" s="40" t="n"/>
      <c r="G17" s="38" t="n"/>
      <c r="H17" s="40" t="n"/>
      <c r="I17" s="38" t="n"/>
      <c r="J17" s="38" t="n"/>
      <c r="K17" s="38" t="n"/>
      <c r="L17" s="40" t="n"/>
      <c r="M17" s="38" t="n"/>
    </row>
    <row r="18" ht="21" customHeight="1">
      <c r="A18" s="38" t="n"/>
      <c r="B18" s="38" t="n"/>
      <c r="C18" s="38" t="n"/>
      <c r="D18" s="40" t="n"/>
      <c r="E18" s="38" t="n"/>
      <c r="F18" s="40" t="n"/>
      <c r="G18" s="38" t="n"/>
      <c r="H18" s="40" t="n"/>
      <c r="I18" s="38" t="n"/>
      <c r="J18" s="38" t="n"/>
      <c r="K18" s="38" t="n"/>
      <c r="L18" s="40" t="n"/>
      <c r="M18" s="38" t="n"/>
    </row>
    <row r="19" ht="21" customHeight="1">
      <c r="A19" s="38" t="n"/>
      <c r="B19" s="38" t="n"/>
      <c r="C19" s="38" t="n"/>
      <c r="D19" s="40" t="n"/>
      <c r="E19" s="38" t="n"/>
      <c r="F19" s="40" t="n"/>
      <c r="G19" s="38" t="n"/>
      <c r="H19" s="40" t="n"/>
      <c r="I19" s="38" t="n"/>
      <c r="J19" s="38" t="n"/>
      <c r="K19" s="38" t="n"/>
      <c r="L19" s="40" t="n"/>
      <c r="M19" s="38" t="n"/>
    </row>
    <row r="20" ht="21" customHeight="1">
      <c r="A20" s="38" t="n"/>
      <c r="B20" s="38" t="n"/>
      <c r="C20" s="38" t="n"/>
      <c r="D20" s="40" t="n"/>
      <c r="E20" s="38" t="n"/>
      <c r="F20" s="40" t="n"/>
      <c r="G20" s="38" t="n"/>
      <c r="H20" s="40" t="n"/>
      <c r="I20" s="38" t="n"/>
      <c r="J20" s="38" t="n"/>
      <c r="K20" s="38" t="n"/>
      <c r="L20" s="40" t="n"/>
      <c r="M20" s="38" t="n"/>
    </row>
    <row r="21" ht="21" customHeight="1">
      <c r="A21" s="38" t="n"/>
      <c r="B21" s="38" t="n"/>
      <c r="C21" s="38" t="n"/>
      <c r="D21" s="40" t="n"/>
      <c r="E21" s="38" t="n"/>
      <c r="F21" s="40" t="n"/>
      <c r="G21" s="38" t="n"/>
      <c r="H21" s="40" t="n"/>
      <c r="I21" s="38" t="n"/>
      <c r="J21" s="38" t="n"/>
      <c r="K21" s="38" t="n"/>
      <c r="L21" s="40" t="n"/>
      <c r="M21" s="38" t="n"/>
    </row>
    <row r="22" ht="21" customHeight="1">
      <c r="A22" s="38" t="n"/>
      <c r="B22" s="38" t="n"/>
      <c r="C22" s="38" t="n"/>
      <c r="D22" s="40" t="n"/>
      <c r="E22" s="38" t="n"/>
      <c r="F22" s="40" t="n"/>
      <c r="G22" s="38" t="n"/>
      <c r="H22" s="40" t="n"/>
      <c r="I22" s="38" t="n"/>
      <c r="J22" s="38" t="n"/>
      <c r="K22" s="38" t="n"/>
      <c r="L22" s="40" t="n"/>
      <c r="M22" s="38" t="n"/>
    </row>
    <row r="23" ht="21" customHeight="1">
      <c r="A23" s="38" t="n"/>
      <c r="B23" s="38" t="n"/>
      <c r="C23" s="38" t="n"/>
      <c r="D23" s="40" t="n"/>
      <c r="E23" s="38" t="n"/>
      <c r="F23" s="40" t="n"/>
      <c r="G23" s="38" t="n"/>
      <c r="H23" s="40" t="n"/>
      <c r="I23" s="38" t="n"/>
      <c r="J23" s="38" t="n"/>
      <c r="K23" s="38" t="n"/>
      <c r="L23" s="40" t="n"/>
      <c r="M23" s="38" t="n"/>
    </row>
    <row r="24" ht="21" customHeight="1">
      <c r="A24" s="38" t="n"/>
      <c r="B24" s="38" t="n"/>
      <c r="C24" s="38" t="n"/>
      <c r="D24" s="40" t="n"/>
      <c r="E24" s="38" t="n"/>
      <c r="F24" s="40" t="n"/>
      <c r="G24" s="38" t="n"/>
      <c r="H24" s="40" t="n"/>
      <c r="I24" s="38" t="n"/>
      <c r="J24" s="38" t="n"/>
      <c r="K24" s="38" t="n"/>
      <c r="L24" s="40" t="n"/>
      <c r="M24" s="38" t="n"/>
    </row>
    <row r="25" ht="21" customHeight="1">
      <c r="A25" s="38" t="n"/>
      <c r="B25" s="38" t="n"/>
      <c r="C25" s="38" t="n"/>
      <c r="D25" s="40" t="n"/>
      <c r="E25" s="38" t="n"/>
      <c r="F25" s="40" t="n"/>
      <c r="G25" s="38" t="n"/>
      <c r="H25" s="40" t="n"/>
      <c r="I25" s="38" t="n"/>
      <c r="J25" s="38" t="n"/>
      <c r="K25" s="38" t="n"/>
      <c r="L25" s="40" t="n"/>
      <c r="M25" s="38" t="n"/>
    </row>
    <row r="26" ht="21" customHeight="1">
      <c r="A26" s="38" t="n"/>
      <c r="B26" s="38" t="n"/>
      <c r="C26" s="38" t="n"/>
      <c r="D26" s="40" t="n"/>
      <c r="E26" s="38" t="n"/>
      <c r="F26" s="40" t="n"/>
      <c r="G26" s="38" t="n"/>
      <c r="H26" s="40" t="n"/>
      <c r="I26" s="38" t="n"/>
      <c r="J26" s="38" t="n"/>
      <c r="K26" s="38" t="n"/>
      <c r="L26" s="40" t="n"/>
      <c r="M26" s="38" t="n"/>
    </row>
    <row r="27" ht="21" customHeight="1">
      <c r="A27" s="38" t="n"/>
      <c r="B27" s="38" t="n"/>
      <c r="C27" s="38" t="n"/>
      <c r="D27" s="40" t="n"/>
      <c r="E27" s="38" t="n"/>
      <c r="F27" s="40" t="n"/>
      <c r="G27" s="38" t="n"/>
      <c r="H27" s="40" t="n"/>
      <c r="I27" s="38" t="n"/>
      <c r="J27" s="38" t="n"/>
      <c r="K27" s="38" t="n"/>
      <c r="L27" s="40" t="n"/>
      <c r="M27" s="38" t="n"/>
    </row>
    <row r="28" ht="21" customHeight="1">
      <c r="A28" s="38" t="n"/>
      <c r="B28" s="38" t="n"/>
      <c r="C28" s="38" t="n"/>
      <c r="D28" s="40" t="n"/>
      <c r="E28" s="38" t="n"/>
      <c r="F28" s="40" t="n"/>
      <c r="G28" s="38" t="n"/>
      <c r="H28" s="40" t="n"/>
      <c r="I28" s="38" t="n"/>
      <c r="J28" s="38" t="n"/>
      <c r="K28" s="38" t="n"/>
      <c r="L28" s="40" t="n"/>
      <c r="M28" s="38" t="n"/>
    </row>
    <row r="29" ht="21" customHeight="1">
      <c r="A29" s="38" t="n"/>
      <c r="B29" s="38" t="n"/>
      <c r="C29" s="38" t="n"/>
      <c r="D29" s="40" t="n"/>
      <c r="E29" s="38" t="n"/>
      <c r="F29" s="40" t="n"/>
      <c r="G29" s="38" t="n"/>
      <c r="H29" s="40" t="n"/>
      <c r="I29" s="38" t="n"/>
      <c r="J29" s="38" t="n"/>
      <c r="K29" s="38" t="n"/>
      <c r="L29" s="40" t="n"/>
      <c r="M29" s="38" t="n"/>
    </row>
    <row r="30" ht="21" customHeight="1">
      <c r="A30" s="38" t="n"/>
      <c r="B30" s="38" t="n"/>
      <c r="C30" s="38" t="n"/>
      <c r="D30" s="40" t="n"/>
      <c r="E30" s="38" t="n"/>
      <c r="F30" s="40" t="n"/>
      <c r="G30" s="38" t="n"/>
      <c r="H30" s="40" t="n"/>
      <c r="I30" s="38" t="n"/>
      <c r="J30" s="38" t="n"/>
      <c r="K30" s="38" t="n"/>
      <c r="L30" s="40" t="n"/>
      <c r="M30" s="38" t="n"/>
    </row>
    <row r="31" ht="21" customHeight="1">
      <c r="A31" s="38" t="n"/>
      <c r="B31" s="38" t="n"/>
      <c r="C31" s="38" t="n"/>
      <c r="D31" s="40" t="n"/>
      <c r="E31" s="38" t="n"/>
      <c r="F31" s="40" t="n"/>
      <c r="G31" s="38" t="n"/>
      <c r="H31" s="40" t="n"/>
      <c r="I31" s="38" t="n"/>
      <c r="J31" s="38" t="n"/>
      <c r="K31" s="38" t="n"/>
      <c r="L31" s="40" t="n"/>
      <c r="M31" s="38" t="n"/>
    </row>
    <row r="32" ht="21" customHeight="1">
      <c r="A32" s="38" t="n"/>
      <c r="B32" s="38" t="n"/>
      <c r="C32" s="38" t="n"/>
      <c r="D32" s="40" t="n"/>
      <c r="E32" s="38" t="n"/>
      <c r="F32" s="40" t="n"/>
      <c r="G32" s="38" t="n"/>
      <c r="H32" s="40" t="n"/>
      <c r="I32" s="38" t="n"/>
      <c r="J32" s="38" t="n"/>
      <c r="K32" s="38" t="n"/>
      <c r="L32" s="40" t="n"/>
      <c r="M32" s="38" t="n"/>
    </row>
    <row r="33" ht="21" customHeight="1">
      <c r="A33" s="38" t="n"/>
      <c r="B33" s="38" t="n"/>
      <c r="C33" s="38" t="n"/>
      <c r="D33" s="40" t="n"/>
      <c r="E33" s="38" t="n"/>
      <c r="F33" s="40" t="n"/>
      <c r="G33" s="38" t="n"/>
      <c r="H33" s="40" t="n"/>
      <c r="I33" s="38" t="n"/>
      <c r="J33" s="38" t="n"/>
      <c r="K33" s="38" t="n"/>
      <c r="L33" s="40" t="n"/>
      <c r="M33" s="38" t="n"/>
    </row>
    <row r="34" ht="21" customHeight="1">
      <c r="A34" s="38" t="n"/>
      <c r="B34" s="38" t="n"/>
      <c r="C34" s="38" t="n"/>
      <c r="D34" s="40" t="n"/>
      <c r="E34" s="38" t="n"/>
      <c r="F34" s="40" t="n"/>
      <c r="G34" s="38" t="n"/>
      <c r="H34" s="40" t="n"/>
      <c r="I34" s="38" t="n"/>
      <c r="J34" s="38" t="n"/>
      <c r="K34" s="38" t="n"/>
      <c r="L34" s="40" t="n"/>
      <c r="M34" s="38" t="n"/>
    </row>
    <row r="35" ht="21" customHeight="1">
      <c r="A35" s="38" t="n"/>
      <c r="B35" s="38" t="n"/>
      <c r="C35" s="38" t="n"/>
      <c r="D35" s="40" t="n"/>
      <c r="E35" s="38" t="n"/>
      <c r="F35" s="40" t="n"/>
      <c r="G35" s="38" t="n"/>
      <c r="H35" s="40" t="n"/>
      <c r="I35" s="38" t="n"/>
      <c r="J35" s="38" t="n"/>
      <c r="K35" s="38" t="n"/>
      <c r="L35" s="40" t="n"/>
      <c r="M35" s="38" t="n"/>
    </row>
    <row r="36" ht="21" customHeight="1">
      <c r="A36" s="38" t="n"/>
      <c r="B36" s="38" t="n"/>
      <c r="C36" s="38" t="n"/>
      <c r="D36" s="40" t="n"/>
      <c r="E36" s="38" t="n"/>
      <c r="F36" s="40" t="n"/>
      <c r="G36" s="38" t="n"/>
      <c r="H36" s="40" t="n"/>
      <c r="I36" s="38" t="n"/>
      <c r="J36" s="38" t="n"/>
      <c r="K36" s="38" t="n"/>
      <c r="L36" s="40" t="n"/>
      <c r="M36" s="38" t="n"/>
    </row>
    <row r="37" ht="21" customHeight="1">
      <c r="A37" s="38" t="n"/>
      <c r="B37" s="38" t="n"/>
      <c r="C37" s="38" t="n"/>
      <c r="D37" s="40" t="n"/>
      <c r="E37" s="38" t="n"/>
      <c r="F37" s="40" t="n"/>
      <c r="G37" s="38" t="n"/>
      <c r="H37" s="40" t="n"/>
      <c r="I37" s="38" t="n"/>
      <c r="J37" s="38" t="n"/>
      <c r="K37" s="38" t="n"/>
      <c r="L37" s="40" t="n"/>
      <c r="M37" s="38" t="n"/>
    </row>
    <row r="38" ht="21" customHeight="1">
      <c r="A38" s="38" t="n"/>
      <c r="B38" s="38" t="n"/>
      <c r="C38" s="38" t="n"/>
      <c r="D38" s="40" t="n"/>
      <c r="E38" s="38" t="n"/>
      <c r="F38" s="40" t="n"/>
      <c r="G38" s="38" t="n"/>
      <c r="H38" s="40" t="n"/>
      <c r="I38" s="38" t="n"/>
      <c r="J38" s="38" t="n"/>
      <c r="K38" s="38" t="n"/>
      <c r="L38" s="40" t="n"/>
      <c r="M38" s="38" t="n"/>
    </row>
    <row r="39" ht="21" customHeight="1">
      <c r="A39" s="38" t="n"/>
      <c r="B39" s="38" t="n"/>
      <c r="C39" s="38" t="n"/>
      <c r="D39" s="40" t="n"/>
      <c r="E39" s="38" t="n"/>
      <c r="F39" s="40" t="n"/>
      <c r="G39" s="38" t="n"/>
      <c r="H39" s="40" t="n"/>
      <c r="I39" s="38" t="n"/>
      <c r="J39" s="38" t="n"/>
      <c r="K39" s="38" t="n"/>
      <c r="L39" s="40" t="n"/>
      <c r="M39" s="38" t="n"/>
    </row>
    <row r="40" ht="21" customHeight="1">
      <c r="A40" s="38" t="n"/>
      <c r="B40" s="38" t="n"/>
      <c r="C40" s="38" t="n"/>
      <c r="D40" s="40" t="n"/>
      <c r="E40" s="38" t="n"/>
      <c r="F40" s="40" t="n"/>
      <c r="G40" s="38" t="n"/>
      <c r="H40" s="40" t="n"/>
      <c r="I40" s="38" t="n"/>
      <c r="J40" s="38" t="n"/>
      <c r="K40" s="38" t="n"/>
      <c r="L40" s="40" t="n"/>
      <c r="M40" s="38" t="n"/>
    </row>
    <row r="41" ht="21" customHeight="1">
      <c r="A41" s="38" t="n"/>
      <c r="B41" s="38" t="n"/>
      <c r="C41" s="38" t="n"/>
      <c r="D41" s="40" t="n"/>
      <c r="E41" s="38" t="n"/>
      <c r="F41" s="40" t="n"/>
      <c r="G41" s="38" t="n"/>
      <c r="H41" s="40" t="n"/>
      <c r="I41" s="38" t="n"/>
      <c r="J41" s="38" t="n"/>
      <c r="K41" s="38" t="n"/>
      <c r="L41" s="40" t="n"/>
      <c r="M41" s="38" t="n"/>
    </row>
    <row r="42" ht="21" customHeight="1">
      <c r="A42" s="38" t="n"/>
      <c r="B42" s="38" t="n"/>
      <c r="C42" s="38" t="n"/>
      <c r="D42" s="40" t="n"/>
      <c r="E42" s="38" t="n"/>
      <c r="F42" s="40" t="n"/>
      <c r="G42" s="38" t="n"/>
      <c r="H42" s="40" t="n"/>
      <c r="I42" s="38" t="n"/>
      <c r="J42" s="38" t="n"/>
      <c r="K42" s="38" t="n"/>
      <c r="L42" s="40" t="n"/>
      <c r="M42" s="38" t="n"/>
    </row>
    <row r="43" ht="21" customHeight="1">
      <c r="A43" s="38" t="n"/>
      <c r="B43" s="38" t="n"/>
      <c r="C43" s="38" t="n"/>
      <c r="D43" s="40" t="n"/>
      <c r="E43" s="38" t="n"/>
      <c r="F43" s="40" t="n"/>
      <c r="G43" s="38" t="n"/>
      <c r="H43" s="40" t="n"/>
      <c r="I43" s="38" t="n"/>
      <c r="J43" s="38" t="n"/>
      <c r="K43" s="38" t="n"/>
      <c r="L43" s="40" t="n"/>
      <c r="M43" s="38" t="n"/>
    </row>
    <row r="44" ht="21" customHeight="1">
      <c r="A44" s="38" t="n"/>
      <c r="B44" s="38" t="n"/>
      <c r="C44" s="38" t="n"/>
      <c r="D44" s="40" t="n"/>
      <c r="E44" s="38" t="n"/>
      <c r="F44" s="40" t="n"/>
      <c r="G44" s="38" t="n"/>
      <c r="H44" s="40" t="n"/>
      <c r="I44" s="38" t="n"/>
      <c r="J44" s="38" t="n"/>
      <c r="K44" s="38" t="n"/>
      <c r="L44" s="40" t="n"/>
      <c r="M44" s="38" t="n"/>
    </row>
    <row r="45" ht="21" customHeight="1">
      <c r="A45" s="38" t="n"/>
      <c r="B45" s="38" t="n"/>
      <c r="C45" s="38" t="n"/>
      <c r="D45" s="40" t="n"/>
      <c r="E45" s="38" t="n"/>
      <c r="F45" s="40" t="n"/>
      <c r="G45" s="38" t="n"/>
      <c r="H45" s="40" t="n"/>
      <c r="I45" s="38" t="n"/>
      <c r="J45" s="38" t="n"/>
      <c r="K45" s="38" t="n"/>
      <c r="L45" s="40" t="n"/>
      <c r="M45" s="38" t="n"/>
    </row>
    <row r="46" ht="21" customHeight="1">
      <c r="A46" s="38" t="n"/>
      <c r="B46" s="38" t="n"/>
      <c r="C46" s="38" t="n"/>
      <c r="D46" s="40" t="n"/>
      <c r="E46" s="38" t="n"/>
      <c r="F46" s="40" t="n"/>
      <c r="G46" s="38" t="n"/>
      <c r="H46" s="40" t="n"/>
      <c r="I46" s="38" t="n"/>
      <c r="J46" s="38" t="n"/>
      <c r="K46" s="38" t="n"/>
      <c r="L46" s="40" t="n"/>
      <c r="M46" s="38" t="n"/>
    </row>
    <row r="47" ht="21" customHeight="1">
      <c r="A47" s="38" t="n"/>
      <c r="B47" s="38" t="n"/>
      <c r="C47" s="38" t="n"/>
      <c r="D47" s="40" t="n"/>
      <c r="E47" s="38" t="n"/>
      <c r="F47" s="40" t="n"/>
      <c r="G47" s="38" t="n"/>
      <c r="H47" s="40" t="n"/>
      <c r="I47" s="38" t="n"/>
      <c r="J47" s="38" t="n"/>
      <c r="K47" s="38" t="n"/>
      <c r="L47" s="40" t="n"/>
      <c r="M47" s="38" t="n"/>
    </row>
    <row r="48" ht="21" customHeight="1">
      <c r="A48" s="38" t="n"/>
      <c r="B48" s="38" t="n"/>
      <c r="C48" s="38" t="n"/>
      <c r="D48" s="40" t="n"/>
      <c r="E48" s="38" t="n"/>
      <c r="F48" s="40" t="n"/>
      <c r="G48" s="38" t="n"/>
      <c r="H48" s="40" t="n"/>
      <c r="I48" s="38" t="n"/>
      <c r="J48" s="38" t="n"/>
      <c r="K48" s="38" t="n"/>
      <c r="L48" s="40" t="n"/>
      <c r="M48" s="38" t="n"/>
    </row>
    <row r="49" ht="21" customHeight="1">
      <c r="A49" s="38" t="n"/>
      <c r="B49" s="38" t="n"/>
      <c r="C49" s="38" t="n"/>
      <c r="D49" s="40" t="n"/>
      <c r="E49" s="38" t="n"/>
      <c r="F49" s="40" t="n"/>
      <c r="G49" s="38" t="n"/>
      <c r="H49" s="40" t="n"/>
      <c r="I49" s="38" t="n"/>
      <c r="J49" s="38" t="n"/>
      <c r="K49" s="38" t="n"/>
      <c r="L49" s="40" t="n"/>
      <c r="M49" s="38" t="n"/>
    </row>
    <row r="50" ht="21" customHeight="1">
      <c r="A50" s="38" t="n"/>
      <c r="B50" s="38" t="n"/>
      <c r="C50" s="38" t="n"/>
      <c r="D50" s="40" t="n"/>
      <c r="E50" s="38" t="n"/>
      <c r="F50" s="40" t="n"/>
      <c r="G50" s="38" t="n"/>
      <c r="H50" s="40" t="n"/>
      <c r="I50" s="38" t="n"/>
      <c r="J50" s="38" t="n"/>
      <c r="K50" s="38" t="n"/>
      <c r="L50" s="40" t="n"/>
      <c r="M50" s="38" t="n"/>
    </row>
    <row r="51" ht="21" customHeight="1">
      <c r="A51" s="38" t="n"/>
      <c r="B51" s="38" t="n"/>
      <c r="C51" s="38" t="n"/>
      <c r="D51" s="40" t="n"/>
      <c r="E51" s="38" t="n"/>
      <c r="F51" s="40" t="n"/>
      <c r="G51" s="38" t="n"/>
      <c r="H51" s="40" t="n"/>
      <c r="I51" s="38" t="n"/>
      <c r="J51" s="38" t="n"/>
      <c r="K51" s="38" t="n"/>
      <c r="L51" s="40" t="n"/>
      <c r="M51" s="38" t="n"/>
    </row>
    <row r="52" ht="21" customHeight="1">
      <c r="A52" s="38" t="n"/>
      <c r="B52" s="38" t="n"/>
      <c r="C52" s="38" t="n"/>
      <c r="D52" s="40" t="n"/>
      <c r="E52" s="38" t="n"/>
      <c r="F52" s="40" t="n"/>
      <c r="G52" s="38" t="n"/>
      <c r="H52" s="40" t="n"/>
      <c r="I52" s="38" t="n"/>
      <c r="J52" s="38" t="n"/>
      <c r="K52" s="38" t="n"/>
      <c r="L52" s="40" t="n"/>
      <c r="M52" s="38" t="n"/>
    </row>
    <row r="53" ht="21" customHeight="1">
      <c r="A53" s="38" t="n"/>
      <c r="B53" s="38" t="n"/>
      <c r="C53" s="38" t="n"/>
      <c r="D53" s="40" t="n"/>
      <c r="E53" s="38" t="n"/>
      <c r="F53" s="40" t="n"/>
      <c r="G53" s="38" t="n"/>
      <c r="H53" s="40" t="n"/>
      <c r="I53" s="38" t="n"/>
      <c r="J53" s="38" t="n"/>
      <c r="K53" s="38" t="n"/>
      <c r="L53" s="40" t="n"/>
      <c r="M53" s="38" t="n"/>
    </row>
    <row r="54" ht="21" customHeight="1">
      <c r="A54" s="38" t="n"/>
      <c r="B54" s="38" t="n"/>
      <c r="C54" s="38" t="n"/>
      <c r="D54" s="40" t="n"/>
      <c r="E54" s="38" t="n"/>
      <c r="F54" s="40" t="n"/>
      <c r="G54" s="38" t="n"/>
      <c r="H54" s="40" t="n"/>
      <c r="I54" s="38" t="n"/>
      <c r="J54" s="38" t="n"/>
      <c r="K54" s="38" t="n"/>
      <c r="L54" s="40" t="n"/>
      <c r="M54" s="38" t="n"/>
    </row>
    <row r="55" ht="21" customHeight="1">
      <c r="A55" s="38" t="n"/>
      <c r="B55" s="38" t="n"/>
      <c r="C55" s="38" t="n"/>
      <c r="D55" s="40" t="n"/>
      <c r="E55" s="38" t="n"/>
      <c r="F55" s="40" t="n"/>
      <c r="G55" s="38" t="n"/>
      <c r="H55" s="40" t="n"/>
      <c r="I55" s="38" t="n"/>
      <c r="J55" s="38" t="n"/>
      <c r="K55" s="38" t="n"/>
      <c r="L55" s="40" t="n"/>
      <c r="M55" s="38" t="n"/>
    </row>
    <row r="56" ht="21" customHeight="1">
      <c r="A56" s="38" t="n"/>
      <c r="B56" s="38" t="n"/>
      <c r="C56" s="38" t="n"/>
      <c r="D56" s="40" t="n"/>
      <c r="E56" s="38" t="n"/>
      <c r="F56" s="40" t="n"/>
      <c r="G56" s="38" t="n"/>
      <c r="H56" s="40" t="n"/>
      <c r="I56" s="38" t="n"/>
      <c r="J56" s="38" t="n"/>
      <c r="K56" s="38" t="n"/>
      <c r="L56" s="40" t="n"/>
      <c r="M56" s="38" t="n"/>
    </row>
    <row r="57" ht="21" customHeight="1">
      <c r="A57" s="38" t="n"/>
      <c r="B57" s="38" t="n"/>
      <c r="C57" s="38" t="n"/>
      <c r="D57" s="40" t="n"/>
      <c r="E57" s="38" t="n"/>
      <c r="F57" s="40" t="n"/>
      <c r="G57" s="38" t="n"/>
      <c r="H57" s="40" t="n"/>
      <c r="I57" s="38" t="n"/>
      <c r="J57" s="38" t="n"/>
      <c r="K57" s="38" t="n"/>
      <c r="L57" s="40" t="n"/>
      <c r="M57" s="38" t="n"/>
    </row>
    <row r="58" ht="21" customHeight="1">
      <c r="A58" s="38" t="n"/>
      <c r="B58" s="38" t="n"/>
      <c r="C58" s="38" t="n"/>
      <c r="D58" s="40" t="n"/>
      <c r="E58" s="38" t="n"/>
      <c r="F58" s="40" t="n"/>
      <c r="G58" s="38" t="n"/>
      <c r="H58" s="40" t="n"/>
      <c r="I58" s="38" t="n"/>
      <c r="J58" s="38" t="n"/>
      <c r="K58" s="38" t="n"/>
      <c r="L58" s="40" t="n"/>
      <c r="M58" s="38" t="n"/>
    </row>
    <row r="59" ht="21" customHeight="1">
      <c r="A59" s="38" t="n"/>
      <c r="B59" s="38" t="n"/>
      <c r="C59" s="38" t="n"/>
      <c r="D59" s="40" t="n"/>
      <c r="E59" s="38" t="n"/>
      <c r="F59" s="40" t="n"/>
      <c r="G59" s="38" t="n"/>
      <c r="H59" s="40" t="n"/>
      <c r="I59" s="38" t="n"/>
      <c r="J59" s="38" t="n"/>
      <c r="K59" s="38" t="n"/>
      <c r="L59" s="40" t="n"/>
      <c r="M59" s="38" t="n"/>
    </row>
    <row r="60" ht="21" customHeight="1">
      <c r="A60" s="38" t="n"/>
      <c r="B60" s="38" t="n"/>
      <c r="C60" s="38" t="n"/>
      <c r="D60" s="40" t="n"/>
      <c r="E60" s="38" t="n"/>
      <c r="F60" s="40" t="n"/>
      <c r="G60" s="38" t="n"/>
      <c r="H60" s="40" t="n"/>
      <c r="I60" s="38" t="n"/>
      <c r="J60" s="38" t="n"/>
      <c r="K60" s="38" t="n"/>
      <c r="L60" s="40" t="n"/>
      <c r="M60" s="38" t="n"/>
    </row>
    <row r="61" ht="21" customHeight="1">
      <c r="A61" s="38" t="n"/>
      <c r="B61" s="38" t="n"/>
      <c r="C61" s="38" t="n"/>
      <c r="D61" s="40" t="n"/>
      <c r="E61" s="38" t="n"/>
      <c r="F61" s="40" t="n"/>
      <c r="G61" s="38" t="n"/>
      <c r="H61" s="40" t="n"/>
      <c r="I61" s="38" t="n"/>
      <c r="J61" s="38" t="n"/>
      <c r="K61" s="38" t="n"/>
      <c r="L61" s="40" t="n"/>
      <c r="M61" s="38" t="n"/>
    </row>
    <row r="62" ht="21" customHeight="1">
      <c r="A62" s="38" t="n"/>
      <c r="B62" s="38" t="n"/>
      <c r="C62" s="38" t="n"/>
      <c r="D62" s="40" t="n"/>
      <c r="E62" s="38" t="n"/>
      <c r="F62" s="40" t="n"/>
      <c r="G62" s="38" t="n"/>
      <c r="H62" s="40" t="n"/>
      <c r="I62" s="38" t="n"/>
      <c r="J62" s="38" t="n"/>
      <c r="K62" s="38" t="n"/>
      <c r="L62" s="40" t="n"/>
      <c r="M62" s="38" t="n"/>
    </row>
    <row r="63" ht="21" customHeight="1">
      <c r="A63" s="38" t="n"/>
      <c r="B63" s="38" t="n"/>
      <c r="C63" s="38" t="n"/>
      <c r="D63" s="40" t="n"/>
      <c r="E63" s="38" t="n"/>
      <c r="F63" s="40" t="n"/>
      <c r="G63" s="38" t="n"/>
      <c r="H63" s="40" t="n"/>
      <c r="I63" s="38" t="n"/>
      <c r="J63" s="38" t="n"/>
      <c r="K63" s="38" t="n"/>
      <c r="L63" s="40" t="n"/>
      <c r="M63" s="38" t="n"/>
    </row>
    <row r="64" ht="21" customHeight="1">
      <c r="A64" s="38" t="n"/>
      <c r="B64" s="38" t="n"/>
      <c r="C64" s="38" t="n"/>
      <c r="D64" s="40" t="n"/>
      <c r="E64" s="38" t="n"/>
      <c r="F64" s="40" t="n"/>
      <c r="G64" s="38" t="n"/>
      <c r="H64" s="40" t="n"/>
      <c r="I64" s="38" t="n"/>
      <c r="J64" s="38" t="n"/>
      <c r="K64" s="38" t="n"/>
      <c r="L64" s="40" t="n"/>
      <c r="M64" s="38" t="n"/>
    </row>
    <row r="65" ht="21" customHeight="1">
      <c r="A65" s="38" t="n"/>
      <c r="B65" s="38" t="n"/>
      <c r="C65" s="38" t="n"/>
      <c r="D65" s="40" t="n"/>
      <c r="E65" s="38" t="n"/>
      <c r="F65" s="40" t="n"/>
      <c r="G65" s="38" t="n"/>
      <c r="H65" s="40" t="n"/>
      <c r="I65" s="38" t="n"/>
      <c r="J65" s="38" t="n"/>
      <c r="K65" s="38" t="n"/>
      <c r="L65" s="40" t="n"/>
      <c r="M65" s="38" t="n"/>
    </row>
    <row r="66" ht="21" customHeight="1">
      <c r="A66" s="38" t="n"/>
      <c r="B66" s="38" t="n"/>
      <c r="C66" s="38" t="n"/>
      <c r="D66" s="40" t="n"/>
      <c r="E66" s="38" t="n"/>
      <c r="F66" s="40" t="n"/>
      <c r="G66" s="38" t="n"/>
      <c r="H66" s="40" t="n"/>
      <c r="I66" s="38" t="n"/>
      <c r="J66" s="38" t="n"/>
      <c r="K66" s="38" t="n"/>
      <c r="L66" s="40" t="n"/>
      <c r="M66" s="38" t="n"/>
    </row>
    <row r="67" ht="21" customHeight="1">
      <c r="A67" s="38" t="n"/>
      <c r="B67" s="38" t="n"/>
      <c r="C67" s="38" t="n"/>
      <c r="D67" s="40" t="n"/>
      <c r="E67" s="38" t="n"/>
      <c r="F67" s="40" t="n"/>
      <c r="G67" s="38" t="n"/>
      <c r="H67" s="40" t="n"/>
      <c r="I67" s="38" t="n"/>
      <c r="J67" s="38" t="n"/>
      <c r="K67" s="38" t="n"/>
      <c r="L67" s="40" t="n"/>
      <c r="M67" s="38" t="n"/>
    </row>
    <row r="68" ht="21" customHeight="1">
      <c r="A68" s="38" t="n"/>
      <c r="B68" s="38" t="n"/>
      <c r="C68" s="38" t="n"/>
      <c r="D68" s="40" t="n"/>
      <c r="E68" s="38" t="n"/>
      <c r="F68" s="40" t="n"/>
      <c r="G68" s="38" t="n"/>
      <c r="H68" s="40" t="n"/>
      <c r="I68" s="38" t="n"/>
      <c r="J68" s="38" t="n"/>
      <c r="K68" s="38" t="n"/>
      <c r="L68" s="40" t="n"/>
      <c r="M68" s="38" t="n"/>
    </row>
    <row r="69" ht="21" customHeight="1">
      <c r="A69" s="38" t="n"/>
      <c r="B69" s="38" t="n"/>
      <c r="C69" s="38" t="n"/>
      <c r="D69" s="40" t="n"/>
      <c r="E69" s="38" t="n"/>
      <c r="F69" s="40" t="n"/>
      <c r="G69" s="38" t="n"/>
      <c r="H69" s="40" t="n"/>
      <c r="I69" s="38" t="n"/>
      <c r="J69" s="38" t="n"/>
      <c r="K69" s="38" t="n"/>
      <c r="L69" s="40" t="n"/>
      <c r="M69" s="38" t="n"/>
    </row>
    <row r="70" ht="21" customHeight="1">
      <c r="A70" s="38" t="n"/>
      <c r="B70" s="38" t="n"/>
      <c r="C70" s="38" t="n"/>
      <c r="D70" s="40" t="n"/>
      <c r="E70" s="38" t="n"/>
      <c r="F70" s="40" t="n"/>
      <c r="G70" s="38" t="n"/>
      <c r="H70" s="40" t="n"/>
      <c r="I70" s="38" t="n"/>
      <c r="J70" s="38" t="n"/>
      <c r="K70" s="38" t="n"/>
      <c r="L70" s="40" t="n"/>
      <c r="M70" s="38" t="n"/>
    </row>
    <row r="71" ht="21" customHeight="1">
      <c r="A71" s="38" t="n"/>
      <c r="B71" s="38" t="n"/>
      <c r="C71" s="38" t="n"/>
      <c r="D71" s="40" t="n"/>
      <c r="E71" s="38" t="n"/>
      <c r="F71" s="40" t="n"/>
      <c r="G71" s="38" t="n"/>
      <c r="H71" s="40" t="n"/>
      <c r="I71" s="38" t="n"/>
      <c r="J71" s="38" t="n"/>
      <c r="K71" s="38" t="n"/>
      <c r="L71" s="40" t="n"/>
      <c r="M71" s="38" t="n"/>
    </row>
    <row r="72" ht="21" customHeight="1">
      <c r="A72" s="38" t="n"/>
      <c r="B72" s="38" t="n"/>
      <c r="C72" s="38" t="n"/>
      <c r="D72" s="40" t="n"/>
      <c r="E72" s="38" t="n"/>
      <c r="F72" s="40" t="n"/>
      <c r="G72" s="38" t="n"/>
      <c r="H72" s="40" t="n"/>
      <c r="I72" s="38" t="n"/>
      <c r="J72" s="38" t="n"/>
      <c r="K72" s="38" t="n"/>
      <c r="L72" s="40" t="n"/>
      <c r="M72" s="38" t="n"/>
    </row>
    <row r="73" ht="21" customHeight="1">
      <c r="A73" s="38" t="n"/>
      <c r="B73" s="38" t="n"/>
      <c r="C73" s="38" t="n"/>
      <c r="D73" s="40" t="n"/>
      <c r="E73" s="38" t="n"/>
      <c r="F73" s="40" t="n"/>
      <c r="G73" s="38" t="n"/>
      <c r="H73" s="40" t="n"/>
      <c r="I73" s="38" t="n"/>
      <c r="J73" s="38" t="n"/>
      <c r="K73" s="38" t="n"/>
      <c r="L73" s="40" t="n"/>
      <c r="M73" s="38" t="n"/>
    </row>
    <row r="74" ht="21" customHeight="1">
      <c r="A74" s="38" t="n"/>
      <c r="B74" s="38" t="n"/>
      <c r="C74" s="38" t="n"/>
      <c r="D74" s="40" t="n"/>
      <c r="E74" s="38" t="n"/>
      <c r="F74" s="40" t="n"/>
      <c r="G74" s="38" t="n"/>
      <c r="H74" s="40" t="n"/>
      <c r="I74" s="38" t="n"/>
      <c r="J74" s="38" t="n"/>
      <c r="K74" s="38" t="n"/>
      <c r="L74" s="40" t="n"/>
      <c r="M74" s="38" t="n"/>
    </row>
    <row r="75" ht="21" customHeight="1">
      <c r="A75" s="38" t="n"/>
      <c r="B75" s="38" t="n"/>
      <c r="C75" s="38" t="n"/>
      <c r="D75" s="40" t="n"/>
      <c r="E75" s="38" t="n"/>
      <c r="F75" s="40" t="n"/>
      <c r="G75" s="38" t="n"/>
      <c r="H75" s="40" t="n"/>
      <c r="I75" s="38" t="n"/>
      <c r="J75" s="38" t="n"/>
      <c r="K75" s="38" t="n"/>
      <c r="L75" s="40" t="n"/>
      <c r="M75" s="38" t="n"/>
    </row>
    <row r="76" ht="21" customHeight="1">
      <c r="A76" s="38" t="n"/>
      <c r="B76" s="38" t="n"/>
      <c r="C76" s="38" t="n"/>
      <c r="D76" s="40" t="n"/>
      <c r="E76" s="38" t="n"/>
      <c r="F76" s="40" t="n"/>
      <c r="G76" s="38" t="n"/>
      <c r="H76" s="40" t="n"/>
      <c r="I76" s="38" t="n"/>
      <c r="J76" s="38" t="n"/>
      <c r="K76" s="38" t="n"/>
      <c r="L76" s="40" t="n"/>
      <c r="M76" s="38" t="n"/>
    </row>
    <row r="77" ht="21" customHeight="1">
      <c r="A77" s="38" t="n"/>
      <c r="B77" s="38" t="n"/>
      <c r="C77" s="38" t="n"/>
      <c r="D77" s="40" t="n"/>
      <c r="E77" s="38" t="n"/>
      <c r="F77" s="40" t="n"/>
      <c r="G77" s="38" t="n"/>
      <c r="H77" s="40" t="n"/>
      <c r="I77" s="38" t="n"/>
      <c r="J77" s="38" t="n"/>
      <c r="K77" s="38" t="n"/>
      <c r="L77" s="40" t="n"/>
      <c r="M77" s="38" t="n"/>
    </row>
    <row r="78" ht="21" customHeight="1">
      <c r="A78" s="38" t="n"/>
      <c r="B78" s="38" t="n"/>
      <c r="C78" s="38" t="n"/>
      <c r="D78" s="40" t="n"/>
      <c r="E78" s="38" t="n"/>
      <c r="F78" s="40" t="n"/>
      <c r="G78" s="38" t="n"/>
      <c r="H78" s="40" t="n"/>
      <c r="I78" s="38" t="n"/>
      <c r="J78" s="38" t="n"/>
      <c r="K78" s="38" t="n"/>
      <c r="L78" s="40" t="n"/>
      <c r="M78" s="38" t="n"/>
    </row>
    <row r="79" ht="21" customHeight="1">
      <c r="A79" s="38" t="n"/>
      <c r="B79" s="38" t="n"/>
      <c r="C79" s="38" t="n"/>
      <c r="D79" s="40" t="n"/>
      <c r="E79" s="38" t="n"/>
      <c r="F79" s="40" t="n"/>
      <c r="G79" s="38" t="n"/>
      <c r="H79" s="40" t="n"/>
      <c r="I79" s="38" t="n"/>
      <c r="J79" s="38" t="n"/>
      <c r="K79" s="38" t="n"/>
      <c r="L79" s="40" t="n"/>
      <c r="M79" s="38" t="n"/>
    </row>
    <row r="80" ht="21" customHeight="1">
      <c r="A80" s="38" t="n"/>
      <c r="B80" s="38" t="n"/>
      <c r="C80" s="38" t="n"/>
      <c r="D80" s="40" t="n"/>
      <c r="E80" s="38" t="n"/>
      <c r="F80" s="40" t="n"/>
      <c r="G80" s="38" t="n"/>
      <c r="H80" s="40" t="n"/>
      <c r="I80" s="38" t="n"/>
      <c r="J80" s="38" t="n"/>
      <c r="K80" s="38" t="n"/>
      <c r="L80" s="40" t="n"/>
      <c r="M80" s="38" t="n"/>
    </row>
    <row r="81" ht="21" customHeight="1">
      <c r="A81" s="38" t="n"/>
      <c r="B81" s="38" t="n"/>
      <c r="C81" s="38" t="n"/>
      <c r="D81" s="40" t="n"/>
      <c r="E81" s="38" t="n"/>
      <c r="F81" s="40" t="n"/>
      <c r="G81" s="38" t="n"/>
      <c r="H81" s="40" t="n"/>
      <c r="I81" s="38" t="n"/>
      <c r="J81" s="38" t="n"/>
      <c r="K81" s="38" t="n"/>
      <c r="L81" s="40" t="n"/>
      <c r="M81" s="38" t="n"/>
    </row>
    <row r="82" ht="21" customHeight="1">
      <c r="A82" s="38" t="n"/>
      <c r="B82" s="38" t="n"/>
      <c r="C82" s="38" t="n"/>
      <c r="D82" s="40" t="n"/>
      <c r="E82" s="38" t="n"/>
      <c r="F82" s="40" t="n"/>
      <c r="G82" s="38" t="n"/>
      <c r="H82" s="40" t="n"/>
      <c r="I82" s="38" t="n"/>
      <c r="J82" s="38" t="n"/>
      <c r="K82" s="38" t="n"/>
      <c r="L82" s="40" t="n"/>
      <c r="M82" s="38" t="n"/>
    </row>
    <row r="83" ht="21" customHeight="1">
      <c r="A83" s="38" t="n"/>
      <c r="B83" s="38" t="n"/>
      <c r="C83" s="38" t="n"/>
      <c r="D83" s="40" t="n"/>
      <c r="E83" s="38" t="n"/>
      <c r="F83" s="40" t="n"/>
      <c r="G83" s="38" t="n"/>
      <c r="H83" s="40" t="n"/>
      <c r="I83" s="38" t="n"/>
      <c r="J83" s="38" t="n"/>
      <c r="K83" s="38" t="n"/>
      <c r="L83" s="40" t="n"/>
      <c r="M83" s="38" t="n"/>
    </row>
    <row r="84" ht="21" customHeight="1">
      <c r="A84" s="38" t="n"/>
      <c r="B84" s="38" t="n"/>
      <c r="C84" s="38" t="n"/>
      <c r="D84" s="40" t="n"/>
      <c r="E84" s="38" t="n"/>
      <c r="F84" s="40" t="n"/>
      <c r="G84" s="38" t="n"/>
      <c r="H84" s="40" t="n"/>
      <c r="I84" s="38" t="n"/>
      <c r="J84" s="38" t="n"/>
      <c r="K84" s="38" t="n"/>
      <c r="L84" s="40" t="n"/>
      <c r="M84" s="38" t="n"/>
    </row>
    <row r="85" ht="21" customHeight="1">
      <c r="A85" s="38" t="n"/>
      <c r="B85" s="38" t="n"/>
      <c r="C85" s="38" t="n"/>
      <c r="D85" s="40" t="n"/>
      <c r="E85" s="38" t="n"/>
      <c r="F85" s="40" t="n"/>
      <c r="G85" s="38" t="n"/>
      <c r="H85" s="40" t="n"/>
      <c r="I85" s="38" t="n"/>
      <c r="J85" s="38" t="n"/>
      <c r="K85" s="38" t="n"/>
      <c r="L85" s="40" t="n"/>
      <c r="M85" s="38" t="n"/>
    </row>
    <row r="86" ht="21" customHeight="1">
      <c r="A86" s="38" t="n"/>
      <c r="B86" s="38" t="n"/>
      <c r="C86" s="38" t="n"/>
      <c r="D86" s="40" t="n"/>
      <c r="E86" s="38" t="n"/>
      <c r="F86" s="40" t="n"/>
      <c r="G86" s="38" t="n"/>
      <c r="H86" s="40" t="n"/>
      <c r="I86" s="38" t="n"/>
      <c r="J86" s="38" t="n"/>
      <c r="K86" s="38" t="n"/>
      <c r="L86" s="40" t="n"/>
      <c r="M86" s="38" t="n"/>
    </row>
    <row r="87" ht="21" customHeight="1">
      <c r="A87" s="38" t="n"/>
      <c r="B87" s="38" t="n"/>
      <c r="C87" s="38" t="n"/>
      <c r="D87" s="40" t="n"/>
      <c r="E87" s="38" t="n"/>
      <c r="F87" s="40" t="n"/>
      <c r="G87" s="38" t="n"/>
      <c r="H87" s="40" t="n"/>
      <c r="I87" s="38" t="n"/>
      <c r="J87" s="38" t="n"/>
      <c r="K87" s="38" t="n"/>
      <c r="L87" s="40" t="n"/>
      <c r="M87" s="38" t="n"/>
    </row>
    <row r="88" ht="21" customHeight="1">
      <c r="A88" s="38" t="n"/>
      <c r="B88" s="38" t="n"/>
      <c r="C88" s="38" t="n"/>
      <c r="D88" s="40" t="n"/>
      <c r="E88" s="38" t="n"/>
      <c r="F88" s="40" t="n"/>
      <c r="G88" s="38" t="n"/>
      <c r="H88" s="40" t="n"/>
      <c r="I88" s="38" t="n"/>
      <c r="J88" s="38" t="n"/>
      <c r="K88" s="38" t="n"/>
      <c r="L88" s="40" t="n"/>
      <c r="M88" s="38" t="n"/>
    </row>
    <row r="89" ht="21" customHeight="1">
      <c r="A89" s="38" t="n"/>
      <c r="B89" s="38" t="n"/>
      <c r="C89" s="38" t="n"/>
      <c r="D89" s="40" t="n"/>
      <c r="E89" s="38" t="n"/>
      <c r="F89" s="40" t="n"/>
      <c r="G89" s="38" t="n"/>
      <c r="H89" s="40" t="n"/>
      <c r="I89" s="38" t="n"/>
      <c r="J89" s="38" t="n"/>
      <c r="K89" s="38" t="n"/>
      <c r="L89" s="40" t="n"/>
      <c r="M89" s="38" t="n"/>
    </row>
    <row r="90" ht="21" customHeight="1">
      <c r="A90" s="38" t="n"/>
      <c r="B90" s="38" t="n"/>
      <c r="C90" s="38" t="n"/>
      <c r="D90" s="40" t="n"/>
      <c r="E90" s="38" t="n"/>
      <c r="F90" s="40" t="n"/>
      <c r="G90" s="38" t="n"/>
      <c r="H90" s="40" t="n"/>
      <c r="I90" s="38" t="n"/>
      <c r="J90" s="38" t="n"/>
      <c r="K90" s="38" t="n"/>
      <c r="L90" s="40" t="n"/>
      <c r="M90" s="38" t="n"/>
    </row>
    <row r="91" ht="21" customHeight="1">
      <c r="A91" s="38" t="n"/>
      <c r="B91" s="38" t="n"/>
      <c r="C91" s="38" t="n"/>
      <c r="D91" s="40" t="n"/>
      <c r="E91" s="38" t="n"/>
      <c r="F91" s="40" t="n"/>
      <c r="G91" s="38" t="n"/>
      <c r="H91" s="40" t="n"/>
      <c r="I91" s="38" t="n"/>
      <c r="J91" s="38" t="n"/>
      <c r="K91" s="38" t="n"/>
      <c r="L91" s="40" t="n"/>
      <c r="M91" s="38" t="n"/>
    </row>
    <row r="92" ht="21" customHeight="1">
      <c r="A92" s="38" t="n"/>
      <c r="B92" s="38" t="n"/>
      <c r="C92" s="38" t="n"/>
      <c r="D92" s="40" t="n"/>
      <c r="E92" s="38" t="n"/>
      <c r="F92" s="40" t="n"/>
      <c r="G92" s="38" t="n"/>
      <c r="H92" s="40" t="n"/>
      <c r="I92" s="38" t="n"/>
      <c r="J92" s="38" t="n"/>
      <c r="K92" s="38" t="n"/>
      <c r="L92" s="40" t="n"/>
      <c r="M92" s="38" t="n"/>
    </row>
    <row r="93" ht="21" customHeight="1">
      <c r="A93" s="38" t="n"/>
      <c r="B93" s="38" t="n"/>
      <c r="C93" s="38" t="n"/>
      <c r="D93" s="40" t="n"/>
      <c r="E93" s="38" t="n"/>
      <c r="F93" s="40" t="n"/>
      <c r="G93" s="38" t="n"/>
      <c r="H93" s="40" t="n"/>
      <c r="I93" s="38" t="n"/>
      <c r="J93" s="38" t="n"/>
      <c r="K93" s="38" t="n"/>
      <c r="L93" s="40" t="n"/>
      <c r="M93" s="38" t="n"/>
    </row>
    <row r="94" ht="21" customHeight="1">
      <c r="A94" s="38" t="n"/>
      <c r="B94" s="38" t="n"/>
      <c r="C94" s="38" t="n"/>
      <c r="D94" s="40" t="n"/>
      <c r="E94" s="38" t="n"/>
      <c r="F94" s="40" t="n"/>
      <c r="G94" s="38" t="n"/>
      <c r="H94" s="40" t="n"/>
      <c r="I94" s="38" t="n"/>
      <c r="J94" s="38" t="n"/>
      <c r="K94" s="38" t="n"/>
      <c r="L94" s="40" t="n"/>
      <c r="M94" s="38" t="n"/>
    </row>
    <row r="95" ht="21" customHeight="1">
      <c r="A95" s="38" t="n"/>
      <c r="B95" s="38" t="n"/>
      <c r="C95" s="38" t="n"/>
      <c r="D95" s="40" t="n"/>
      <c r="E95" s="38" t="n"/>
      <c r="F95" s="40" t="n"/>
      <c r="G95" s="38" t="n"/>
      <c r="H95" s="40" t="n"/>
      <c r="I95" s="38" t="n"/>
      <c r="J95" s="38" t="n"/>
      <c r="K95" s="38" t="n"/>
      <c r="L95" s="40" t="n"/>
      <c r="M95" s="38" t="n"/>
    </row>
    <row r="96" ht="21" customHeight="1">
      <c r="A96" s="38" t="n"/>
      <c r="B96" s="38" t="n"/>
      <c r="C96" s="38" t="n"/>
      <c r="D96" s="40" t="n"/>
      <c r="E96" s="38" t="n"/>
      <c r="F96" s="40" t="n"/>
      <c r="G96" s="38" t="n"/>
      <c r="H96" s="40" t="n"/>
      <c r="I96" s="38" t="n"/>
      <c r="J96" s="38" t="n"/>
      <c r="K96" s="38" t="n"/>
      <c r="L96" s="40" t="n"/>
      <c r="M96" s="38" t="n"/>
    </row>
    <row r="97" ht="21" customHeight="1">
      <c r="A97" s="38" t="n"/>
      <c r="B97" s="38" t="n"/>
      <c r="C97" s="38" t="n"/>
      <c r="D97" s="40" t="n"/>
      <c r="E97" s="38" t="n"/>
      <c r="F97" s="40" t="n"/>
      <c r="G97" s="38" t="n"/>
      <c r="H97" s="40" t="n"/>
      <c r="I97" s="38" t="n"/>
      <c r="J97" s="38" t="n"/>
      <c r="K97" s="38" t="n"/>
      <c r="L97" s="40" t="n"/>
      <c r="M97" s="38" t="n"/>
    </row>
    <row r="98" ht="21" customHeight="1">
      <c r="A98" s="38" t="n"/>
      <c r="B98" s="38" t="n"/>
      <c r="C98" s="38" t="n"/>
      <c r="D98" s="40" t="n"/>
      <c r="E98" s="38" t="n"/>
      <c r="F98" s="40" t="n"/>
      <c r="G98" s="38" t="n"/>
      <c r="H98" s="40" t="n"/>
      <c r="I98" s="38" t="n"/>
      <c r="J98" s="38" t="n"/>
      <c r="K98" s="38" t="n"/>
      <c r="L98" s="40" t="n"/>
      <c r="M98" s="38" t="n"/>
    </row>
    <row r="99" ht="21" customHeight="1">
      <c r="A99" s="38" t="n"/>
      <c r="B99" s="38" t="n"/>
      <c r="C99" s="38" t="n"/>
      <c r="D99" s="40" t="n"/>
      <c r="E99" s="38" t="n"/>
      <c r="F99" s="40" t="n"/>
      <c r="G99" s="38" t="n"/>
      <c r="H99" s="40" t="n"/>
      <c r="I99" s="38" t="n"/>
      <c r="J99" s="38" t="n"/>
      <c r="K99" s="38" t="n"/>
      <c r="L99" s="40" t="n"/>
      <c r="M99" s="38" t="n"/>
    </row>
    <row r="100" ht="21" customHeight="1">
      <c r="A100" s="38" t="n"/>
      <c r="B100" s="38" t="n"/>
      <c r="C100" s="38" t="n"/>
      <c r="D100" s="40" t="n"/>
      <c r="E100" s="38" t="n"/>
      <c r="F100" s="40" t="n"/>
      <c r="G100" s="38" t="n"/>
      <c r="H100" s="40" t="n"/>
      <c r="I100" s="38" t="n"/>
      <c r="J100" s="38" t="n"/>
      <c r="K100" s="38" t="n"/>
      <c r="L100" s="40" t="n"/>
      <c r="M100" s="38" t="n"/>
    </row>
    <row r="101" ht="21" customHeight="1">
      <c r="A101" s="38" t="n"/>
      <c r="B101" s="38" t="n"/>
      <c r="C101" s="38" t="n"/>
      <c r="D101" s="40" t="n"/>
      <c r="E101" s="38" t="n"/>
      <c r="F101" s="40" t="n"/>
      <c r="G101" s="38" t="n"/>
      <c r="H101" s="40" t="n"/>
      <c r="I101" s="38" t="n"/>
      <c r="J101" s="38" t="n"/>
      <c r="K101" s="38" t="n"/>
      <c r="L101" s="40" t="n"/>
      <c r="M101" s="38" t="n"/>
    </row>
    <row r="102" ht="21" customHeight="1">
      <c r="A102" s="38" t="n"/>
      <c r="B102" s="38" t="n"/>
      <c r="C102" s="38" t="n"/>
      <c r="D102" s="40" t="n"/>
      <c r="E102" s="38" t="n"/>
      <c r="F102" s="40" t="n"/>
      <c r="G102" s="38" t="n"/>
      <c r="H102" s="40" t="n"/>
      <c r="I102" s="38" t="n"/>
      <c r="J102" s="38" t="n"/>
      <c r="K102" s="38" t="n"/>
      <c r="L102" s="40" t="n"/>
      <c r="M102" s="38" t="n"/>
    </row>
    <row r="103" ht="21" customHeight="1">
      <c r="A103" s="38" t="n"/>
      <c r="B103" s="38" t="n"/>
      <c r="C103" s="38" t="n"/>
      <c r="D103" s="40" t="n"/>
      <c r="E103" s="38" t="n"/>
      <c r="F103" s="40" t="n"/>
      <c r="G103" s="38" t="n"/>
      <c r="H103" s="40" t="n"/>
      <c r="I103" s="38" t="n"/>
      <c r="J103" s="38" t="n"/>
      <c r="K103" s="38" t="n"/>
      <c r="L103" s="40" t="n"/>
      <c r="M103" s="38" t="n"/>
    </row>
    <row r="104" ht="21" customHeight="1">
      <c r="A104" s="38" t="n"/>
      <c r="B104" s="38" t="n"/>
      <c r="C104" s="38" t="n"/>
      <c r="D104" s="40" t="n"/>
      <c r="E104" s="38" t="n"/>
      <c r="F104" s="40" t="n"/>
      <c r="G104" s="38" t="n"/>
      <c r="H104" s="40" t="n"/>
      <c r="I104" s="38" t="n"/>
      <c r="J104" s="38" t="n"/>
      <c r="K104" s="38" t="n"/>
      <c r="L104" s="40" t="n"/>
      <c r="M104" s="38" t="n"/>
    </row>
    <row r="105" ht="21" customHeight="1">
      <c r="A105" s="38" t="n"/>
      <c r="B105" s="38" t="n"/>
      <c r="C105" s="38" t="n"/>
      <c r="D105" s="40" t="n"/>
      <c r="E105" s="38" t="n"/>
      <c r="F105" s="40" t="n"/>
      <c r="G105" s="38" t="n"/>
      <c r="H105" s="40" t="n"/>
      <c r="I105" s="38" t="n"/>
      <c r="J105" s="38" t="n"/>
      <c r="K105" s="38" t="n"/>
      <c r="L105" s="40" t="n"/>
      <c r="M105" s="38" t="n"/>
    </row>
    <row r="106" ht="21" customHeight="1">
      <c r="A106" s="38" t="n"/>
      <c r="B106" s="38" t="n"/>
      <c r="C106" s="38" t="n"/>
      <c r="D106" s="40" t="n"/>
      <c r="E106" s="38" t="n"/>
      <c r="F106" s="40" t="n"/>
      <c r="G106" s="38" t="n"/>
      <c r="H106" s="40" t="n"/>
      <c r="I106" s="38" t="n"/>
      <c r="J106" s="38" t="n"/>
      <c r="K106" s="38" t="n"/>
      <c r="L106" s="40" t="n"/>
      <c r="M106" s="38" t="n"/>
    </row>
    <row r="107" ht="21" customHeight="1">
      <c r="A107" s="38" t="n"/>
      <c r="B107" s="38" t="n"/>
      <c r="C107" s="38" t="n"/>
      <c r="D107" s="40" t="n"/>
      <c r="E107" s="38" t="n"/>
      <c r="F107" s="40" t="n"/>
      <c r="G107" s="38" t="n"/>
      <c r="H107" s="40" t="n"/>
      <c r="I107" s="38" t="n"/>
      <c r="J107" s="38" t="n"/>
      <c r="K107" s="38" t="n"/>
      <c r="L107" s="40" t="n"/>
      <c r="M107" s="38" t="n"/>
    </row>
    <row r="108" ht="21" customHeight="1">
      <c r="A108" s="38" t="n"/>
      <c r="B108" s="38" t="n"/>
      <c r="C108" s="38" t="n"/>
      <c r="D108" s="40" t="n"/>
      <c r="E108" s="38" t="n"/>
      <c r="F108" s="40" t="n"/>
      <c r="G108" s="38" t="n"/>
      <c r="H108" s="40" t="n"/>
      <c r="I108" s="38" t="n"/>
      <c r="J108" s="38" t="n"/>
      <c r="K108" s="38" t="n"/>
      <c r="L108" s="40" t="n"/>
      <c r="M108" s="38" t="n"/>
    </row>
    <row r="109" ht="21" customHeight="1">
      <c r="A109" s="38" t="n"/>
      <c r="B109" s="38" t="n"/>
      <c r="C109" s="38" t="n"/>
      <c r="D109" s="40" t="n"/>
      <c r="E109" s="38" t="n"/>
      <c r="F109" s="40" t="n"/>
      <c r="G109" s="38" t="n"/>
      <c r="H109" s="40" t="n"/>
      <c r="I109" s="38" t="n"/>
      <c r="J109" s="38" t="n"/>
      <c r="K109" s="38" t="n"/>
      <c r="L109" s="40" t="n"/>
      <c r="M109" s="38" t="n"/>
    </row>
    <row r="110" ht="21" customHeight="1">
      <c r="A110" s="38" t="n"/>
      <c r="B110" s="38" t="n"/>
      <c r="C110" s="38" t="n"/>
      <c r="D110" s="40" t="n"/>
      <c r="E110" s="38" t="n"/>
      <c r="F110" s="40" t="n"/>
      <c r="G110" s="38" t="n"/>
      <c r="H110" s="40" t="n"/>
      <c r="I110" s="38" t="n"/>
      <c r="J110" s="38" t="n"/>
      <c r="K110" s="38" t="n"/>
      <c r="L110" s="40" t="n"/>
      <c r="M110" s="38" t="n"/>
    </row>
    <row r="111" ht="21" customHeight="1">
      <c r="A111" s="38" t="n"/>
      <c r="B111" s="38" t="n"/>
      <c r="C111" s="38" t="n"/>
      <c r="D111" s="40" t="n"/>
      <c r="E111" s="38" t="n"/>
      <c r="F111" s="40" t="n"/>
      <c r="G111" s="38" t="n"/>
      <c r="H111" s="40" t="n"/>
      <c r="I111" s="38" t="n"/>
      <c r="J111" s="38" t="n"/>
      <c r="K111" s="38" t="n"/>
      <c r="L111" s="40" t="n"/>
      <c r="M111" s="38" t="n"/>
    </row>
    <row r="112" ht="21" customHeight="1">
      <c r="A112" s="38" t="n"/>
      <c r="B112" s="38" t="n"/>
      <c r="C112" s="38" t="n"/>
      <c r="D112" s="40" t="n"/>
      <c r="E112" s="38" t="n"/>
      <c r="F112" s="40" t="n"/>
      <c r="G112" s="38" t="n"/>
      <c r="H112" s="40" t="n"/>
      <c r="I112" s="38" t="n"/>
      <c r="J112" s="38" t="n"/>
      <c r="K112" s="38" t="n"/>
      <c r="L112" s="40" t="n"/>
      <c r="M112" s="38" t="n"/>
    </row>
    <row r="113" ht="21" customHeight="1">
      <c r="A113" s="38" t="n"/>
      <c r="B113" s="38" t="n"/>
      <c r="C113" s="38" t="n"/>
      <c r="D113" s="40" t="n"/>
      <c r="E113" s="38" t="n"/>
      <c r="F113" s="40" t="n"/>
      <c r="G113" s="38" t="n"/>
      <c r="H113" s="40" t="n"/>
      <c r="I113" s="38" t="n"/>
      <c r="J113" s="38" t="n"/>
      <c r="K113" s="38" t="n"/>
      <c r="L113" s="40" t="n"/>
      <c r="M113" s="38" t="n"/>
    </row>
    <row r="114" ht="21" customHeight="1">
      <c r="A114" s="38" t="n"/>
      <c r="B114" s="38" t="n"/>
      <c r="C114" s="38" t="n"/>
      <c r="D114" s="40" t="n"/>
      <c r="E114" s="38" t="n"/>
      <c r="F114" s="40" t="n"/>
      <c r="G114" s="38" t="n"/>
      <c r="H114" s="40" t="n"/>
      <c r="I114" s="38" t="n"/>
      <c r="J114" s="38" t="n"/>
      <c r="K114" s="38" t="n"/>
      <c r="L114" s="40" t="n"/>
      <c r="M114" s="38" t="n"/>
    </row>
    <row r="115" ht="21" customHeight="1">
      <c r="A115" s="38" t="n"/>
      <c r="B115" s="38" t="n"/>
      <c r="C115" s="38" t="n"/>
      <c r="D115" s="40" t="n"/>
      <c r="E115" s="38" t="n"/>
      <c r="F115" s="40" t="n"/>
      <c r="G115" s="38" t="n"/>
      <c r="H115" s="40" t="n"/>
      <c r="I115" s="38" t="n"/>
      <c r="J115" s="38" t="n"/>
      <c r="K115" s="38" t="n"/>
      <c r="L115" s="40" t="n"/>
      <c r="M115" s="38" t="n"/>
    </row>
    <row r="116" ht="21" customHeight="1">
      <c r="A116" s="38" t="n"/>
      <c r="B116" s="38" t="n"/>
      <c r="C116" s="38" t="n"/>
      <c r="D116" s="40" t="n"/>
      <c r="E116" s="38" t="n"/>
      <c r="F116" s="40" t="n"/>
      <c r="G116" s="38" t="n"/>
      <c r="H116" s="40" t="n"/>
      <c r="I116" s="38" t="n"/>
      <c r="J116" s="38" t="n"/>
      <c r="K116" s="38" t="n"/>
      <c r="L116" s="40" t="n"/>
      <c r="M116" s="38" t="n"/>
    </row>
    <row r="117" ht="21" customHeight="1">
      <c r="A117" s="38" t="n"/>
      <c r="B117" s="38" t="n"/>
      <c r="C117" s="38" t="n"/>
      <c r="D117" s="40" t="n"/>
      <c r="E117" s="38" t="n"/>
      <c r="F117" s="40" t="n"/>
      <c r="G117" s="38" t="n"/>
      <c r="H117" s="40" t="n"/>
      <c r="I117" s="38" t="n"/>
      <c r="J117" s="38" t="n"/>
      <c r="K117" s="38" t="n"/>
      <c r="L117" s="40" t="n"/>
      <c r="M117" s="38" t="n"/>
    </row>
    <row r="118" ht="21" customHeight="1">
      <c r="A118" s="38" t="n"/>
      <c r="B118" s="38" t="n"/>
      <c r="C118" s="38" t="n"/>
      <c r="D118" s="40" t="n"/>
      <c r="E118" s="38" t="n"/>
      <c r="F118" s="40" t="n"/>
      <c r="G118" s="38" t="n"/>
      <c r="H118" s="40" t="n"/>
      <c r="I118" s="38" t="n"/>
      <c r="J118" s="38" t="n"/>
      <c r="K118" s="38" t="n"/>
      <c r="L118" s="40" t="n"/>
      <c r="M118" s="38" t="n"/>
    </row>
    <row r="119" ht="21" customHeight="1">
      <c r="A119" s="38" t="n"/>
      <c r="B119" s="38" t="n"/>
      <c r="C119" s="38" t="n"/>
      <c r="D119" s="40" t="n"/>
      <c r="E119" s="38" t="n"/>
      <c r="F119" s="40" t="n"/>
      <c r="G119" s="38" t="n"/>
      <c r="H119" s="40" t="n"/>
      <c r="I119" s="38" t="n"/>
      <c r="J119" s="38" t="n"/>
      <c r="K119" s="38" t="n"/>
      <c r="L119" s="40" t="n"/>
      <c r="M119" s="38" t="n"/>
    </row>
    <row r="120" ht="21" customHeight="1">
      <c r="A120" s="38" t="n"/>
      <c r="B120" s="38" t="n"/>
      <c r="C120" s="38" t="n"/>
      <c r="D120" s="40" t="n"/>
      <c r="E120" s="38" t="n"/>
      <c r="F120" s="40" t="n"/>
      <c r="G120" s="38" t="n"/>
      <c r="H120" s="40" t="n"/>
      <c r="I120" s="38" t="n"/>
      <c r="J120" s="38" t="n"/>
      <c r="K120" s="38" t="n"/>
      <c r="L120" s="40" t="n"/>
      <c r="M120" s="38" t="n"/>
    </row>
    <row r="121" ht="21" customHeight="1">
      <c r="A121" s="38" t="n"/>
      <c r="B121" s="38" t="n"/>
      <c r="C121" s="38" t="n"/>
      <c r="D121" s="40" t="n"/>
      <c r="E121" s="38" t="n"/>
      <c r="F121" s="40" t="n"/>
      <c r="G121" s="38" t="n"/>
      <c r="H121" s="40" t="n"/>
      <c r="I121" s="38" t="n"/>
      <c r="J121" s="38" t="n"/>
      <c r="K121" s="38" t="n"/>
      <c r="L121" s="40" t="n"/>
      <c r="M121" s="38" t="n"/>
    </row>
    <row r="122" ht="21" customHeight="1">
      <c r="A122" s="38" t="n"/>
      <c r="B122" s="38" t="n"/>
      <c r="C122" s="38" t="n"/>
      <c r="D122" s="40" t="n"/>
      <c r="E122" s="38" t="n"/>
      <c r="F122" s="40" t="n"/>
      <c r="G122" s="38" t="n"/>
      <c r="H122" s="40" t="n"/>
      <c r="I122" s="38" t="n"/>
      <c r="J122" s="38" t="n"/>
      <c r="K122" s="38" t="n"/>
      <c r="L122" s="40" t="n"/>
      <c r="M122" s="38" t="n"/>
    </row>
    <row r="123" ht="21" customHeight="1">
      <c r="A123" s="38" t="n"/>
      <c r="B123" s="38" t="n"/>
      <c r="C123" s="38" t="n"/>
      <c r="D123" s="40" t="n"/>
      <c r="E123" s="38" t="n"/>
      <c r="F123" s="40" t="n"/>
      <c r="G123" s="38" t="n"/>
      <c r="H123" s="40" t="n"/>
      <c r="I123" s="38" t="n"/>
      <c r="J123" s="38" t="n"/>
      <c r="K123" s="38" t="n"/>
      <c r="L123" s="40" t="n"/>
      <c r="M123" s="38" t="n"/>
    </row>
    <row r="124" ht="21" customHeight="1">
      <c r="A124" s="38" t="n"/>
      <c r="B124" s="38" t="n"/>
      <c r="C124" s="38" t="n"/>
      <c r="D124" s="40" t="n"/>
      <c r="E124" s="38" t="n"/>
      <c r="F124" s="40" t="n"/>
      <c r="G124" s="38" t="n"/>
      <c r="H124" s="40" t="n"/>
      <c r="I124" s="38" t="n"/>
      <c r="J124" s="38" t="n"/>
      <c r="K124" s="38" t="n"/>
      <c r="L124" s="40" t="n"/>
      <c r="M124" s="38" t="n"/>
    </row>
    <row r="125" ht="21" customHeight="1">
      <c r="A125" s="38" t="n"/>
      <c r="B125" s="38" t="n"/>
      <c r="C125" s="38" t="n"/>
      <c r="D125" s="40" t="n"/>
      <c r="E125" s="38" t="n"/>
      <c r="F125" s="40" t="n"/>
      <c r="G125" s="38" t="n"/>
      <c r="H125" s="40" t="n"/>
      <c r="I125" s="38" t="n"/>
      <c r="J125" s="38" t="n"/>
      <c r="K125" s="38" t="n"/>
      <c r="L125" s="40" t="n"/>
      <c r="M125" s="38" t="n"/>
    </row>
    <row r="126" ht="21" customHeight="1">
      <c r="A126" s="38" t="n"/>
      <c r="B126" s="38" t="n"/>
      <c r="C126" s="38" t="n"/>
      <c r="D126" s="40" t="n"/>
      <c r="E126" s="38" t="n"/>
      <c r="F126" s="40" t="n"/>
      <c r="G126" s="38" t="n"/>
      <c r="H126" s="40" t="n"/>
      <c r="I126" s="38" t="n"/>
      <c r="J126" s="38" t="n"/>
      <c r="K126" s="38" t="n"/>
      <c r="L126" s="40" t="n"/>
      <c r="M126" s="38" t="n"/>
    </row>
    <row r="127" ht="21" customHeight="1">
      <c r="A127" s="38" t="n"/>
      <c r="B127" s="38" t="n"/>
      <c r="C127" s="38" t="n"/>
      <c r="D127" s="40" t="n"/>
      <c r="E127" s="38" t="n"/>
      <c r="F127" s="40" t="n"/>
      <c r="G127" s="38" t="n"/>
      <c r="H127" s="40" t="n"/>
      <c r="I127" s="38" t="n"/>
      <c r="J127" s="38" t="n"/>
      <c r="K127" s="38" t="n"/>
      <c r="L127" s="40" t="n"/>
      <c r="M127" s="38" t="n"/>
    </row>
    <row r="128" ht="21" customHeight="1">
      <c r="A128" s="38" t="n"/>
      <c r="B128" s="38" t="n"/>
      <c r="C128" s="38" t="n"/>
      <c r="D128" s="40" t="n"/>
      <c r="E128" s="38" t="n"/>
      <c r="F128" s="40" t="n"/>
      <c r="G128" s="38" t="n"/>
      <c r="H128" s="40" t="n"/>
      <c r="I128" s="38" t="n"/>
      <c r="J128" s="38" t="n"/>
      <c r="K128" s="38" t="n"/>
      <c r="L128" s="40" t="n"/>
      <c r="M128" s="38" t="n"/>
    </row>
    <row r="129" ht="21" customHeight="1">
      <c r="A129" s="38" t="n"/>
      <c r="B129" s="38" t="n"/>
      <c r="C129" s="38" t="n"/>
      <c r="D129" s="40" t="n"/>
      <c r="E129" s="38" t="n"/>
      <c r="F129" s="40" t="n"/>
      <c r="G129" s="38" t="n"/>
      <c r="H129" s="40" t="n"/>
      <c r="I129" s="38" t="n"/>
      <c r="J129" s="38" t="n"/>
      <c r="K129" s="38" t="n"/>
      <c r="L129" s="40" t="n"/>
      <c r="M129" s="38" t="n"/>
    </row>
    <row r="130" ht="21" customHeight="1">
      <c r="A130" s="38" t="n"/>
      <c r="B130" s="38" t="n"/>
      <c r="C130" s="38" t="n"/>
      <c r="D130" s="40" t="n"/>
      <c r="E130" s="38" t="n"/>
      <c r="F130" s="40" t="n"/>
      <c r="G130" s="38" t="n"/>
      <c r="H130" s="40" t="n"/>
      <c r="I130" s="38" t="n"/>
      <c r="J130" s="38" t="n"/>
      <c r="K130" s="38" t="n"/>
      <c r="L130" s="40" t="n"/>
      <c r="M130" s="38" t="n"/>
    </row>
    <row r="131" ht="21" customHeight="1">
      <c r="A131" s="38" t="n"/>
      <c r="B131" s="38" t="n"/>
      <c r="C131" s="38" t="n"/>
      <c r="D131" s="40" t="n"/>
      <c r="E131" s="38" t="n"/>
      <c r="F131" s="40" t="n"/>
      <c r="G131" s="38" t="n"/>
      <c r="H131" s="40" t="n"/>
      <c r="I131" s="38" t="n"/>
      <c r="J131" s="38" t="n"/>
      <c r="K131" s="38" t="n"/>
      <c r="L131" s="40" t="n"/>
      <c r="M131" s="38" t="n"/>
    </row>
    <row r="132" ht="21" customHeight="1">
      <c r="A132" s="38" t="n"/>
      <c r="B132" s="38" t="n"/>
      <c r="C132" s="38" t="n"/>
      <c r="D132" s="40" t="n"/>
      <c r="E132" s="38" t="n"/>
      <c r="F132" s="40" t="n"/>
      <c r="G132" s="38" t="n"/>
      <c r="H132" s="40" t="n"/>
      <c r="I132" s="38" t="n"/>
      <c r="J132" s="38" t="n"/>
      <c r="K132" s="38" t="n"/>
      <c r="L132" s="40" t="n"/>
      <c r="M132" s="38" t="n"/>
    </row>
    <row r="133" ht="21" customHeight="1">
      <c r="A133" s="38" t="n"/>
      <c r="B133" s="38" t="n"/>
      <c r="C133" s="38" t="n"/>
      <c r="D133" s="40" t="n"/>
      <c r="E133" s="38" t="n"/>
      <c r="F133" s="40" t="n"/>
      <c r="G133" s="38" t="n"/>
      <c r="H133" s="40" t="n"/>
      <c r="I133" s="38" t="n"/>
      <c r="J133" s="38" t="n"/>
      <c r="K133" s="38" t="n"/>
      <c r="L133" s="40" t="n"/>
      <c r="M133" s="38" t="n"/>
    </row>
    <row r="134" ht="21" customHeight="1">
      <c r="A134" s="38" t="n"/>
      <c r="B134" s="38" t="n"/>
      <c r="C134" s="38" t="n"/>
      <c r="D134" s="40" t="n"/>
      <c r="E134" s="38" t="n"/>
      <c r="F134" s="40" t="n"/>
      <c r="G134" s="38" t="n"/>
      <c r="H134" s="40" t="n"/>
      <c r="I134" s="38" t="n"/>
      <c r="J134" s="38" t="n"/>
      <c r="K134" s="38" t="n"/>
      <c r="L134" s="40" t="n"/>
      <c r="M134" s="38" t="n"/>
    </row>
    <row r="135" ht="21" customHeight="1">
      <c r="A135" s="38" t="n"/>
      <c r="B135" s="38" t="n"/>
      <c r="C135" s="38" t="n"/>
      <c r="D135" s="40" t="n"/>
      <c r="E135" s="38" t="n"/>
      <c r="F135" s="40" t="n"/>
      <c r="G135" s="38" t="n"/>
      <c r="H135" s="40" t="n"/>
      <c r="I135" s="38" t="n"/>
      <c r="J135" s="38" t="n"/>
      <c r="K135" s="38" t="n"/>
      <c r="L135" s="40" t="n"/>
      <c r="M135" s="38" t="n"/>
    </row>
    <row r="136" ht="21" customHeight="1">
      <c r="A136" s="38" t="n"/>
      <c r="B136" s="38" t="n"/>
      <c r="C136" s="38" t="n"/>
      <c r="D136" s="40" t="n"/>
      <c r="E136" s="38" t="n"/>
      <c r="F136" s="40" t="n"/>
      <c r="G136" s="38" t="n"/>
      <c r="H136" s="40" t="n"/>
      <c r="I136" s="38" t="n"/>
      <c r="J136" s="38" t="n"/>
      <c r="K136" s="38" t="n"/>
      <c r="L136" s="40" t="n"/>
      <c r="M136" s="38" t="n"/>
    </row>
    <row r="137" ht="21" customHeight="1">
      <c r="A137" s="38" t="n"/>
      <c r="B137" s="38" t="n"/>
      <c r="C137" s="38" t="n"/>
      <c r="D137" s="40" t="n"/>
      <c r="E137" s="38" t="n"/>
      <c r="F137" s="40" t="n"/>
      <c r="G137" s="38" t="n"/>
      <c r="H137" s="40" t="n"/>
      <c r="I137" s="38" t="n"/>
      <c r="J137" s="38" t="n"/>
      <c r="K137" s="38" t="n"/>
      <c r="L137" s="40" t="n"/>
      <c r="M137" s="38" t="n"/>
    </row>
    <row r="138" ht="21" customHeight="1">
      <c r="A138" s="38" t="n"/>
      <c r="B138" s="38" t="n"/>
      <c r="C138" s="38" t="n"/>
      <c r="D138" s="40" t="n"/>
      <c r="E138" s="38" t="n"/>
      <c r="F138" s="40" t="n"/>
      <c r="G138" s="38" t="n"/>
      <c r="H138" s="40" t="n"/>
      <c r="I138" s="38" t="n"/>
      <c r="J138" s="38" t="n"/>
      <c r="K138" s="38" t="n"/>
      <c r="L138" s="40" t="n"/>
      <c r="M138" s="38" t="n"/>
    </row>
    <row r="139" ht="21" customHeight="1">
      <c r="A139" s="38" t="n"/>
      <c r="B139" s="38" t="n"/>
      <c r="C139" s="38" t="n"/>
      <c r="D139" s="40" t="n"/>
      <c r="E139" s="38" t="n"/>
      <c r="F139" s="40" t="n"/>
      <c r="G139" s="38" t="n"/>
      <c r="H139" s="40" t="n"/>
      <c r="I139" s="38" t="n"/>
      <c r="J139" s="38" t="n"/>
      <c r="K139" s="38" t="n"/>
      <c r="L139" s="40" t="n"/>
      <c r="M139" s="38" t="n"/>
    </row>
    <row r="140" ht="21" customHeight="1">
      <c r="A140" s="38" t="n"/>
      <c r="B140" s="38" t="n"/>
      <c r="C140" s="38" t="n"/>
      <c r="D140" s="40" t="n"/>
      <c r="E140" s="38" t="n"/>
      <c r="F140" s="40" t="n"/>
      <c r="G140" s="38" t="n"/>
      <c r="H140" s="40" t="n"/>
      <c r="I140" s="38" t="n"/>
      <c r="J140" s="38" t="n"/>
      <c r="K140" s="38" t="n"/>
      <c r="L140" s="40" t="n"/>
      <c r="M140" s="38" t="n"/>
    </row>
    <row r="141" ht="21" customHeight="1">
      <c r="A141" s="38" t="n"/>
      <c r="B141" s="38" t="n"/>
      <c r="C141" s="38" t="n"/>
      <c r="D141" s="40" t="n"/>
      <c r="E141" s="38" t="n"/>
      <c r="F141" s="40" t="n"/>
      <c r="G141" s="38" t="n"/>
      <c r="H141" s="40" t="n"/>
      <c r="I141" s="38" t="n"/>
      <c r="J141" s="38" t="n"/>
      <c r="K141" s="38" t="n"/>
      <c r="L141" s="40" t="n"/>
      <c r="M141" s="38" t="n"/>
    </row>
    <row r="142" ht="21" customHeight="1">
      <c r="A142" s="38" t="n"/>
      <c r="B142" s="38" t="n"/>
      <c r="C142" s="38" t="n"/>
      <c r="D142" s="40" t="n"/>
      <c r="E142" s="38" t="n"/>
      <c r="F142" s="40" t="n"/>
      <c r="G142" s="38" t="n"/>
      <c r="H142" s="40" t="n"/>
      <c r="I142" s="38" t="n"/>
      <c r="J142" s="38" t="n"/>
      <c r="K142" s="38" t="n"/>
      <c r="L142" s="40" t="n"/>
      <c r="M142" s="38" t="n"/>
    </row>
    <row r="143" ht="21" customHeight="1">
      <c r="A143" s="38" t="n"/>
      <c r="B143" s="38" t="n"/>
      <c r="C143" s="38" t="n"/>
      <c r="D143" s="40" t="n"/>
      <c r="E143" s="38" t="n"/>
      <c r="F143" s="40" t="n"/>
      <c r="G143" s="38" t="n"/>
      <c r="H143" s="40" t="n"/>
      <c r="I143" s="38" t="n"/>
      <c r="J143" s="38" t="n"/>
      <c r="K143" s="38" t="n"/>
      <c r="L143" s="40" t="n"/>
      <c r="M143" s="38" t="n"/>
    </row>
    <row r="144" ht="21" customHeight="1">
      <c r="A144" s="38" t="n"/>
      <c r="B144" s="38" t="n"/>
      <c r="C144" s="38" t="n"/>
      <c r="D144" s="40" t="n"/>
      <c r="E144" s="38" t="n"/>
      <c r="F144" s="40" t="n"/>
      <c r="G144" s="38" t="n"/>
      <c r="H144" s="40" t="n"/>
      <c r="I144" s="38" t="n"/>
      <c r="J144" s="38" t="n"/>
      <c r="K144" s="38" t="n"/>
      <c r="L144" s="40" t="n"/>
      <c r="M144" s="38" t="n"/>
    </row>
    <row r="145" ht="21" customHeight="1">
      <c r="A145" s="38" t="n"/>
      <c r="B145" s="38" t="n"/>
      <c r="C145" s="38" t="n"/>
      <c r="D145" s="40" t="n"/>
      <c r="E145" s="38" t="n"/>
      <c r="F145" s="40" t="n"/>
      <c r="G145" s="38" t="n"/>
      <c r="H145" s="40" t="n"/>
      <c r="I145" s="38" t="n"/>
      <c r="J145" s="38" t="n"/>
      <c r="K145" s="38" t="n"/>
      <c r="L145" s="40" t="n"/>
      <c r="M145" s="38" t="n"/>
    </row>
    <row r="146" ht="21" customHeight="1">
      <c r="A146" s="38" t="n"/>
      <c r="B146" s="38" t="n"/>
      <c r="C146" s="38" t="n"/>
      <c r="D146" s="40" t="n"/>
      <c r="E146" s="38" t="n"/>
      <c r="F146" s="40" t="n"/>
      <c r="G146" s="38" t="n"/>
      <c r="H146" s="40" t="n"/>
      <c r="I146" s="38" t="n"/>
      <c r="J146" s="38" t="n"/>
      <c r="K146" s="38" t="n"/>
      <c r="L146" s="40" t="n"/>
      <c r="M146" s="38" t="n"/>
    </row>
    <row r="147" ht="21" customHeight="1">
      <c r="A147" s="38" t="n"/>
      <c r="B147" s="38" t="n"/>
      <c r="C147" s="38" t="n"/>
      <c r="D147" s="40" t="n"/>
      <c r="E147" s="38" t="n"/>
      <c r="F147" s="40" t="n"/>
      <c r="G147" s="38" t="n"/>
      <c r="H147" s="40" t="n"/>
      <c r="I147" s="38" t="n"/>
      <c r="J147" s="38" t="n"/>
      <c r="K147" s="38" t="n"/>
      <c r="L147" s="40" t="n"/>
      <c r="M147" s="38" t="n"/>
    </row>
    <row r="148" ht="21" customHeight="1">
      <c r="A148" s="38" t="n"/>
      <c r="B148" s="38" t="n"/>
      <c r="C148" s="38" t="n"/>
      <c r="D148" s="40" t="n"/>
      <c r="E148" s="38" t="n"/>
      <c r="F148" s="40" t="n"/>
      <c r="G148" s="38" t="n"/>
      <c r="H148" s="40" t="n"/>
      <c r="I148" s="38" t="n"/>
      <c r="J148" s="38" t="n"/>
      <c r="K148" s="38" t="n"/>
      <c r="L148" s="40" t="n"/>
      <c r="M148" s="38" t="n"/>
    </row>
    <row r="149" ht="21" customHeight="1">
      <c r="A149" s="38" t="n"/>
      <c r="B149" s="38" t="n"/>
      <c r="C149" s="38" t="n"/>
      <c r="D149" s="40" t="n"/>
      <c r="E149" s="38" t="n"/>
      <c r="F149" s="40" t="n"/>
      <c r="G149" s="38" t="n"/>
      <c r="H149" s="40" t="n"/>
      <c r="I149" s="38" t="n"/>
      <c r="J149" s="38" t="n"/>
      <c r="K149" s="38" t="n"/>
      <c r="L149" s="40" t="n"/>
      <c r="M149" s="38" t="n"/>
    </row>
    <row r="150" ht="21" customHeight="1">
      <c r="A150" s="38" t="n"/>
      <c r="B150" s="38" t="n"/>
      <c r="C150" s="38" t="n"/>
      <c r="D150" s="40" t="n"/>
      <c r="E150" s="38" t="n"/>
      <c r="F150" s="40" t="n"/>
      <c r="G150" s="38" t="n"/>
      <c r="H150" s="40" t="n"/>
      <c r="I150" s="38" t="n"/>
      <c r="J150" s="38" t="n"/>
      <c r="K150" s="38" t="n"/>
      <c r="L150" s="40" t="n"/>
      <c r="M150" s="38" t="n"/>
    </row>
    <row r="151" ht="21" customHeight="1">
      <c r="A151" s="38" t="n"/>
      <c r="B151" s="38" t="n"/>
      <c r="C151" s="38" t="n"/>
      <c r="D151" s="40" t="n"/>
      <c r="E151" s="38" t="n"/>
      <c r="F151" s="40" t="n"/>
      <c r="G151" s="38" t="n"/>
      <c r="H151" s="40" t="n"/>
      <c r="I151" s="38" t="n"/>
      <c r="J151" s="38" t="n"/>
      <c r="K151" s="38" t="n"/>
      <c r="L151" s="40" t="n"/>
      <c r="M151" s="38" t="n"/>
    </row>
    <row r="152" ht="21" customHeight="1">
      <c r="A152" s="38" t="n"/>
      <c r="B152" s="38" t="n"/>
      <c r="C152" s="38" t="n"/>
      <c r="D152" s="40" t="n"/>
      <c r="E152" s="38" t="n"/>
      <c r="F152" s="40" t="n"/>
      <c r="G152" s="38" t="n"/>
      <c r="H152" s="40" t="n"/>
      <c r="I152" s="38" t="n"/>
      <c r="J152" s="38" t="n"/>
      <c r="K152" s="38" t="n"/>
      <c r="L152" s="40" t="n"/>
      <c r="M152" s="38" t="n"/>
    </row>
    <row r="153" ht="21" customHeight="1">
      <c r="A153" s="38" t="n"/>
      <c r="B153" s="38" t="n"/>
      <c r="C153" s="38" t="n"/>
      <c r="D153" s="40" t="n"/>
      <c r="E153" s="38" t="n"/>
      <c r="F153" s="40" t="n"/>
      <c r="G153" s="38" t="n"/>
      <c r="H153" s="40" t="n"/>
      <c r="I153" s="38" t="n"/>
      <c r="J153" s="38" t="n"/>
      <c r="K153" s="38" t="n"/>
      <c r="L153" s="40" t="n"/>
      <c r="M153" s="38" t="n"/>
    </row>
    <row r="154" ht="21" customHeight="1">
      <c r="A154" s="38" t="n"/>
      <c r="B154" s="38" t="n"/>
      <c r="C154" s="38" t="n"/>
      <c r="D154" s="40" t="n"/>
      <c r="E154" s="38" t="n"/>
      <c r="F154" s="40" t="n"/>
      <c r="G154" s="38" t="n"/>
      <c r="H154" s="40" t="n"/>
      <c r="I154" s="38" t="n"/>
      <c r="J154" s="38" t="n"/>
      <c r="K154" s="38" t="n"/>
      <c r="L154" s="40" t="n"/>
      <c r="M154" s="38" t="n"/>
    </row>
    <row r="155" ht="21" customHeight="1">
      <c r="A155" s="38" t="n"/>
      <c r="B155" s="38" t="n"/>
      <c r="C155" s="38" t="n"/>
      <c r="D155" s="40" t="n"/>
      <c r="E155" s="38" t="n"/>
      <c r="F155" s="40" t="n"/>
      <c r="G155" s="38" t="n"/>
      <c r="H155" s="40" t="n"/>
      <c r="I155" s="38" t="n"/>
      <c r="J155" s="38" t="n"/>
      <c r="K155" s="38" t="n"/>
      <c r="L155" s="40" t="n"/>
      <c r="M155" s="38" t="n"/>
    </row>
    <row r="156" ht="21" customHeight="1">
      <c r="A156" s="38" t="n"/>
      <c r="B156" s="38" t="n"/>
      <c r="C156" s="38" t="n"/>
      <c r="D156" s="40" t="n"/>
      <c r="E156" s="38" t="n"/>
      <c r="F156" s="40" t="n"/>
      <c r="G156" s="38" t="n"/>
      <c r="H156" s="40" t="n"/>
      <c r="I156" s="38" t="n"/>
      <c r="J156" s="38" t="n"/>
      <c r="K156" s="38" t="n"/>
      <c r="L156" s="40" t="n"/>
      <c r="M156" s="38" t="n"/>
    </row>
  </sheetData>
  <autoFilter ref="A6:M156"/>
  <mergeCells count="3">
    <mergeCell ref="A1:M2"/>
    <mergeCell ref="A3:M3"/>
    <mergeCell ref="A4:M4"/>
  </mergeCells>
  <dataValidations count="2">
    <dataValidation sqref="A7:A156" showDropDown="0" showInputMessage="1" showErrorMessage="1" allowBlank="1" errorTitle="Invalid entry" error="Please choose a value from the dropdown list." promptTitle="Choose from the dropdown" prompt="Select a value from the list." type="list">
      <formula1>=RoomNames</formula1>
    </dataValidation>
    <dataValidation sqref="I7:I156" showDropDown="0" showInputMessage="1" showErrorMessage="1" allowBlank="1" errorTitle="Invalid entry" error="Please choose a value from the dropdown list." promptTitle="Choose from the dropdown" prompt="Select a value from the list." type="list">
      <formula1>=PreferredOptions</formula1>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10.xml><?xml version="1.0" encoding="utf-8"?>
<worksheet xmlns="http://schemas.openxmlformats.org/spreadsheetml/2006/main">
  <sheetPr>
    <tabColor rgb="00D6A756"/>
    <outlinePr summaryBelow="1" summaryRight="1"/>
    <pageSetUpPr fitToPage="1"/>
  </sheetPr>
  <dimension ref="A1:L106"/>
  <sheetViews>
    <sheetView showGridLines="0" zoomScale="85" workbookViewId="0">
      <pane ySplit="6" topLeftCell="A7" activePane="bottomLeft" state="frozen"/>
      <selection pane="bottomLeft" activeCell="A7" sqref="A1"/>
    </sheetView>
  </sheetViews>
  <sheetFormatPr baseColWidth="8" defaultRowHeight="15"/>
  <cols>
    <col width="24" customWidth="1" min="1" max="1"/>
    <col width="21" customWidth="1" min="2" max="2"/>
    <col width="22" customWidth="1" min="3" max="3"/>
    <col width="27" customWidth="1" min="4" max="4"/>
    <col width="17" customWidth="1" min="5" max="5"/>
    <col width="30" customWidth="1" min="6" max="6"/>
    <col width="18" customWidth="1" min="7" max="7"/>
    <col width="17" customWidth="1" min="8" max="8"/>
    <col width="15" customWidth="1" min="9" max="9"/>
    <col width="25" customWidth="1" min="10" max="10"/>
    <col width="25" customWidth="1" min="11" max="11"/>
    <col width="34" customWidth="1" min="12" max="12"/>
  </cols>
  <sheetData>
    <row r="1" ht="26" customHeight="1">
      <c r="A1" s="1" t="inlineStr">
        <is>
          <t>Vendor &amp; Supplier Database</t>
        </is>
      </c>
    </row>
    <row r="2" ht="26" customHeight="1"/>
    <row r="3" ht="26" customHeight="1">
      <c r="A3" s="24" t="inlineStr">
        <is>
          <t>Create your vendor list first; vendor names then appear in dropdowns throughout the workbook.</t>
        </is>
      </c>
    </row>
    <row r="4">
      <c r="A4" s="36" t="inlineStr">
        <is>
          <t>Tip: enter data in the warm cream cells. Blue cells calculate automatically. Use the filter arrows in row 6 to focus the view.</t>
        </is>
      </c>
    </row>
    <row r="6" ht="34" customHeight="1">
      <c r="A6" s="37" t="inlineStr">
        <is>
          <t>Vendor name</t>
        </is>
      </c>
      <c r="B6" s="37" t="inlineStr">
        <is>
          <t>Vendor type</t>
        </is>
      </c>
      <c r="C6" s="37" t="inlineStr">
        <is>
          <t>Contact person</t>
        </is>
      </c>
      <c r="D6" s="37" t="inlineStr">
        <is>
          <t>Email</t>
        </is>
      </c>
      <c r="E6" s="37" t="inlineStr">
        <is>
          <t>Phone</t>
        </is>
      </c>
      <c r="F6" s="37" t="inlineStr">
        <is>
          <t>Website</t>
        </is>
      </c>
      <c r="G6" s="37" t="inlineStr">
        <is>
          <t>Account number</t>
        </is>
      </c>
      <c r="H6" s="37" t="inlineStr">
        <is>
          <t>Trade discount %</t>
        </is>
      </c>
      <c r="I6" s="37" t="inlineStr">
        <is>
          <t>Lead time</t>
        </is>
      </c>
      <c r="J6" s="37" t="inlineStr">
        <is>
          <t>Shipping terms</t>
        </is>
      </c>
      <c r="K6" s="37" t="inlineStr">
        <is>
          <t>Return policy</t>
        </is>
      </c>
      <c r="L6" s="37" t="inlineStr">
        <is>
          <t>Notes</t>
        </is>
      </c>
    </row>
    <row r="7" ht="21" customHeight="1">
      <c r="A7" s="38" t="n"/>
      <c r="B7" s="38" t="n"/>
      <c r="C7" s="38" t="n"/>
      <c r="D7" s="38" t="n"/>
      <c r="E7" s="38" t="n"/>
      <c r="F7" s="38" t="n"/>
      <c r="G7" s="38" t="n"/>
      <c r="H7" s="43" t="n"/>
      <c r="I7" s="38" t="n"/>
      <c r="J7" s="38" t="n"/>
      <c r="K7" s="38" t="n"/>
      <c r="L7" s="38" t="n"/>
    </row>
    <row r="8" ht="21" customHeight="1">
      <c r="A8" s="38" t="n"/>
      <c r="B8" s="38" t="n"/>
      <c r="C8" s="38" t="n"/>
      <c r="D8" s="38" t="n"/>
      <c r="E8" s="38" t="n"/>
      <c r="F8" s="38" t="n"/>
      <c r="G8" s="38" t="n"/>
      <c r="H8" s="43" t="n"/>
      <c r="I8" s="38" t="n"/>
      <c r="J8" s="38" t="n"/>
      <c r="K8" s="38" t="n"/>
      <c r="L8" s="38" t="n"/>
    </row>
    <row r="9" ht="21" customHeight="1">
      <c r="A9" s="38" t="n"/>
      <c r="B9" s="38" t="n"/>
      <c r="C9" s="38" t="n"/>
      <c r="D9" s="38" t="n"/>
      <c r="E9" s="38" t="n"/>
      <c r="F9" s="38" t="n"/>
      <c r="G9" s="38" t="n"/>
      <c r="H9" s="43" t="n"/>
      <c r="I9" s="38" t="n"/>
      <c r="J9" s="38" t="n"/>
      <c r="K9" s="38" t="n"/>
      <c r="L9" s="38" t="n"/>
    </row>
    <row r="10" ht="21" customHeight="1">
      <c r="A10" s="38" t="n"/>
      <c r="B10" s="38" t="n"/>
      <c r="C10" s="38" t="n"/>
      <c r="D10" s="38" t="n"/>
      <c r="E10" s="38" t="n"/>
      <c r="F10" s="38" t="n"/>
      <c r="G10" s="38" t="n"/>
      <c r="H10" s="43" t="n"/>
      <c r="I10" s="38" t="n"/>
      <c r="J10" s="38" t="n"/>
      <c r="K10" s="38" t="n"/>
      <c r="L10" s="38" t="n"/>
    </row>
    <row r="11" ht="21" customHeight="1">
      <c r="A11" s="38" t="n"/>
      <c r="B11" s="38" t="n"/>
      <c r="C11" s="38" t="n"/>
      <c r="D11" s="38" t="n"/>
      <c r="E11" s="38" t="n"/>
      <c r="F11" s="38" t="n"/>
      <c r="G11" s="38" t="n"/>
      <c r="H11" s="43" t="n"/>
      <c r="I11" s="38" t="n"/>
      <c r="J11" s="38" t="n"/>
      <c r="K11" s="38" t="n"/>
      <c r="L11" s="38" t="n"/>
    </row>
    <row r="12" ht="21" customHeight="1">
      <c r="A12" s="38" t="n"/>
      <c r="B12" s="38" t="n"/>
      <c r="C12" s="38" t="n"/>
      <c r="D12" s="38" t="n"/>
      <c r="E12" s="38" t="n"/>
      <c r="F12" s="38" t="n"/>
      <c r="G12" s="38" t="n"/>
      <c r="H12" s="43" t="n"/>
      <c r="I12" s="38" t="n"/>
      <c r="J12" s="38" t="n"/>
      <c r="K12" s="38" t="n"/>
      <c r="L12" s="38" t="n"/>
    </row>
    <row r="13" ht="21" customHeight="1">
      <c r="A13" s="38" t="n"/>
      <c r="B13" s="38" t="n"/>
      <c r="C13" s="38" t="n"/>
      <c r="D13" s="38" t="n"/>
      <c r="E13" s="38" t="n"/>
      <c r="F13" s="38" t="n"/>
      <c r="G13" s="38" t="n"/>
      <c r="H13" s="43" t="n"/>
      <c r="I13" s="38" t="n"/>
      <c r="J13" s="38" t="n"/>
      <c r="K13" s="38" t="n"/>
      <c r="L13" s="38" t="n"/>
    </row>
    <row r="14" ht="21" customHeight="1">
      <c r="A14" s="38" t="n"/>
      <c r="B14" s="38" t="n"/>
      <c r="C14" s="38" t="n"/>
      <c r="D14" s="38" t="n"/>
      <c r="E14" s="38" t="n"/>
      <c r="F14" s="38" t="n"/>
      <c r="G14" s="38" t="n"/>
      <c r="H14" s="43" t="n"/>
      <c r="I14" s="38" t="n"/>
      <c r="J14" s="38" t="n"/>
      <c r="K14" s="38" t="n"/>
      <c r="L14" s="38" t="n"/>
    </row>
    <row r="15" ht="21" customHeight="1">
      <c r="A15" s="38" t="n"/>
      <c r="B15" s="38" t="n"/>
      <c r="C15" s="38" t="n"/>
      <c r="D15" s="38" t="n"/>
      <c r="E15" s="38" t="n"/>
      <c r="F15" s="38" t="n"/>
      <c r="G15" s="38" t="n"/>
      <c r="H15" s="43" t="n"/>
      <c r="I15" s="38" t="n"/>
      <c r="J15" s="38" t="n"/>
      <c r="K15" s="38" t="n"/>
      <c r="L15" s="38" t="n"/>
    </row>
    <row r="16" ht="21" customHeight="1">
      <c r="A16" s="38" t="n"/>
      <c r="B16" s="38" t="n"/>
      <c r="C16" s="38" t="n"/>
      <c r="D16" s="38" t="n"/>
      <c r="E16" s="38" t="n"/>
      <c r="F16" s="38" t="n"/>
      <c r="G16" s="38" t="n"/>
      <c r="H16" s="43" t="n"/>
      <c r="I16" s="38" t="n"/>
      <c r="J16" s="38" t="n"/>
      <c r="K16" s="38" t="n"/>
      <c r="L16" s="38" t="n"/>
    </row>
    <row r="17" ht="21" customHeight="1">
      <c r="A17" s="38" t="n"/>
      <c r="B17" s="38" t="n"/>
      <c r="C17" s="38" t="n"/>
      <c r="D17" s="38" t="n"/>
      <c r="E17" s="38" t="n"/>
      <c r="F17" s="38" t="n"/>
      <c r="G17" s="38" t="n"/>
      <c r="H17" s="43" t="n"/>
      <c r="I17" s="38" t="n"/>
      <c r="J17" s="38" t="n"/>
      <c r="K17" s="38" t="n"/>
      <c r="L17" s="38" t="n"/>
    </row>
    <row r="18" ht="21" customHeight="1">
      <c r="A18" s="38" t="n"/>
      <c r="B18" s="38" t="n"/>
      <c r="C18" s="38" t="n"/>
      <c r="D18" s="38" t="n"/>
      <c r="E18" s="38" t="n"/>
      <c r="F18" s="38" t="n"/>
      <c r="G18" s="38" t="n"/>
      <c r="H18" s="43" t="n"/>
      <c r="I18" s="38" t="n"/>
      <c r="J18" s="38" t="n"/>
      <c r="K18" s="38" t="n"/>
      <c r="L18" s="38" t="n"/>
    </row>
    <row r="19" ht="21" customHeight="1">
      <c r="A19" s="38" t="n"/>
      <c r="B19" s="38" t="n"/>
      <c r="C19" s="38" t="n"/>
      <c r="D19" s="38" t="n"/>
      <c r="E19" s="38" t="n"/>
      <c r="F19" s="38" t="n"/>
      <c r="G19" s="38" t="n"/>
      <c r="H19" s="43" t="n"/>
      <c r="I19" s="38" t="n"/>
      <c r="J19" s="38" t="n"/>
      <c r="K19" s="38" t="n"/>
      <c r="L19" s="38" t="n"/>
    </row>
    <row r="20" ht="21" customHeight="1">
      <c r="A20" s="38" t="n"/>
      <c r="B20" s="38" t="n"/>
      <c r="C20" s="38" t="n"/>
      <c r="D20" s="38" t="n"/>
      <c r="E20" s="38" t="n"/>
      <c r="F20" s="38" t="n"/>
      <c r="G20" s="38" t="n"/>
      <c r="H20" s="43" t="n"/>
      <c r="I20" s="38" t="n"/>
      <c r="J20" s="38" t="n"/>
      <c r="K20" s="38" t="n"/>
      <c r="L20" s="38" t="n"/>
    </row>
    <row r="21" ht="21" customHeight="1">
      <c r="A21" s="38" t="n"/>
      <c r="B21" s="38" t="n"/>
      <c r="C21" s="38" t="n"/>
      <c r="D21" s="38" t="n"/>
      <c r="E21" s="38" t="n"/>
      <c r="F21" s="38" t="n"/>
      <c r="G21" s="38" t="n"/>
      <c r="H21" s="43" t="n"/>
      <c r="I21" s="38" t="n"/>
      <c r="J21" s="38" t="n"/>
      <c r="K21" s="38" t="n"/>
      <c r="L21" s="38" t="n"/>
    </row>
    <row r="22" ht="21" customHeight="1">
      <c r="A22" s="38" t="n"/>
      <c r="B22" s="38" t="n"/>
      <c r="C22" s="38" t="n"/>
      <c r="D22" s="38" t="n"/>
      <c r="E22" s="38" t="n"/>
      <c r="F22" s="38" t="n"/>
      <c r="G22" s="38" t="n"/>
      <c r="H22" s="43" t="n"/>
      <c r="I22" s="38" t="n"/>
      <c r="J22" s="38" t="n"/>
      <c r="K22" s="38" t="n"/>
      <c r="L22" s="38" t="n"/>
    </row>
    <row r="23" ht="21" customHeight="1">
      <c r="A23" s="38" t="n"/>
      <c r="B23" s="38" t="n"/>
      <c r="C23" s="38" t="n"/>
      <c r="D23" s="38" t="n"/>
      <c r="E23" s="38" t="n"/>
      <c r="F23" s="38" t="n"/>
      <c r="G23" s="38" t="n"/>
      <c r="H23" s="43" t="n"/>
      <c r="I23" s="38" t="n"/>
      <c r="J23" s="38" t="n"/>
      <c r="K23" s="38" t="n"/>
      <c r="L23" s="38" t="n"/>
    </row>
    <row r="24" ht="21" customHeight="1">
      <c r="A24" s="38" t="n"/>
      <c r="B24" s="38" t="n"/>
      <c r="C24" s="38" t="n"/>
      <c r="D24" s="38" t="n"/>
      <c r="E24" s="38" t="n"/>
      <c r="F24" s="38" t="n"/>
      <c r="G24" s="38" t="n"/>
      <c r="H24" s="43" t="n"/>
      <c r="I24" s="38" t="n"/>
      <c r="J24" s="38" t="n"/>
      <c r="K24" s="38" t="n"/>
      <c r="L24" s="38" t="n"/>
    </row>
    <row r="25" ht="21" customHeight="1">
      <c r="A25" s="38" t="n"/>
      <c r="B25" s="38" t="n"/>
      <c r="C25" s="38" t="n"/>
      <c r="D25" s="38" t="n"/>
      <c r="E25" s="38" t="n"/>
      <c r="F25" s="38" t="n"/>
      <c r="G25" s="38" t="n"/>
      <c r="H25" s="43" t="n"/>
      <c r="I25" s="38" t="n"/>
      <c r="J25" s="38" t="n"/>
      <c r="K25" s="38" t="n"/>
      <c r="L25" s="38" t="n"/>
    </row>
    <row r="26" ht="21" customHeight="1">
      <c r="A26" s="38" t="n"/>
      <c r="B26" s="38" t="n"/>
      <c r="C26" s="38" t="n"/>
      <c r="D26" s="38" t="n"/>
      <c r="E26" s="38" t="n"/>
      <c r="F26" s="38" t="n"/>
      <c r="G26" s="38" t="n"/>
      <c r="H26" s="43" t="n"/>
      <c r="I26" s="38" t="n"/>
      <c r="J26" s="38" t="n"/>
      <c r="K26" s="38" t="n"/>
      <c r="L26" s="38" t="n"/>
    </row>
    <row r="27" ht="21" customHeight="1">
      <c r="A27" s="38" t="n"/>
      <c r="B27" s="38" t="n"/>
      <c r="C27" s="38" t="n"/>
      <c r="D27" s="38" t="n"/>
      <c r="E27" s="38" t="n"/>
      <c r="F27" s="38" t="n"/>
      <c r="G27" s="38" t="n"/>
      <c r="H27" s="43" t="n"/>
      <c r="I27" s="38" t="n"/>
      <c r="J27" s="38" t="n"/>
      <c r="K27" s="38" t="n"/>
      <c r="L27" s="38" t="n"/>
    </row>
    <row r="28" ht="21" customHeight="1">
      <c r="A28" s="38" t="n"/>
      <c r="B28" s="38" t="n"/>
      <c r="C28" s="38" t="n"/>
      <c r="D28" s="38" t="n"/>
      <c r="E28" s="38" t="n"/>
      <c r="F28" s="38" t="n"/>
      <c r="G28" s="38" t="n"/>
      <c r="H28" s="43" t="n"/>
      <c r="I28" s="38" t="n"/>
      <c r="J28" s="38" t="n"/>
      <c r="K28" s="38" t="n"/>
      <c r="L28" s="38" t="n"/>
    </row>
    <row r="29" ht="21" customHeight="1">
      <c r="A29" s="38" t="n"/>
      <c r="B29" s="38" t="n"/>
      <c r="C29" s="38" t="n"/>
      <c r="D29" s="38" t="n"/>
      <c r="E29" s="38" t="n"/>
      <c r="F29" s="38" t="n"/>
      <c r="G29" s="38" t="n"/>
      <c r="H29" s="43" t="n"/>
      <c r="I29" s="38" t="n"/>
      <c r="J29" s="38" t="n"/>
      <c r="K29" s="38" t="n"/>
      <c r="L29" s="38" t="n"/>
    </row>
    <row r="30" ht="21" customHeight="1">
      <c r="A30" s="38" t="n"/>
      <c r="B30" s="38" t="n"/>
      <c r="C30" s="38" t="n"/>
      <c r="D30" s="38" t="n"/>
      <c r="E30" s="38" t="n"/>
      <c r="F30" s="38" t="n"/>
      <c r="G30" s="38" t="n"/>
      <c r="H30" s="43" t="n"/>
      <c r="I30" s="38" t="n"/>
      <c r="J30" s="38" t="n"/>
      <c r="K30" s="38" t="n"/>
      <c r="L30" s="38" t="n"/>
    </row>
    <row r="31" ht="21" customHeight="1">
      <c r="A31" s="38" t="n"/>
      <c r="B31" s="38" t="n"/>
      <c r="C31" s="38" t="n"/>
      <c r="D31" s="38" t="n"/>
      <c r="E31" s="38" t="n"/>
      <c r="F31" s="38" t="n"/>
      <c r="G31" s="38" t="n"/>
      <c r="H31" s="43" t="n"/>
      <c r="I31" s="38" t="n"/>
      <c r="J31" s="38" t="n"/>
      <c r="K31" s="38" t="n"/>
      <c r="L31" s="38" t="n"/>
    </row>
    <row r="32" ht="21" customHeight="1">
      <c r="A32" s="38" t="n"/>
      <c r="B32" s="38" t="n"/>
      <c r="C32" s="38" t="n"/>
      <c r="D32" s="38" t="n"/>
      <c r="E32" s="38" t="n"/>
      <c r="F32" s="38" t="n"/>
      <c r="G32" s="38" t="n"/>
      <c r="H32" s="43" t="n"/>
      <c r="I32" s="38" t="n"/>
      <c r="J32" s="38" t="n"/>
      <c r="K32" s="38" t="n"/>
      <c r="L32" s="38" t="n"/>
    </row>
    <row r="33" ht="21" customHeight="1">
      <c r="A33" s="38" t="n"/>
      <c r="B33" s="38" t="n"/>
      <c r="C33" s="38" t="n"/>
      <c r="D33" s="38" t="n"/>
      <c r="E33" s="38" t="n"/>
      <c r="F33" s="38" t="n"/>
      <c r="G33" s="38" t="n"/>
      <c r="H33" s="43" t="n"/>
      <c r="I33" s="38" t="n"/>
      <c r="J33" s="38" t="n"/>
      <c r="K33" s="38" t="n"/>
      <c r="L33" s="38" t="n"/>
    </row>
    <row r="34" ht="21" customHeight="1">
      <c r="A34" s="38" t="n"/>
      <c r="B34" s="38" t="n"/>
      <c r="C34" s="38" t="n"/>
      <c r="D34" s="38" t="n"/>
      <c r="E34" s="38" t="n"/>
      <c r="F34" s="38" t="n"/>
      <c r="G34" s="38" t="n"/>
      <c r="H34" s="43" t="n"/>
      <c r="I34" s="38" t="n"/>
      <c r="J34" s="38" t="n"/>
      <c r="K34" s="38" t="n"/>
      <c r="L34" s="38" t="n"/>
    </row>
    <row r="35" ht="21" customHeight="1">
      <c r="A35" s="38" t="n"/>
      <c r="B35" s="38" t="n"/>
      <c r="C35" s="38" t="n"/>
      <c r="D35" s="38" t="n"/>
      <c r="E35" s="38" t="n"/>
      <c r="F35" s="38" t="n"/>
      <c r="G35" s="38" t="n"/>
      <c r="H35" s="43" t="n"/>
      <c r="I35" s="38" t="n"/>
      <c r="J35" s="38" t="n"/>
      <c r="K35" s="38" t="n"/>
      <c r="L35" s="38" t="n"/>
    </row>
    <row r="36" ht="21" customHeight="1">
      <c r="A36" s="38" t="n"/>
      <c r="B36" s="38" t="n"/>
      <c r="C36" s="38" t="n"/>
      <c r="D36" s="38" t="n"/>
      <c r="E36" s="38" t="n"/>
      <c r="F36" s="38" t="n"/>
      <c r="G36" s="38" t="n"/>
      <c r="H36" s="43" t="n"/>
      <c r="I36" s="38" t="n"/>
      <c r="J36" s="38" t="n"/>
      <c r="K36" s="38" t="n"/>
      <c r="L36" s="38" t="n"/>
    </row>
    <row r="37" ht="21" customHeight="1">
      <c r="A37" s="38" t="n"/>
      <c r="B37" s="38" t="n"/>
      <c r="C37" s="38" t="n"/>
      <c r="D37" s="38" t="n"/>
      <c r="E37" s="38" t="n"/>
      <c r="F37" s="38" t="n"/>
      <c r="G37" s="38" t="n"/>
      <c r="H37" s="43" t="n"/>
      <c r="I37" s="38" t="n"/>
      <c r="J37" s="38" t="n"/>
      <c r="K37" s="38" t="n"/>
      <c r="L37" s="38" t="n"/>
    </row>
    <row r="38" ht="21" customHeight="1">
      <c r="A38" s="38" t="n"/>
      <c r="B38" s="38" t="n"/>
      <c r="C38" s="38" t="n"/>
      <c r="D38" s="38" t="n"/>
      <c r="E38" s="38" t="n"/>
      <c r="F38" s="38" t="n"/>
      <c r="G38" s="38" t="n"/>
      <c r="H38" s="43" t="n"/>
      <c r="I38" s="38" t="n"/>
      <c r="J38" s="38" t="n"/>
      <c r="K38" s="38" t="n"/>
      <c r="L38" s="38" t="n"/>
    </row>
    <row r="39" ht="21" customHeight="1">
      <c r="A39" s="38" t="n"/>
      <c r="B39" s="38" t="n"/>
      <c r="C39" s="38" t="n"/>
      <c r="D39" s="38" t="n"/>
      <c r="E39" s="38" t="n"/>
      <c r="F39" s="38" t="n"/>
      <c r="G39" s="38" t="n"/>
      <c r="H39" s="43" t="n"/>
      <c r="I39" s="38" t="n"/>
      <c r="J39" s="38" t="n"/>
      <c r="K39" s="38" t="n"/>
      <c r="L39" s="38" t="n"/>
    </row>
    <row r="40" ht="21" customHeight="1">
      <c r="A40" s="38" t="n"/>
      <c r="B40" s="38" t="n"/>
      <c r="C40" s="38" t="n"/>
      <c r="D40" s="38" t="n"/>
      <c r="E40" s="38" t="n"/>
      <c r="F40" s="38" t="n"/>
      <c r="G40" s="38" t="n"/>
      <c r="H40" s="43" t="n"/>
      <c r="I40" s="38" t="n"/>
      <c r="J40" s="38" t="n"/>
      <c r="K40" s="38" t="n"/>
      <c r="L40" s="38" t="n"/>
    </row>
    <row r="41" ht="21" customHeight="1">
      <c r="A41" s="38" t="n"/>
      <c r="B41" s="38" t="n"/>
      <c r="C41" s="38" t="n"/>
      <c r="D41" s="38" t="n"/>
      <c r="E41" s="38" t="n"/>
      <c r="F41" s="38" t="n"/>
      <c r="G41" s="38" t="n"/>
      <c r="H41" s="43" t="n"/>
      <c r="I41" s="38" t="n"/>
      <c r="J41" s="38" t="n"/>
      <c r="K41" s="38" t="n"/>
      <c r="L41" s="38" t="n"/>
    </row>
    <row r="42" ht="21" customHeight="1">
      <c r="A42" s="38" t="n"/>
      <c r="B42" s="38" t="n"/>
      <c r="C42" s="38" t="n"/>
      <c r="D42" s="38" t="n"/>
      <c r="E42" s="38" t="n"/>
      <c r="F42" s="38" t="n"/>
      <c r="G42" s="38" t="n"/>
      <c r="H42" s="43" t="n"/>
      <c r="I42" s="38" t="n"/>
      <c r="J42" s="38" t="n"/>
      <c r="K42" s="38" t="n"/>
      <c r="L42" s="38" t="n"/>
    </row>
    <row r="43" ht="21" customHeight="1">
      <c r="A43" s="38" t="n"/>
      <c r="B43" s="38" t="n"/>
      <c r="C43" s="38" t="n"/>
      <c r="D43" s="38" t="n"/>
      <c r="E43" s="38" t="n"/>
      <c r="F43" s="38" t="n"/>
      <c r="G43" s="38" t="n"/>
      <c r="H43" s="43" t="n"/>
      <c r="I43" s="38" t="n"/>
      <c r="J43" s="38" t="n"/>
      <c r="K43" s="38" t="n"/>
      <c r="L43" s="38" t="n"/>
    </row>
    <row r="44" ht="21" customHeight="1">
      <c r="A44" s="38" t="n"/>
      <c r="B44" s="38" t="n"/>
      <c r="C44" s="38" t="n"/>
      <c r="D44" s="38" t="n"/>
      <c r="E44" s="38" t="n"/>
      <c r="F44" s="38" t="n"/>
      <c r="G44" s="38" t="n"/>
      <c r="H44" s="43" t="n"/>
      <c r="I44" s="38" t="n"/>
      <c r="J44" s="38" t="n"/>
      <c r="K44" s="38" t="n"/>
      <c r="L44" s="38" t="n"/>
    </row>
    <row r="45" ht="21" customHeight="1">
      <c r="A45" s="38" t="n"/>
      <c r="B45" s="38" t="n"/>
      <c r="C45" s="38" t="n"/>
      <c r="D45" s="38" t="n"/>
      <c r="E45" s="38" t="n"/>
      <c r="F45" s="38" t="n"/>
      <c r="G45" s="38" t="n"/>
      <c r="H45" s="43" t="n"/>
      <c r="I45" s="38" t="n"/>
      <c r="J45" s="38" t="n"/>
      <c r="K45" s="38" t="n"/>
      <c r="L45" s="38" t="n"/>
    </row>
    <row r="46" ht="21" customHeight="1">
      <c r="A46" s="38" t="n"/>
      <c r="B46" s="38" t="n"/>
      <c r="C46" s="38" t="n"/>
      <c r="D46" s="38" t="n"/>
      <c r="E46" s="38" t="n"/>
      <c r="F46" s="38" t="n"/>
      <c r="G46" s="38" t="n"/>
      <c r="H46" s="43" t="n"/>
      <c r="I46" s="38" t="n"/>
      <c r="J46" s="38" t="n"/>
      <c r="K46" s="38" t="n"/>
      <c r="L46" s="38" t="n"/>
    </row>
    <row r="47" ht="21" customHeight="1">
      <c r="A47" s="38" t="n"/>
      <c r="B47" s="38" t="n"/>
      <c r="C47" s="38" t="n"/>
      <c r="D47" s="38" t="n"/>
      <c r="E47" s="38" t="n"/>
      <c r="F47" s="38" t="n"/>
      <c r="G47" s="38" t="n"/>
      <c r="H47" s="43" t="n"/>
      <c r="I47" s="38" t="n"/>
      <c r="J47" s="38" t="n"/>
      <c r="K47" s="38" t="n"/>
      <c r="L47" s="38" t="n"/>
    </row>
    <row r="48" ht="21" customHeight="1">
      <c r="A48" s="38" t="n"/>
      <c r="B48" s="38" t="n"/>
      <c r="C48" s="38" t="n"/>
      <c r="D48" s="38" t="n"/>
      <c r="E48" s="38" t="n"/>
      <c r="F48" s="38" t="n"/>
      <c r="G48" s="38" t="n"/>
      <c r="H48" s="43" t="n"/>
      <c r="I48" s="38" t="n"/>
      <c r="J48" s="38" t="n"/>
      <c r="K48" s="38" t="n"/>
      <c r="L48" s="38" t="n"/>
    </row>
    <row r="49" ht="21" customHeight="1">
      <c r="A49" s="38" t="n"/>
      <c r="B49" s="38" t="n"/>
      <c r="C49" s="38" t="n"/>
      <c r="D49" s="38" t="n"/>
      <c r="E49" s="38" t="n"/>
      <c r="F49" s="38" t="n"/>
      <c r="G49" s="38" t="n"/>
      <c r="H49" s="43" t="n"/>
      <c r="I49" s="38" t="n"/>
      <c r="J49" s="38" t="n"/>
      <c r="K49" s="38" t="n"/>
      <c r="L49" s="38" t="n"/>
    </row>
    <row r="50" ht="21" customHeight="1">
      <c r="A50" s="38" t="n"/>
      <c r="B50" s="38" t="n"/>
      <c r="C50" s="38" t="n"/>
      <c r="D50" s="38" t="n"/>
      <c r="E50" s="38" t="n"/>
      <c r="F50" s="38" t="n"/>
      <c r="G50" s="38" t="n"/>
      <c r="H50" s="43" t="n"/>
      <c r="I50" s="38" t="n"/>
      <c r="J50" s="38" t="n"/>
      <c r="K50" s="38" t="n"/>
      <c r="L50" s="38" t="n"/>
    </row>
    <row r="51" ht="21" customHeight="1">
      <c r="A51" s="38" t="n"/>
      <c r="B51" s="38" t="n"/>
      <c r="C51" s="38" t="n"/>
      <c r="D51" s="38" t="n"/>
      <c r="E51" s="38" t="n"/>
      <c r="F51" s="38" t="n"/>
      <c r="G51" s="38" t="n"/>
      <c r="H51" s="43" t="n"/>
      <c r="I51" s="38" t="n"/>
      <c r="J51" s="38" t="n"/>
      <c r="K51" s="38" t="n"/>
      <c r="L51" s="38" t="n"/>
    </row>
    <row r="52" ht="21" customHeight="1">
      <c r="A52" s="38" t="n"/>
      <c r="B52" s="38" t="n"/>
      <c r="C52" s="38" t="n"/>
      <c r="D52" s="38" t="n"/>
      <c r="E52" s="38" t="n"/>
      <c r="F52" s="38" t="n"/>
      <c r="G52" s="38" t="n"/>
      <c r="H52" s="43" t="n"/>
      <c r="I52" s="38" t="n"/>
      <c r="J52" s="38" t="n"/>
      <c r="K52" s="38" t="n"/>
      <c r="L52" s="38" t="n"/>
    </row>
    <row r="53" ht="21" customHeight="1">
      <c r="A53" s="38" t="n"/>
      <c r="B53" s="38" t="n"/>
      <c r="C53" s="38" t="n"/>
      <c r="D53" s="38" t="n"/>
      <c r="E53" s="38" t="n"/>
      <c r="F53" s="38" t="n"/>
      <c r="G53" s="38" t="n"/>
      <c r="H53" s="43" t="n"/>
      <c r="I53" s="38" t="n"/>
      <c r="J53" s="38" t="n"/>
      <c r="K53" s="38" t="n"/>
      <c r="L53" s="38" t="n"/>
    </row>
    <row r="54" ht="21" customHeight="1">
      <c r="A54" s="38" t="n"/>
      <c r="B54" s="38" t="n"/>
      <c r="C54" s="38" t="n"/>
      <c r="D54" s="38" t="n"/>
      <c r="E54" s="38" t="n"/>
      <c r="F54" s="38" t="n"/>
      <c r="G54" s="38" t="n"/>
      <c r="H54" s="43" t="n"/>
      <c r="I54" s="38" t="n"/>
      <c r="J54" s="38" t="n"/>
      <c r="K54" s="38" t="n"/>
      <c r="L54" s="38" t="n"/>
    </row>
    <row r="55" ht="21" customHeight="1">
      <c r="A55" s="38" t="n"/>
      <c r="B55" s="38" t="n"/>
      <c r="C55" s="38" t="n"/>
      <c r="D55" s="38" t="n"/>
      <c r="E55" s="38" t="n"/>
      <c r="F55" s="38" t="n"/>
      <c r="G55" s="38" t="n"/>
      <c r="H55" s="43" t="n"/>
      <c r="I55" s="38" t="n"/>
      <c r="J55" s="38" t="n"/>
      <c r="K55" s="38" t="n"/>
      <c r="L55" s="38" t="n"/>
    </row>
    <row r="56" ht="21" customHeight="1">
      <c r="A56" s="38" t="n"/>
      <c r="B56" s="38" t="n"/>
      <c r="C56" s="38" t="n"/>
      <c r="D56" s="38" t="n"/>
      <c r="E56" s="38" t="n"/>
      <c r="F56" s="38" t="n"/>
      <c r="G56" s="38" t="n"/>
      <c r="H56" s="43" t="n"/>
      <c r="I56" s="38" t="n"/>
      <c r="J56" s="38" t="n"/>
      <c r="K56" s="38" t="n"/>
      <c r="L56" s="38" t="n"/>
    </row>
    <row r="57" ht="21" customHeight="1">
      <c r="A57" s="38" t="n"/>
      <c r="B57" s="38" t="n"/>
      <c r="C57" s="38" t="n"/>
      <c r="D57" s="38" t="n"/>
      <c r="E57" s="38" t="n"/>
      <c r="F57" s="38" t="n"/>
      <c r="G57" s="38" t="n"/>
      <c r="H57" s="43" t="n"/>
      <c r="I57" s="38" t="n"/>
      <c r="J57" s="38" t="n"/>
      <c r="K57" s="38" t="n"/>
      <c r="L57" s="38" t="n"/>
    </row>
    <row r="58" ht="21" customHeight="1">
      <c r="A58" s="38" t="n"/>
      <c r="B58" s="38" t="n"/>
      <c r="C58" s="38" t="n"/>
      <c r="D58" s="38" t="n"/>
      <c r="E58" s="38" t="n"/>
      <c r="F58" s="38" t="n"/>
      <c r="G58" s="38" t="n"/>
      <c r="H58" s="43" t="n"/>
      <c r="I58" s="38" t="n"/>
      <c r="J58" s="38" t="n"/>
      <c r="K58" s="38" t="n"/>
      <c r="L58" s="38" t="n"/>
    </row>
    <row r="59" ht="21" customHeight="1">
      <c r="A59" s="38" t="n"/>
      <c r="B59" s="38" t="n"/>
      <c r="C59" s="38" t="n"/>
      <c r="D59" s="38" t="n"/>
      <c r="E59" s="38" t="n"/>
      <c r="F59" s="38" t="n"/>
      <c r="G59" s="38" t="n"/>
      <c r="H59" s="43" t="n"/>
      <c r="I59" s="38" t="n"/>
      <c r="J59" s="38" t="n"/>
      <c r="K59" s="38" t="n"/>
      <c r="L59" s="38" t="n"/>
    </row>
    <row r="60" ht="21" customHeight="1">
      <c r="A60" s="38" t="n"/>
      <c r="B60" s="38" t="n"/>
      <c r="C60" s="38" t="n"/>
      <c r="D60" s="38" t="n"/>
      <c r="E60" s="38" t="n"/>
      <c r="F60" s="38" t="n"/>
      <c r="G60" s="38" t="n"/>
      <c r="H60" s="43" t="n"/>
      <c r="I60" s="38" t="n"/>
      <c r="J60" s="38" t="n"/>
      <c r="K60" s="38" t="n"/>
      <c r="L60" s="38" t="n"/>
    </row>
    <row r="61" ht="21" customHeight="1">
      <c r="A61" s="38" t="n"/>
      <c r="B61" s="38" t="n"/>
      <c r="C61" s="38" t="n"/>
      <c r="D61" s="38" t="n"/>
      <c r="E61" s="38" t="n"/>
      <c r="F61" s="38" t="n"/>
      <c r="G61" s="38" t="n"/>
      <c r="H61" s="43" t="n"/>
      <c r="I61" s="38" t="n"/>
      <c r="J61" s="38" t="n"/>
      <c r="K61" s="38" t="n"/>
      <c r="L61" s="38" t="n"/>
    </row>
    <row r="62" ht="21" customHeight="1">
      <c r="A62" s="38" t="n"/>
      <c r="B62" s="38" t="n"/>
      <c r="C62" s="38" t="n"/>
      <c r="D62" s="38" t="n"/>
      <c r="E62" s="38" t="n"/>
      <c r="F62" s="38" t="n"/>
      <c r="G62" s="38" t="n"/>
      <c r="H62" s="43" t="n"/>
      <c r="I62" s="38" t="n"/>
      <c r="J62" s="38" t="n"/>
      <c r="K62" s="38" t="n"/>
      <c r="L62" s="38" t="n"/>
    </row>
    <row r="63" ht="21" customHeight="1">
      <c r="A63" s="38" t="n"/>
      <c r="B63" s="38" t="n"/>
      <c r="C63" s="38" t="n"/>
      <c r="D63" s="38" t="n"/>
      <c r="E63" s="38" t="n"/>
      <c r="F63" s="38" t="n"/>
      <c r="G63" s="38" t="n"/>
      <c r="H63" s="43" t="n"/>
      <c r="I63" s="38" t="n"/>
      <c r="J63" s="38" t="n"/>
      <c r="K63" s="38" t="n"/>
      <c r="L63" s="38" t="n"/>
    </row>
    <row r="64" ht="21" customHeight="1">
      <c r="A64" s="38" t="n"/>
      <c r="B64" s="38" t="n"/>
      <c r="C64" s="38" t="n"/>
      <c r="D64" s="38" t="n"/>
      <c r="E64" s="38" t="n"/>
      <c r="F64" s="38" t="n"/>
      <c r="G64" s="38" t="n"/>
      <c r="H64" s="43" t="n"/>
      <c r="I64" s="38" t="n"/>
      <c r="J64" s="38" t="n"/>
      <c r="K64" s="38" t="n"/>
      <c r="L64" s="38" t="n"/>
    </row>
    <row r="65" ht="21" customHeight="1">
      <c r="A65" s="38" t="n"/>
      <c r="B65" s="38" t="n"/>
      <c r="C65" s="38" t="n"/>
      <c r="D65" s="38" t="n"/>
      <c r="E65" s="38" t="n"/>
      <c r="F65" s="38" t="n"/>
      <c r="G65" s="38" t="n"/>
      <c r="H65" s="43" t="n"/>
      <c r="I65" s="38" t="n"/>
      <c r="J65" s="38" t="n"/>
      <c r="K65" s="38" t="n"/>
      <c r="L65" s="38" t="n"/>
    </row>
    <row r="66" ht="21" customHeight="1">
      <c r="A66" s="38" t="n"/>
      <c r="B66" s="38" t="n"/>
      <c r="C66" s="38" t="n"/>
      <c r="D66" s="38" t="n"/>
      <c r="E66" s="38" t="n"/>
      <c r="F66" s="38" t="n"/>
      <c r="G66" s="38" t="n"/>
      <c r="H66" s="43" t="n"/>
      <c r="I66" s="38" t="n"/>
      <c r="J66" s="38" t="n"/>
      <c r="K66" s="38" t="n"/>
      <c r="L66" s="38" t="n"/>
    </row>
    <row r="67" ht="21" customHeight="1">
      <c r="A67" s="38" t="n"/>
      <c r="B67" s="38" t="n"/>
      <c r="C67" s="38" t="n"/>
      <c r="D67" s="38" t="n"/>
      <c r="E67" s="38" t="n"/>
      <c r="F67" s="38" t="n"/>
      <c r="G67" s="38" t="n"/>
      <c r="H67" s="43" t="n"/>
      <c r="I67" s="38" t="n"/>
      <c r="J67" s="38" t="n"/>
      <c r="K67" s="38" t="n"/>
      <c r="L67" s="38" t="n"/>
    </row>
    <row r="68" ht="21" customHeight="1">
      <c r="A68" s="38" t="n"/>
      <c r="B68" s="38" t="n"/>
      <c r="C68" s="38" t="n"/>
      <c r="D68" s="38" t="n"/>
      <c r="E68" s="38" t="n"/>
      <c r="F68" s="38" t="n"/>
      <c r="G68" s="38" t="n"/>
      <c r="H68" s="43" t="n"/>
      <c r="I68" s="38" t="n"/>
      <c r="J68" s="38" t="n"/>
      <c r="K68" s="38" t="n"/>
      <c r="L68" s="38" t="n"/>
    </row>
    <row r="69" ht="21" customHeight="1">
      <c r="A69" s="38" t="n"/>
      <c r="B69" s="38" t="n"/>
      <c r="C69" s="38" t="n"/>
      <c r="D69" s="38" t="n"/>
      <c r="E69" s="38" t="n"/>
      <c r="F69" s="38" t="n"/>
      <c r="G69" s="38" t="n"/>
      <c r="H69" s="43" t="n"/>
      <c r="I69" s="38" t="n"/>
      <c r="J69" s="38" t="n"/>
      <c r="K69" s="38" t="n"/>
      <c r="L69" s="38" t="n"/>
    </row>
    <row r="70" ht="21" customHeight="1">
      <c r="A70" s="38" t="n"/>
      <c r="B70" s="38" t="n"/>
      <c r="C70" s="38" t="n"/>
      <c r="D70" s="38" t="n"/>
      <c r="E70" s="38" t="n"/>
      <c r="F70" s="38" t="n"/>
      <c r="G70" s="38" t="n"/>
      <c r="H70" s="43" t="n"/>
      <c r="I70" s="38" t="n"/>
      <c r="J70" s="38" t="n"/>
      <c r="K70" s="38" t="n"/>
      <c r="L70" s="38" t="n"/>
    </row>
    <row r="71" ht="21" customHeight="1">
      <c r="A71" s="38" t="n"/>
      <c r="B71" s="38" t="n"/>
      <c r="C71" s="38" t="n"/>
      <c r="D71" s="38" t="n"/>
      <c r="E71" s="38" t="n"/>
      <c r="F71" s="38" t="n"/>
      <c r="G71" s="38" t="n"/>
      <c r="H71" s="43" t="n"/>
      <c r="I71" s="38" t="n"/>
      <c r="J71" s="38" t="n"/>
      <c r="K71" s="38" t="n"/>
      <c r="L71" s="38" t="n"/>
    </row>
    <row r="72" ht="21" customHeight="1">
      <c r="A72" s="38" t="n"/>
      <c r="B72" s="38" t="n"/>
      <c r="C72" s="38" t="n"/>
      <c r="D72" s="38" t="n"/>
      <c r="E72" s="38" t="n"/>
      <c r="F72" s="38" t="n"/>
      <c r="G72" s="38" t="n"/>
      <c r="H72" s="43" t="n"/>
      <c r="I72" s="38" t="n"/>
      <c r="J72" s="38" t="n"/>
      <c r="K72" s="38" t="n"/>
      <c r="L72" s="38" t="n"/>
    </row>
    <row r="73" ht="21" customHeight="1">
      <c r="A73" s="38" t="n"/>
      <c r="B73" s="38" t="n"/>
      <c r="C73" s="38" t="n"/>
      <c r="D73" s="38" t="n"/>
      <c r="E73" s="38" t="n"/>
      <c r="F73" s="38" t="n"/>
      <c r="G73" s="38" t="n"/>
      <c r="H73" s="43" t="n"/>
      <c r="I73" s="38" t="n"/>
      <c r="J73" s="38" t="n"/>
      <c r="K73" s="38" t="n"/>
      <c r="L73" s="38" t="n"/>
    </row>
    <row r="74" ht="21" customHeight="1">
      <c r="A74" s="38" t="n"/>
      <c r="B74" s="38" t="n"/>
      <c r="C74" s="38" t="n"/>
      <c r="D74" s="38" t="n"/>
      <c r="E74" s="38" t="n"/>
      <c r="F74" s="38" t="n"/>
      <c r="G74" s="38" t="n"/>
      <c r="H74" s="43" t="n"/>
      <c r="I74" s="38" t="n"/>
      <c r="J74" s="38" t="n"/>
      <c r="K74" s="38" t="n"/>
      <c r="L74" s="38" t="n"/>
    </row>
    <row r="75" ht="21" customHeight="1">
      <c r="A75" s="38" t="n"/>
      <c r="B75" s="38" t="n"/>
      <c r="C75" s="38" t="n"/>
      <c r="D75" s="38" t="n"/>
      <c r="E75" s="38" t="n"/>
      <c r="F75" s="38" t="n"/>
      <c r="G75" s="38" t="n"/>
      <c r="H75" s="43" t="n"/>
      <c r="I75" s="38" t="n"/>
      <c r="J75" s="38" t="n"/>
      <c r="K75" s="38" t="n"/>
      <c r="L75" s="38" t="n"/>
    </row>
    <row r="76" ht="21" customHeight="1">
      <c r="A76" s="38" t="n"/>
      <c r="B76" s="38" t="n"/>
      <c r="C76" s="38" t="n"/>
      <c r="D76" s="38" t="n"/>
      <c r="E76" s="38" t="n"/>
      <c r="F76" s="38" t="n"/>
      <c r="G76" s="38" t="n"/>
      <c r="H76" s="43" t="n"/>
      <c r="I76" s="38" t="n"/>
      <c r="J76" s="38" t="n"/>
      <c r="K76" s="38" t="n"/>
      <c r="L76" s="38" t="n"/>
    </row>
    <row r="77" ht="21" customHeight="1">
      <c r="A77" s="38" t="n"/>
      <c r="B77" s="38" t="n"/>
      <c r="C77" s="38" t="n"/>
      <c r="D77" s="38" t="n"/>
      <c r="E77" s="38" t="n"/>
      <c r="F77" s="38" t="n"/>
      <c r="G77" s="38" t="n"/>
      <c r="H77" s="43" t="n"/>
      <c r="I77" s="38" t="n"/>
      <c r="J77" s="38" t="n"/>
      <c r="K77" s="38" t="n"/>
      <c r="L77" s="38" t="n"/>
    </row>
    <row r="78" ht="21" customHeight="1">
      <c r="A78" s="38" t="n"/>
      <c r="B78" s="38" t="n"/>
      <c r="C78" s="38" t="n"/>
      <c r="D78" s="38" t="n"/>
      <c r="E78" s="38" t="n"/>
      <c r="F78" s="38" t="n"/>
      <c r="G78" s="38" t="n"/>
      <c r="H78" s="43" t="n"/>
      <c r="I78" s="38" t="n"/>
      <c r="J78" s="38" t="n"/>
      <c r="K78" s="38" t="n"/>
      <c r="L78" s="38" t="n"/>
    </row>
    <row r="79" ht="21" customHeight="1">
      <c r="A79" s="38" t="n"/>
      <c r="B79" s="38" t="n"/>
      <c r="C79" s="38" t="n"/>
      <c r="D79" s="38" t="n"/>
      <c r="E79" s="38" t="n"/>
      <c r="F79" s="38" t="n"/>
      <c r="G79" s="38" t="n"/>
      <c r="H79" s="43" t="n"/>
      <c r="I79" s="38" t="n"/>
      <c r="J79" s="38" t="n"/>
      <c r="K79" s="38" t="n"/>
      <c r="L79" s="38" t="n"/>
    </row>
    <row r="80" ht="21" customHeight="1">
      <c r="A80" s="38" t="n"/>
      <c r="B80" s="38" t="n"/>
      <c r="C80" s="38" t="n"/>
      <c r="D80" s="38" t="n"/>
      <c r="E80" s="38" t="n"/>
      <c r="F80" s="38" t="n"/>
      <c r="G80" s="38" t="n"/>
      <c r="H80" s="43" t="n"/>
      <c r="I80" s="38" t="n"/>
      <c r="J80" s="38" t="n"/>
      <c r="K80" s="38" t="n"/>
      <c r="L80" s="38" t="n"/>
    </row>
    <row r="81" ht="21" customHeight="1">
      <c r="A81" s="38" t="n"/>
      <c r="B81" s="38" t="n"/>
      <c r="C81" s="38" t="n"/>
      <c r="D81" s="38" t="n"/>
      <c r="E81" s="38" t="n"/>
      <c r="F81" s="38" t="n"/>
      <c r="G81" s="38" t="n"/>
      <c r="H81" s="43" t="n"/>
      <c r="I81" s="38" t="n"/>
      <c r="J81" s="38" t="n"/>
      <c r="K81" s="38" t="n"/>
      <c r="L81" s="38" t="n"/>
    </row>
    <row r="82" ht="21" customHeight="1">
      <c r="A82" s="38" t="n"/>
      <c r="B82" s="38" t="n"/>
      <c r="C82" s="38" t="n"/>
      <c r="D82" s="38" t="n"/>
      <c r="E82" s="38" t="n"/>
      <c r="F82" s="38" t="n"/>
      <c r="G82" s="38" t="n"/>
      <c r="H82" s="43" t="n"/>
      <c r="I82" s="38" t="n"/>
      <c r="J82" s="38" t="n"/>
      <c r="K82" s="38" t="n"/>
      <c r="L82" s="38" t="n"/>
    </row>
    <row r="83" ht="21" customHeight="1">
      <c r="A83" s="38" t="n"/>
      <c r="B83" s="38" t="n"/>
      <c r="C83" s="38" t="n"/>
      <c r="D83" s="38" t="n"/>
      <c r="E83" s="38" t="n"/>
      <c r="F83" s="38" t="n"/>
      <c r="G83" s="38" t="n"/>
      <c r="H83" s="43" t="n"/>
      <c r="I83" s="38" t="n"/>
      <c r="J83" s="38" t="n"/>
      <c r="K83" s="38" t="n"/>
      <c r="L83" s="38" t="n"/>
    </row>
    <row r="84" ht="21" customHeight="1">
      <c r="A84" s="38" t="n"/>
      <c r="B84" s="38" t="n"/>
      <c r="C84" s="38" t="n"/>
      <c r="D84" s="38" t="n"/>
      <c r="E84" s="38" t="n"/>
      <c r="F84" s="38" t="n"/>
      <c r="G84" s="38" t="n"/>
      <c r="H84" s="43" t="n"/>
      <c r="I84" s="38" t="n"/>
      <c r="J84" s="38" t="n"/>
      <c r="K84" s="38" t="n"/>
      <c r="L84" s="38" t="n"/>
    </row>
    <row r="85" ht="21" customHeight="1">
      <c r="A85" s="38" t="n"/>
      <c r="B85" s="38" t="n"/>
      <c r="C85" s="38" t="n"/>
      <c r="D85" s="38" t="n"/>
      <c r="E85" s="38" t="n"/>
      <c r="F85" s="38" t="n"/>
      <c r="G85" s="38" t="n"/>
      <c r="H85" s="43" t="n"/>
      <c r="I85" s="38" t="n"/>
      <c r="J85" s="38" t="n"/>
      <c r="K85" s="38" t="n"/>
      <c r="L85" s="38" t="n"/>
    </row>
    <row r="86" ht="21" customHeight="1">
      <c r="A86" s="38" t="n"/>
      <c r="B86" s="38" t="n"/>
      <c r="C86" s="38" t="n"/>
      <c r="D86" s="38" t="n"/>
      <c r="E86" s="38" t="n"/>
      <c r="F86" s="38" t="n"/>
      <c r="G86" s="38" t="n"/>
      <c r="H86" s="43" t="n"/>
      <c r="I86" s="38" t="n"/>
      <c r="J86" s="38" t="n"/>
      <c r="K86" s="38" t="n"/>
      <c r="L86" s="38" t="n"/>
    </row>
    <row r="87" ht="21" customHeight="1">
      <c r="A87" s="38" t="n"/>
      <c r="B87" s="38" t="n"/>
      <c r="C87" s="38" t="n"/>
      <c r="D87" s="38" t="n"/>
      <c r="E87" s="38" t="n"/>
      <c r="F87" s="38" t="n"/>
      <c r="G87" s="38" t="n"/>
      <c r="H87" s="43" t="n"/>
      <c r="I87" s="38" t="n"/>
      <c r="J87" s="38" t="n"/>
      <c r="K87" s="38" t="n"/>
      <c r="L87" s="38" t="n"/>
    </row>
    <row r="88" ht="21" customHeight="1">
      <c r="A88" s="38" t="n"/>
      <c r="B88" s="38" t="n"/>
      <c r="C88" s="38" t="n"/>
      <c r="D88" s="38" t="n"/>
      <c r="E88" s="38" t="n"/>
      <c r="F88" s="38" t="n"/>
      <c r="G88" s="38" t="n"/>
      <c r="H88" s="43" t="n"/>
      <c r="I88" s="38" t="n"/>
      <c r="J88" s="38" t="n"/>
      <c r="K88" s="38" t="n"/>
      <c r="L88" s="38" t="n"/>
    </row>
    <row r="89" ht="21" customHeight="1">
      <c r="A89" s="38" t="n"/>
      <c r="B89" s="38" t="n"/>
      <c r="C89" s="38" t="n"/>
      <c r="D89" s="38" t="n"/>
      <c r="E89" s="38" t="n"/>
      <c r="F89" s="38" t="n"/>
      <c r="G89" s="38" t="n"/>
      <c r="H89" s="43" t="n"/>
      <c r="I89" s="38" t="n"/>
      <c r="J89" s="38" t="n"/>
      <c r="K89" s="38" t="n"/>
      <c r="L89" s="38" t="n"/>
    </row>
    <row r="90" ht="21" customHeight="1">
      <c r="A90" s="38" t="n"/>
      <c r="B90" s="38" t="n"/>
      <c r="C90" s="38" t="n"/>
      <c r="D90" s="38" t="n"/>
      <c r="E90" s="38" t="n"/>
      <c r="F90" s="38" t="n"/>
      <c r="G90" s="38" t="n"/>
      <c r="H90" s="43" t="n"/>
      <c r="I90" s="38" t="n"/>
      <c r="J90" s="38" t="n"/>
      <c r="K90" s="38" t="n"/>
      <c r="L90" s="38" t="n"/>
    </row>
    <row r="91" ht="21" customHeight="1">
      <c r="A91" s="38" t="n"/>
      <c r="B91" s="38" t="n"/>
      <c r="C91" s="38" t="n"/>
      <c r="D91" s="38" t="n"/>
      <c r="E91" s="38" t="n"/>
      <c r="F91" s="38" t="n"/>
      <c r="G91" s="38" t="n"/>
      <c r="H91" s="43" t="n"/>
      <c r="I91" s="38" t="n"/>
      <c r="J91" s="38" t="n"/>
      <c r="K91" s="38" t="n"/>
      <c r="L91" s="38" t="n"/>
    </row>
    <row r="92" ht="21" customHeight="1">
      <c r="A92" s="38" t="n"/>
      <c r="B92" s="38" t="n"/>
      <c r="C92" s="38" t="n"/>
      <c r="D92" s="38" t="n"/>
      <c r="E92" s="38" t="n"/>
      <c r="F92" s="38" t="n"/>
      <c r="G92" s="38" t="n"/>
      <c r="H92" s="43" t="n"/>
      <c r="I92" s="38" t="n"/>
      <c r="J92" s="38" t="n"/>
      <c r="K92" s="38" t="n"/>
      <c r="L92" s="38" t="n"/>
    </row>
    <row r="93" ht="21" customHeight="1">
      <c r="A93" s="38" t="n"/>
      <c r="B93" s="38" t="n"/>
      <c r="C93" s="38" t="n"/>
      <c r="D93" s="38" t="n"/>
      <c r="E93" s="38" t="n"/>
      <c r="F93" s="38" t="n"/>
      <c r="G93" s="38" t="n"/>
      <c r="H93" s="43" t="n"/>
      <c r="I93" s="38" t="n"/>
      <c r="J93" s="38" t="n"/>
      <c r="K93" s="38" t="n"/>
      <c r="L93" s="38" t="n"/>
    </row>
    <row r="94" ht="21" customHeight="1">
      <c r="A94" s="38" t="n"/>
      <c r="B94" s="38" t="n"/>
      <c r="C94" s="38" t="n"/>
      <c r="D94" s="38" t="n"/>
      <c r="E94" s="38" t="n"/>
      <c r="F94" s="38" t="n"/>
      <c r="G94" s="38" t="n"/>
      <c r="H94" s="43" t="n"/>
      <c r="I94" s="38" t="n"/>
      <c r="J94" s="38" t="n"/>
      <c r="K94" s="38" t="n"/>
      <c r="L94" s="38" t="n"/>
    </row>
    <row r="95" ht="21" customHeight="1">
      <c r="A95" s="38" t="n"/>
      <c r="B95" s="38" t="n"/>
      <c r="C95" s="38" t="n"/>
      <c r="D95" s="38" t="n"/>
      <c r="E95" s="38" t="n"/>
      <c r="F95" s="38" t="n"/>
      <c r="G95" s="38" t="n"/>
      <c r="H95" s="43" t="n"/>
      <c r="I95" s="38" t="n"/>
      <c r="J95" s="38" t="n"/>
      <c r="K95" s="38" t="n"/>
      <c r="L95" s="38" t="n"/>
    </row>
    <row r="96" ht="21" customHeight="1">
      <c r="A96" s="38" t="n"/>
      <c r="B96" s="38" t="n"/>
      <c r="C96" s="38" t="n"/>
      <c r="D96" s="38" t="n"/>
      <c r="E96" s="38" t="n"/>
      <c r="F96" s="38" t="n"/>
      <c r="G96" s="38" t="n"/>
      <c r="H96" s="43" t="n"/>
      <c r="I96" s="38" t="n"/>
      <c r="J96" s="38" t="n"/>
      <c r="K96" s="38" t="n"/>
      <c r="L96" s="38" t="n"/>
    </row>
    <row r="97" ht="21" customHeight="1">
      <c r="A97" s="38" t="n"/>
      <c r="B97" s="38" t="n"/>
      <c r="C97" s="38" t="n"/>
      <c r="D97" s="38" t="n"/>
      <c r="E97" s="38" t="n"/>
      <c r="F97" s="38" t="n"/>
      <c r="G97" s="38" t="n"/>
      <c r="H97" s="43" t="n"/>
      <c r="I97" s="38" t="n"/>
      <c r="J97" s="38" t="n"/>
      <c r="K97" s="38" t="n"/>
      <c r="L97" s="38" t="n"/>
    </row>
    <row r="98" ht="21" customHeight="1">
      <c r="A98" s="38" t="n"/>
      <c r="B98" s="38" t="n"/>
      <c r="C98" s="38" t="n"/>
      <c r="D98" s="38" t="n"/>
      <c r="E98" s="38" t="n"/>
      <c r="F98" s="38" t="n"/>
      <c r="G98" s="38" t="n"/>
      <c r="H98" s="43" t="n"/>
      <c r="I98" s="38" t="n"/>
      <c r="J98" s="38" t="n"/>
      <c r="K98" s="38" t="n"/>
      <c r="L98" s="38" t="n"/>
    </row>
    <row r="99" ht="21" customHeight="1">
      <c r="A99" s="38" t="n"/>
      <c r="B99" s="38" t="n"/>
      <c r="C99" s="38" t="n"/>
      <c r="D99" s="38" t="n"/>
      <c r="E99" s="38" t="n"/>
      <c r="F99" s="38" t="n"/>
      <c r="G99" s="38" t="n"/>
      <c r="H99" s="43" t="n"/>
      <c r="I99" s="38" t="n"/>
      <c r="J99" s="38" t="n"/>
      <c r="K99" s="38" t="n"/>
      <c r="L99" s="38" t="n"/>
    </row>
    <row r="100" ht="21" customHeight="1">
      <c r="A100" s="38" t="n"/>
      <c r="B100" s="38" t="n"/>
      <c r="C100" s="38" t="n"/>
      <c r="D100" s="38" t="n"/>
      <c r="E100" s="38" t="n"/>
      <c r="F100" s="38" t="n"/>
      <c r="G100" s="38" t="n"/>
      <c r="H100" s="43" t="n"/>
      <c r="I100" s="38" t="n"/>
      <c r="J100" s="38" t="n"/>
      <c r="K100" s="38" t="n"/>
      <c r="L100" s="38" t="n"/>
    </row>
    <row r="101" ht="21" customHeight="1">
      <c r="A101" s="38" t="n"/>
      <c r="B101" s="38" t="n"/>
      <c r="C101" s="38" t="n"/>
      <c r="D101" s="38" t="n"/>
      <c r="E101" s="38" t="n"/>
      <c r="F101" s="38" t="n"/>
      <c r="G101" s="38" t="n"/>
      <c r="H101" s="43" t="n"/>
      <c r="I101" s="38" t="n"/>
      <c r="J101" s="38" t="n"/>
      <c r="K101" s="38" t="n"/>
      <c r="L101" s="38" t="n"/>
    </row>
    <row r="102" ht="21" customHeight="1">
      <c r="A102" s="38" t="n"/>
      <c r="B102" s="38" t="n"/>
      <c r="C102" s="38" t="n"/>
      <c r="D102" s="38" t="n"/>
      <c r="E102" s="38" t="n"/>
      <c r="F102" s="38" t="n"/>
      <c r="G102" s="38" t="n"/>
      <c r="H102" s="43" t="n"/>
      <c r="I102" s="38" t="n"/>
      <c r="J102" s="38" t="n"/>
      <c r="K102" s="38" t="n"/>
      <c r="L102" s="38" t="n"/>
    </row>
    <row r="103" ht="21" customHeight="1">
      <c r="A103" s="38" t="n"/>
      <c r="B103" s="38" t="n"/>
      <c r="C103" s="38" t="n"/>
      <c r="D103" s="38" t="n"/>
      <c r="E103" s="38" t="n"/>
      <c r="F103" s="38" t="n"/>
      <c r="G103" s="38" t="n"/>
      <c r="H103" s="43" t="n"/>
      <c r="I103" s="38" t="n"/>
      <c r="J103" s="38" t="n"/>
      <c r="K103" s="38" t="n"/>
      <c r="L103" s="38" t="n"/>
    </row>
    <row r="104" ht="21" customHeight="1">
      <c r="A104" s="38" t="n"/>
      <c r="B104" s="38" t="n"/>
      <c r="C104" s="38" t="n"/>
      <c r="D104" s="38" t="n"/>
      <c r="E104" s="38" t="n"/>
      <c r="F104" s="38" t="n"/>
      <c r="G104" s="38" t="n"/>
      <c r="H104" s="43" t="n"/>
      <c r="I104" s="38" t="n"/>
      <c r="J104" s="38" t="n"/>
      <c r="K104" s="38" t="n"/>
      <c r="L104" s="38" t="n"/>
    </row>
    <row r="105" ht="21" customHeight="1">
      <c r="A105" s="38" t="n"/>
      <c r="B105" s="38" t="n"/>
      <c r="C105" s="38" t="n"/>
      <c r="D105" s="38" t="n"/>
      <c r="E105" s="38" t="n"/>
      <c r="F105" s="38" t="n"/>
      <c r="G105" s="38" t="n"/>
      <c r="H105" s="43" t="n"/>
      <c r="I105" s="38" t="n"/>
      <c r="J105" s="38" t="n"/>
      <c r="K105" s="38" t="n"/>
      <c r="L105" s="38" t="n"/>
    </row>
    <row r="106" ht="21" customHeight="1">
      <c r="A106" s="38" t="n"/>
      <c r="B106" s="38" t="n"/>
      <c r="C106" s="38" t="n"/>
      <c r="D106" s="38" t="n"/>
      <c r="E106" s="38" t="n"/>
      <c r="F106" s="38" t="n"/>
      <c r="G106" s="38" t="n"/>
      <c r="H106" s="43" t="n"/>
      <c r="I106" s="38" t="n"/>
      <c r="J106" s="38" t="n"/>
      <c r="K106" s="38" t="n"/>
      <c r="L106" s="38" t="n"/>
    </row>
  </sheetData>
  <autoFilter ref="A6:L106"/>
  <mergeCells count="3">
    <mergeCell ref="A3:L3"/>
    <mergeCell ref="A4:L4"/>
    <mergeCell ref="A1:L2"/>
  </mergeCells>
  <dataValidations count="1">
    <dataValidation sqref="B7:B106" showDropDown="0" showInputMessage="1" showErrorMessage="1" allowBlank="1" errorTitle="Invalid entry" error="Please choose a value from the dropdown list." promptTitle="Choose from the dropdown" prompt="Select a value from the list." type="list">
      <formula1>=VendorTypes</formula1>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11.xml><?xml version="1.0" encoding="utf-8"?>
<worksheet xmlns="http://schemas.openxmlformats.org/spreadsheetml/2006/main">
  <sheetPr>
    <tabColor rgb="002F6F73"/>
    <outlinePr summaryBelow="1" summaryRight="1"/>
    <pageSetUpPr fitToPage="1"/>
  </sheetPr>
  <dimension ref="A1:I308"/>
  <sheetViews>
    <sheetView showGridLines="0" zoomScale="85" workbookViewId="0">
      <pane ySplit="6" topLeftCell="A7" activePane="bottomLeft" state="frozen"/>
      <selection pane="bottomLeft" activeCell="A7" sqref="A1"/>
    </sheetView>
  </sheetViews>
  <sheetFormatPr baseColWidth="8" defaultRowHeight="15"/>
  <cols>
    <col width="25" customWidth="1" min="1" max="1"/>
    <col width="17" customWidth="1" min="2" max="2"/>
    <col width="17" customWidth="1" min="3" max="3"/>
    <col width="17" customWidth="1" min="4" max="4"/>
    <col width="18" customWidth="1" min="5" max="5"/>
    <col width="16" customWidth="1" min="6" max="6"/>
    <col width="16" customWidth="1" min="7" max="7"/>
    <col width="18" customWidth="1" min="8" max="8"/>
    <col width="34" customWidth="1" min="9" max="9"/>
  </cols>
  <sheetData>
    <row r="1" ht="26" customHeight="1">
      <c r="A1" s="1" t="inlineStr">
        <is>
          <t>Budget Tracker</t>
        </is>
      </c>
    </row>
    <row r="2" ht="26" customHeight="1"/>
    <row r="3" ht="26" customHeight="1">
      <c r="A3" s="24" t="inlineStr">
        <is>
          <t>Track category budgets, estimates, actuals, payments, and balance due. Difference = budgeted less estimated.</t>
        </is>
      </c>
    </row>
    <row r="4">
      <c r="A4" s="36" t="inlineStr">
        <is>
          <t>Tip: enter data in the warm cream cells. Blue cells calculate automatically. Use the filter arrows in row 6 to focus the view.</t>
        </is>
      </c>
    </row>
    <row r="6" ht="34" customHeight="1">
      <c r="A6" s="37" t="inlineStr">
        <is>
          <t>Budget category</t>
        </is>
      </c>
      <c r="B6" s="37" t="inlineStr">
        <is>
          <t>Budgeted amount</t>
        </is>
      </c>
      <c r="C6" s="37" t="inlineStr">
        <is>
          <t>Estimated amount</t>
        </is>
      </c>
      <c r="D6" s="37" t="inlineStr">
        <is>
          <t>Actual amount</t>
        </is>
      </c>
      <c r="E6" s="37" t="inlineStr">
        <is>
          <t>Difference</t>
        </is>
      </c>
      <c r="F6" s="37" t="inlineStr">
        <is>
          <t>Paid amount</t>
        </is>
      </c>
      <c r="G6" s="37" t="inlineStr">
        <is>
          <t>Balance due</t>
        </is>
      </c>
      <c r="H6" s="37" t="inlineStr">
        <is>
          <t>Payment status</t>
        </is>
      </c>
      <c r="I6" s="37" t="inlineStr">
        <is>
          <t>Notes</t>
        </is>
      </c>
    </row>
    <row r="7" ht="21" customHeight="1">
      <c r="A7" s="40" t="n"/>
      <c r="B7" s="40" t="n"/>
      <c r="C7" s="40" t="n"/>
      <c r="D7" s="40" t="n"/>
      <c r="E7" s="41">
        <f>IF(A7="","",B7-C7)</f>
        <v/>
      </c>
      <c r="F7" s="40" t="n"/>
      <c r="G7" s="41">
        <f>IF(A7="","",D7-F7)</f>
        <v/>
      </c>
      <c r="H7" s="38" t="n"/>
      <c r="I7" s="38" t="n"/>
    </row>
    <row r="8" ht="21" customHeight="1">
      <c r="A8" s="40" t="n"/>
      <c r="B8" s="40" t="n"/>
      <c r="C8" s="40" t="n"/>
      <c r="D8" s="40" t="n"/>
      <c r="E8" s="41">
        <f>IF(A8="","",B8-C8)</f>
        <v/>
      </c>
      <c r="F8" s="40" t="n"/>
      <c r="G8" s="41">
        <f>IF(A8="","",D8-F8)</f>
        <v/>
      </c>
      <c r="H8" s="38" t="n"/>
      <c r="I8" s="38" t="n"/>
    </row>
    <row r="9" ht="21" customHeight="1">
      <c r="A9" s="40" t="n"/>
      <c r="B9" s="40" t="n"/>
      <c r="C9" s="40" t="n"/>
      <c r="D9" s="40" t="n"/>
      <c r="E9" s="41">
        <f>IF(A9="","",B9-C9)</f>
        <v/>
      </c>
      <c r="F9" s="40" t="n"/>
      <c r="G9" s="41">
        <f>IF(A9="","",D9-F9)</f>
        <v/>
      </c>
      <c r="H9" s="38" t="n"/>
      <c r="I9" s="38" t="n"/>
    </row>
    <row r="10" ht="21" customHeight="1">
      <c r="A10" s="40" t="n"/>
      <c r="B10" s="40" t="n"/>
      <c r="C10" s="40" t="n"/>
      <c r="D10" s="40" t="n"/>
      <c r="E10" s="41">
        <f>IF(A10="","",B10-C10)</f>
        <v/>
      </c>
      <c r="F10" s="40" t="n"/>
      <c r="G10" s="41">
        <f>IF(A10="","",D10-F10)</f>
        <v/>
      </c>
      <c r="H10" s="38" t="n"/>
      <c r="I10" s="38" t="n"/>
    </row>
    <row r="11" ht="21" customHeight="1">
      <c r="A11" s="40" t="n"/>
      <c r="B11" s="40" t="n"/>
      <c r="C11" s="40" t="n"/>
      <c r="D11" s="40" t="n"/>
      <c r="E11" s="41">
        <f>IF(A11="","",B11-C11)</f>
        <v/>
      </c>
      <c r="F11" s="40" t="n"/>
      <c r="G11" s="41">
        <f>IF(A11="","",D11-F11)</f>
        <v/>
      </c>
      <c r="H11" s="38" t="n"/>
      <c r="I11" s="38" t="n"/>
    </row>
    <row r="12" ht="21" customHeight="1">
      <c r="A12" s="40" t="n"/>
      <c r="B12" s="40" t="n"/>
      <c r="C12" s="40" t="n"/>
      <c r="D12" s="40" t="n"/>
      <c r="E12" s="41">
        <f>IF(A12="","",B12-C12)</f>
        <v/>
      </c>
      <c r="F12" s="40" t="n"/>
      <c r="G12" s="41">
        <f>IF(A12="","",D12-F12)</f>
        <v/>
      </c>
      <c r="H12" s="38" t="n"/>
      <c r="I12" s="38" t="n"/>
    </row>
    <row r="13" ht="21" customHeight="1">
      <c r="A13" s="40" t="n"/>
      <c r="B13" s="40" t="n"/>
      <c r="C13" s="40" t="n"/>
      <c r="D13" s="40" t="n"/>
      <c r="E13" s="41">
        <f>IF(A13="","",B13-C13)</f>
        <v/>
      </c>
      <c r="F13" s="40" t="n"/>
      <c r="G13" s="41">
        <f>IF(A13="","",D13-F13)</f>
        <v/>
      </c>
      <c r="H13" s="38" t="n"/>
      <c r="I13" s="38" t="n"/>
    </row>
    <row r="14" ht="21" customHeight="1">
      <c r="A14" s="40" t="n"/>
      <c r="B14" s="40" t="n"/>
      <c r="C14" s="40" t="n"/>
      <c r="D14" s="40" t="n"/>
      <c r="E14" s="41">
        <f>IF(A14="","",B14-C14)</f>
        <v/>
      </c>
      <c r="F14" s="40" t="n"/>
      <c r="G14" s="41">
        <f>IF(A14="","",D14-F14)</f>
        <v/>
      </c>
      <c r="H14" s="38" t="n"/>
      <c r="I14" s="38" t="n"/>
    </row>
    <row r="15" ht="21" customHeight="1">
      <c r="A15" s="40" t="n"/>
      <c r="B15" s="40" t="n"/>
      <c r="C15" s="40" t="n"/>
      <c r="D15" s="40" t="n"/>
      <c r="E15" s="41">
        <f>IF(A15="","",B15-C15)</f>
        <v/>
      </c>
      <c r="F15" s="40" t="n"/>
      <c r="G15" s="41">
        <f>IF(A15="","",D15-F15)</f>
        <v/>
      </c>
      <c r="H15" s="38" t="n"/>
      <c r="I15" s="38" t="n"/>
    </row>
    <row r="16" ht="21" customHeight="1">
      <c r="A16" s="40" t="n"/>
      <c r="B16" s="40" t="n"/>
      <c r="C16" s="40" t="n"/>
      <c r="D16" s="40" t="n"/>
      <c r="E16" s="41">
        <f>IF(A16="","",B16-C16)</f>
        <v/>
      </c>
      <c r="F16" s="40" t="n"/>
      <c r="G16" s="41">
        <f>IF(A16="","",D16-F16)</f>
        <v/>
      </c>
      <c r="H16" s="38" t="n"/>
      <c r="I16" s="38" t="n"/>
    </row>
    <row r="17" ht="21" customHeight="1">
      <c r="A17" s="40" t="n"/>
      <c r="B17" s="40" t="n"/>
      <c r="C17" s="40" t="n"/>
      <c r="D17" s="40" t="n"/>
      <c r="E17" s="41">
        <f>IF(A17="","",B17-C17)</f>
        <v/>
      </c>
      <c r="F17" s="40" t="n"/>
      <c r="G17" s="41">
        <f>IF(A17="","",D17-F17)</f>
        <v/>
      </c>
      <c r="H17" s="38" t="n"/>
      <c r="I17" s="38" t="n"/>
    </row>
    <row r="18" ht="21" customHeight="1">
      <c r="A18" s="40" t="n"/>
      <c r="B18" s="40" t="n"/>
      <c r="C18" s="40" t="n"/>
      <c r="D18" s="40" t="n"/>
      <c r="E18" s="41">
        <f>IF(A18="","",B18-C18)</f>
        <v/>
      </c>
      <c r="F18" s="40" t="n"/>
      <c r="G18" s="41">
        <f>IF(A18="","",D18-F18)</f>
        <v/>
      </c>
      <c r="H18" s="38" t="n"/>
      <c r="I18" s="38" t="n"/>
    </row>
    <row r="19" ht="21" customHeight="1">
      <c r="A19" s="40" t="n"/>
      <c r="B19" s="40" t="n"/>
      <c r="C19" s="40" t="n"/>
      <c r="D19" s="40" t="n"/>
      <c r="E19" s="41">
        <f>IF(A19="","",B19-C19)</f>
        <v/>
      </c>
      <c r="F19" s="40" t="n"/>
      <c r="G19" s="41">
        <f>IF(A19="","",D19-F19)</f>
        <v/>
      </c>
      <c r="H19" s="38" t="n"/>
      <c r="I19" s="38" t="n"/>
    </row>
    <row r="20" ht="21" customHeight="1">
      <c r="A20" s="40" t="n"/>
      <c r="B20" s="40" t="n"/>
      <c r="C20" s="40" t="n"/>
      <c r="D20" s="40" t="n"/>
      <c r="E20" s="41">
        <f>IF(A20="","",B20-C20)</f>
        <v/>
      </c>
      <c r="F20" s="40" t="n"/>
      <c r="G20" s="41">
        <f>IF(A20="","",D20-F20)</f>
        <v/>
      </c>
      <c r="H20" s="38" t="n"/>
      <c r="I20" s="38" t="n"/>
    </row>
    <row r="21" ht="21" customHeight="1">
      <c r="A21" s="40" t="n"/>
      <c r="B21" s="40" t="n"/>
      <c r="C21" s="40" t="n"/>
      <c r="D21" s="40" t="n"/>
      <c r="E21" s="41">
        <f>IF(A21="","",B21-C21)</f>
        <v/>
      </c>
      <c r="F21" s="40" t="n"/>
      <c r="G21" s="41">
        <f>IF(A21="","",D21-F21)</f>
        <v/>
      </c>
      <c r="H21" s="38" t="n"/>
      <c r="I21" s="38" t="n"/>
    </row>
    <row r="22" ht="21" customHeight="1">
      <c r="A22" s="40" t="n"/>
      <c r="B22" s="40" t="n"/>
      <c r="C22" s="40" t="n"/>
      <c r="D22" s="40" t="n"/>
      <c r="E22" s="41">
        <f>IF(A22="","",B22-C22)</f>
        <v/>
      </c>
      <c r="F22" s="40" t="n"/>
      <c r="G22" s="41">
        <f>IF(A22="","",D22-F22)</f>
        <v/>
      </c>
      <c r="H22" s="38" t="n"/>
      <c r="I22" s="38" t="n"/>
    </row>
    <row r="23" ht="21" customHeight="1">
      <c r="A23" s="40" t="n"/>
      <c r="B23" s="40" t="n"/>
      <c r="C23" s="40" t="n"/>
      <c r="D23" s="40" t="n"/>
      <c r="E23" s="41">
        <f>IF(A23="","",B23-C23)</f>
        <v/>
      </c>
      <c r="F23" s="40" t="n"/>
      <c r="G23" s="41">
        <f>IF(A23="","",D23-F23)</f>
        <v/>
      </c>
      <c r="H23" s="38" t="n"/>
      <c r="I23" s="38" t="n"/>
    </row>
    <row r="24" ht="21" customHeight="1">
      <c r="A24" s="40" t="n"/>
      <c r="B24" s="40" t="n"/>
      <c r="C24" s="40" t="n"/>
      <c r="D24" s="40" t="n"/>
      <c r="E24" s="41">
        <f>IF(A24="","",B24-C24)</f>
        <v/>
      </c>
      <c r="F24" s="40" t="n"/>
      <c r="G24" s="41">
        <f>IF(A24="","",D24-F24)</f>
        <v/>
      </c>
      <c r="H24" s="38" t="n"/>
      <c r="I24" s="38" t="n"/>
    </row>
    <row r="25" ht="21" customHeight="1">
      <c r="A25" s="40" t="n"/>
      <c r="B25" s="40" t="n"/>
      <c r="C25" s="40" t="n"/>
      <c r="D25" s="40" t="n"/>
      <c r="E25" s="41">
        <f>IF(A25="","",B25-C25)</f>
        <v/>
      </c>
      <c r="F25" s="40" t="n"/>
      <c r="G25" s="41">
        <f>IF(A25="","",D25-F25)</f>
        <v/>
      </c>
      <c r="H25" s="38" t="n"/>
      <c r="I25" s="38" t="n"/>
    </row>
    <row r="26" ht="21" customHeight="1">
      <c r="A26" s="40" t="n"/>
      <c r="B26" s="40" t="n"/>
      <c r="C26" s="40" t="n"/>
      <c r="D26" s="40" t="n"/>
      <c r="E26" s="41">
        <f>IF(A26="","",B26-C26)</f>
        <v/>
      </c>
      <c r="F26" s="40" t="n"/>
      <c r="G26" s="41">
        <f>IF(A26="","",D26-F26)</f>
        <v/>
      </c>
      <c r="H26" s="38" t="n"/>
      <c r="I26" s="38" t="n"/>
    </row>
    <row r="27" ht="21" customHeight="1">
      <c r="A27" s="40" t="n"/>
      <c r="B27" s="40" t="n"/>
      <c r="C27" s="40" t="n"/>
      <c r="D27" s="40" t="n"/>
      <c r="E27" s="41">
        <f>IF(A27="","",B27-C27)</f>
        <v/>
      </c>
      <c r="F27" s="40" t="n"/>
      <c r="G27" s="41">
        <f>IF(A27="","",D27-F27)</f>
        <v/>
      </c>
      <c r="H27" s="38" t="n"/>
      <c r="I27" s="38" t="n"/>
    </row>
    <row r="28" ht="21" customHeight="1">
      <c r="A28" s="40" t="n"/>
      <c r="B28" s="40" t="n"/>
      <c r="C28" s="40" t="n"/>
      <c r="D28" s="40" t="n"/>
      <c r="E28" s="41">
        <f>IF(A28="","",B28-C28)</f>
        <v/>
      </c>
      <c r="F28" s="40" t="n"/>
      <c r="G28" s="41">
        <f>IF(A28="","",D28-F28)</f>
        <v/>
      </c>
      <c r="H28" s="38" t="n"/>
      <c r="I28" s="38" t="n"/>
    </row>
    <row r="29" ht="21" customHeight="1">
      <c r="A29" s="40" t="n"/>
      <c r="B29" s="40" t="n"/>
      <c r="C29" s="40" t="n"/>
      <c r="D29" s="40" t="n"/>
      <c r="E29" s="41">
        <f>IF(A29="","",B29-C29)</f>
        <v/>
      </c>
      <c r="F29" s="40" t="n"/>
      <c r="G29" s="41">
        <f>IF(A29="","",D29-F29)</f>
        <v/>
      </c>
      <c r="H29" s="38" t="n"/>
      <c r="I29" s="38" t="n"/>
    </row>
    <row r="30" ht="21" customHeight="1">
      <c r="A30" s="40" t="n"/>
      <c r="B30" s="40" t="n"/>
      <c r="C30" s="40" t="n"/>
      <c r="D30" s="40" t="n"/>
      <c r="E30" s="41">
        <f>IF(A30="","",B30-C30)</f>
        <v/>
      </c>
      <c r="F30" s="40" t="n"/>
      <c r="G30" s="41">
        <f>IF(A30="","",D30-F30)</f>
        <v/>
      </c>
      <c r="H30" s="38" t="n"/>
      <c r="I30" s="38" t="n"/>
    </row>
    <row r="31" ht="21" customHeight="1">
      <c r="A31" s="40" t="n"/>
      <c r="B31" s="40" t="n"/>
      <c r="C31" s="40" t="n"/>
      <c r="D31" s="40" t="n"/>
      <c r="E31" s="41">
        <f>IF(A31="","",B31-C31)</f>
        <v/>
      </c>
      <c r="F31" s="40" t="n"/>
      <c r="G31" s="41">
        <f>IF(A31="","",D31-F31)</f>
        <v/>
      </c>
      <c r="H31" s="38" t="n"/>
      <c r="I31" s="38" t="n"/>
    </row>
    <row r="32" ht="21" customHeight="1">
      <c r="A32" s="40" t="n"/>
      <c r="B32" s="40" t="n"/>
      <c r="C32" s="40" t="n"/>
      <c r="D32" s="40" t="n"/>
      <c r="E32" s="41">
        <f>IF(A32="","",B32-C32)</f>
        <v/>
      </c>
      <c r="F32" s="40" t="n"/>
      <c r="G32" s="41">
        <f>IF(A32="","",D32-F32)</f>
        <v/>
      </c>
      <c r="H32" s="38" t="n"/>
      <c r="I32" s="38" t="n"/>
    </row>
    <row r="33" ht="21" customHeight="1">
      <c r="A33" s="40" t="n"/>
      <c r="B33" s="40" t="n"/>
      <c r="C33" s="40" t="n"/>
      <c r="D33" s="40" t="n"/>
      <c r="E33" s="41">
        <f>IF(A33="","",B33-C33)</f>
        <v/>
      </c>
      <c r="F33" s="40" t="n"/>
      <c r="G33" s="41">
        <f>IF(A33="","",D33-F33)</f>
        <v/>
      </c>
      <c r="H33" s="38" t="n"/>
      <c r="I33" s="38" t="n"/>
    </row>
    <row r="34" ht="21" customHeight="1">
      <c r="A34" s="40" t="n"/>
      <c r="B34" s="40" t="n"/>
      <c r="C34" s="40" t="n"/>
      <c r="D34" s="40" t="n"/>
      <c r="E34" s="41">
        <f>IF(A34="","",B34-C34)</f>
        <v/>
      </c>
      <c r="F34" s="40" t="n"/>
      <c r="G34" s="41">
        <f>IF(A34="","",D34-F34)</f>
        <v/>
      </c>
      <c r="H34" s="38" t="n"/>
      <c r="I34" s="38" t="n"/>
    </row>
    <row r="35" ht="21" customHeight="1">
      <c r="A35" s="40" t="n"/>
      <c r="B35" s="40" t="n"/>
      <c r="C35" s="40" t="n"/>
      <c r="D35" s="40" t="n"/>
      <c r="E35" s="41">
        <f>IF(A35="","",B35-C35)</f>
        <v/>
      </c>
      <c r="F35" s="40" t="n"/>
      <c r="G35" s="41">
        <f>IF(A35="","",D35-F35)</f>
        <v/>
      </c>
      <c r="H35" s="38" t="n"/>
      <c r="I35" s="38" t="n"/>
    </row>
    <row r="36" ht="21" customHeight="1">
      <c r="A36" s="40" t="n"/>
      <c r="B36" s="40" t="n"/>
      <c r="C36" s="40" t="n"/>
      <c r="D36" s="40" t="n"/>
      <c r="E36" s="41">
        <f>IF(A36="","",B36-C36)</f>
        <v/>
      </c>
      <c r="F36" s="40" t="n"/>
      <c r="G36" s="41">
        <f>IF(A36="","",D36-F36)</f>
        <v/>
      </c>
      <c r="H36" s="38" t="n"/>
      <c r="I36" s="38" t="n"/>
    </row>
    <row r="37" ht="21" customHeight="1">
      <c r="A37" s="40" t="n"/>
      <c r="B37" s="40" t="n"/>
      <c r="C37" s="40" t="n"/>
      <c r="D37" s="40" t="n"/>
      <c r="E37" s="41">
        <f>IF(A37="","",B37-C37)</f>
        <v/>
      </c>
      <c r="F37" s="40" t="n"/>
      <c r="G37" s="41">
        <f>IF(A37="","",D37-F37)</f>
        <v/>
      </c>
      <c r="H37" s="38" t="n"/>
      <c r="I37" s="38" t="n"/>
    </row>
    <row r="38" ht="21" customHeight="1">
      <c r="A38" s="40" t="n"/>
      <c r="B38" s="40" t="n"/>
      <c r="C38" s="40" t="n"/>
      <c r="D38" s="40" t="n"/>
      <c r="E38" s="41">
        <f>IF(A38="","",B38-C38)</f>
        <v/>
      </c>
      <c r="F38" s="40" t="n"/>
      <c r="G38" s="41">
        <f>IF(A38="","",D38-F38)</f>
        <v/>
      </c>
      <c r="H38" s="38" t="n"/>
      <c r="I38" s="38" t="n"/>
    </row>
    <row r="39" ht="21" customHeight="1">
      <c r="A39" s="40" t="n"/>
      <c r="B39" s="40" t="n"/>
      <c r="C39" s="40" t="n"/>
      <c r="D39" s="40" t="n"/>
      <c r="E39" s="41">
        <f>IF(A39="","",B39-C39)</f>
        <v/>
      </c>
      <c r="F39" s="40" t="n"/>
      <c r="G39" s="41">
        <f>IF(A39="","",D39-F39)</f>
        <v/>
      </c>
      <c r="H39" s="38" t="n"/>
      <c r="I39" s="38" t="n"/>
    </row>
    <row r="40" ht="21" customHeight="1">
      <c r="A40" s="40" t="n"/>
      <c r="B40" s="40" t="n"/>
      <c r="C40" s="40" t="n"/>
      <c r="D40" s="40" t="n"/>
      <c r="E40" s="41">
        <f>IF(A40="","",B40-C40)</f>
        <v/>
      </c>
      <c r="F40" s="40" t="n"/>
      <c r="G40" s="41">
        <f>IF(A40="","",D40-F40)</f>
        <v/>
      </c>
      <c r="H40" s="38" t="n"/>
      <c r="I40" s="38" t="n"/>
    </row>
    <row r="41" ht="21" customHeight="1">
      <c r="A41" s="40" t="n"/>
      <c r="B41" s="40" t="n"/>
      <c r="C41" s="40" t="n"/>
      <c r="D41" s="40" t="n"/>
      <c r="E41" s="41">
        <f>IF(A41="","",B41-C41)</f>
        <v/>
      </c>
      <c r="F41" s="40" t="n"/>
      <c r="G41" s="41">
        <f>IF(A41="","",D41-F41)</f>
        <v/>
      </c>
      <c r="H41" s="38" t="n"/>
      <c r="I41" s="38" t="n"/>
    </row>
    <row r="42" ht="21" customHeight="1">
      <c r="A42" s="40" t="n"/>
      <c r="B42" s="40" t="n"/>
      <c r="C42" s="40" t="n"/>
      <c r="D42" s="40" t="n"/>
      <c r="E42" s="41">
        <f>IF(A42="","",B42-C42)</f>
        <v/>
      </c>
      <c r="F42" s="40" t="n"/>
      <c r="G42" s="41">
        <f>IF(A42="","",D42-F42)</f>
        <v/>
      </c>
      <c r="H42" s="38" t="n"/>
      <c r="I42" s="38" t="n"/>
    </row>
    <row r="43" ht="21" customHeight="1">
      <c r="A43" s="40" t="n"/>
      <c r="B43" s="40" t="n"/>
      <c r="C43" s="40" t="n"/>
      <c r="D43" s="40" t="n"/>
      <c r="E43" s="41">
        <f>IF(A43="","",B43-C43)</f>
        <v/>
      </c>
      <c r="F43" s="40" t="n"/>
      <c r="G43" s="41">
        <f>IF(A43="","",D43-F43)</f>
        <v/>
      </c>
      <c r="H43" s="38" t="n"/>
      <c r="I43" s="38" t="n"/>
    </row>
    <row r="44" ht="21" customHeight="1">
      <c r="A44" s="40" t="n"/>
      <c r="B44" s="40" t="n"/>
      <c r="C44" s="40" t="n"/>
      <c r="D44" s="40" t="n"/>
      <c r="E44" s="41">
        <f>IF(A44="","",B44-C44)</f>
        <v/>
      </c>
      <c r="F44" s="40" t="n"/>
      <c r="G44" s="41">
        <f>IF(A44="","",D44-F44)</f>
        <v/>
      </c>
      <c r="H44" s="38" t="n"/>
      <c r="I44" s="38" t="n"/>
    </row>
    <row r="45" ht="21" customHeight="1">
      <c r="A45" s="40" t="n"/>
      <c r="B45" s="40" t="n"/>
      <c r="C45" s="40" t="n"/>
      <c r="D45" s="40" t="n"/>
      <c r="E45" s="41">
        <f>IF(A45="","",B45-C45)</f>
        <v/>
      </c>
      <c r="F45" s="40" t="n"/>
      <c r="G45" s="41">
        <f>IF(A45="","",D45-F45)</f>
        <v/>
      </c>
      <c r="H45" s="38" t="n"/>
      <c r="I45" s="38" t="n"/>
    </row>
    <row r="46" ht="21" customHeight="1">
      <c r="A46" s="40" t="n"/>
      <c r="B46" s="40" t="n"/>
      <c r="C46" s="40" t="n"/>
      <c r="D46" s="40" t="n"/>
      <c r="E46" s="41">
        <f>IF(A46="","",B46-C46)</f>
        <v/>
      </c>
      <c r="F46" s="40" t="n"/>
      <c r="G46" s="41">
        <f>IF(A46="","",D46-F46)</f>
        <v/>
      </c>
      <c r="H46" s="38" t="n"/>
      <c r="I46" s="38" t="n"/>
    </row>
    <row r="47" ht="21" customHeight="1">
      <c r="A47" s="40" t="n"/>
      <c r="B47" s="40" t="n"/>
      <c r="C47" s="40" t="n"/>
      <c r="D47" s="40" t="n"/>
      <c r="E47" s="41">
        <f>IF(A47="","",B47-C47)</f>
        <v/>
      </c>
      <c r="F47" s="40" t="n"/>
      <c r="G47" s="41">
        <f>IF(A47="","",D47-F47)</f>
        <v/>
      </c>
      <c r="H47" s="38" t="n"/>
      <c r="I47" s="38" t="n"/>
    </row>
    <row r="48" ht="21" customHeight="1">
      <c r="A48" s="40" t="n"/>
      <c r="B48" s="40" t="n"/>
      <c r="C48" s="40" t="n"/>
      <c r="D48" s="40" t="n"/>
      <c r="E48" s="41">
        <f>IF(A48="","",B48-C48)</f>
        <v/>
      </c>
      <c r="F48" s="40" t="n"/>
      <c r="G48" s="41">
        <f>IF(A48="","",D48-F48)</f>
        <v/>
      </c>
      <c r="H48" s="38" t="n"/>
      <c r="I48" s="38" t="n"/>
    </row>
    <row r="49" ht="21" customHeight="1">
      <c r="A49" s="40" t="n"/>
      <c r="B49" s="40" t="n"/>
      <c r="C49" s="40" t="n"/>
      <c r="D49" s="40" t="n"/>
      <c r="E49" s="41">
        <f>IF(A49="","",B49-C49)</f>
        <v/>
      </c>
      <c r="F49" s="40" t="n"/>
      <c r="G49" s="41">
        <f>IF(A49="","",D49-F49)</f>
        <v/>
      </c>
      <c r="H49" s="38" t="n"/>
      <c r="I49" s="38" t="n"/>
    </row>
    <row r="50" ht="21" customHeight="1">
      <c r="A50" s="40" t="n"/>
      <c r="B50" s="40" t="n"/>
      <c r="C50" s="40" t="n"/>
      <c r="D50" s="40" t="n"/>
      <c r="E50" s="41">
        <f>IF(A50="","",B50-C50)</f>
        <v/>
      </c>
      <c r="F50" s="40" t="n"/>
      <c r="G50" s="41">
        <f>IF(A50="","",D50-F50)</f>
        <v/>
      </c>
      <c r="H50" s="38" t="n"/>
      <c r="I50" s="38" t="n"/>
    </row>
    <row r="51" ht="21" customHeight="1">
      <c r="A51" s="40" t="n"/>
      <c r="B51" s="40" t="n"/>
      <c r="C51" s="40" t="n"/>
      <c r="D51" s="40" t="n"/>
      <c r="E51" s="41">
        <f>IF(A51="","",B51-C51)</f>
        <v/>
      </c>
      <c r="F51" s="40" t="n"/>
      <c r="G51" s="41">
        <f>IF(A51="","",D51-F51)</f>
        <v/>
      </c>
      <c r="H51" s="38" t="n"/>
      <c r="I51" s="38" t="n"/>
    </row>
    <row r="52" ht="21" customHeight="1">
      <c r="A52" s="40" t="n"/>
      <c r="B52" s="40" t="n"/>
      <c r="C52" s="40" t="n"/>
      <c r="D52" s="40" t="n"/>
      <c r="E52" s="41">
        <f>IF(A52="","",B52-C52)</f>
        <v/>
      </c>
      <c r="F52" s="40" t="n"/>
      <c r="G52" s="41">
        <f>IF(A52="","",D52-F52)</f>
        <v/>
      </c>
      <c r="H52" s="38" t="n"/>
      <c r="I52" s="38" t="n"/>
    </row>
    <row r="53" ht="21" customHeight="1">
      <c r="A53" s="40" t="n"/>
      <c r="B53" s="40" t="n"/>
      <c r="C53" s="40" t="n"/>
      <c r="D53" s="40" t="n"/>
      <c r="E53" s="41">
        <f>IF(A53="","",B53-C53)</f>
        <v/>
      </c>
      <c r="F53" s="40" t="n"/>
      <c r="G53" s="41">
        <f>IF(A53="","",D53-F53)</f>
        <v/>
      </c>
      <c r="H53" s="38" t="n"/>
      <c r="I53" s="38" t="n"/>
    </row>
    <row r="54" ht="21" customHeight="1">
      <c r="A54" s="40" t="n"/>
      <c r="B54" s="40" t="n"/>
      <c r="C54" s="40" t="n"/>
      <c r="D54" s="40" t="n"/>
      <c r="E54" s="41">
        <f>IF(A54="","",B54-C54)</f>
        <v/>
      </c>
      <c r="F54" s="40" t="n"/>
      <c r="G54" s="41">
        <f>IF(A54="","",D54-F54)</f>
        <v/>
      </c>
      <c r="H54" s="38" t="n"/>
      <c r="I54" s="38" t="n"/>
    </row>
    <row r="55" ht="21" customHeight="1">
      <c r="A55" s="40" t="n"/>
      <c r="B55" s="40" t="n"/>
      <c r="C55" s="40" t="n"/>
      <c r="D55" s="40" t="n"/>
      <c r="E55" s="41">
        <f>IF(A55="","",B55-C55)</f>
        <v/>
      </c>
      <c r="F55" s="40" t="n"/>
      <c r="G55" s="41">
        <f>IF(A55="","",D55-F55)</f>
        <v/>
      </c>
      <c r="H55" s="38" t="n"/>
      <c r="I55" s="38" t="n"/>
    </row>
    <row r="56" ht="21" customHeight="1">
      <c r="A56" s="40" t="n"/>
      <c r="B56" s="40" t="n"/>
      <c r="C56" s="40" t="n"/>
      <c r="D56" s="40" t="n"/>
      <c r="E56" s="41">
        <f>IF(A56="","",B56-C56)</f>
        <v/>
      </c>
      <c r="F56" s="40" t="n"/>
      <c r="G56" s="41">
        <f>IF(A56="","",D56-F56)</f>
        <v/>
      </c>
      <c r="H56" s="38" t="n"/>
      <c r="I56" s="38" t="n"/>
    </row>
    <row r="57" ht="21" customHeight="1">
      <c r="A57" s="40" t="n"/>
      <c r="B57" s="40" t="n"/>
      <c r="C57" s="40" t="n"/>
      <c r="D57" s="40" t="n"/>
      <c r="E57" s="41">
        <f>IF(A57="","",B57-C57)</f>
        <v/>
      </c>
      <c r="F57" s="40" t="n"/>
      <c r="G57" s="41">
        <f>IF(A57="","",D57-F57)</f>
        <v/>
      </c>
      <c r="H57" s="38" t="n"/>
      <c r="I57" s="38" t="n"/>
    </row>
    <row r="58" ht="21" customHeight="1">
      <c r="A58" s="40" t="n"/>
      <c r="B58" s="40" t="n"/>
      <c r="C58" s="40" t="n"/>
      <c r="D58" s="40" t="n"/>
      <c r="E58" s="41">
        <f>IF(A58="","",B58-C58)</f>
        <v/>
      </c>
      <c r="F58" s="40" t="n"/>
      <c r="G58" s="41">
        <f>IF(A58="","",D58-F58)</f>
        <v/>
      </c>
      <c r="H58" s="38" t="n"/>
      <c r="I58" s="38" t="n"/>
    </row>
    <row r="59" ht="21" customHeight="1">
      <c r="A59" s="40" t="n"/>
      <c r="B59" s="40" t="n"/>
      <c r="C59" s="40" t="n"/>
      <c r="D59" s="40" t="n"/>
      <c r="E59" s="41">
        <f>IF(A59="","",B59-C59)</f>
        <v/>
      </c>
      <c r="F59" s="40" t="n"/>
      <c r="G59" s="41">
        <f>IF(A59="","",D59-F59)</f>
        <v/>
      </c>
      <c r="H59" s="38" t="n"/>
      <c r="I59" s="38" t="n"/>
    </row>
    <row r="60" ht="21" customHeight="1">
      <c r="A60" s="40" t="n"/>
      <c r="B60" s="40" t="n"/>
      <c r="C60" s="40" t="n"/>
      <c r="D60" s="40" t="n"/>
      <c r="E60" s="41">
        <f>IF(A60="","",B60-C60)</f>
        <v/>
      </c>
      <c r="F60" s="40" t="n"/>
      <c r="G60" s="41">
        <f>IF(A60="","",D60-F60)</f>
        <v/>
      </c>
      <c r="H60" s="38" t="n"/>
      <c r="I60" s="38" t="n"/>
    </row>
    <row r="61" ht="21" customHeight="1">
      <c r="A61" s="40" t="n"/>
      <c r="B61" s="40" t="n"/>
      <c r="C61" s="40" t="n"/>
      <c r="D61" s="40" t="n"/>
      <c r="E61" s="41">
        <f>IF(A61="","",B61-C61)</f>
        <v/>
      </c>
      <c r="F61" s="40" t="n"/>
      <c r="G61" s="41">
        <f>IF(A61="","",D61-F61)</f>
        <v/>
      </c>
      <c r="H61" s="38" t="n"/>
      <c r="I61" s="38" t="n"/>
    </row>
    <row r="62" ht="21" customHeight="1">
      <c r="A62" s="40" t="n"/>
      <c r="B62" s="40" t="n"/>
      <c r="C62" s="40" t="n"/>
      <c r="D62" s="40" t="n"/>
      <c r="E62" s="41">
        <f>IF(A62="","",B62-C62)</f>
        <v/>
      </c>
      <c r="F62" s="40" t="n"/>
      <c r="G62" s="41">
        <f>IF(A62="","",D62-F62)</f>
        <v/>
      </c>
      <c r="H62" s="38" t="n"/>
      <c r="I62" s="38" t="n"/>
    </row>
    <row r="63" ht="21" customHeight="1">
      <c r="A63" s="40" t="n"/>
      <c r="B63" s="40" t="n"/>
      <c r="C63" s="40" t="n"/>
      <c r="D63" s="40" t="n"/>
      <c r="E63" s="41">
        <f>IF(A63="","",B63-C63)</f>
        <v/>
      </c>
      <c r="F63" s="40" t="n"/>
      <c r="G63" s="41">
        <f>IF(A63="","",D63-F63)</f>
        <v/>
      </c>
      <c r="H63" s="38" t="n"/>
      <c r="I63" s="38" t="n"/>
    </row>
    <row r="64" ht="21" customHeight="1">
      <c r="A64" s="40" t="n"/>
      <c r="B64" s="40" t="n"/>
      <c r="C64" s="40" t="n"/>
      <c r="D64" s="40" t="n"/>
      <c r="E64" s="41">
        <f>IF(A64="","",B64-C64)</f>
        <v/>
      </c>
      <c r="F64" s="40" t="n"/>
      <c r="G64" s="41">
        <f>IF(A64="","",D64-F64)</f>
        <v/>
      </c>
      <c r="H64" s="38" t="n"/>
      <c r="I64" s="38" t="n"/>
    </row>
    <row r="65" ht="21" customHeight="1">
      <c r="A65" s="40" t="n"/>
      <c r="B65" s="40" t="n"/>
      <c r="C65" s="40" t="n"/>
      <c r="D65" s="40" t="n"/>
      <c r="E65" s="41">
        <f>IF(A65="","",B65-C65)</f>
        <v/>
      </c>
      <c r="F65" s="40" t="n"/>
      <c r="G65" s="41">
        <f>IF(A65="","",D65-F65)</f>
        <v/>
      </c>
      <c r="H65" s="38" t="n"/>
      <c r="I65" s="38" t="n"/>
    </row>
    <row r="66" ht="21" customHeight="1">
      <c r="A66" s="40" t="n"/>
      <c r="B66" s="40" t="n"/>
      <c r="C66" s="40" t="n"/>
      <c r="D66" s="40" t="n"/>
      <c r="E66" s="41">
        <f>IF(A66="","",B66-C66)</f>
        <v/>
      </c>
      <c r="F66" s="40" t="n"/>
      <c r="G66" s="41">
        <f>IF(A66="","",D66-F66)</f>
        <v/>
      </c>
      <c r="H66" s="38" t="n"/>
      <c r="I66" s="38" t="n"/>
    </row>
    <row r="67" ht="21" customHeight="1">
      <c r="A67" s="40" t="n"/>
      <c r="B67" s="40" t="n"/>
      <c r="C67" s="40" t="n"/>
      <c r="D67" s="40" t="n"/>
      <c r="E67" s="41">
        <f>IF(A67="","",B67-C67)</f>
        <v/>
      </c>
      <c r="F67" s="40" t="n"/>
      <c r="G67" s="41">
        <f>IF(A67="","",D67-F67)</f>
        <v/>
      </c>
      <c r="H67" s="38" t="n"/>
      <c r="I67" s="38" t="n"/>
    </row>
    <row r="68" ht="21" customHeight="1">
      <c r="A68" s="40" t="n"/>
      <c r="B68" s="40" t="n"/>
      <c r="C68" s="40" t="n"/>
      <c r="D68" s="40" t="n"/>
      <c r="E68" s="41">
        <f>IF(A68="","",B68-C68)</f>
        <v/>
      </c>
      <c r="F68" s="40" t="n"/>
      <c r="G68" s="41">
        <f>IF(A68="","",D68-F68)</f>
        <v/>
      </c>
      <c r="H68" s="38" t="n"/>
      <c r="I68" s="38" t="n"/>
    </row>
    <row r="69" ht="21" customHeight="1">
      <c r="A69" s="40" t="n"/>
      <c r="B69" s="40" t="n"/>
      <c r="C69" s="40" t="n"/>
      <c r="D69" s="40" t="n"/>
      <c r="E69" s="41">
        <f>IF(A69="","",B69-C69)</f>
        <v/>
      </c>
      <c r="F69" s="40" t="n"/>
      <c r="G69" s="41">
        <f>IF(A69="","",D69-F69)</f>
        <v/>
      </c>
      <c r="H69" s="38" t="n"/>
      <c r="I69" s="38" t="n"/>
    </row>
    <row r="70" ht="21" customHeight="1">
      <c r="A70" s="40" t="n"/>
      <c r="B70" s="40" t="n"/>
      <c r="C70" s="40" t="n"/>
      <c r="D70" s="40" t="n"/>
      <c r="E70" s="41">
        <f>IF(A70="","",B70-C70)</f>
        <v/>
      </c>
      <c r="F70" s="40" t="n"/>
      <c r="G70" s="41">
        <f>IF(A70="","",D70-F70)</f>
        <v/>
      </c>
      <c r="H70" s="38" t="n"/>
      <c r="I70" s="38" t="n"/>
    </row>
    <row r="71" ht="21" customHeight="1">
      <c r="A71" s="40" t="n"/>
      <c r="B71" s="40" t="n"/>
      <c r="C71" s="40" t="n"/>
      <c r="D71" s="40" t="n"/>
      <c r="E71" s="41">
        <f>IF(A71="","",B71-C71)</f>
        <v/>
      </c>
      <c r="F71" s="40" t="n"/>
      <c r="G71" s="41">
        <f>IF(A71="","",D71-F71)</f>
        <v/>
      </c>
      <c r="H71" s="38" t="n"/>
      <c r="I71" s="38" t="n"/>
    </row>
    <row r="72" ht="21" customHeight="1">
      <c r="A72" s="40" t="n"/>
      <c r="B72" s="40" t="n"/>
      <c r="C72" s="40" t="n"/>
      <c r="D72" s="40" t="n"/>
      <c r="E72" s="41">
        <f>IF(A72="","",B72-C72)</f>
        <v/>
      </c>
      <c r="F72" s="40" t="n"/>
      <c r="G72" s="41">
        <f>IF(A72="","",D72-F72)</f>
        <v/>
      </c>
      <c r="H72" s="38" t="n"/>
      <c r="I72" s="38" t="n"/>
    </row>
    <row r="73" ht="21" customHeight="1">
      <c r="A73" s="40" t="n"/>
      <c r="B73" s="40" t="n"/>
      <c r="C73" s="40" t="n"/>
      <c r="D73" s="40" t="n"/>
      <c r="E73" s="41">
        <f>IF(A73="","",B73-C73)</f>
        <v/>
      </c>
      <c r="F73" s="40" t="n"/>
      <c r="G73" s="41">
        <f>IF(A73="","",D73-F73)</f>
        <v/>
      </c>
      <c r="H73" s="38" t="n"/>
      <c r="I73" s="38" t="n"/>
    </row>
    <row r="74" ht="21" customHeight="1">
      <c r="A74" s="40" t="n"/>
      <c r="B74" s="40" t="n"/>
      <c r="C74" s="40" t="n"/>
      <c r="D74" s="40" t="n"/>
      <c r="E74" s="41">
        <f>IF(A74="","",B74-C74)</f>
        <v/>
      </c>
      <c r="F74" s="40" t="n"/>
      <c r="G74" s="41">
        <f>IF(A74="","",D74-F74)</f>
        <v/>
      </c>
      <c r="H74" s="38" t="n"/>
      <c r="I74" s="38" t="n"/>
    </row>
    <row r="75" ht="21" customHeight="1">
      <c r="A75" s="40" t="n"/>
      <c r="B75" s="40" t="n"/>
      <c r="C75" s="40" t="n"/>
      <c r="D75" s="40" t="n"/>
      <c r="E75" s="41">
        <f>IF(A75="","",B75-C75)</f>
        <v/>
      </c>
      <c r="F75" s="40" t="n"/>
      <c r="G75" s="41">
        <f>IF(A75="","",D75-F75)</f>
        <v/>
      </c>
      <c r="H75" s="38" t="n"/>
      <c r="I75" s="38" t="n"/>
    </row>
    <row r="76" ht="21" customHeight="1">
      <c r="A76" s="40" t="n"/>
      <c r="B76" s="40" t="n"/>
      <c r="C76" s="40" t="n"/>
      <c r="D76" s="40" t="n"/>
      <c r="E76" s="41">
        <f>IF(A76="","",B76-C76)</f>
        <v/>
      </c>
      <c r="F76" s="40" t="n"/>
      <c r="G76" s="41">
        <f>IF(A76="","",D76-F76)</f>
        <v/>
      </c>
      <c r="H76" s="38" t="n"/>
      <c r="I76" s="38" t="n"/>
    </row>
    <row r="77" ht="21" customHeight="1">
      <c r="A77" s="40" t="n"/>
      <c r="B77" s="40" t="n"/>
      <c r="C77" s="40" t="n"/>
      <c r="D77" s="40" t="n"/>
      <c r="E77" s="41">
        <f>IF(A77="","",B77-C77)</f>
        <v/>
      </c>
      <c r="F77" s="40" t="n"/>
      <c r="G77" s="41">
        <f>IF(A77="","",D77-F77)</f>
        <v/>
      </c>
      <c r="H77" s="38" t="n"/>
      <c r="I77" s="38" t="n"/>
    </row>
    <row r="78" ht="21" customHeight="1">
      <c r="A78" s="40" t="n"/>
      <c r="B78" s="40" t="n"/>
      <c r="C78" s="40" t="n"/>
      <c r="D78" s="40" t="n"/>
      <c r="E78" s="41">
        <f>IF(A78="","",B78-C78)</f>
        <v/>
      </c>
      <c r="F78" s="40" t="n"/>
      <c r="G78" s="41">
        <f>IF(A78="","",D78-F78)</f>
        <v/>
      </c>
      <c r="H78" s="38" t="n"/>
      <c r="I78" s="38" t="n"/>
    </row>
    <row r="79" ht="21" customHeight="1">
      <c r="A79" s="40" t="n"/>
      <c r="B79" s="40" t="n"/>
      <c r="C79" s="40" t="n"/>
      <c r="D79" s="40" t="n"/>
      <c r="E79" s="41">
        <f>IF(A79="","",B79-C79)</f>
        <v/>
      </c>
      <c r="F79" s="40" t="n"/>
      <c r="G79" s="41">
        <f>IF(A79="","",D79-F79)</f>
        <v/>
      </c>
      <c r="H79" s="38" t="n"/>
      <c r="I79" s="38" t="n"/>
    </row>
    <row r="80" ht="21" customHeight="1">
      <c r="A80" s="40" t="n"/>
      <c r="B80" s="40" t="n"/>
      <c r="C80" s="40" t="n"/>
      <c r="D80" s="40" t="n"/>
      <c r="E80" s="41">
        <f>IF(A80="","",B80-C80)</f>
        <v/>
      </c>
      <c r="F80" s="40" t="n"/>
      <c r="G80" s="41">
        <f>IF(A80="","",D80-F80)</f>
        <v/>
      </c>
      <c r="H80" s="38" t="n"/>
      <c r="I80" s="38" t="n"/>
    </row>
    <row r="81" ht="21" customHeight="1">
      <c r="A81" s="40" t="n"/>
      <c r="B81" s="40" t="n"/>
      <c r="C81" s="40" t="n"/>
      <c r="D81" s="40" t="n"/>
      <c r="E81" s="41">
        <f>IF(A81="","",B81-C81)</f>
        <v/>
      </c>
      <c r="F81" s="40" t="n"/>
      <c r="G81" s="41">
        <f>IF(A81="","",D81-F81)</f>
        <v/>
      </c>
      <c r="H81" s="38" t="n"/>
      <c r="I81" s="38" t="n"/>
    </row>
    <row r="82" ht="21" customHeight="1">
      <c r="A82" s="40" t="n"/>
      <c r="B82" s="40" t="n"/>
      <c r="C82" s="40" t="n"/>
      <c r="D82" s="40" t="n"/>
      <c r="E82" s="41">
        <f>IF(A82="","",B82-C82)</f>
        <v/>
      </c>
      <c r="F82" s="40" t="n"/>
      <c r="G82" s="41">
        <f>IF(A82="","",D82-F82)</f>
        <v/>
      </c>
      <c r="H82" s="38" t="n"/>
      <c r="I82" s="38" t="n"/>
    </row>
    <row r="83" ht="21" customHeight="1">
      <c r="A83" s="40" t="n"/>
      <c r="B83" s="40" t="n"/>
      <c r="C83" s="40" t="n"/>
      <c r="D83" s="40" t="n"/>
      <c r="E83" s="41">
        <f>IF(A83="","",B83-C83)</f>
        <v/>
      </c>
      <c r="F83" s="40" t="n"/>
      <c r="G83" s="41">
        <f>IF(A83="","",D83-F83)</f>
        <v/>
      </c>
      <c r="H83" s="38" t="n"/>
      <c r="I83" s="38" t="n"/>
    </row>
    <row r="84" ht="21" customHeight="1">
      <c r="A84" s="40" t="n"/>
      <c r="B84" s="40" t="n"/>
      <c r="C84" s="40" t="n"/>
      <c r="D84" s="40" t="n"/>
      <c r="E84" s="41">
        <f>IF(A84="","",B84-C84)</f>
        <v/>
      </c>
      <c r="F84" s="40" t="n"/>
      <c r="G84" s="41">
        <f>IF(A84="","",D84-F84)</f>
        <v/>
      </c>
      <c r="H84" s="38" t="n"/>
      <c r="I84" s="38" t="n"/>
    </row>
    <row r="85" ht="21" customHeight="1">
      <c r="A85" s="40" t="n"/>
      <c r="B85" s="40" t="n"/>
      <c r="C85" s="40" t="n"/>
      <c r="D85" s="40" t="n"/>
      <c r="E85" s="41">
        <f>IF(A85="","",B85-C85)</f>
        <v/>
      </c>
      <c r="F85" s="40" t="n"/>
      <c r="G85" s="41">
        <f>IF(A85="","",D85-F85)</f>
        <v/>
      </c>
      <c r="H85" s="38" t="n"/>
      <c r="I85" s="38" t="n"/>
    </row>
    <row r="86" ht="21" customHeight="1">
      <c r="A86" s="40" t="n"/>
      <c r="B86" s="40" t="n"/>
      <c r="C86" s="40" t="n"/>
      <c r="D86" s="40" t="n"/>
      <c r="E86" s="41">
        <f>IF(A86="","",B86-C86)</f>
        <v/>
      </c>
      <c r="F86" s="40" t="n"/>
      <c r="G86" s="41">
        <f>IF(A86="","",D86-F86)</f>
        <v/>
      </c>
      <c r="H86" s="38" t="n"/>
      <c r="I86" s="38" t="n"/>
    </row>
    <row r="87" ht="21" customHeight="1">
      <c r="A87" s="40" t="n"/>
      <c r="B87" s="40" t="n"/>
      <c r="C87" s="40" t="n"/>
      <c r="D87" s="40" t="n"/>
      <c r="E87" s="41">
        <f>IF(A87="","",B87-C87)</f>
        <v/>
      </c>
      <c r="F87" s="40" t="n"/>
      <c r="G87" s="41">
        <f>IF(A87="","",D87-F87)</f>
        <v/>
      </c>
      <c r="H87" s="38" t="n"/>
      <c r="I87" s="38" t="n"/>
    </row>
    <row r="88" ht="21" customHeight="1">
      <c r="A88" s="40" t="n"/>
      <c r="B88" s="40" t="n"/>
      <c r="C88" s="40" t="n"/>
      <c r="D88" s="40" t="n"/>
      <c r="E88" s="41">
        <f>IF(A88="","",B88-C88)</f>
        <v/>
      </c>
      <c r="F88" s="40" t="n"/>
      <c r="G88" s="41">
        <f>IF(A88="","",D88-F88)</f>
        <v/>
      </c>
      <c r="H88" s="38" t="n"/>
      <c r="I88" s="38" t="n"/>
    </row>
    <row r="89" ht="21" customHeight="1">
      <c r="A89" s="40" t="n"/>
      <c r="B89" s="40" t="n"/>
      <c r="C89" s="40" t="n"/>
      <c r="D89" s="40" t="n"/>
      <c r="E89" s="41">
        <f>IF(A89="","",B89-C89)</f>
        <v/>
      </c>
      <c r="F89" s="40" t="n"/>
      <c r="G89" s="41">
        <f>IF(A89="","",D89-F89)</f>
        <v/>
      </c>
      <c r="H89" s="38" t="n"/>
      <c r="I89" s="38" t="n"/>
    </row>
    <row r="90" ht="21" customHeight="1">
      <c r="A90" s="40" t="n"/>
      <c r="B90" s="40" t="n"/>
      <c r="C90" s="40" t="n"/>
      <c r="D90" s="40" t="n"/>
      <c r="E90" s="41">
        <f>IF(A90="","",B90-C90)</f>
        <v/>
      </c>
      <c r="F90" s="40" t="n"/>
      <c r="G90" s="41">
        <f>IF(A90="","",D90-F90)</f>
        <v/>
      </c>
      <c r="H90" s="38" t="n"/>
      <c r="I90" s="38" t="n"/>
    </row>
    <row r="91" ht="21" customHeight="1">
      <c r="A91" s="40" t="n"/>
      <c r="B91" s="40" t="n"/>
      <c r="C91" s="40" t="n"/>
      <c r="D91" s="40" t="n"/>
      <c r="E91" s="41">
        <f>IF(A91="","",B91-C91)</f>
        <v/>
      </c>
      <c r="F91" s="40" t="n"/>
      <c r="G91" s="41">
        <f>IF(A91="","",D91-F91)</f>
        <v/>
      </c>
      <c r="H91" s="38" t="n"/>
      <c r="I91" s="38" t="n"/>
    </row>
    <row r="92" ht="21" customHeight="1">
      <c r="A92" s="40" t="n"/>
      <c r="B92" s="40" t="n"/>
      <c r="C92" s="40" t="n"/>
      <c r="D92" s="40" t="n"/>
      <c r="E92" s="41">
        <f>IF(A92="","",B92-C92)</f>
        <v/>
      </c>
      <c r="F92" s="40" t="n"/>
      <c r="G92" s="41">
        <f>IF(A92="","",D92-F92)</f>
        <v/>
      </c>
      <c r="H92" s="38" t="n"/>
      <c r="I92" s="38" t="n"/>
    </row>
    <row r="93" ht="21" customHeight="1">
      <c r="A93" s="40" t="n"/>
      <c r="B93" s="40" t="n"/>
      <c r="C93" s="40" t="n"/>
      <c r="D93" s="40" t="n"/>
      <c r="E93" s="41">
        <f>IF(A93="","",B93-C93)</f>
        <v/>
      </c>
      <c r="F93" s="40" t="n"/>
      <c r="G93" s="41">
        <f>IF(A93="","",D93-F93)</f>
        <v/>
      </c>
      <c r="H93" s="38" t="n"/>
      <c r="I93" s="38" t="n"/>
    </row>
    <row r="94" ht="21" customHeight="1">
      <c r="A94" s="40" t="n"/>
      <c r="B94" s="40" t="n"/>
      <c r="C94" s="40" t="n"/>
      <c r="D94" s="40" t="n"/>
      <c r="E94" s="41">
        <f>IF(A94="","",B94-C94)</f>
        <v/>
      </c>
      <c r="F94" s="40" t="n"/>
      <c r="G94" s="41">
        <f>IF(A94="","",D94-F94)</f>
        <v/>
      </c>
      <c r="H94" s="38" t="n"/>
      <c r="I94" s="38" t="n"/>
    </row>
    <row r="95" ht="21" customHeight="1">
      <c r="A95" s="40" t="n"/>
      <c r="B95" s="40" t="n"/>
      <c r="C95" s="40" t="n"/>
      <c r="D95" s="40" t="n"/>
      <c r="E95" s="41">
        <f>IF(A95="","",B95-C95)</f>
        <v/>
      </c>
      <c r="F95" s="40" t="n"/>
      <c r="G95" s="41">
        <f>IF(A95="","",D95-F95)</f>
        <v/>
      </c>
      <c r="H95" s="38" t="n"/>
      <c r="I95" s="38" t="n"/>
    </row>
    <row r="96" ht="21" customHeight="1">
      <c r="A96" s="40" t="n"/>
      <c r="B96" s="40" t="n"/>
      <c r="C96" s="40" t="n"/>
      <c r="D96" s="40" t="n"/>
      <c r="E96" s="41">
        <f>IF(A96="","",B96-C96)</f>
        <v/>
      </c>
      <c r="F96" s="40" t="n"/>
      <c r="G96" s="41">
        <f>IF(A96="","",D96-F96)</f>
        <v/>
      </c>
      <c r="H96" s="38" t="n"/>
      <c r="I96" s="38" t="n"/>
    </row>
    <row r="97" ht="21" customHeight="1">
      <c r="A97" s="40" t="n"/>
      <c r="B97" s="40" t="n"/>
      <c r="C97" s="40" t="n"/>
      <c r="D97" s="40" t="n"/>
      <c r="E97" s="41">
        <f>IF(A97="","",B97-C97)</f>
        <v/>
      </c>
      <c r="F97" s="40" t="n"/>
      <c r="G97" s="41">
        <f>IF(A97="","",D97-F97)</f>
        <v/>
      </c>
      <c r="H97" s="38" t="n"/>
      <c r="I97" s="38" t="n"/>
    </row>
    <row r="98" ht="21" customHeight="1">
      <c r="A98" s="40" t="n"/>
      <c r="B98" s="40" t="n"/>
      <c r="C98" s="40" t="n"/>
      <c r="D98" s="40" t="n"/>
      <c r="E98" s="41">
        <f>IF(A98="","",B98-C98)</f>
        <v/>
      </c>
      <c r="F98" s="40" t="n"/>
      <c r="G98" s="41">
        <f>IF(A98="","",D98-F98)</f>
        <v/>
      </c>
      <c r="H98" s="38" t="n"/>
      <c r="I98" s="38" t="n"/>
    </row>
    <row r="99" ht="21" customHeight="1">
      <c r="A99" s="40" t="n"/>
      <c r="B99" s="40" t="n"/>
      <c r="C99" s="40" t="n"/>
      <c r="D99" s="40" t="n"/>
      <c r="E99" s="41">
        <f>IF(A99="","",B99-C99)</f>
        <v/>
      </c>
      <c r="F99" s="40" t="n"/>
      <c r="G99" s="41">
        <f>IF(A99="","",D99-F99)</f>
        <v/>
      </c>
      <c r="H99" s="38" t="n"/>
      <c r="I99" s="38" t="n"/>
    </row>
    <row r="100" ht="21" customHeight="1">
      <c r="A100" s="40" t="n"/>
      <c r="B100" s="40" t="n"/>
      <c r="C100" s="40" t="n"/>
      <c r="D100" s="40" t="n"/>
      <c r="E100" s="41">
        <f>IF(A100="","",B100-C100)</f>
        <v/>
      </c>
      <c r="F100" s="40" t="n"/>
      <c r="G100" s="41">
        <f>IF(A100="","",D100-F100)</f>
        <v/>
      </c>
      <c r="H100" s="38" t="n"/>
      <c r="I100" s="38" t="n"/>
    </row>
    <row r="101" ht="21" customHeight="1">
      <c r="A101" s="40" t="n"/>
      <c r="B101" s="40" t="n"/>
      <c r="C101" s="40" t="n"/>
      <c r="D101" s="40" t="n"/>
      <c r="E101" s="41">
        <f>IF(A101="","",B101-C101)</f>
        <v/>
      </c>
      <c r="F101" s="40" t="n"/>
      <c r="G101" s="41">
        <f>IF(A101="","",D101-F101)</f>
        <v/>
      </c>
      <c r="H101" s="38" t="n"/>
      <c r="I101" s="38" t="n"/>
    </row>
    <row r="102" ht="21" customHeight="1">
      <c r="A102" s="40" t="n"/>
      <c r="B102" s="40" t="n"/>
      <c r="C102" s="40" t="n"/>
      <c r="D102" s="40" t="n"/>
      <c r="E102" s="41">
        <f>IF(A102="","",B102-C102)</f>
        <v/>
      </c>
      <c r="F102" s="40" t="n"/>
      <c r="G102" s="41">
        <f>IF(A102="","",D102-F102)</f>
        <v/>
      </c>
      <c r="H102" s="38" t="n"/>
      <c r="I102" s="38" t="n"/>
    </row>
    <row r="103" ht="21" customHeight="1">
      <c r="A103" s="40" t="n"/>
      <c r="B103" s="40" t="n"/>
      <c r="C103" s="40" t="n"/>
      <c r="D103" s="40" t="n"/>
      <c r="E103" s="41">
        <f>IF(A103="","",B103-C103)</f>
        <v/>
      </c>
      <c r="F103" s="40" t="n"/>
      <c r="G103" s="41">
        <f>IF(A103="","",D103-F103)</f>
        <v/>
      </c>
      <c r="H103" s="38" t="n"/>
      <c r="I103" s="38" t="n"/>
    </row>
    <row r="104" ht="21" customHeight="1">
      <c r="A104" s="40" t="n"/>
      <c r="B104" s="40" t="n"/>
      <c r="C104" s="40" t="n"/>
      <c r="D104" s="40" t="n"/>
      <c r="E104" s="41">
        <f>IF(A104="","",B104-C104)</f>
        <v/>
      </c>
      <c r="F104" s="40" t="n"/>
      <c r="G104" s="41">
        <f>IF(A104="","",D104-F104)</f>
        <v/>
      </c>
      <c r="H104" s="38" t="n"/>
      <c r="I104" s="38" t="n"/>
    </row>
    <row r="105" ht="21" customHeight="1">
      <c r="A105" s="40" t="n"/>
      <c r="B105" s="40" t="n"/>
      <c r="C105" s="40" t="n"/>
      <c r="D105" s="40" t="n"/>
      <c r="E105" s="41">
        <f>IF(A105="","",B105-C105)</f>
        <v/>
      </c>
      <c r="F105" s="40" t="n"/>
      <c r="G105" s="41">
        <f>IF(A105="","",D105-F105)</f>
        <v/>
      </c>
      <c r="H105" s="38" t="n"/>
      <c r="I105" s="38" t="n"/>
    </row>
    <row r="106" ht="21" customHeight="1">
      <c r="A106" s="40" t="n"/>
      <c r="B106" s="40" t="n"/>
      <c r="C106" s="40" t="n"/>
      <c r="D106" s="40" t="n"/>
      <c r="E106" s="41">
        <f>IF(A106="","",B106-C106)</f>
        <v/>
      </c>
      <c r="F106" s="40" t="n"/>
      <c r="G106" s="41">
        <f>IF(A106="","",D106-F106)</f>
        <v/>
      </c>
      <c r="H106" s="38" t="n"/>
      <c r="I106" s="38" t="n"/>
    </row>
    <row r="107" ht="21" customHeight="1">
      <c r="A107" s="40" t="n"/>
      <c r="B107" s="40" t="n"/>
      <c r="C107" s="40" t="n"/>
      <c r="D107" s="40" t="n"/>
      <c r="E107" s="41">
        <f>IF(A107="","",B107-C107)</f>
        <v/>
      </c>
      <c r="F107" s="40" t="n"/>
      <c r="G107" s="41">
        <f>IF(A107="","",D107-F107)</f>
        <v/>
      </c>
      <c r="H107" s="38" t="n"/>
      <c r="I107" s="38" t="n"/>
    </row>
    <row r="108" ht="21" customHeight="1">
      <c r="A108" s="40" t="n"/>
      <c r="B108" s="40" t="n"/>
      <c r="C108" s="40" t="n"/>
      <c r="D108" s="40" t="n"/>
      <c r="E108" s="41">
        <f>IF(A108="","",B108-C108)</f>
        <v/>
      </c>
      <c r="F108" s="40" t="n"/>
      <c r="G108" s="41">
        <f>IF(A108="","",D108-F108)</f>
        <v/>
      </c>
      <c r="H108" s="38" t="n"/>
      <c r="I108" s="38" t="n"/>
    </row>
    <row r="109" ht="21" customHeight="1">
      <c r="A109" s="40" t="n"/>
      <c r="B109" s="40" t="n"/>
      <c r="C109" s="40" t="n"/>
      <c r="D109" s="40" t="n"/>
      <c r="E109" s="41">
        <f>IF(A109="","",B109-C109)</f>
        <v/>
      </c>
      <c r="F109" s="40" t="n"/>
      <c r="G109" s="41">
        <f>IF(A109="","",D109-F109)</f>
        <v/>
      </c>
      <c r="H109" s="38" t="n"/>
      <c r="I109" s="38" t="n"/>
    </row>
    <row r="110" ht="21" customHeight="1">
      <c r="A110" s="40" t="n"/>
      <c r="B110" s="40" t="n"/>
      <c r="C110" s="40" t="n"/>
      <c r="D110" s="40" t="n"/>
      <c r="E110" s="41">
        <f>IF(A110="","",B110-C110)</f>
        <v/>
      </c>
      <c r="F110" s="40" t="n"/>
      <c r="G110" s="41">
        <f>IF(A110="","",D110-F110)</f>
        <v/>
      </c>
      <c r="H110" s="38" t="n"/>
      <c r="I110" s="38" t="n"/>
    </row>
    <row r="111" ht="21" customHeight="1">
      <c r="A111" s="40" t="n"/>
      <c r="B111" s="40" t="n"/>
      <c r="C111" s="40" t="n"/>
      <c r="D111" s="40" t="n"/>
      <c r="E111" s="41">
        <f>IF(A111="","",B111-C111)</f>
        <v/>
      </c>
      <c r="F111" s="40" t="n"/>
      <c r="G111" s="41">
        <f>IF(A111="","",D111-F111)</f>
        <v/>
      </c>
      <c r="H111" s="38" t="n"/>
      <c r="I111" s="38" t="n"/>
    </row>
    <row r="112" ht="21" customHeight="1">
      <c r="A112" s="40" t="n"/>
      <c r="B112" s="40" t="n"/>
      <c r="C112" s="40" t="n"/>
      <c r="D112" s="40" t="n"/>
      <c r="E112" s="41">
        <f>IF(A112="","",B112-C112)</f>
        <v/>
      </c>
      <c r="F112" s="40" t="n"/>
      <c r="G112" s="41">
        <f>IF(A112="","",D112-F112)</f>
        <v/>
      </c>
      <c r="H112" s="38" t="n"/>
      <c r="I112" s="38" t="n"/>
    </row>
    <row r="113" ht="21" customHeight="1">
      <c r="A113" s="40" t="n"/>
      <c r="B113" s="40" t="n"/>
      <c r="C113" s="40" t="n"/>
      <c r="D113" s="40" t="n"/>
      <c r="E113" s="41">
        <f>IF(A113="","",B113-C113)</f>
        <v/>
      </c>
      <c r="F113" s="40" t="n"/>
      <c r="G113" s="41">
        <f>IF(A113="","",D113-F113)</f>
        <v/>
      </c>
      <c r="H113" s="38" t="n"/>
      <c r="I113" s="38" t="n"/>
    </row>
    <row r="114" ht="21" customHeight="1">
      <c r="A114" s="40" t="n"/>
      <c r="B114" s="40" t="n"/>
      <c r="C114" s="40" t="n"/>
      <c r="D114" s="40" t="n"/>
      <c r="E114" s="41">
        <f>IF(A114="","",B114-C114)</f>
        <v/>
      </c>
      <c r="F114" s="40" t="n"/>
      <c r="G114" s="41">
        <f>IF(A114="","",D114-F114)</f>
        <v/>
      </c>
      <c r="H114" s="38" t="n"/>
      <c r="I114" s="38" t="n"/>
    </row>
    <row r="115" ht="21" customHeight="1">
      <c r="A115" s="40" t="n"/>
      <c r="B115" s="40" t="n"/>
      <c r="C115" s="40" t="n"/>
      <c r="D115" s="40" t="n"/>
      <c r="E115" s="41">
        <f>IF(A115="","",B115-C115)</f>
        <v/>
      </c>
      <c r="F115" s="40" t="n"/>
      <c r="G115" s="41">
        <f>IF(A115="","",D115-F115)</f>
        <v/>
      </c>
      <c r="H115" s="38" t="n"/>
      <c r="I115" s="38" t="n"/>
    </row>
    <row r="116" ht="21" customHeight="1">
      <c r="A116" s="40" t="n"/>
      <c r="B116" s="40" t="n"/>
      <c r="C116" s="40" t="n"/>
      <c r="D116" s="40" t="n"/>
      <c r="E116" s="41">
        <f>IF(A116="","",B116-C116)</f>
        <v/>
      </c>
      <c r="F116" s="40" t="n"/>
      <c r="G116" s="41">
        <f>IF(A116="","",D116-F116)</f>
        <v/>
      </c>
      <c r="H116" s="38" t="n"/>
      <c r="I116" s="38" t="n"/>
    </row>
    <row r="117" ht="21" customHeight="1">
      <c r="A117" s="40" t="n"/>
      <c r="B117" s="40" t="n"/>
      <c r="C117" s="40" t="n"/>
      <c r="D117" s="40" t="n"/>
      <c r="E117" s="41">
        <f>IF(A117="","",B117-C117)</f>
        <v/>
      </c>
      <c r="F117" s="40" t="n"/>
      <c r="G117" s="41">
        <f>IF(A117="","",D117-F117)</f>
        <v/>
      </c>
      <c r="H117" s="38" t="n"/>
      <c r="I117" s="38" t="n"/>
    </row>
    <row r="118" ht="21" customHeight="1">
      <c r="A118" s="40" t="n"/>
      <c r="B118" s="40" t="n"/>
      <c r="C118" s="40" t="n"/>
      <c r="D118" s="40" t="n"/>
      <c r="E118" s="41">
        <f>IF(A118="","",B118-C118)</f>
        <v/>
      </c>
      <c r="F118" s="40" t="n"/>
      <c r="G118" s="41">
        <f>IF(A118="","",D118-F118)</f>
        <v/>
      </c>
      <c r="H118" s="38" t="n"/>
      <c r="I118" s="38" t="n"/>
    </row>
    <row r="119" ht="21" customHeight="1">
      <c r="A119" s="40" t="n"/>
      <c r="B119" s="40" t="n"/>
      <c r="C119" s="40" t="n"/>
      <c r="D119" s="40" t="n"/>
      <c r="E119" s="41">
        <f>IF(A119="","",B119-C119)</f>
        <v/>
      </c>
      <c r="F119" s="40" t="n"/>
      <c r="G119" s="41">
        <f>IF(A119="","",D119-F119)</f>
        <v/>
      </c>
      <c r="H119" s="38" t="n"/>
      <c r="I119" s="38" t="n"/>
    </row>
    <row r="120" ht="21" customHeight="1">
      <c r="A120" s="40" t="n"/>
      <c r="B120" s="40" t="n"/>
      <c r="C120" s="40" t="n"/>
      <c r="D120" s="40" t="n"/>
      <c r="E120" s="41">
        <f>IF(A120="","",B120-C120)</f>
        <v/>
      </c>
      <c r="F120" s="40" t="n"/>
      <c r="G120" s="41">
        <f>IF(A120="","",D120-F120)</f>
        <v/>
      </c>
      <c r="H120" s="38" t="n"/>
      <c r="I120" s="38" t="n"/>
    </row>
    <row r="121" ht="21" customHeight="1">
      <c r="A121" s="40" t="n"/>
      <c r="B121" s="40" t="n"/>
      <c r="C121" s="40" t="n"/>
      <c r="D121" s="40" t="n"/>
      <c r="E121" s="41">
        <f>IF(A121="","",B121-C121)</f>
        <v/>
      </c>
      <c r="F121" s="40" t="n"/>
      <c r="G121" s="41">
        <f>IF(A121="","",D121-F121)</f>
        <v/>
      </c>
      <c r="H121" s="38" t="n"/>
      <c r="I121" s="38" t="n"/>
    </row>
    <row r="122" ht="21" customHeight="1">
      <c r="A122" s="40" t="n"/>
      <c r="B122" s="40" t="n"/>
      <c r="C122" s="40" t="n"/>
      <c r="D122" s="40" t="n"/>
      <c r="E122" s="41">
        <f>IF(A122="","",B122-C122)</f>
        <v/>
      </c>
      <c r="F122" s="40" t="n"/>
      <c r="G122" s="41">
        <f>IF(A122="","",D122-F122)</f>
        <v/>
      </c>
      <c r="H122" s="38" t="n"/>
      <c r="I122" s="38" t="n"/>
    </row>
    <row r="123" ht="21" customHeight="1">
      <c r="A123" s="40" t="n"/>
      <c r="B123" s="40" t="n"/>
      <c r="C123" s="40" t="n"/>
      <c r="D123" s="40" t="n"/>
      <c r="E123" s="41">
        <f>IF(A123="","",B123-C123)</f>
        <v/>
      </c>
      <c r="F123" s="40" t="n"/>
      <c r="G123" s="41">
        <f>IF(A123="","",D123-F123)</f>
        <v/>
      </c>
      <c r="H123" s="38" t="n"/>
      <c r="I123" s="38" t="n"/>
    </row>
    <row r="124" ht="21" customHeight="1">
      <c r="A124" s="40" t="n"/>
      <c r="B124" s="40" t="n"/>
      <c r="C124" s="40" t="n"/>
      <c r="D124" s="40" t="n"/>
      <c r="E124" s="41">
        <f>IF(A124="","",B124-C124)</f>
        <v/>
      </c>
      <c r="F124" s="40" t="n"/>
      <c r="G124" s="41">
        <f>IF(A124="","",D124-F124)</f>
        <v/>
      </c>
      <c r="H124" s="38" t="n"/>
      <c r="I124" s="38" t="n"/>
    </row>
    <row r="125" ht="21" customHeight="1">
      <c r="A125" s="40" t="n"/>
      <c r="B125" s="40" t="n"/>
      <c r="C125" s="40" t="n"/>
      <c r="D125" s="40" t="n"/>
      <c r="E125" s="41">
        <f>IF(A125="","",B125-C125)</f>
        <v/>
      </c>
      <c r="F125" s="40" t="n"/>
      <c r="G125" s="41">
        <f>IF(A125="","",D125-F125)</f>
        <v/>
      </c>
      <c r="H125" s="38" t="n"/>
      <c r="I125" s="38" t="n"/>
    </row>
    <row r="126" ht="21" customHeight="1">
      <c r="A126" s="40" t="n"/>
      <c r="B126" s="40" t="n"/>
      <c r="C126" s="40" t="n"/>
      <c r="D126" s="40" t="n"/>
      <c r="E126" s="41">
        <f>IF(A126="","",B126-C126)</f>
        <v/>
      </c>
      <c r="F126" s="40" t="n"/>
      <c r="G126" s="41">
        <f>IF(A126="","",D126-F126)</f>
        <v/>
      </c>
      <c r="H126" s="38" t="n"/>
      <c r="I126" s="38" t="n"/>
    </row>
    <row r="127" ht="21" customHeight="1">
      <c r="A127" s="40" t="n"/>
      <c r="B127" s="40" t="n"/>
      <c r="C127" s="40" t="n"/>
      <c r="D127" s="40" t="n"/>
      <c r="E127" s="41">
        <f>IF(A127="","",B127-C127)</f>
        <v/>
      </c>
      <c r="F127" s="40" t="n"/>
      <c r="G127" s="41">
        <f>IF(A127="","",D127-F127)</f>
        <v/>
      </c>
      <c r="H127" s="38" t="n"/>
      <c r="I127" s="38" t="n"/>
    </row>
    <row r="128" ht="21" customHeight="1">
      <c r="A128" s="40" t="n"/>
      <c r="B128" s="40" t="n"/>
      <c r="C128" s="40" t="n"/>
      <c r="D128" s="40" t="n"/>
      <c r="E128" s="41">
        <f>IF(A128="","",B128-C128)</f>
        <v/>
      </c>
      <c r="F128" s="40" t="n"/>
      <c r="G128" s="41">
        <f>IF(A128="","",D128-F128)</f>
        <v/>
      </c>
      <c r="H128" s="38" t="n"/>
      <c r="I128" s="38" t="n"/>
    </row>
    <row r="129" ht="21" customHeight="1">
      <c r="A129" s="40" t="n"/>
      <c r="B129" s="40" t="n"/>
      <c r="C129" s="40" t="n"/>
      <c r="D129" s="40" t="n"/>
      <c r="E129" s="41">
        <f>IF(A129="","",B129-C129)</f>
        <v/>
      </c>
      <c r="F129" s="40" t="n"/>
      <c r="G129" s="41">
        <f>IF(A129="","",D129-F129)</f>
        <v/>
      </c>
      <c r="H129" s="38" t="n"/>
      <c r="I129" s="38" t="n"/>
    </row>
    <row r="130" ht="21" customHeight="1">
      <c r="A130" s="40" t="n"/>
      <c r="B130" s="40" t="n"/>
      <c r="C130" s="40" t="n"/>
      <c r="D130" s="40" t="n"/>
      <c r="E130" s="41">
        <f>IF(A130="","",B130-C130)</f>
        <v/>
      </c>
      <c r="F130" s="40" t="n"/>
      <c r="G130" s="41">
        <f>IF(A130="","",D130-F130)</f>
        <v/>
      </c>
      <c r="H130" s="38" t="n"/>
      <c r="I130" s="38" t="n"/>
    </row>
    <row r="131" ht="21" customHeight="1">
      <c r="A131" s="40" t="n"/>
      <c r="B131" s="40" t="n"/>
      <c r="C131" s="40" t="n"/>
      <c r="D131" s="40" t="n"/>
      <c r="E131" s="41">
        <f>IF(A131="","",B131-C131)</f>
        <v/>
      </c>
      <c r="F131" s="40" t="n"/>
      <c r="G131" s="41">
        <f>IF(A131="","",D131-F131)</f>
        <v/>
      </c>
      <c r="H131" s="38" t="n"/>
      <c r="I131" s="38" t="n"/>
    </row>
    <row r="132" ht="21" customHeight="1">
      <c r="A132" s="40" t="n"/>
      <c r="B132" s="40" t="n"/>
      <c r="C132" s="40" t="n"/>
      <c r="D132" s="40" t="n"/>
      <c r="E132" s="41">
        <f>IF(A132="","",B132-C132)</f>
        <v/>
      </c>
      <c r="F132" s="40" t="n"/>
      <c r="G132" s="41">
        <f>IF(A132="","",D132-F132)</f>
        <v/>
      </c>
      <c r="H132" s="38" t="n"/>
      <c r="I132" s="38" t="n"/>
    </row>
    <row r="133" ht="21" customHeight="1">
      <c r="A133" s="40" t="n"/>
      <c r="B133" s="40" t="n"/>
      <c r="C133" s="40" t="n"/>
      <c r="D133" s="40" t="n"/>
      <c r="E133" s="41">
        <f>IF(A133="","",B133-C133)</f>
        <v/>
      </c>
      <c r="F133" s="40" t="n"/>
      <c r="G133" s="41">
        <f>IF(A133="","",D133-F133)</f>
        <v/>
      </c>
      <c r="H133" s="38" t="n"/>
      <c r="I133" s="38" t="n"/>
    </row>
    <row r="134" ht="21" customHeight="1">
      <c r="A134" s="40" t="n"/>
      <c r="B134" s="40" t="n"/>
      <c r="C134" s="40" t="n"/>
      <c r="D134" s="40" t="n"/>
      <c r="E134" s="41">
        <f>IF(A134="","",B134-C134)</f>
        <v/>
      </c>
      <c r="F134" s="40" t="n"/>
      <c r="G134" s="41">
        <f>IF(A134="","",D134-F134)</f>
        <v/>
      </c>
      <c r="H134" s="38" t="n"/>
      <c r="I134" s="38" t="n"/>
    </row>
    <row r="135" ht="21" customHeight="1">
      <c r="A135" s="40" t="n"/>
      <c r="B135" s="40" t="n"/>
      <c r="C135" s="40" t="n"/>
      <c r="D135" s="40" t="n"/>
      <c r="E135" s="41">
        <f>IF(A135="","",B135-C135)</f>
        <v/>
      </c>
      <c r="F135" s="40" t="n"/>
      <c r="G135" s="41">
        <f>IF(A135="","",D135-F135)</f>
        <v/>
      </c>
      <c r="H135" s="38" t="n"/>
      <c r="I135" s="38" t="n"/>
    </row>
    <row r="136" ht="21" customHeight="1">
      <c r="A136" s="40" t="n"/>
      <c r="B136" s="40" t="n"/>
      <c r="C136" s="40" t="n"/>
      <c r="D136" s="40" t="n"/>
      <c r="E136" s="41">
        <f>IF(A136="","",B136-C136)</f>
        <v/>
      </c>
      <c r="F136" s="40" t="n"/>
      <c r="G136" s="41">
        <f>IF(A136="","",D136-F136)</f>
        <v/>
      </c>
      <c r="H136" s="38" t="n"/>
      <c r="I136" s="38" t="n"/>
    </row>
    <row r="137" ht="21" customHeight="1">
      <c r="A137" s="40" t="n"/>
      <c r="B137" s="40" t="n"/>
      <c r="C137" s="40" t="n"/>
      <c r="D137" s="40" t="n"/>
      <c r="E137" s="41">
        <f>IF(A137="","",B137-C137)</f>
        <v/>
      </c>
      <c r="F137" s="40" t="n"/>
      <c r="G137" s="41">
        <f>IF(A137="","",D137-F137)</f>
        <v/>
      </c>
      <c r="H137" s="38" t="n"/>
      <c r="I137" s="38" t="n"/>
    </row>
    <row r="138" ht="21" customHeight="1">
      <c r="A138" s="40" t="n"/>
      <c r="B138" s="40" t="n"/>
      <c r="C138" s="40" t="n"/>
      <c r="D138" s="40" t="n"/>
      <c r="E138" s="41">
        <f>IF(A138="","",B138-C138)</f>
        <v/>
      </c>
      <c r="F138" s="40" t="n"/>
      <c r="G138" s="41">
        <f>IF(A138="","",D138-F138)</f>
        <v/>
      </c>
      <c r="H138" s="38" t="n"/>
      <c r="I138" s="38" t="n"/>
    </row>
    <row r="139" ht="21" customHeight="1">
      <c r="A139" s="40" t="n"/>
      <c r="B139" s="40" t="n"/>
      <c r="C139" s="40" t="n"/>
      <c r="D139" s="40" t="n"/>
      <c r="E139" s="41">
        <f>IF(A139="","",B139-C139)</f>
        <v/>
      </c>
      <c r="F139" s="40" t="n"/>
      <c r="G139" s="41">
        <f>IF(A139="","",D139-F139)</f>
        <v/>
      </c>
      <c r="H139" s="38" t="n"/>
      <c r="I139" s="38" t="n"/>
    </row>
    <row r="140" ht="21" customHeight="1">
      <c r="A140" s="40" t="n"/>
      <c r="B140" s="40" t="n"/>
      <c r="C140" s="40" t="n"/>
      <c r="D140" s="40" t="n"/>
      <c r="E140" s="41">
        <f>IF(A140="","",B140-C140)</f>
        <v/>
      </c>
      <c r="F140" s="40" t="n"/>
      <c r="G140" s="41">
        <f>IF(A140="","",D140-F140)</f>
        <v/>
      </c>
      <c r="H140" s="38" t="n"/>
      <c r="I140" s="38" t="n"/>
    </row>
    <row r="141" ht="21" customHeight="1">
      <c r="A141" s="40" t="n"/>
      <c r="B141" s="40" t="n"/>
      <c r="C141" s="40" t="n"/>
      <c r="D141" s="40" t="n"/>
      <c r="E141" s="41">
        <f>IF(A141="","",B141-C141)</f>
        <v/>
      </c>
      <c r="F141" s="40" t="n"/>
      <c r="G141" s="41">
        <f>IF(A141="","",D141-F141)</f>
        <v/>
      </c>
      <c r="H141" s="38" t="n"/>
      <c r="I141" s="38" t="n"/>
    </row>
    <row r="142" ht="21" customHeight="1">
      <c r="A142" s="40" t="n"/>
      <c r="B142" s="40" t="n"/>
      <c r="C142" s="40" t="n"/>
      <c r="D142" s="40" t="n"/>
      <c r="E142" s="41">
        <f>IF(A142="","",B142-C142)</f>
        <v/>
      </c>
      <c r="F142" s="40" t="n"/>
      <c r="G142" s="41">
        <f>IF(A142="","",D142-F142)</f>
        <v/>
      </c>
      <c r="H142" s="38" t="n"/>
      <c r="I142" s="38" t="n"/>
    </row>
    <row r="143" ht="21" customHeight="1">
      <c r="A143" s="40" t="n"/>
      <c r="B143" s="40" t="n"/>
      <c r="C143" s="40" t="n"/>
      <c r="D143" s="40" t="n"/>
      <c r="E143" s="41">
        <f>IF(A143="","",B143-C143)</f>
        <v/>
      </c>
      <c r="F143" s="40" t="n"/>
      <c r="G143" s="41">
        <f>IF(A143="","",D143-F143)</f>
        <v/>
      </c>
      <c r="H143" s="38" t="n"/>
      <c r="I143" s="38" t="n"/>
    </row>
    <row r="144" ht="21" customHeight="1">
      <c r="A144" s="40" t="n"/>
      <c r="B144" s="40" t="n"/>
      <c r="C144" s="40" t="n"/>
      <c r="D144" s="40" t="n"/>
      <c r="E144" s="41">
        <f>IF(A144="","",B144-C144)</f>
        <v/>
      </c>
      <c r="F144" s="40" t="n"/>
      <c r="G144" s="41">
        <f>IF(A144="","",D144-F144)</f>
        <v/>
      </c>
      <c r="H144" s="38" t="n"/>
      <c r="I144" s="38" t="n"/>
    </row>
    <row r="145" ht="21" customHeight="1">
      <c r="A145" s="40" t="n"/>
      <c r="B145" s="40" t="n"/>
      <c r="C145" s="40" t="n"/>
      <c r="D145" s="40" t="n"/>
      <c r="E145" s="41">
        <f>IF(A145="","",B145-C145)</f>
        <v/>
      </c>
      <c r="F145" s="40" t="n"/>
      <c r="G145" s="41">
        <f>IF(A145="","",D145-F145)</f>
        <v/>
      </c>
      <c r="H145" s="38" t="n"/>
      <c r="I145" s="38" t="n"/>
    </row>
    <row r="146" ht="21" customHeight="1">
      <c r="A146" s="40" t="n"/>
      <c r="B146" s="40" t="n"/>
      <c r="C146" s="40" t="n"/>
      <c r="D146" s="40" t="n"/>
      <c r="E146" s="41">
        <f>IF(A146="","",B146-C146)</f>
        <v/>
      </c>
      <c r="F146" s="40" t="n"/>
      <c r="G146" s="41">
        <f>IF(A146="","",D146-F146)</f>
        <v/>
      </c>
      <c r="H146" s="38" t="n"/>
      <c r="I146" s="38" t="n"/>
    </row>
    <row r="147" ht="21" customHeight="1">
      <c r="A147" s="40" t="n"/>
      <c r="B147" s="40" t="n"/>
      <c r="C147" s="40" t="n"/>
      <c r="D147" s="40" t="n"/>
      <c r="E147" s="41">
        <f>IF(A147="","",B147-C147)</f>
        <v/>
      </c>
      <c r="F147" s="40" t="n"/>
      <c r="G147" s="41">
        <f>IF(A147="","",D147-F147)</f>
        <v/>
      </c>
      <c r="H147" s="38" t="n"/>
      <c r="I147" s="38" t="n"/>
    </row>
    <row r="148" ht="21" customHeight="1">
      <c r="A148" s="40" t="n"/>
      <c r="B148" s="40" t="n"/>
      <c r="C148" s="40" t="n"/>
      <c r="D148" s="40" t="n"/>
      <c r="E148" s="41">
        <f>IF(A148="","",B148-C148)</f>
        <v/>
      </c>
      <c r="F148" s="40" t="n"/>
      <c r="G148" s="41">
        <f>IF(A148="","",D148-F148)</f>
        <v/>
      </c>
      <c r="H148" s="38" t="n"/>
      <c r="I148" s="38" t="n"/>
    </row>
    <row r="149" ht="21" customHeight="1">
      <c r="A149" s="40" t="n"/>
      <c r="B149" s="40" t="n"/>
      <c r="C149" s="40" t="n"/>
      <c r="D149" s="40" t="n"/>
      <c r="E149" s="41">
        <f>IF(A149="","",B149-C149)</f>
        <v/>
      </c>
      <c r="F149" s="40" t="n"/>
      <c r="G149" s="41">
        <f>IF(A149="","",D149-F149)</f>
        <v/>
      </c>
      <c r="H149" s="38" t="n"/>
      <c r="I149" s="38" t="n"/>
    </row>
    <row r="150" ht="21" customHeight="1">
      <c r="A150" s="40" t="n"/>
      <c r="B150" s="40" t="n"/>
      <c r="C150" s="40" t="n"/>
      <c r="D150" s="40" t="n"/>
      <c r="E150" s="41">
        <f>IF(A150="","",B150-C150)</f>
        <v/>
      </c>
      <c r="F150" s="40" t="n"/>
      <c r="G150" s="41">
        <f>IF(A150="","",D150-F150)</f>
        <v/>
      </c>
      <c r="H150" s="38" t="n"/>
      <c r="I150" s="38" t="n"/>
    </row>
    <row r="151" ht="21" customHeight="1">
      <c r="A151" s="40" t="n"/>
      <c r="B151" s="40" t="n"/>
      <c r="C151" s="40" t="n"/>
      <c r="D151" s="40" t="n"/>
      <c r="E151" s="41">
        <f>IF(A151="","",B151-C151)</f>
        <v/>
      </c>
      <c r="F151" s="40" t="n"/>
      <c r="G151" s="41">
        <f>IF(A151="","",D151-F151)</f>
        <v/>
      </c>
      <c r="H151" s="38" t="n"/>
      <c r="I151" s="38" t="n"/>
    </row>
    <row r="152" ht="21" customHeight="1">
      <c r="A152" s="40" t="n"/>
      <c r="B152" s="40" t="n"/>
      <c r="C152" s="40" t="n"/>
      <c r="D152" s="40" t="n"/>
      <c r="E152" s="41">
        <f>IF(A152="","",B152-C152)</f>
        <v/>
      </c>
      <c r="F152" s="40" t="n"/>
      <c r="G152" s="41">
        <f>IF(A152="","",D152-F152)</f>
        <v/>
      </c>
      <c r="H152" s="38" t="n"/>
      <c r="I152" s="38" t="n"/>
    </row>
    <row r="153" ht="21" customHeight="1">
      <c r="A153" s="40" t="n"/>
      <c r="B153" s="40" t="n"/>
      <c r="C153" s="40" t="n"/>
      <c r="D153" s="40" t="n"/>
      <c r="E153" s="41">
        <f>IF(A153="","",B153-C153)</f>
        <v/>
      </c>
      <c r="F153" s="40" t="n"/>
      <c r="G153" s="41">
        <f>IF(A153="","",D153-F153)</f>
        <v/>
      </c>
      <c r="H153" s="38" t="n"/>
      <c r="I153" s="38" t="n"/>
    </row>
    <row r="154" ht="21" customHeight="1">
      <c r="A154" s="40" t="n"/>
      <c r="B154" s="40" t="n"/>
      <c r="C154" s="40" t="n"/>
      <c r="D154" s="40" t="n"/>
      <c r="E154" s="41">
        <f>IF(A154="","",B154-C154)</f>
        <v/>
      </c>
      <c r="F154" s="40" t="n"/>
      <c r="G154" s="41">
        <f>IF(A154="","",D154-F154)</f>
        <v/>
      </c>
      <c r="H154" s="38" t="n"/>
      <c r="I154" s="38" t="n"/>
    </row>
    <row r="155" ht="21" customHeight="1">
      <c r="A155" s="40" t="n"/>
      <c r="B155" s="40" t="n"/>
      <c r="C155" s="40" t="n"/>
      <c r="D155" s="40" t="n"/>
      <c r="E155" s="41">
        <f>IF(A155="","",B155-C155)</f>
        <v/>
      </c>
      <c r="F155" s="40" t="n"/>
      <c r="G155" s="41">
        <f>IF(A155="","",D155-F155)</f>
        <v/>
      </c>
      <c r="H155" s="38" t="n"/>
      <c r="I155" s="38" t="n"/>
    </row>
    <row r="156" ht="21" customHeight="1">
      <c r="A156" s="40" t="n"/>
      <c r="B156" s="40" t="n"/>
      <c r="C156" s="40" t="n"/>
      <c r="D156" s="40" t="n"/>
      <c r="E156" s="41">
        <f>IF(A156="","",B156-C156)</f>
        <v/>
      </c>
      <c r="F156" s="40" t="n"/>
      <c r="G156" s="41">
        <f>IF(A156="","",D156-F156)</f>
        <v/>
      </c>
      <c r="H156" s="38" t="n"/>
      <c r="I156" s="38" t="n"/>
    </row>
    <row r="157" ht="21" customHeight="1">
      <c r="A157" s="40" t="n"/>
      <c r="B157" s="40" t="n"/>
      <c r="C157" s="40" t="n"/>
      <c r="D157" s="40" t="n"/>
      <c r="E157" s="41">
        <f>IF(A157="","",B157-C157)</f>
        <v/>
      </c>
      <c r="F157" s="40" t="n"/>
      <c r="G157" s="41">
        <f>IF(A157="","",D157-F157)</f>
        <v/>
      </c>
      <c r="H157" s="38" t="n"/>
      <c r="I157" s="38" t="n"/>
    </row>
    <row r="158" ht="21" customHeight="1">
      <c r="A158" s="40" t="n"/>
      <c r="B158" s="40" t="n"/>
      <c r="C158" s="40" t="n"/>
      <c r="D158" s="40" t="n"/>
      <c r="E158" s="41">
        <f>IF(A158="","",B158-C158)</f>
        <v/>
      </c>
      <c r="F158" s="40" t="n"/>
      <c r="G158" s="41">
        <f>IF(A158="","",D158-F158)</f>
        <v/>
      </c>
      <c r="H158" s="38" t="n"/>
      <c r="I158" s="38" t="n"/>
    </row>
    <row r="159" ht="21" customHeight="1">
      <c r="A159" s="40" t="n"/>
      <c r="B159" s="40" t="n"/>
      <c r="C159" s="40" t="n"/>
      <c r="D159" s="40" t="n"/>
      <c r="E159" s="41">
        <f>IF(A159="","",B159-C159)</f>
        <v/>
      </c>
      <c r="F159" s="40" t="n"/>
      <c r="G159" s="41">
        <f>IF(A159="","",D159-F159)</f>
        <v/>
      </c>
      <c r="H159" s="38" t="n"/>
      <c r="I159" s="38" t="n"/>
    </row>
    <row r="160" ht="21" customHeight="1">
      <c r="A160" s="40" t="n"/>
      <c r="B160" s="40" t="n"/>
      <c r="C160" s="40" t="n"/>
      <c r="D160" s="40" t="n"/>
      <c r="E160" s="41">
        <f>IF(A160="","",B160-C160)</f>
        <v/>
      </c>
      <c r="F160" s="40" t="n"/>
      <c r="G160" s="41">
        <f>IF(A160="","",D160-F160)</f>
        <v/>
      </c>
      <c r="H160" s="38" t="n"/>
      <c r="I160" s="38" t="n"/>
    </row>
    <row r="161" ht="21" customHeight="1">
      <c r="A161" s="40" t="n"/>
      <c r="B161" s="40" t="n"/>
      <c r="C161" s="40" t="n"/>
      <c r="D161" s="40" t="n"/>
      <c r="E161" s="41">
        <f>IF(A161="","",B161-C161)</f>
        <v/>
      </c>
      <c r="F161" s="40" t="n"/>
      <c r="G161" s="41">
        <f>IF(A161="","",D161-F161)</f>
        <v/>
      </c>
      <c r="H161" s="38" t="n"/>
      <c r="I161" s="38" t="n"/>
    </row>
    <row r="162" ht="21" customHeight="1">
      <c r="A162" s="40" t="n"/>
      <c r="B162" s="40" t="n"/>
      <c r="C162" s="40" t="n"/>
      <c r="D162" s="40" t="n"/>
      <c r="E162" s="41">
        <f>IF(A162="","",B162-C162)</f>
        <v/>
      </c>
      <c r="F162" s="40" t="n"/>
      <c r="G162" s="41">
        <f>IF(A162="","",D162-F162)</f>
        <v/>
      </c>
      <c r="H162" s="38" t="n"/>
      <c r="I162" s="38" t="n"/>
    </row>
    <row r="163" ht="21" customHeight="1">
      <c r="A163" s="40" t="n"/>
      <c r="B163" s="40" t="n"/>
      <c r="C163" s="40" t="n"/>
      <c r="D163" s="40" t="n"/>
      <c r="E163" s="41">
        <f>IF(A163="","",B163-C163)</f>
        <v/>
      </c>
      <c r="F163" s="40" t="n"/>
      <c r="G163" s="41">
        <f>IF(A163="","",D163-F163)</f>
        <v/>
      </c>
      <c r="H163" s="38" t="n"/>
      <c r="I163" s="38" t="n"/>
    </row>
    <row r="164" ht="21" customHeight="1">
      <c r="A164" s="40" t="n"/>
      <c r="B164" s="40" t="n"/>
      <c r="C164" s="40" t="n"/>
      <c r="D164" s="40" t="n"/>
      <c r="E164" s="41">
        <f>IF(A164="","",B164-C164)</f>
        <v/>
      </c>
      <c r="F164" s="40" t="n"/>
      <c r="G164" s="41">
        <f>IF(A164="","",D164-F164)</f>
        <v/>
      </c>
      <c r="H164" s="38" t="n"/>
      <c r="I164" s="38" t="n"/>
    </row>
    <row r="165" ht="21" customHeight="1">
      <c r="A165" s="40" t="n"/>
      <c r="B165" s="40" t="n"/>
      <c r="C165" s="40" t="n"/>
      <c r="D165" s="40" t="n"/>
      <c r="E165" s="41">
        <f>IF(A165="","",B165-C165)</f>
        <v/>
      </c>
      <c r="F165" s="40" t="n"/>
      <c r="G165" s="41">
        <f>IF(A165="","",D165-F165)</f>
        <v/>
      </c>
      <c r="H165" s="38" t="n"/>
      <c r="I165" s="38" t="n"/>
    </row>
    <row r="166" ht="21" customHeight="1">
      <c r="A166" s="40" t="n"/>
      <c r="B166" s="40" t="n"/>
      <c r="C166" s="40" t="n"/>
      <c r="D166" s="40" t="n"/>
      <c r="E166" s="41">
        <f>IF(A166="","",B166-C166)</f>
        <v/>
      </c>
      <c r="F166" s="40" t="n"/>
      <c r="G166" s="41">
        <f>IF(A166="","",D166-F166)</f>
        <v/>
      </c>
      <c r="H166" s="38" t="n"/>
      <c r="I166" s="38" t="n"/>
    </row>
    <row r="167" ht="21" customHeight="1">
      <c r="A167" s="40" t="n"/>
      <c r="B167" s="40" t="n"/>
      <c r="C167" s="40" t="n"/>
      <c r="D167" s="40" t="n"/>
      <c r="E167" s="41">
        <f>IF(A167="","",B167-C167)</f>
        <v/>
      </c>
      <c r="F167" s="40" t="n"/>
      <c r="G167" s="41">
        <f>IF(A167="","",D167-F167)</f>
        <v/>
      </c>
      <c r="H167" s="38" t="n"/>
      <c r="I167" s="38" t="n"/>
    </row>
    <row r="168" ht="21" customHeight="1">
      <c r="A168" s="40" t="n"/>
      <c r="B168" s="40" t="n"/>
      <c r="C168" s="40" t="n"/>
      <c r="D168" s="40" t="n"/>
      <c r="E168" s="41">
        <f>IF(A168="","",B168-C168)</f>
        <v/>
      </c>
      <c r="F168" s="40" t="n"/>
      <c r="G168" s="41">
        <f>IF(A168="","",D168-F168)</f>
        <v/>
      </c>
      <c r="H168" s="38" t="n"/>
      <c r="I168" s="38" t="n"/>
    </row>
    <row r="169" ht="21" customHeight="1">
      <c r="A169" s="40" t="n"/>
      <c r="B169" s="40" t="n"/>
      <c r="C169" s="40" t="n"/>
      <c r="D169" s="40" t="n"/>
      <c r="E169" s="41">
        <f>IF(A169="","",B169-C169)</f>
        <v/>
      </c>
      <c r="F169" s="40" t="n"/>
      <c r="G169" s="41">
        <f>IF(A169="","",D169-F169)</f>
        <v/>
      </c>
      <c r="H169" s="38" t="n"/>
      <c r="I169" s="38" t="n"/>
    </row>
    <row r="170" ht="21" customHeight="1">
      <c r="A170" s="40" t="n"/>
      <c r="B170" s="40" t="n"/>
      <c r="C170" s="40" t="n"/>
      <c r="D170" s="40" t="n"/>
      <c r="E170" s="41">
        <f>IF(A170="","",B170-C170)</f>
        <v/>
      </c>
      <c r="F170" s="40" t="n"/>
      <c r="G170" s="41">
        <f>IF(A170="","",D170-F170)</f>
        <v/>
      </c>
      <c r="H170" s="38" t="n"/>
      <c r="I170" s="38" t="n"/>
    </row>
    <row r="171" ht="21" customHeight="1">
      <c r="A171" s="40" t="n"/>
      <c r="B171" s="40" t="n"/>
      <c r="C171" s="40" t="n"/>
      <c r="D171" s="40" t="n"/>
      <c r="E171" s="41">
        <f>IF(A171="","",B171-C171)</f>
        <v/>
      </c>
      <c r="F171" s="40" t="n"/>
      <c r="G171" s="41">
        <f>IF(A171="","",D171-F171)</f>
        <v/>
      </c>
      <c r="H171" s="38" t="n"/>
      <c r="I171" s="38" t="n"/>
    </row>
    <row r="172" ht="21" customHeight="1">
      <c r="A172" s="40" t="n"/>
      <c r="B172" s="40" t="n"/>
      <c r="C172" s="40" t="n"/>
      <c r="D172" s="40" t="n"/>
      <c r="E172" s="41">
        <f>IF(A172="","",B172-C172)</f>
        <v/>
      </c>
      <c r="F172" s="40" t="n"/>
      <c r="G172" s="41">
        <f>IF(A172="","",D172-F172)</f>
        <v/>
      </c>
      <c r="H172" s="38" t="n"/>
      <c r="I172" s="38" t="n"/>
    </row>
    <row r="173" ht="21" customHeight="1">
      <c r="A173" s="40" t="n"/>
      <c r="B173" s="40" t="n"/>
      <c r="C173" s="40" t="n"/>
      <c r="D173" s="40" t="n"/>
      <c r="E173" s="41">
        <f>IF(A173="","",B173-C173)</f>
        <v/>
      </c>
      <c r="F173" s="40" t="n"/>
      <c r="G173" s="41">
        <f>IF(A173="","",D173-F173)</f>
        <v/>
      </c>
      <c r="H173" s="38" t="n"/>
      <c r="I173" s="38" t="n"/>
    </row>
    <row r="174" ht="21" customHeight="1">
      <c r="A174" s="40" t="n"/>
      <c r="B174" s="40" t="n"/>
      <c r="C174" s="40" t="n"/>
      <c r="D174" s="40" t="n"/>
      <c r="E174" s="41">
        <f>IF(A174="","",B174-C174)</f>
        <v/>
      </c>
      <c r="F174" s="40" t="n"/>
      <c r="G174" s="41">
        <f>IF(A174="","",D174-F174)</f>
        <v/>
      </c>
      <c r="H174" s="38" t="n"/>
      <c r="I174" s="38" t="n"/>
    </row>
    <row r="175" ht="21" customHeight="1">
      <c r="A175" s="40" t="n"/>
      <c r="B175" s="40" t="n"/>
      <c r="C175" s="40" t="n"/>
      <c r="D175" s="40" t="n"/>
      <c r="E175" s="41">
        <f>IF(A175="","",B175-C175)</f>
        <v/>
      </c>
      <c r="F175" s="40" t="n"/>
      <c r="G175" s="41">
        <f>IF(A175="","",D175-F175)</f>
        <v/>
      </c>
      <c r="H175" s="38" t="n"/>
      <c r="I175" s="38" t="n"/>
    </row>
    <row r="176" ht="21" customHeight="1">
      <c r="A176" s="40" t="n"/>
      <c r="B176" s="40" t="n"/>
      <c r="C176" s="40" t="n"/>
      <c r="D176" s="40" t="n"/>
      <c r="E176" s="41">
        <f>IF(A176="","",B176-C176)</f>
        <v/>
      </c>
      <c r="F176" s="40" t="n"/>
      <c r="G176" s="41">
        <f>IF(A176="","",D176-F176)</f>
        <v/>
      </c>
      <c r="H176" s="38" t="n"/>
      <c r="I176" s="38" t="n"/>
    </row>
    <row r="177" ht="21" customHeight="1">
      <c r="A177" s="40" t="n"/>
      <c r="B177" s="40" t="n"/>
      <c r="C177" s="40" t="n"/>
      <c r="D177" s="40" t="n"/>
      <c r="E177" s="41">
        <f>IF(A177="","",B177-C177)</f>
        <v/>
      </c>
      <c r="F177" s="40" t="n"/>
      <c r="G177" s="41">
        <f>IF(A177="","",D177-F177)</f>
        <v/>
      </c>
      <c r="H177" s="38" t="n"/>
      <c r="I177" s="38" t="n"/>
    </row>
    <row r="178" ht="21" customHeight="1">
      <c r="A178" s="40" t="n"/>
      <c r="B178" s="40" t="n"/>
      <c r="C178" s="40" t="n"/>
      <c r="D178" s="40" t="n"/>
      <c r="E178" s="41">
        <f>IF(A178="","",B178-C178)</f>
        <v/>
      </c>
      <c r="F178" s="40" t="n"/>
      <c r="G178" s="41">
        <f>IF(A178="","",D178-F178)</f>
        <v/>
      </c>
      <c r="H178" s="38" t="n"/>
      <c r="I178" s="38" t="n"/>
    </row>
    <row r="179" ht="21" customHeight="1">
      <c r="A179" s="40" t="n"/>
      <c r="B179" s="40" t="n"/>
      <c r="C179" s="40" t="n"/>
      <c r="D179" s="40" t="n"/>
      <c r="E179" s="41">
        <f>IF(A179="","",B179-C179)</f>
        <v/>
      </c>
      <c r="F179" s="40" t="n"/>
      <c r="G179" s="41">
        <f>IF(A179="","",D179-F179)</f>
        <v/>
      </c>
      <c r="H179" s="38" t="n"/>
      <c r="I179" s="38" t="n"/>
    </row>
    <row r="180" ht="21" customHeight="1">
      <c r="A180" s="40" t="n"/>
      <c r="B180" s="40" t="n"/>
      <c r="C180" s="40" t="n"/>
      <c r="D180" s="40" t="n"/>
      <c r="E180" s="41">
        <f>IF(A180="","",B180-C180)</f>
        <v/>
      </c>
      <c r="F180" s="40" t="n"/>
      <c r="G180" s="41">
        <f>IF(A180="","",D180-F180)</f>
        <v/>
      </c>
      <c r="H180" s="38" t="n"/>
      <c r="I180" s="38" t="n"/>
    </row>
    <row r="181" ht="21" customHeight="1">
      <c r="A181" s="40" t="n"/>
      <c r="B181" s="40" t="n"/>
      <c r="C181" s="40" t="n"/>
      <c r="D181" s="40" t="n"/>
      <c r="E181" s="41">
        <f>IF(A181="","",B181-C181)</f>
        <v/>
      </c>
      <c r="F181" s="40" t="n"/>
      <c r="G181" s="41">
        <f>IF(A181="","",D181-F181)</f>
        <v/>
      </c>
      <c r="H181" s="38" t="n"/>
      <c r="I181" s="38" t="n"/>
    </row>
    <row r="182" ht="21" customHeight="1">
      <c r="A182" s="40" t="n"/>
      <c r="B182" s="40" t="n"/>
      <c r="C182" s="40" t="n"/>
      <c r="D182" s="40" t="n"/>
      <c r="E182" s="41">
        <f>IF(A182="","",B182-C182)</f>
        <v/>
      </c>
      <c r="F182" s="40" t="n"/>
      <c r="G182" s="41">
        <f>IF(A182="","",D182-F182)</f>
        <v/>
      </c>
      <c r="H182" s="38" t="n"/>
      <c r="I182" s="38" t="n"/>
    </row>
    <row r="183" ht="21" customHeight="1">
      <c r="A183" s="40" t="n"/>
      <c r="B183" s="40" t="n"/>
      <c r="C183" s="40" t="n"/>
      <c r="D183" s="40" t="n"/>
      <c r="E183" s="41">
        <f>IF(A183="","",B183-C183)</f>
        <v/>
      </c>
      <c r="F183" s="40" t="n"/>
      <c r="G183" s="41">
        <f>IF(A183="","",D183-F183)</f>
        <v/>
      </c>
      <c r="H183" s="38" t="n"/>
      <c r="I183" s="38" t="n"/>
    </row>
    <row r="184" ht="21" customHeight="1">
      <c r="A184" s="40" t="n"/>
      <c r="B184" s="40" t="n"/>
      <c r="C184" s="40" t="n"/>
      <c r="D184" s="40" t="n"/>
      <c r="E184" s="41">
        <f>IF(A184="","",B184-C184)</f>
        <v/>
      </c>
      <c r="F184" s="40" t="n"/>
      <c r="G184" s="41">
        <f>IF(A184="","",D184-F184)</f>
        <v/>
      </c>
      <c r="H184" s="38" t="n"/>
      <c r="I184" s="38" t="n"/>
    </row>
    <row r="185" ht="21" customHeight="1">
      <c r="A185" s="40" t="n"/>
      <c r="B185" s="40" t="n"/>
      <c r="C185" s="40" t="n"/>
      <c r="D185" s="40" t="n"/>
      <c r="E185" s="41">
        <f>IF(A185="","",B185-C185)</f>
        <v/>
      </c>
      <c r="F185" s="40" t="n"/>
      <c r="G185" s="41">
        <f>IF(A185="","",D185-F185)</f>
        <v/>
      </c>
      <c r="H185" s="38" t="n"/>
      <c r="I185" s="38" t="n"/>
    </row>
    <row r="186" ht="21" customHeight="1">
      <c r="A186" s="40" t="n"/>
      <c r="B186" s="40" t="n"/>
      <c r="C186" s="40" t="n"/>
      <c r="D186" s="40" t="n"/>
      <c r="E186" s="41">
        <f>IF(A186="","",B186-C186)</f>
        <v/>
      </c>
      <c r="F186" s="40" t="n"/>
      <c r="G186" s="41">
        <f>IF(A186="","",D186-F186)</f>
        <v/>
      </c>
      <c r="H186" s="38" t="n"/>
      <c r="I186" s="38" t="n"/>
    </row>
    <row r="187" ht="21" customHeight="1">
      <c r="A187" s="40" t="n"/>
      <c r="B187" s="40" t="n"/>
      <c r="C187" s="40" t="n"/>
      <c r="D187" s="40" t="n"/>
      <c r="E187" s="41">
        <f>IF(A187="","",B187-C187)</f>
        <v/>
      </c>
      <c r="F187" s="40" t="n"/>
      <c r="G187" s="41">
        <f>IF(A187="","",D187-F187)</f>
        <v/>
      </c>
      <c r="H187" s="38" t="n"/>
      <c r="I187" s="38" t="n"/>
    </row>
    <row r="188" ht="21" customHeight="1">
      <c r="A188" s="40" t="n"/>
      <c r="B188" s="40" t="n"/>
      <c r="C188" s="40" t="n"/>
      <c r="D188" s="40" t="n"/>
      <c r="E188" s="41">
        <f>IF(A188="","",B188-C188)</f>
        <v/>
      </c>
      <c r="F188" s="40" t="n"/>
      <c r="G188" s="41">
        <f>IF(A188="","",D188-F188)</f>
        <v/>
      </c>
      <c r="H188" s="38" t="n"/>
      <c r="I188" s="38" t="n"/>
    </row>
    <row r="189" ht="21" customHeight="1">
      <c r="A189" s="40" t="n"/>
      <c r="B189" s="40" t="n"/>
      <c r="C189" s="40" t="n"/>
      <c r="D189" s="40" t="n"/>
      <c r="E189" s="41">
        <f>IF(A189="","",B189-C189)</f>
        <v/>
      </c>
      <c r="F189" s="40" t="n"/>
      <c r="G189" s="41">
        <f>IF(A189="","",D189-F189)</f>
        <v/>
      </c>
      <c r="H189" s="38" t="n"/>
      <c r="I189" s="38" t="n"/>
    </row>
    <row r="190" ht="21" customHeight="1">
      <c r="A190" s="40" t="n"/>
      <c r="B190" s="40" t="n"/>
      <c r="C190" s="40" t="n"/>
      <c r="D190" s="40" t="n"/>
      <c r="E190" s="41">
        <f>IF(A190="","",B190-C190)</f>
        <v/>
      </c>
      <c r="F190" s="40" t="n"/>
      <c r="G190" s="41">
        <f>IF(A190="","",D190-F190)</f>
        <v/>
      </c>
      <c r="H190" s="38" t="n"/>
      <c r="I190" s="38" t="n"/>
    </row>
    <row r="191" ht="21" customHeight="1">
      <c r="A191" s="40" t="n"/>
      <c r="B191" s="40" t="n"/>
      <c r="C191" s="40" t="n"/>
      <c r="D191" s="40" t="n"/>
      <c r="E191" s="41">
        <f>IF(A191="","",B191-C191)</f>
        <v/>
      </c>
      <c r="F191" s="40" t="n"/>
      <c r="G191" s="41">
        <f>IF(A191="","",D191-F191)</f>
        <v/>
      </c>
      <c r="H191" s="38" t="n"/>
      <c r="I191" s="38" t="n"/>
    </row>
    <row r="192" ht="21" customHeight="1">
      <c r="A192" s="40" t="n"/>
      <c r="B192" s="40" t="n"/>
      <c r="C192" s="40" t="n"/>
      <c r="D192" s="40" t="n"/>
      <c r="E192" s="41">
        <f>IF(A192="","",B192-C192)</f>
        <v/>
      </c>
      <c r="F192" s="40" t="n"/>
      <c r="G192" s="41">
        <f>IF(A192="","",D192-F192)</f>
        <v/>
      </c>
      <c r="H192" s="38" t="n"/>
      <c r="I192" s="38" t="n"/>
    </row>
    <row r="193" ht="21" customHeight="1">
      <c r="A193" s="40" t="n"/>
      <c r="B193" s="40" t="n"/>
      <c r="C193" s="40" t="n"/>
      <c r="D193" s="40" t="n"/>
      <c r="E193" s="41">
        <f>IF(A193="","",B193-C193)</f>
        <v/>
      </c>
      <c r="F193" s="40" t="n"/>
      <c r="G193" s="41">
        <f>IF(A193="","",D193-F193)</f>
        <v/>
      </c>
      <c r="H193" s="38" t="n"/>
      <c r="I193" s="38" t="n"/>
    </row>
    <row r="194" ht="21" customHeight="1">
      <c r="A194" s="40" t="n"/>
      <c r="B194" s="40" t="n"/>
      <c r="C194" s="40" t="n"/>
      <c r="D194" s="40" t="n"/>
      <c r="E194" s="41">
        <f>IF(A194="","",B194-C194)</f>
        <v/>
      </c>
      <c r="F194" s="40" t="n"/>
      <c r="G194" s="41">
        <f>IF(A194="","",D194-F194)</f>
        <v/>
      </c>
      <c r="H194" s="38" t="n"/>
      <c r="I194" s="38" t="n"/>
    </row>
    <row r="195" ht="21" customHeight="1">
      <c r="A195" s="40" t="n"/>
      <c r="B195" s="40" t="n"/>
      <c r="C195" s="40" t="n"/>
      <c r="D195" s="40" t="n"/>
      <c r="E195" s="41">
        <f>IF(A195="","",B195-C195)</f>
        <v/>
      </c>
      <c r="F195" s="40" t="n"/>
      <c r="G195" s="41">
        <f>IF(A195="","",D195-F195)</f>
        <v/>
      </c>
      <c r="H195" s="38" t="n"/>
      <c r="I195" s="38" t="n"/>
    </row>
    <row r="196" ht="21" customHeight="1">
      <c r="A196" s="40" t="n"/>
      <c r="B196" s="40" t="n"/>
      <c r="C196" s="40" t="n"/>
      <c r="D196" s="40" t="n"/>
      <c r="E196" s="41">
        <f>IF(A196="","",B196-C196)</f>
        <v/>
      </c>
      <c r="F196" s="40" t="n"/>
      <c r="G196" s="41">
        <f>IF(A196="","",D196-F196)</f>
        <v/>
      </c>
      <c r="H196" s="38" t="n"/>
      <c r="I196" s="38" t="n"/>
    </row>
    <row r="197" ht="21" customHeight="1">
      <c r="A197" s="40" t="n"/>
      <c r="B197" s="40" t="n"/>
      <c r="C197" s="40" t="n"/>
      <c r="D197" s="40" t="n"/>
      <c r="E197" s="41">
        <f>IF(A197="","",B197-C197)</f>
        <v/>
      </c>
      <c r="F197" s="40" t="n"/>
      <c r="G197" s="41">
        <f>IF(A197="","",D197-F197)</f>
        <v/>
      </c>
      <c r="H197" s="38" t="n"/>
      <c r="I197" s="38" t="n"/>
    </row>
    <row r="198" ht="21" customHeight="1">
      <c r="A198" s="40" t="n"/>
      <c r="B198" s="40" t="n"/>
      <c r="C198" s="40" t="n"/>
      <c r="D198" s="40" t="n"/>
      <c r="E198" s="41">
        <f>IF(A198="","",B198-C198)</f>
        <v/>
      </c>
      <c r="F198" s="40" t="n"/>
      <c r="G198" s="41">
        <f>IF(A198="","",D198-F198)</f>
        <v/>
      </c>
      <c r="H198" s="38" t="n"/>
      <c r="I198" s="38" t="n"/>
    </row>
    <row r="199" ht="21" customHeight="1">
      <c r="A199" s="40" t="n"/>
      <c r="B199" s="40" t="n"/>
      <c r="C199" s="40" t="n"/>
      <c r="D199" s="40" t="n"/>
      <c r="E199" s="41">
        <f>IF(A199="","",B199-C199)</f>
        <v/>
      </c>
      <c r="F199" s="40" t="n"/>
      <c r="G199" s="41">
        <f>IF(A199="","",D199-F199)</f>
        <v/>
      </c>
      <c r="H199" s="38" t="n"/>
      <c r="I199" s="38" t="n"/>
    </row>
    <row r="200" ht="21" customHeight="1">
      <c r="A200" s="40" t="n"/>
      <c r="B200" s="40" t="n"/>
      <c r="C200" s="40" t="n"/>
      <c r="D200" s="40" t="n"/>
      <c r="E200" s="41">
        <f>IF(A200="","",B200-C200)</f>
        <v/>
      </c>
      <c r="F200" s="40" t="n"/>
      <c r="G200" s="41">
        <f>IF(A200="","",D200-F200)</f>
        <v/>
      </c>
      <c r="H200" s="38" t="n"/>
      <c r="I200" s="38" t="n"/>
    </row>
    <row r="201" ht="21" customHeight="1">
      <c r="A201" s="40" t="n"/>
      <c r="B201" s="40" t="n"/>
      <c r="C201" s="40" t="n"/>
      <c r="D201" s="40" t="n"/>
      <c r="E201" s="41">
        <f>IF(A201="","",B201-C201)</f>
        <v/>
      </c>
      <c r="F201" s="40" t="n"/>
      <c r="G201" s="41">
        <f>IF(A201="","",D201-F201)</f>
        <v/>
      </c>
      <c r="H201" s="38" t="n"/>
      <c r="I201" s="38" t="n"/>
    </row>
    <row r="202" ht="21" customHeight="1">
      <c r="A202" s="40" t="n"/>
      <c r="B202" s="40" t="n"/>
      <c r="C202" s="40" t="n"/>
      <c r="D202" s="40" t="n"/>
      <c r="E202" s="41">
        <f>IF(A202="","",B202-C202)</f>
        <v/>
      </c>
      <c r="F202" s="40" t="n"/>
      <c r="G202" s="41">
        <f>IF(A202="","",D202-F202)</f>
        <v/>
      </c>
      <c r="H202" s="38" t="n"/>
      <c r="I202" s="38" t="n"/>
    </row>
    <row r="203" ht="21" customHeight="1">
      <c r="A203" s="40" t="n"/>
      <c r="B203" s="40" t="n"/>
      <c r="C203" s="40" t="n"/>
      <c r="D203" s="40" t="n"/>
      <c r="E203" s="41">
        <f>IF(A203="","",B203-C203)</f>
        <v/>
      </c>
      <c r="F203" s="40" t="n"/>
      <c r="G203" s="41">
        <f>IF(A203="","",D203-F203)</f>
        <v/>
      </c>
      <c r="H203" s="38" t="n"/>
      <c r="I203" s="38" t="n"/>
    </row>
    <row r="204" ht="21" customHeight="1">
      <c r="A204" s="40" t="n"/>
      <c r="B204" s="40" t="n"/>
      <c r="C204" s="40" t="n"/>
      <c r="D204" s="40" t="n"/>
      <c r="E204" s="41">
        <f>IF(A204="","",B204-C204)</f>
        <v/>
      </c>
      <c r="F204" s="40" t="n"/>
      <c r="G204" s="41">
        <f>IF(A204="","",D204-F204)</f>
        <v/>
      </c>
      <c r="H204" s="38" t="n"/>
      <c r="I204" s="38" t="n"/>
    </row>
    <row r="205" ht="21" customHeight="1">
      <c r="A205" s="40" t="n"/>
      <c r="B205" s="40" t="n"/>
      <c r="C205" s="40" t="n"/>
      <c r="D205" s="40" t="n"/>
      <c r="E205" s="41">
        <f>IF(A205="","",B205-C205)</f>
        <v/>
      </c>
      <c r="F205" s="40" t="n"/>
      <c r="G205" s="41">
        <f>IF(A205="","",D205-F205)</f>
        <v/>
      </c>
      <c r="H205" s="38" t="n"/>
      <c r="I205" s="38" t="n"/>
    </row>
    <row r="206" ht="21" customHeight="1">
      <c r="A206" s="40" t="n"/>
      <c r="B206" s="40" t="n"/>
      <c r="C206" s="40" t="n"/>
      <c r="D206" s="40" t="n"/>
      <c r="E206" s="41">
        <f>IF(A206="","",B206-C206)</f>
        <v/>
      </c>
      <c r="F206" s="40" t="n"/>
      <c r="G206" s="41">
        <f>IF(A206="","",D206-F206)</f>
        <v/>
      </c>
      <c r="H206" s="38" t="n"/>
      <c r="I206" s="38" t="n"/>
    </row>
    <row r="207" ht="21" customHeight="1">
      <c r="A207" s="40" t="n"/>
      <c r="B207" s="40" t="n"/>
      <c r="C207" s="40" t="n"/>
      <c r="D207" s="40" t="n"/>
      <c r="E207" s="41">
        <f>IF(A207="","",B207-C207)</f>
        <v/>
      </c>
      <c r="F207" s="40" t="n"/>
      <c r="G207" s="41">
        <f>IF(A207="","",D207-F207)</f>
        <v/>
      </c>
      <c r="H207" s="38" t="n"/>
      <c r="I207" s="38" t="n"/>
    </row>
    <row r="208" ht="21" customHeight="1">
      <c r="A208" s="40" t="n"/>
      <c r="B208" s="40" t="n"/>
      <c r="C208" s="40" t="n"/>
      <c r="D208" s="40" t="n"/>
      <c r="E208" s="41">
        <f>IF(A208="","",B208-C208)</f>
        <v/>
      </c>
      <c r="F208" s="40" t="n"/>
      <c r="G208" s="41">
        <f>IF(A208="","",D208-F208)</f>
        <v/>
      </c>
      <c r="H208" s="38" t="n"/>
      <c r="I208" s="38" t="n"/>
    </row>
    <row r="209" ht="21" customHeight="1">
      <c r="A209" s="40" t="n"/>
      <c r="B209" s="40" t="n"/>
      <c r="C209" s="40" t="n"/>
      <c r="D209" s="40" t="n"/>
      <c r="E209" s="41">
        <f>IF(A209="","",B209-C209)</f>
        <v/>
      </c>
      <c r="F209" s="40" t="n"/>
      <c r="G209" s="41">
        <f>IF(A209="","",D209-F209)</f>
        <v/>
      </c>
      <c r="H209" s="38" t="n"/>
      <c r="I209" s="38" t="n"/>
    </row>
    <row r="210" ht="21" customHeight="1">
      <c r="A210" s="40" t="n"/>
      <c r="B210" s="40" t="n"/>
      <c r="C210" s="40" t="n"/>
      <c r="D210" s="40" t="n"/>
      <c r="E210" s="41">
        <f>IF(A210="","",B210-C210)</f>
        <v/>
      </c>
      <c r="F210" s="40" t="n"/>
      <c r="G210" s="41">
        <f>IF(A210="","",D210-F210)</f>
        <v/>
      </c>
      <c r="H210" s="38" t="n"/>
      <c r="I210" s="38" t="n"/>
    </row>
    <row r="211" ht="21" customHeight="1">
      <c r="A211" s="40" t="n"/>
      <c r="B211" s="40" t="n"/>
      <c r="C211" s="40" t="n"/>
      <c r="D211" s="40" t="n"/>
      <c r="E211" s="41">
        <f>IF(A211="","",B211-C211)</f>
        <v/>
      </c>
      <c r="F211" s="40" t="n"/>
      <c r="G211" s="41">
        <f>IF(A211="","",D211-F211)</f>
        <v/>
      </c>
      <c r="H211" s="38" t="n"/>
      <c r="I211" s="38" t="n"/>
    </row>
    <row r="212" ht="21" customHeight="1">
      <c r="A212" s="40" t="n"/>
      <c r="B212" s="40" t="n"/>
      <c r="C212" s="40" t="n"/>
      <c r="D212" s="40" t="n"/>
      <c r="E212" s="41">
        <f>IF(A212="","",B212-C212)</f>
        <v/>
      </c>
      <c r="F212" s="40" t="n"/>
      <c r="G212" s="41">
        <f>IF(A212="","",D212-F212)</f>
        <v/>
      </c>
      <c r="H212" s="38" t="n"/>
      <c r="I212" s="38" t="n"/>
    </row>
    <row r="213" ht="21" customHeight="1">
      <c r="A213" s="40" t="n"/>
      <c r="B213" s="40" t="n"/>
      <c r="C213" s="40" t="n"/>
      <c r="D213" s="40" t="n"/>
      <c r="E213" s="41">
        <f>IF(A213="","",B213-C213)</f>
        <v/>
      </c>
      <c r="F213" s="40" t="n"/>
      <c r="G213" s="41">
        <f>IF(A213="","",D213-F213)</f>
        <v/>
      </c>
      <c r="H213" s="38" t="n"/>
      <c r="I213" s="38" t="n"/>
    </row>
    <row r="214" ht="21" customHeight="1">
      <c r="A214" s="40" t="n"/>
      <c r="B214" s="40" t="n"/>
      <c r="C214" s="40" t="n"/>
      <c r="D214" s="40" t="n"/>
      <c r="E214" s="41">
        <f>IF(A214="","",B214-C214)</f>
        <v/>
      </c>
      <c r="F214" s="40" t="n"/>
      <c r="G214" s="41">
        <f>IF(A214="","",D214-F214)</f>
        <v/>
      </c>
      <c r="H214" s="38" t="n"/>
      <c r="I214" s="38" t="n"/>
    </row>
    <row r="215" ht="21" customHeight="1">
      <c r="A215" s="40" t="n"/>
      <c r="B215" s="40" t="n"/>
      <c r="C215" s="40" t="n"/>
      <c r="D215" s="40" t="n"/>
      <c r="E215" s="41">
        <f>IF(A215="","",B215-C215)</f>
        <v/>
      </c>
      <c r="F215" s="40" t="n"/>
      <c r="G215" s="41">
        <f>IF(A215="","",D215-F215)</f>
        <v/>
      </c>
      <c r="H215" s="38" t="n"/>
      <c r="I215" s="38" t="n"/>
    </row>
    <row r="216" ht="21" customHeight="1">
      <c r="A216" s="40" t="n"/>
      <c r="B216" s="40" t="n"/>
      <c r="C216" s="40" t="n"/>
      <c r="D216" s="40" t="n"/>
      <c r="E216" s="41">
        <f>IF(A216="","",B216-C216)</f>
        <v/>
      </c>
      <c r="F216" s="40" t="n"/>
      <c r="G216" s="41">
        <f>IF(A216="","",D216-F216)</f>
        <v/>
      </c>
      <c r="H216" s="38" t="n"/>
      <c r="I216" s="38" t="n"/>
    </row>
    <row r="217" ht="21" customHeight="1">
      <c r="A217" s="40" t="n"/>
      <c r="B217" s="40" t="n"/>
      <c r="C217" s="40" t="n"/>
      <c r="D217" s="40" t="n"/>
      <c r="E217" s="41">
        <f>IF(A217="","",B217-C217)</f>
        <v/>
      </c>
      <c r="F217" s="40" t="n"/>
      <c r="G217" s="41">
        <f>IF(A217="","",D217-F217)</f>
        <v/>
      </c>
      <c r="H217" s="38" t="n"/>
      <c r="I217" s="38" t="n"/>
    </row>
    <row r="218" ht="21" customHeight="1">
      <c r="A218" s="40" t="n"/>
      <c r="B218" s="40" t="n"/>
      <c r="C218" s="40" t="n"/>
      <c r="D218" s="40" t="n"/>
      <c r="E218" s="41">
        <f>IF(A218="","",B218-C218)</f>
        <v/>
      </c>
      <c r="F218" s="40" t="n"/>
      <c r="G218" s="41">
        <f>IF(A218="","",D218-F218)</f>
        <v/>
      </c>
      <c r="H218" s="38" t="n"/>
      <c r="I218" s="38" t="n"/>
    </row>
    <row r="219" ht="21" customHeight="1">
      <c r="A219" s="40" t="n"/>
      <c r="B219" s="40" t="n"/>
      <c r="C219" s="40" t="n"/>
      <c r="D219" s="40" t="n"/>
      <c r="E219" s="41">
        <f>IF(A219="","",B219-C219)</f>
        <v/>
      </c>
      <c r="F219" s="40" t="n"/>
      <c r="G219" s="41">
        <f>IF(A219="","",D219-F219)</f>
        <v/>
      </c>
      <c r="H219" s="38" t="n"/>
      <c r="I219" s="38" t="n"/>
    </row>
    <row r="220" ht="21" customHeight="1">
      <c r="A220" s="40" t="n"/>
      <c r="B220" s="40" t="n"/>
      <c r="C220" s="40" t="n"/>
      <c r="D220" s="40" t="n"/>
      <c r="E220" s="41">
        <f>IF(A220="","",B220-C220)</f>
        <v/>
      </c>
      <c r="F220" s="40" t="n"/>
      <c r="G220" s="41">
        <f>IF(A220="","",D220-F220)</f>
        <v/>
      </c>
      <c r="H220" s="38" t="n"/>
      <c r="I220" s="38" t="n"/>
    </row>
    <row r="221" ht="21" customHeight="1">
      <c r="A221" s="40" t="n"/>
      <c r="B221" s="40" t="n"/>
      <c r="C221" s="40" t="n"/>
      <c r="D221" s="40" t="n"/>
      <c r="E221" s="41">
        <f>IF(A221="","",B221-C221)</f>
        <v/>
      </c>
      <c r="F221" s="40" t="n"/>
      <c r="G221" s="41">
        <f>IF(A221="","",D221-F221)</f>
        <v/>
      </c>
      <c r="H221" s="38" t="n"/>
      <c r="I221" s="38" t="n"/>
    </row>
    <row r="222" ht="21" customHeight="1">
      <c r="A222" s="40" t="n"/>
      <c r="B222" s="40" t="n"/>
      <c r="C222" s="40" t="n"/>
      <c r="D222" s="40" t="n"/>
      <c r="E222" s="41">
        <f>IF(A222="","",B222-C222)</f>
        <v/>
      </c>
      <c r="F222" s="40" t="n"/>
      <c r="G222" s="41">
        <f>IF(A222="","",D222-F222)</f>
        <v/>
      </c>
      <c r="H222" s="38" t="n"/>
      <c r="I222" s="38" t="n"/>
    </row>
    <row r="223" ht="21" customHeight="1">
      <c r="A223" s="40" t="n"/>
      <c r="B223" s="40" t="n"/>
      <c r="C223" s="40" t="n"/>
      <c r="D223" s="40" t="n"/>
      <c r="E223" s="41">
        <f>IF(A223="","",B223-C223)</f>
        <v/>
      </c>
      <c r="F223" s="40" t="n"/>
      <c r="G223" s="41">
        <f>IF(A223="","",D223-F223)</f>
        <v/>
      </c>
      <c r="H223" s="38" t="n"/>
      <c r="I223" s="38" t="n"/>
    </row>
    <row r="224" ht="21" customHeight="1">
      <c r="A224" s="40" t="n"/>
      <c r="B224" s="40" t="n"/>
      <c r="C224" s="40" t="n"/>
      <c r="D224" s="40" t="n"/>
      <c r="E224" s="41">
        <f>IF(A224="","",B224-C224)</f>
        <v/>
      </c>
      <c r="F224" s="40" t="n"/>
      <c r="G224" s="41">
        <f>IF(A224="","",D224-F224)</f>
        <v/>
      </c>
      <c r="H224" s="38" t="n"/>
      <c r="I224" s="38" t="n"/>
    </row>
    <row r="225" ht="21" customHeight="1">
      <c r="A225" s="40" t="n"/>
      <c r="B225" s="40" t="n"/>
      <c r="C225" s="40" t="n"/>
      <c r="D225" s="40" t="n"/>
      <c r="E225" s="41">
        <f>IF(A225="","",B225-C225)</f>
        <v/>
      </c>
      <c r="F225" s="40" t="n"/>
      <c r="G225" s="41">
        <f>IF(A225="","",D225-F225)</f>
        <v/>
      </c>
      <c r="H225" s="38" t="n"/>
      <c r="I225" s="38" t="n"/>
    </row>
    <row r="226" ht="21" customHeight="1">
      <c r="A226" s="40" t="n"/>
      <c r="B226" s="40" t="n"/>
      <c r="C226" s="40" t="n"/>
      <c r="D226" s="40" t="n"/>
      <c r="E226" s="41">
        <f>IF(A226="","",B226-C226)</f>
        <v/>
      </c>
      <c r="F226" s="40" t="n"/>
      <c r="G226" s="41">
        <f>IF(A226="","",D226-F226)</f>
        <v/>
      </c>
      <c r="H226" s="38" t="n"/>
      <c r="I226" s="38" t="n"/>
    </row>
    <row r="227" ht="21" customHeight="1">
      <c r="A227" s="40" t="n"/>
      <c r="B227" s="40" t="n"/>
      <c r="C227" s="40" t="n"/>
      <c r="D227" s="40" t="n"/>
      <c r="E227" s="41">
        <f>IF(A227="","",B227-C227)</f>
        <v/>
      </c>
      <c r="F227" s="40" t="n"/>
      <c r="G227" s="41">
        <f>IF(A227="","",D227-F227)</f>
        <v/>
      </c>
      <c r="H227" s="38" t="n"/>
      <c r="I227" s="38" t="n"/>
    </row>
    <row r="228" ht="21" customHeight="1">
      <c r="A228" s="40" t="n"/>
      <c r="B228" s="40" t="n"/>
      <c r="C228" s="40" t="n"/>
      <c r="D228" s="40" t="n"/>
      <c r="E228" s="41">
        <f>IF(A228="","",B228-C228)</f>
        <v/>
      </c>
      <c r="F228" s="40" t="n"/>
      <c r="G228" s="41">
        <f>IF(A228="","",D228-F228)</f>
        <v/>
      </c>
      <c r="H228" s="38" t="n"/>
      <c r="I228" s="38" t="n"/>
    </row>
    <row r="229" ht="21" customHeight="1">
      <c r="A229" s="40" t="n"/>
      <c r="B229" s="40" t="n"/>
      <c r="C229" s="40" t="n"/>
      <c r="D229" s="40" t="n"/>
      <c r="E229" s="41">
        <f>IF(A229="","",B229-C229)</f>
        <v/>
      </c>
      <c r="F229" s="40" t="n"/>
      <c r="G229" s="41">
        <f>IF(A229="","",D229-F229)</f>
        <v/>
      </c>
      <c r="H229" s="38" t="n"/>
      <c r="I229" s="38" t="n"/>
    </row>
    <row r="230" ht="21" customHeight="1">
      <c r="A230" s="40" t="n"/>
      <c r="B230" s="40" t="n"/>
      <c r="C230" s="40" t="n"/>
      <c r="D230" s="40" t="n"/>
      <c r="E230" s="41">
        <f>IF(A230="","",B230-C230)</f>
        <v/>
      </c>
      <c r="F230" s="40" t="n"/>
      <c r="G230" s="41">
        <f>IF(A230="","",D230-F230)</f>
        <v/>
      </c>
      <c r="H230" s="38" t="n"/>
      <c r="I230" s="38" t="n"/>
    </row>
    <row r="231" ht="21" customHeight="1">
      <c r="A231" s="40" t="n"/>
      <c r="B231" s="40" t="n"/>
      <c r="C231" s="40" t="n"/>
      <c r="D231" s="40" t="n"/>
      <c r="E231" s="41">
        <f>IF(A231="","",B231-C231)</f>
        <v/>
      </c>
      <c r="F231" s="40" t="n"/>
      <c r="G231" s="41">
        <f>IF(A231="","",D231-F231)</f>
        <v/>
      </c>
      <c r="H231" s="38" t="n"/>
      <c r="I231" s="38" t="n"/>
    </row>
    <row r="232" ht="21" customHeight="1">
      <c r="A232" s="40" t="n"/>
      <c r="B232" s="40" t="n"/>
      <c r="C232" s="40" t="n"/>
      <c r="D232" s="40" t="n"/>
      <c r="E232" s="41">
        <f>IF(A232="","",B232-C232)</f>
        <v/>
      </c>
      <c r="F232" s="40" t="n"/>
      <c r="G232" s="41">
        <f>IF(A232="","",D232-F232)</f>
        <v/>
      </c>
      <c r="H232" s="38" t="n"/>
      <c r="I232" s="38" t="n"/>
    </row>
    <row r="233" ht="21" customHeight="1">
      <c r="A233" s="40" t="n"/>
      <c r="B233" s="40" t="n"/>
      <c r="C233" s="40" t="n"/>
      <c r="D233" s="40" t="n"/>
      <c r="E233" s="41">
        <f>IF(A233="","",B233-C233)</f>
        <v/>
      </c>
      <c r="F233" s="40" t="n"/>
      <c r="G233" s="41">
        <f>IF(A233="","",D233-F233)</f>
        <v/>
      </c>
      <c r="H233" s="38" t="n"/>
      <c r="I233" s="38" t="n"/>
    </row>
    <row r="234" ht="21" customHeight="1">
      <c r="A234" s="40" t="n"/>
      <c r="B234" s="40" t="n"/>
      <c r="C234" s="40" t="n"/>
      <c r="D234" s="40" t="n"/>
      <c r="E234" s="41">
        <f>IF(A234="","",B234-C234)</f>
        <v/>
      </c>
      <c r="F234" s="40" t="n"/>
      <c r="G234" s="41">
        <f>IF(A234="","",D234-F234)</f>
        <v/>
      </c>
      <c r="H234" s="38" t="n"/>
      <c r="I234" s="38" t="n"/>
    </row>
    <row r="235" ht="21" customHeight="1">
      <c r="A235" s="40" t="n"/>
      <c r="B235" s="40" t="n"/>
      <c r="C235" s="40" t="n"/>
      <c r="D235" s="40" t="n"/>
      <c r="E235" s="41">
        <f>IF(A235="","",B235-C235)</f>
        <v/>
      </c>
      <c r="F235" s="40" t="n"/>
      <c r="G235" s="41">
        <f>IF(A235="","",D235-F235)</f>
        <v/>
      </c>
      <c r="H235" s="38" t="n"/>
      <c r="I235" s="38" t="n"/>
    </row>
    <row r="236" ht="21" customHeight="1">
      <c r="A236" s="40" t="n"/>
      <c r="B236" s="40" t="n"/>
      <c r="C236" s="40" t="n"/>
      <c r="D236" s="40" t="n"/>
      <c r="E236" s="41">
        <f>IF(A236="","",B236-C236)</f>
        <v/>
      </c>
      <c r="F236" s="40" t="n"/>
      <c r="G236" s="41">
        <f>IF(A236="","",D236-F236)</f>
        <v/>
      </c>
      <c r="H236" s="38" t="n"/>
      <c r="I236" s="38" t="n"/>
    </row>
    <row r="237" ht="21" customHeight="1">
      <c r="A237" s="40" t="n"/>
      <c r="B237" s="40" t="n"/>
      <c r="C237" s="40" t="n"/>
      <c r="D237" s="40" t="n"/>
      <c r="E237" s="41">
        <f>IF(A237="","",B237-C237)</f>
        <v/>
      </c>
      <c r="F237" s="40" t="n"/>
      <c r="G237" s="41">
        <f>IF(A237="","",D237-F237)</f>
        <v/>
      </c>
      <c r="H237" s="38" t="n"/>
      <c r="I237" s="38" t="n"/>
    </row>
    <row r="238" ht="21" customHeight="1">
      <c r="A238" s="40" t="n"/>
      <c r="B238" s="40" t="n"/>
      <c r="C238" s="40" t="n"/>
      <c r="D238" s="40" t="n"/>
      <c r="E238" s="41">
        <f>IF(A238="","",B238-C238)</f>
        <v/>
      </c>
      <c r="F238" s="40" t="n"/>
      <c r="G238" s="41">
        <f>IF(A238="","",D238-F238)</f>
        <v/>
      </c>
      <c r="H238" s="38" t="n"/>
      <c r="I238" s="38" t="n"/>
    </row>
    <row r="239" ht="21" customHeight="1">
      <c r="A239" s="40" t="n"/>
      <c r="B239" s="40" t="n"/>
      <c r="C239" s="40" t="n"/>
      <c r="D239" s="40" t="n"/>
      <c r="E239" s="41">
        <f>IF(A239="","",B239-C239)</f>
        <v/>
      </c>
      <c r="F239" s="40" t="n"/>
      <c r="G239" s="41">
        <f>IF(A239="","",D239-F239)</f>
        <v/>
      </c>
      <c r="H239" s="38" t="n"/>
      <c r="I239" s="38" t="n"/>
    </row>
    <row r="240" ht="21" customHeight="1">
      <c r="A240" s="40" t="n"/>
      <c r="B240" s="40" t="n"/>
      <c r="C240" s="40" t="n"/>
      <c r="D240" s="40" t="n"/>
      <c r="E240" s="41">
        <f>IF(A240="","",B240-C240)</f>
        <v/>
      </c>
      <c r="F240" s="40" t="n"/>
      <c r="G240" s="41">
        <f>IF(A240="","",D240-F240)</f>
        <v/>
      </c>
      <c r="H240" s="38" t="n"/>
      <c r="I240" s="38" t="n"/>
    </row>
    <row r="241" ht="21" customHeight="1">
      <c r="A241" s="40" t="n"/>
      <c r="B241" s="40" t="n"/>
      <c r="C241" s="40" t="n"/>
      <c r="D241" s="40" t="n"/>
      <c r="E241" s="41">
        <f>IF(A241="","",B241-C241)</f>
        <v/>
      </c>
      <c r="F241" s="40" t="n"/>
      <c r="G241" s="41">
        <f>IF(A241="","",D241-F241)</f>
        <v/>
      </c>
      <c r="H241" s="38" t="n"/>
      <c r="I241" s="38" t="n"/>
    </row>
    <row r="242" ht="21" customHeight="1">
      <c r="A242" s="40" t="n"/>
      <c r="B242" s="40" t="n"/>
      <c r="C242" s="40" t="n"/>
      <c r="D242" s="40" t="n"/>
      <c r="E242" s="41">
        <f>IF(A242="","",B242-C242)</f>
        <v/>
      </c>
      <c r="F242" s="40" t="n"/>
      <c r="G242" s="41">
        <f>IF(A242="","",D242-F242)</f>
        <v/>
      </c>
      <c r="H242" s="38" t="n"/>
      <c r="I242" s="38" t="n"/>
    </row>
    <row r="243" ht="21" customHeight="1">
      <c r="A243" s="40" t="n"/>
      <c r="B243" s="40" t="n"/>
      <c r="C243" s="40" t="n"/>
      <c r="D243" s="40" t="n"/>
      <c r="E243" s="41">
        <f>IF(A243="","",B243-C243)</f>
        <v/>
      </c>
      <c r="F243" s="40" t="n"/>
      <c r="G243" s="41">
        <f>IF(A243="","",D243-F243)</f>
        <v/>
      </c>
      <c r="H243" s="38" t="n"/>
      <c r="I243" s="38" t="n"/>
    </row>
    <row r="244" ht="21" customHeight="1">
      <c r="A244" s="40" t="n"/>
      <c r="B244" s="40" t="n"/>
      <c r="C244" s="40" t="n"/>
      <c r="D244" s="40" t="n"/>
      <c r="E244" s="41">
        <f>IF(A244="","",B244-C244)</f>
        <v/>
      </c>
      <c r="F244" s="40" t="n"/>
      <c r="G244" s="41">
        <f>IF(A244="","",D244-F244)</f>
        <v/>
      </c>
      <c r="H244" s="38" t="n"/>
      <c r="I244" s="38" t="n"/>
    </row>
    <row r="245" ht="21" customHeight="1">
      <c r="A245" s="40" t="n"/>
      <c r="B245" s="40" t="n"/>
      <c r="C245" s="40" t="n"/>
      <c r="D245" s="40" t="n"/>
      <c r="E245" s="41">
        <f>IF(A245="","",B245-C245)</f>
        <v/>
      </c>
      <c r="F245" s="40" t="n"/>
      <c r="G245" s="41">
        <f>IF(A245="","",D245-F245)</f>
        <v/>
      </c>
      <c r="H245" s="38" t="n"/>
      <c r="I245" s="38" t="n"/>
    </row>
    <row r="246" ht="21" customHeight="1">
      <c r="A246" s="40" t="n"/>
      <c r="B246" s="40" t="n"/>
      <c r="C246" s="40" t="n"/>
      <c r="D246" s="40" t="n"/>
      <c r="E246" s="41">
        <f>IF(A246="","",B246-C246)</f>
        <v/>
      </c>
      <c r="F246" s="40" t="n"/>
      <c r="G246" s="41">
        <f>IF(A246="","",D246-F246)</f>
        <v/>
      </c>
      <c r="H246" s="38" t="n"/>
      <c r="I246" s="38" t="n"/>
    </row>
    <row r="247" ht="21" customHeight="1">
      <c r="A247" s="40" t="n"/>
      <c r="B247" s="40" t="n"/>
      <c r="C247" s="40" t="n"/>
      <c r="D247" s="40" t="n"/>
      <c r="E247" s="41">
        <f>IF(A247="","",B247-C247)</f>
        <v/>
      </c>
      <c r="F247" s="40" t="n"/>
      <c r="G247" s="41">
        <f>IF(A247="","",D247-F247)</f>
        <v/>
      </c>
      <c r="H247" s="38" t="n"/>
      <c r="I247" s="38" t="n"/>
    </row>
    <row r="248" ht="21" customHeight="1">
      <c r="A248" s="40" t="n"/>
      <c r="B248" s="40" t="n"/>
      <c r="C248" s="40" t="n"/>
      <c r="D248" s="40" t="n"/>
      <c r="E248" s="41">
        <f>IF(A248="","",B248-C248)</f>
        <v/>
      </c>
      <c r="F248" s="40" t="n"/>
      <c r="G248" s="41">
        <f>IF(A248="","",D248-F248)</f>
        <v/>
      </c>
      <c r="H248" s="38" t="n"/>
      <c r="I248" s="38" t="n"/>
    </row>
    <row r="249" ht="21" customHeight="1">
      <c r="A249" s="40" t="n"/>
      <c r="B249" s="40" t="n"/>
      <c r="C249" s="40" t="n"/>
      <c r="D249" s="40" t="n"/>
      <c r="E249" s="41">
        <f>IF(A249="","",B249-C249)</f>
        <v/>
      </c>
      <c r="F249" s="40" t="n"/>
      <c r="G249" s="41">
        <f>IF(A249="","",D249-F249)</f>
        <v/>
      </c>
      <c r="H249" s="38" t="n"/>
      <c r="I249" s="38" t="n"/>
    </row>
    <row r="250" ht="21" customHeight="1">
      <c r="A250" s="40" t="n"/>
      <c r="B250" s="40" t="n"/>
      <c r="C250" s="40" t="n"/>
      <c r="D250" s="40" t="n"/>
      <c r="E250" s="41">
        <f>IF(A250="","",B250-C250)</f>
        <v/>
      </c>
      <c r="F250" s="40" t="n"/>
      <c r="G250" s="41">
        <f>IF(A250="","",D250-F250)</f>
        <v/>
      </c>
      <c r="H250" s="38" t="n"/>
      <c r="I250" s="38" t="n"/>
    </row>
    <row r="251" ht="21" customHeight="1">
      <c r="A251" s="40" t="n"/>
      <c r="B251" s="40" t="n"/>
      <c r="C251" s="40" t="n"/>
      <c r="D251" s="40" t="n"/>
      <c r="E251" s="41">
        <f>IF(A251="","",B251-C251)</f>
        <v/>
      </c>
      <c r="F251" s="40" t="n"/>
      <c r="G251" s="41">
        <f>IF(A251="","",D251-F251)</f>
        <v/>
      </c>
      <c r="H251" s="38" t="n"/>
      <c r="I251" s="38" t="n"/>
    </row>
    <row r="252" ht="21" customHeight="1">
      <c r="A252" s="40" t="n"/>
      <c r="B252" s="40" t="n"/>
      <c r="C252" s="40" t="n"/>
      <c r="D252" s="40" t="n"/>
      <c r="E252" s="41">
        <f>IF(A252="","",B252-C252)</f>
        <v/>
      </c>
      <c r="F252" s="40" t="n"/>
      <c r="G252" s="41">
        <f>IF(A252="","",D252-F252)</f>
        <v/>
      </c>
      <c r="H252" s="38" t="n"/>
      <c r="I252" s="38" t="n"/>
    </row>
    <row r="253" ht="21" customHeight="1">
      <c r="A253" s="40" t="n"/>
      <c r="B253" s="40" t="n"/>
      <c r="C253" s="40" t="n"/>
      <c r="D253" s="40" t="n"/>
      <c r="E253" s="41">
        <f>IF(A253="","",B253-C253)</f>
        <v/>
      </c>
      <c r="F253" s="40" t="n"/>
      <c r="G253" s="41">
        <f>IF(A253="","",D253-F253)</f>
        <v/>
      </c>
      <c r="H253" s="38" t="n"/>
      <c r="I253" s="38" t="n"/>
    </row>
    <row r="254" ht="21" customHeight="1">
      <c r="A254" s="40" t="n"/>
      <c r="B254" s="40" t="n"/>
      <c r="C254" s="40" t="n"/>
      <c r="D254" s="40" t="n"/>
      <c r="E254" s="41">
        <f>IF(A254="","",B254-C254)</f>
        <v/>
      </c>
      <c r="F254" s="40" t="n"/>
      <c r="G254" s="41">
        <f>IF(A254="","",D254-F254)</f>
        <v/>
      </c>
      <c r="H254" s="38" t="n"/>
      <c r="I254" s="38" t="n"/>
    </row>
    <row r="255" ht="21" customHeight="1">
      <c r="A255" s="40" t="n"/>
      <c r="B255" s="40" t="n"/>
      <c r="C255" s="40" t="n"/>
      <c r="D255" s="40" t="n"/>
      <c r="E255" s="41">
        <f>IF(A255="","",B255-C255)</f>
        <v/>
      </c>
      <c r="F255" s="40" t="n"/>
      <c r="G255" s="41">
        <f>IF(A255="","",D255-F255)</f>
        <v/>
      </c>
      <c r="H255" s="38" t="n"/>
      <c r="I255" s="38" t="n"/>
    </row>
    <row r="256" ht="21" customHeight="1">
      <c r="A256" s="40" t="n"/>
      <c r="B256" s="40" t="n"/>
      <c r="C256" s="40" t="n"/>
      <c r="D256" s="40" t="n"/>
      <c r="E256" s="41">
        <f>IF(A256="","",B256-C256)</f>
        <v/>
      </c>
      <c r="F256" s="40" t="n"/>
      <c r="G256" s="41">
        <f>IF(A256="","",D256-F256)</f>
        <v/>
      </c>
      <c r="H256" s="38" t="n"/>
      <c r="I256" s="38" t="n"/>
    </row>
    <row r="257" ht="21" customHeight="1">
      <c r="A257" s="40" t="n"/>
      <c r="B257" s="40" t="n"/>
      <c r="C257" s="40" t="n"/>
      <c r="D257" s="40" t="n"/>
      <c r="E257" s="41">
        <f>IF(A257="","",B257-C257)</f>
        <v/>
      </c>
      <c r="F257" s="40" t="n"/>
      <c r="G257" s="41">
        <f>IF(A257="","",D257-F257)</f>
        <v/>
      </c>
      <c r="H257" s="38" t="n"/>
      <c r="I257" s="38" t="n"/>
    </row>
    <row r="258" ht="21" customHeight="1">
      <c r="A258" s="40" t="n"/>
      <c r="B258" s="40" t="n"/>
      <c r="C258" s="40" t="n"/>
      <c r="D258" s="40" t="n"/>
      <c r="E258" s="41">
        <f>IF(A258="","",B258-C258)</f>
        <v/>
      </c>
      <c r="F258" s="40" t="n"/>
      <c r="G258" s="41">
        <f>IF(A258="","",D258-F258)</f>
        <v/>
      </c>
      <c r="H258" s="38" t="n"/>
      <c r="I258" s="38" t="n"/>
    </row>
    <row r="259" ht="21" customHeight="1">
      <c r="A259" s="40" t="n"/>
      <c r="B259" s="40" t="n"/>
      <c r="C259" s="40" t="n"/>
      <c r="D259" s="40" t="n"/>
      <c r="E259" s="41">
        <f>IF(A259="","",B259-C259)</f>
        <v/>
      </c>
      <c r="F259" s="40" t="n"/>
      <c r="G259" s="41">
        <f>IF(A259="","",D259-F259)</f>
        <v/>
      </c>
      <c r="H259" s="38" t="n"/>
      <c r="I259" s="38" t="n"/>
    </row>
    <row r="260" ht="21" customHeight="1">
      <c r="A260" s="40" t="n"/>
      <c r="B260" s="40" t="n"/>
      <c r="C260" s="40" t="n"/>
      <c r="D260" s="40" t="n"/>
      <c r="E260" s="41">
        <f>IF(A260="","",B260-C260)</f>
        <v/>
      </c>
      <c r="F260" s="40" t="n"/>
      <c r="G260" s="41">
        <f>IF(A260="","",D260-F260)</f>
        <v/>
      </c>
      <c r="H260" s="38" t="n"/>
      <c r="I260" s="38" t="n"/>
    </row>
    <row r="261" ht="21" customHeight="1">
      <c r="A261" s="40" t="n"/>
      <c r="B261" s="40" t="n"/>
      <c r="C261" s="40" t="n"/>
      <c r="D261" s="40" t="n"/>
      <c r="E261" s="41">
        <f>IF(A261="","",B261-C261)</f>
        <v/>
      </c>
      <c r="F261" s="40" t="n"/>
      <c r="G261" s="41">
        <f>IF(A261="","",D261-F261)</f>
        <v/>
      </c>
      <c r="H261" s="38" t="n"/>
      <c r="I261" s="38" t="n"/>
    </row>
    <row r="262" ht="21" customHeight="1">
      <c r="A262" s="40" t="n"/>
      <c r="B262" s="40" t="n"/>
      <c r="C262" s="40" t="n"/>
      <c r="D262" s="40" t="n"/>
      <c r="E262" s="41">
        <f>IF(A262="","",B262-C262)</f>
        <v/>
      </c>
      <c r="F262" s="40" t="n"/>
      <c r="G262" s="41">
        <f>IF(A262="","",D262-F262)</f>
        <v/>
      </c>
      <c r="H262" s="38" t="n"/>
      <c r="I262" s="38" t="n"/>
    </row>
    <row r="263" ht="21" customHeight="1">
      <c r="A263" s="40" t="n"/>
      <c r="B263" s="40" t="n"/>
      <c r="C263" s="40" t="n"/>
      <c r="D263" s="40" t="n"/>
      <c r="E263" s="41">
        <f>IF(A263="","",B263-C263)</f>
        <v/>
      </c>
      <c r="F263" s="40" t="n"/>
      <c r="G263" s="41">
        <f>IF(A263="","",D263-F263)</f>
        <v/>
      </c>
      <c r="H263" s="38" t="n"/>
      <c r="I263" s="38" t="n"/>
    </row>
    <row r="264" ht="21" customHeight="1">
      <c r="A264" s="40" t="n"/>
      <c r="B264" s="40" t="n"/>
      <c r="C264" s="40" t="n"/>
      <c r="D264" s="40" t="n"/>
      <c r="E264" s="41">
        <f>IF(A264="","",B264-C264)</f>
        <v/>
      </c>
      <c r="F264" s="40" t="n"/>
      <c r="G264" s="41">
        <f>IF(A264="","",D264-F264)</f>
        <v/>
      </c>
      <c r="H264" s="38" t="n"/>
      <c r="I264" s="38" t="n"/>
    </row>
    <row r="265" ht="21" customHeight="1">
      <c r="A265" s="40" t="n"/>
      <c r="B265" s="40" t="n"/>
      <c r="C265" s="40" t="n"/>
      <c r="D265" s="40" t="n"/>
      <c r="E265" s="41">
        <f>IF(A265="","",B265-C265)</f>
        <v/>
      </c>
      <c r="F265" s="40" t="n"/>
      <c r="G265" s="41">
        <f>IF(A265="","",D265-F265)</f>
        <v/>
      </c>
      <c r="H265" s="38" t="n"/>
      <c r="I265" s="38" t="n"/>
    </row>
    <row r="266" ht="21" customHeight="1">
      <c r="A266" s="40" t="n"/>
      <c r="B266" s="40" t="n"/>
      <c r="C266" s="40" t="n"/>
      <c r="D266" s="40" t="n"/>
      <c r="E266" s="41">
        <f>IF(A266="","",B266-C266)</f>
        <v/>
      </c>
      <c r="F266" s="40" t="n"/>
      <c r="G266" s="41">
        <f>IF(A266="","",D266-F266)</f>
        <v/>
      </c>
      <c r="H266" s="38" t="n"/>
      <c r="I266" s="38" t="n"/>
    </row>
    <row r="267" ht="21" customHeight="1">
      <c r="A267" s="40" t="n"/>
      <c r="B267" s="40" t="n"/>
      <c r="C267" s="40" t="n"/>
      <c r="D267" s="40" t="n"/>
      <c r="E267" s="41">
        <f>IF(A267="","",B267-C267)</f>
        <v/>
      </c>
      <c r="F267" s="40" t="n"/>
      <c r="G267" s="41">
        <f>IF(A267="","",D267-F267)</f>
        <v/>
      </c>
      <c r="H267" s="38" t="n"/>
      <c r="I267" s="38" t="n"/>
    </row>
    <row r="268" ht="21" customHeight="1">
      <c r="A268" s="40" t="n"/>
      <c r="B268" s="40" t="n"/>
      <c r="C268" s="40" t="n"/>
      <c r="D268" s="40" t="n"/>
      <c r="E268" s="41">
        <f>IF(A268="","",B268-C268)</f>
        <v/>
      </c>
      <c r="F268" s="40" t="n"/>
      <c r="G268" s="41">
        <f>IF(A268="","",D268-F268)</f>
        <v/>
      </c>
      <c r="H268" s="38" t="n"/>
      <c r="I268" s="38" t="n"/>
    </row>
    <row r="269" ht="21" customHeight="1">
      <c r="A269" s="40" t="n"/>
      <c r="B269" s="40" t="n"/>
      <c r="C269" s="40" t="n"/>
      <c r="D269" s="40" t="n"/>
      <c r="E269" s="41">
        <f>IF(A269="","",B269-C269)</f>
        <v/>
      </c>
      <c r="F269" s="40" t="n"/>
      <c r="G269" s="41">
        <f>IF(A269="","",D269-F269)</f>
        <v/>
      </c>
      <c r="H269" s="38" t="n"/>
      <c r="I269" s="38" t="n"/>
    </row>
    <row r="270" ht="21" customHeight="1">
      <c r="A270" s="40" t="n"/>
      <c r="B270" s="40" t="n"/>
      <c r="C270" s="40" t="n"/>
      <c r="D270" s="40" t="n"/>
      <c r="E270" s="41">
        <f>IF(A270="","",B270-C270)</f>
        <v/>
      </c>
      <c r="F270" s="40" t="n"/>
      <c r="G270" s="41">
        <f>IF(A270="","",D270-F270)</f>
        <v/>
      </c>
      <c r="H270" s="38" t="n"/>
      <c r="I270" s="38" t="n"/>
    </row>
    <row r="271" ht="21" customHeight="1">
      <c r="A271" s="40" t="n"/>
      <c r="B271" s="40" t="n"/>
      <c r="C271" s="40" t="n"/>
      <c r="D271" s="40" t="n"/>
      <c r="E271" s="41">
        <f>IF(A271="","",B271-C271)</f>
        <v/>
      </c>
      <c r="F271" s="40" t="n"/>
      <c r="G271" s="41">
        <f>IF(A271="","",D271-F271)</f>
        <v/>
      </c>
      <c r="H271" s="38" t="n"/>
      <c r="I271" s="38" t="n"/>
    </row>
    <row r="272" ht="21" customHeight="1">
      <c r="A272" s="40" t="n"/>
      <c r="B272" s="40" t="n"/>
      <c r="C272" s="40" t="n"/>
      <c r="D272" s="40" t="n"/>
      <c r="E272" s="41">
        <f>IF(A272="","",B272-C272)</f>
        <v/>
      </c>
      <c r="F272" s="40" t="n"/>
      <c r="G272" s="41">
        <f>IF(A272="","",D272-F272)</f>
        <v/>
      </c>
      <c r="H272" s="38" t="n"/>
      <c r="I272" s="38" t="n"/>
    </row>
    <row r="273" ht="21" customHeight="1">
      <c r="A273" s="40" t="n"/>
      <c r="B273" s="40" t="n"/>
      <c r="C273" s="40" t="n"/>
      <c r="D273" s="40" t="n"/>
      <c r="E273" s="41">
        <f>IF(A273="","",B273-C273)</f>
        <v/>
      </c>
      <c r="F273" s="40" t="n"/>
      <c r="G273" s="41">
        <f>IF(A273="","",D273-F273)</f>
        <v/>
      </c>
      <c r="H273" s="38" t="n"/>
      <c r="I273" s="38" t="n"/>
    </row>
    <row r="274" ht="21" customHeight="1">
      <c r="A274" s="40" t="n"/>
      <c r="B274" s="40" t="n"/>
      <c r="C274" s="40" t="n"/>
      <c r="D274" s="40" t="n"/>
      <c r="E274" s="41">
        <f>IF(A274="","",B274-C274)</f>
        <v/>
      </c>
      <c r="F274" s="40" t="n"/>
      <c r="G274" s="41">
        <f>IF(A274="","",D274-F274)</f>
        <v/>
      </c>
      <c r="H274" s="38" t="n"/>
      <c r="I274" s="38" t="n"/>
    </row>
    <row r="275" ht="21" customHeight="1">
      <c r="A275" s="40" t="n"/>
      <c r="B275" s="40" t="n"/>
      <c r="C275" s="40" t="n"/>
      <c r="D275" s="40" t="n"/>
      <c r="E275" s="41">
        <f>IF(A275="","",B275-C275)</f>
        <v/>
      </c>
      <c r="F275" s="40" t="n"/>
      <c r="G275" s="41">
        <f>IF(A275="","",D275-F275)</f>
        <v/>
      </c>
      <c r="H275" s="38" t="n"/>
      <c r="I275" s="38" t="n"/>
    </row>
    <row r="276" ht="21" customHeight="1">
      <c r="A276" s="40" t="n"/>
      <c r="B276" s="40" t="n"/>
      <c r="C276" s="40" t="n"/>
      <c r="D276" s="40" t="n"/>
      <c r="E276" s="41">
        <f>IF(A276="","",B276-C276)</f>
        <v/>
      </c>
      <c r="F276" s="40" t="n"/>
      <c r="G276" s="41">
        <f>IF(A276="","",D276-F276)</f>
        <v/>
      </c>
      <c r="H276" s="38" t="n"/>
      <c r="I276" s="38" t="n"/>
    </row>
    <row r="277" ht="21" customHeight="1">
      <c r="A277" s="40" t="n"/>
      <c r="B277" s="40" t="n"/>
      <c r="C277" s="40" t="n"/>
      <c r="D277" s="40" t="n"/>
      <c r="E277" s="41">
        <f>IF(A277="","",B277-C277)</f>
        <v/>
      </c>
      <c r="F277" s="40" t="n"/>
      <c r="G277" s="41">
        <f>IF(A277="","",D277-F277)</f>
        <v/>
      </c>
      <c r="H277" s="38" t="n"/>
      <c r="I277" s="38" t="n"/>
    </row>
    <row r="278" ht="21" customHeight="1">
      <c r="A278" s="40" t="n"/>
      <c r="B278" s="40" t="n"/>
      <c r="C278" s="40" t="n"/>
      <c r="D278" s="40" t="n"/>
      <c r="E278" s="41">
        <f>IF(A278="","",B278-C278)</f>
        <v/>
      </c>
      <c r="F278" s="40" t="n"/>
      <c r="G278" s="41">
        <f>IF(A278="","",D278-F278)</f>
        <v/>
      </c>
      <c r="H278" s="38" t="n"/>
      <c r="I278" s="38" t="n"/>
    </row>
    <row r="279" ht="21" customHeight="1">
      <c r="A279" s="40" t="n"/>
      <c r="B279" s="40" t="n"/>
      <c r="C279" s="40" t="n"/>
      <c r="D279" s="40" t="n"/>
      <c r="E279" s="41">
        <f>IF(A279="","",B279-C279)</f>
        <v/>
      </c>
      <c r="F279" s="40" t="n"/>
      <c r="G279" s="41">
        <f>IF(A279="","",D279-F279)</f>
        <v/>
      </c>
      <c r="H279" s="38" t="n"/>
      <c r="I279" s="38" t="n"/>
    </row>
    <row r="280" ht="21" customHeight="1">
      <c r="A280" s="40" t="n"/>
      <c r="B280" s="40" t="n"/>
      <c r="C280" s="40" t="n"/>
      <c r="D280" s="40" t="n"/>
      <c r="E280" s="41">
        <f>IF(A280="","",B280-C280)</f>
        <v/>
      </c>
      <c r="F280" s="40" t="n"/>
      <c r="G280" s="41">
        <f>IF(A280="","",D280-F280)</f>
        <v/>
      </c>
      <c r="H280" s="38" t="n"/>
      <c r="I280" s="38" t="n"/>
    </row>
    <row r="281" ht="21" customHeight="1">
      <c r="A281" s="40" t="n"/>
      <c r="B281" s="40" t="n"/>
      <c r="C281" s="40" t="n"/>
      <c r="D281" s="40" t="n"/>
      <c r="E281" s="41">
        <f>IF(A281="","",B281-C281)</f>
        <v/>
      </c>
      <c r="F281" s="40" t="n"/>
      <c r="G281" s="41">
        <f>IF(A281="","",D281-F281)</f>
        <v/>
      </c>
      <c r="H281" s="38" t="n"/>
      <c r="I281" s="38" t="n"/>
    </row>
    <row r="282" ht="21" customHeight="1">
      <c r="A282" s="40" t="n"/>
      <c r="B282" s="40" t="n"/>
      <c r="C282" s="40" t="n"/>
      <c r="D282" s="40" t="n"/>
      <c r="E282" s="41">
        <f>IF(A282="","",B282-C282)</f>
        <v/>
      </c>
      <c r="F282" s="40" t="n"/>
      <c r="G282" s="41">
        <f>IF(A282="","",D282-F282)</f>
        <v/>
      </c>
      <c r="H282" s="38" t="n"/>
      <c r="I282" s="38" t="n"/>
    </row>
    <row r="283" ht="21" customHeight="1">
      <c r="A283" s="40" t="n"/>
      <c r="B283" s="40" t="n"/>
      <c r="C283" s="40" t="n"/>
      <c r="D283" s="40" t="n"/>
      <c r="E283" s="41">
        <f>IF(A283="","",B283-C283)</f>
        <v/>
      </c>
      <c r="F283" s="40" t="n"/>
      <c r="G283" s="41">
        <f>IF(A283="","",D283-F283)</f>
        <v/>
      </c>
      <c r="H283" s="38" t="n"/>
      <c r="I283" s="38" t="n"/>
    </row>
    <row r="284" ht="21" customHeight="1">
      <c r="A284" s="40" t="n"/>
      <c r="B284" s="40" t="n"/>
      <c r="C284" s="40" t="n"/>
      <c r="D284" s="40" t="n"/>
      <c r="E284" s="41">
        <f>IF(A284="","",B284-C284)</f>
        <v/>
      </c>
      <c r="F284" s="40" t="n"/>
      <c r="G284" s="41">
        <f>IF(A284="","",D284-F284)</f>
        <v/>
      </c>
      <c r="H284" s="38" t="n"/>
      <c r="I284" s="38" t="n"/>
    </row>
    <row r="285" ht="21" customHeight="1">
      <c r="A285" s="40" t="n"/>
      <c r="B285" s="40" t="n"/>
      <c r="C285" s="40" t="n"/>
      <c r="D285" s="40" t="n"/>
      <c r="E285" s="41">
        <f>IF(A285="","",B285-C285)</f>
        <v/>
      </c>
      <c r="F285" s="40" t="n"/>
      <c r="G285" s="41">
        <f>IF(A285="","",D285-F285)</f>
        <v/>
      </c>
      <c r="H285" s="38" t="n"/>
      <c r="I285" s="38" t="n"/>
    </row>
    <row r="286" ht="21" customHeight="1">
      <c r="A286" s="40" t="n"/>
      <c r="B286" s="40" t="n"/>
      <c r="C286" s="40" t="n"/>
      <c r="D286" s="40" t="n"/>
      <c r="E286" s="41">
        <f>IF(A286="","",B286-C286)</f>
        <v/>
      </c>
      <c r="F286" s="40" t="n"/>
      <c r="G286" s="41">
        <f>IF(A286="","",D286-F286)</f>
        <v/>
      </c>
      <c r="H286" s="38" t="n"/>
      <c r="I286" s="38" t="n"/>
    </row>
    <row r="287" ht="21" customHeight="1">
      <c r="A287" s="40" t="n"/>
      <c r="B287" s="40" t="n"/>
      <c r="C287" s="40" t="n"/>
      <c r="D287" s="40" t="n"/>
      <c r="E287" s="41">
        <f>IF(A287="","",B287-C287)</f>
        <v/>
      </c>
      <c r="F287" s="40" t="n"/>
      <c r="G287" s="41">
        <f>IF(A287="","",D287-F287)</f>
        <v/>
      </c>
      <c r="H287" s="38" t="n"/>
      <c r="I287" s="38" t="n"/>
    </row>
    <row r="288" ht="21" customHeight="1">
      <c r="A288" s="40" t="n"/>
      <c r="B288" s="40" t="n"/>
      <c r="C288" s="40" t="n"/>
      <c r="D288" s="40" t="n"/>
      <c r="E288" s="41">
        <f>IF(A288="","",B288-C288)</f>
        <v/>
      </c>
      <c r="F288" s="40" t="n"/>
      <c r="G288" s="41">
        <f>IF(A288="","",D288-F288)</f>
        <v/>
      </c>
      <c r="H288" s="38" t="n"/>
      <c r="I288" s="38" t="n"/>
    </row>
    <row r="289" ht="21" customHeight="1">
      <c r="A289" s="40" t="n"/>
      <c r="B289" s="40" t="n"/>
      <c r="C289" s="40" t="n"/>
      <c r="D289" s="40" t="n"/>
      <c r="E289" s="41">
        <f>IF(A289="","",B289-C289)</f>
        <v/>
      </c>
      <c r="F289" s="40" t="n"/>
      <c r="G289" s="41">
        <f>IF(A289="","",D289-F289)</f>
        <v/>
      </c>
      <c r="H289" s="38" t="n"/>
      <c r="I289" s="38" t="n"/>
    </row>
    <row r="290" ht="21" customHeight="1">
      <c r="A290" s="40" t="n"/>
      <c r="B290" s="40" t="n"/>
      <c r="C290" s="40" t="n"/>
      <c r="D290" s="40" t="n"/>
      <c r="E290" s="41">
        <f>IF(A290="","",B290-C290)</f>
        <v/>
      </c>
      <c r="F290" s="40" t="n"/>
      <c r="G290" s="41">
        <f>IF(A290="","",D290-F290)</f>
        <v/>
      </c>
      <c r="H290" s="38" t="n"/>
      <c r="I290" s="38" t="n"/>
    </row>
    <row r="291" ht="21" customHeight="1">
      <c r="A291" s="40" t="n"/>
      <c r="B291" s="40" t="n"/>
      <c r="C291" s="40" t="n"/>
      <c r="D291" s="40" t="n"/>
      <c r="E291" s="41">
        <f>IF(A291="","",B291-C291)</f>
        <v/>
      </c>
      <c r="F291" s="40" t="n"/>
      <c r="G291" s="41">
        <f>IF(A291="","",D291-F291)</f>
        <v/>
      </c>
      <c r="H291" s="38" t="n"/>
      <c r="I291" s="38" t="n"/>
    </row>
    <row r="292" ht="21" customHeight="1">
      <c r="A292" s="40" t="n"/>
      <c r="B292" s="40" t="n"/>
      <c r="C292" s="40" t="n"/>
      <c r="D292" s="40" t="n"/>
      <c r="E292" s="41">
        <f>IF(A292="","",B292-C292)</f>
        <v/>
      </c>
      <c r="F292" s="40" t="n"/>
      <c r="G292" s="41">
        <f>IF(A292="","",D292-F292)</f>
        <v/>
      </c>
      <c r="H292" s="38" t="n"/>
      <c r="I292" s="38" t="n"/>
    </row>
    <row r="293" ht="21" customHeight="1">
      <c r="A293" s="40" t="n"/>
      <c r="B293" s="40" t="n"/>
      <c r="C293" s="40" t="n"/>
      <c r="D293" s="40" t="n"/>
      <c r="E293" s="41">
        <f>IF(A293="","",B293-C293)</f>
        <v/>
      </c>
      <c r="F293" s="40" t="n"/>
      <c r="G293" s="41">
        <f>IF(A293="","",D293-F293)</f>
        <v/>
      </c>
      <c r="H293" s="38" t="n"/>
      <c r="I293" s="38" t="n"/>
    </row>
    <row r="294" ht="21" customHeight="1">
      <c r="A294" s="40" t="n"/>
      <c r="B294" s="40" t="n"/>
      <c r="C294" s="40" t="n"/>
      <c r="D294" s="40" t="n"/>
      <c r="E294" s="41">
        <f>IF(A294="","",B294-C294)</f>
        <v/>
      </c>
      <c r="F294" s="40" t="n"/>
      <c r="G294" s="41">
        <f>IF(A294="","",D294-F294)</f>
        <v/>
      </c>
      <c r="H294" s="38" t="n"/>
      <c r="I294" s="38" t="n"/>
    </row>
    <row r="295" ht="21" customHeight="1">
      <c r="A295" s="40" t="n"/>
      <c r="B295" s="40" t="n"/>
      <c r="C295" s="40" t="n"/>
      <c r="D295" s="40" t="n"/>
      <c r="E295" s="41">
        <f>IF(A295="","",B295-C295)</f>
        <v/>
      </c>
      <c r="F295" s="40" t="n"/>
      <c r="G295" s="41">
        <f>IF(A295="","",D295-F295)</f>
        <v/>
      </c>
      <c r="H295" s="38" t="n"/>
      <c r="I295" s="38" t="n"/>
    </row>
    <row r="296" ht="21" customHeight="1">
      <c r="A296" s="40" t="n"/>
      <c r="B296" s="40" t="n"/>
      <c r="C296" s="40" t="n"/>
      <c r="D296" s="40" t="n"/>
      <c r="E296" s="41">
        <f>IF(A296="","",B296-C296)</f>
        <v/>
      </c>
      <c r="F296" s="40" t="n"/>
      <c r="G296" s="41">
        <f>IF(A296="","",D296-F296)</f>
        <v/>
      </c>
      <c r="H296" s="38" t="n"/>
      <c r="I296" s="38" t="n"/>
    </row>
    <row r="297" ht="21" customHeight="1">
      <c r="A297" s="40" t="n"/>
      <c r="B297" s="40" t="n"/>
      <c r="C297" s="40" t="n"/>
      <c r="D297" s="40" t="n"/>
      <c r="E297" s="41">
        <f>IF(A297="","",B297-C297)</f>
        <v/>
      </c>
      <c r="F297" s="40" t="n"/>
      <c r="G297" s="41">
        <f>IF(A297="","",D297-F297)</f>
        <v/>
      </c>
      <c r="H297" s="38" t="n"/>
      <c r="I297" s="38" t="n"/>
    </row>
    <row r="298" ht="21" customHeight="1">
      <c r="A298" s="40" t="n"/>
      <c r="B298" s="40" t="n"/>
      <c r="C298" s="40" t="n"/>
      <c r="D298" s="40" t="n"/>
      <c r="E298" s="41">
        <f>IF(A298="","",B298-C298)</f>
        <v/>
      </c>
      <c r="F298" s="40" t="n"/>
      <c r="G298" s="41">
        <f>IF(A298="","",D298-F298)</f>
        <v/>
      </c>
      <c r="H298" s="38" t="n"/>
      <c r="I298" s="38" t="n"/>
    </row>
    <row r="299" ht="21" customHeight="1">
      <c r="A299" s="40" t="n"/>
      <c r="B299" s="40" t="n"/>
      <c r="C299" s="40" t="n"/>
      <c r="D299" s="40" t="n"/>
      <c r="E299" s="41">
        <f>IF(A299="","",B299-C299)</f>
        <v/>
      </c>
      <c r="F299" s="40" t="n"/>
      <c r="G299" s="41">
        <f>IF(A299="","",D299-F299)</f>
        <v/>
      </c>
      <c r="H299" s="38" t="n"/>
      <c r="I299" s="38" t="n"/>
    </row>
    <row r="300" ht="21" customHeight="1">
      <c r="A300" s="40" t="n"/>
      <c r="B300" s="40" t="n"/>
      <c r="C300" s="40" t="n"/>
      <c r="D300" s="40" t="n"/>
      <c r="E300" s="41">
        <f>IF(A300="","",B300-C300)</f>
        <v/>
      </c>
      <c r="F300" s="40" t="n"/>
      <c r="G300" s="41">
        <f>IF(A300="","",D300-F300)</f>
        <v/>
      </c>
      <c r="H300" s="38" t="n"/>
      <c r="I300" s="38" t="n"/>
    </row>
    <row r="301" ht="21" customHeight="1">
      <c r="A301" s="40" t="n"/>
      <c r="B301" s="40" t="n"/>
      <c r="C301" s="40" t="n"/>
      <c r="D301" s="40" t="n"/>
      <c r="E301" s="41">
        <f>IF(A301="","",B301-C301)</f>
        <v/>
      </c>
      <c r="F301" s="40" t="n"/>
      <c r="G301" s="41">
        <f>IF(A301="","",D301-F301)</f>
        <v/>
      </c>
      <c r="H301" s="38" t="n"/>
      <c r="I301" s="38" t="n"/>
    </row>
    <row r="302" ht="21" customHeight="1">
      <c r="A302" s="40" t="n"/>
      <c r="B302" s="40" t="n"/>
      <c r="C302" s="40" t="n"/>
      <c r="D302" s="40" t="n"/>
      <c r="E302" s="41">
        <f>IF(A302="","",B302-C302)</f>
        <v/>
      </c>
      <c r="F302" s="40" t="n"/>
      <c r="G302" s="41">
        <f>IF(A302="","",D302-F302)</f>
        <v/>
      </c>
      <c r="H302" s="38" t="n"/>
      <c r="I302" s="38" t="n"/>
    </row>
    <row r="303" ht="21" customHeight="1">
      <c r="A303" s="40" t="n"/>
      <c r="B303" s="40" t="n"/>
      <c r="C303" s="40" t="n"/>
      <c r="D303" s="40" t="n"/>
      <c r="E303" s="41">
        <f>IF(A303="","",B303-C303)</f>
        <v/>
      </c>
      <c r="F303" s="40" t="n"/>
      <c r="G303" s="41">
        <f>IF(A303="","",D303-F303)</f>
        <v/>
      </c>
      <c r="H303" s="38" t="n"/>
      <c r="I303" s="38" t="n"/>
    </row>
    <row r="304" ht="21" customHeight="1">
      <c r="A304" s="40" t="n"/>
      <c r="B304" s="40" t="n"/>
      <c r="C304" s="40" t="n"/>
      <c r="D304" s="40" t="n"/>
      <c r="E304" s="41">
        <f>IF(A304="","",B304-C304)</f>
        <v/>
      </c>
      <c r="F304" s="40" t="n"/>
      <c r="G304" s="41">
        <f>IF(A304="","",D304-F304)</f>
        <v/>
      </c>
      <c r="H304" s="38" t="n"/>
      <c r="I304" s="38" t="n"/>
    </row>
    <row r="305" ht="21" customHeight="1">
      <c r="A305" s="40" t="n"/>
      <c r="B305" s="40" t="n"/>
      <c r="C305" s="40" t="n"/>
      <c r="D305" s="40" t="n"/>
      <c r="E305" s="41">
        <f>IF(A305="","",B305-C305)</f>
        <v/>
      </c>
      <c r="F305" s="40" t="n"/>
      <c r="G305" s="41">
        <f>IF(A305="","",D305-F305)</f>
        <v/>
      </c>
      <c r="H305" s="38" t="n"/>
      <c r="I305" s="38" t="n"/>
    </row>
    <row r="306" ht="21" customHeight="1">
      <c r="A306" s="40" t="n"/>
      <c r="B306" s="40" t="n"/>
      <c r="C306" s="40" t="n"/>
      <c r="D306" s="40" t="n"/>
      <c r="E306" s="41">
        <f>IF(A306="","",B306-C306)</f>
        <v/>
      </c>
      <c r="F306" s="40" t="n"/>
      <c r="G306" s="41">
        <f>IF(A306="","",D306-F306)</f>
        <v/>
      </c>
      <c r="H306" s="38" t="n"/>
      <c r="I306" s="38" t="n"/>
    </row>
    <row r="308" ht="28" customHeight="1">
      <c r="A308" s="44" t="inlineStr">
        <is>
          <t>TOTAL PROJECT BUDGET</t>
        </is>
      </c>
      <c r="B308" s="45">
        <f>SUM(B7:B306)</f>
        <v/>
      </c>
      <c r="C308" s="45">
        <f>SUM(C7:C306)</f>
        <v/>
      </c>
      <c r="D308" s="45">
        <f>SUM(D7:D306)</f>
        <v/>
      </c>
      <c r="E308" s="45">
        <f>B308-C308</f>
        <v/>
      </c>
      <c r="F308" s="45">
        <f>SUM(F7:F306)</f>
        <v/>
      </c>
      <c r="G308" s="45">
        <f>D308-F308</f>
        <v/>
      </c>
      <c r="H308" s="44">
        <f>COUNTIF(H7:H306,"Paid")&amp;" paid / "&amp;COUNTIFS(A7:A306,"&lt;&gt;",H7:H306,"&lt;&gt;Paid")&amp;" unpaid"</f>
        <v/>
      </c>
      <c r="I308" s="44" t="inlineStr">
        <is>
          <t>Auto-calculated totals</t>
        </is>
      </c>
    </row>
  </sheetData>
  <autoFilter ref="A6:I306"/>
  <mergeCells count="3">
    <mergeCell ref="A1:I2"/>
    <mergeCell ref="A4:I4"/>
    <mergeCell ref="A3:I3"/>
  </mergeCells>
  <conditionalFormatting sqref="H7:H306">
    <cfRule type="expression" priority="1" dxfId="2">
      <formula>=OR(H7="Complete",H7="Approved",H7="Delivered",H7="Installed",H7="Good condition",H7="Paid",H7="On budget")</formula>
    </cfRule>
    <cfRule type="expression" priority="2" dxfId="1">
      <formula>=OR(H7="Pending",H7="In progress",H7="Sent",H7="Waiting on client",H7="Waiting on vendor",H7="On hold",H7="Partially paid",H7="Scheduled")</formula>
    </cfRule>
    <cfRule type="expression" priority="3" dxfId="0">
      <formula>=OR(H7="Overdue",H7="Delayed",H7="Damaged",H7="Missing item",H7="Rejected",H7="Revisions requested")</formula>
    </cfRule>
    <cfRule type="expression" priority="4" dxfId="3">
      <formula>=OR(H7="Cancelled",H7="On hold",H7="Returned")</formula>
    </cfRule>
  </conditionalFormatting>
  <conditionalFormatting sqref="E7:E306">
    <cfRule type="expression" priority="5" dxfId="0">
      <formula>=AND($A7&lt;&gt;"",$E7&lt;0)</formula>
    </cfRule>
  </conditionalFormatting>
  <conditionalFormatting sqref="G7:G306">
    <cfRule type="expression" priority="6" dxfId="1">
      <formula>=AND($A7&lt;&gt;"",$G7&gt;0)</formula>
    </cfRule>
  </conditionalFormatting>
  <dataValidations count="2">
    <dataValidation sqref="A7:A306" showDropDown="0" showInputMessage="1" showErrorMessage="1" allowBlank="1" errorTitle="Invalid entry" error="Please choose a value from the dropdown list." promptTitle="Choose from the dropdown" prompt="Select a value from the list." type="list">
      <formula1>=BudgetCategories</formula1>
    </dataValidation>
    <dataValidation sqref="H7:H306" showDropDown="0" showInputMessage="1" showErrorMessage="1" allowBlank="1" errorTitle="Invalid entry" error="Please choose a value from the dropdown list." promptTitle="Choose from the dropdown" prompt="Select a value from the list." type="list">
      <formula1>=PaymentStatuses</formula1>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12.xml><?xml version="1.0" encoding="utf-8"?>
<worksheet xmlns="http://schemas.openxmlformats.org/spreadsheetml/2006/main">
  <sheetPr>
    <tabColor rgb="002F6F73"/>
    <outlinePr summaryBelow="1" summaryRight="1"/>
    <pageSetUpPr fitToPage="1"/>
  </sheetPr>
  <dimension ref="A1:P306"/>
  <sheetViews>
    <sheetView showGridLines="0" zoomScale="85" workbookViewId="0">
      <pane ySplit="6" topLeftCell="A7" activePane="bottomLeft" state="frozen"/>
      <selection pane="bottomLeft" activeCell="A7" sqref="A1"/>
    </sheetView>
  </sheetViews>
  <sheetFormatPr baseColWidth="8" defaultRowHeight="15"/>
  <cols>
    <col width="15" customWidth="1" min="1" max="1"/>
    <col width="22" customWidth="1" min="2" max="2"/>
    <col width="20" customWidth="1" min="3" max="3"/>
    <col width="28" customWidth="1" min="4" max="4"/>
    <col width="10" customWidth="1" min="5" max="5"/>
    <col width="14" customWidth="1" min="6" max="6"/>
    <col width="18" customWidth="1" min="7" max="7"/>
    <col width="21" customWidth="1" min="8" max="8"/>
    <col width="19" customWidth="1" min="9" max="9"/>
    <col width="17" customWidth="1" min="10" max="10"/>
    <col width="23" customWidth="1" min="11" max="11"/>
    <col width="16" customWidth="1" min="12" max="12"/>
    <col width="17" customWidth="1" min="13" max="13"/>
    <col width="15" customWidth="1" min="14" max="14"/>
    <col width="16" customWidth="1" min="15" max="15"/>
    <col width="32" customWidth="1" min="16" max="16"/>
  </cols>
  <sheetData>
    <row r="1" ht="26" customHeight="1">
      <c r="A1" s="1" t="inlineStr">
        <is>
          <t>Purchase Order - Order Tracker</t>
        </is>
      </c>
    </row>
    <row r="2" ht="26" customHeight="1"/>
    <row r="3" ht="26" customHeight="1">
      <c r="A3" s="24" t="inlineStr">
        <is>
          <t>Track every vendor order from PO creation through delivery, tracking, invoicing, and payment.</t>
        </is>
      </c>
    </row>
    <row r="4">
      <c r="A4" s="36" t="inlineStr">
        <is>
          <t>Tip: enter data in the warm cream cells. Blue cells calculate automatically. Use the filter arrows in row 6 to focus the view.</t>
        </is>
      </c>
    </row>
    <row r="6" ht="34" customHeight="1">
      <c r="A6" s="37" t="inlineStr">
        <is>
          <t>PO number</t>
        </is>
      </c>
      <c r="B6" s="37" t="inlineStr">
        <is>
          <t>Vendor</t>
        </is>
      </c>
      <c r="C6" s="37" t="inlineStr">
        <is>
          <t>Room</t>
        </is>
      </c>
      <c r="D6" s="37" t="inlineStr">
        <is>
          <t>Item</t>
        </is>
      </c>
      <c r="E6" s="37" t="inlineStr">
        <is>
          <t>Quantity</t>
        </is>
      </c>
      <c r="F6" s="37" t="inlineStr">
        <is>
          <t>Order date</t>
        </is>
      </c>
      <c r="G6" s="37" t="inlineStr">
        <is>
          <t>Expected ship date</t>
        </is>
      </c>
      <c r="H6" s="37" t="inlineStr">
        <is>
          <t>Expected delivery date</t>
        </is>
      </c>
      <c r="I6" s="37" t="inlineStr">
        <is>
          <t>Actual delivery date</t>
        </is>
      </c>
      <c r="J6" s="37" t="inlineStr">
        <is>
          <t>Order status</t>
        </is>
      </c>
      <c r="K6" s="37" t="inlineStr">
        <is>
          <t>Tracking number</t>
        </is>
      </c>
      <c r="L6" s="37" t="inlineStr">
        <is>
          <t>Carrier</t>
        </is>
      </c>
      <c r="M6" s="37" t="inlineStr">
        <is>
          <t>Invoice number</t>
        </is>
      </c>
      <c r="N6" s="37" t="inlineStr">
        <is>
          <t>Amount</t>
        </is>
      </c>
      <c r="O6" s="37" t="inlineStr">
        <is>
          <t>Paid status</t>
        </is>
      </c>
      <c r="P6" s="37" t="inlineStr">
        <is>
          <t>Notes</t>
        </is>
      </c>
    </row>
    <row r="7" ht="21" customHeight="1">
      <c r="A7" s="38" t="n"/>
      <c r="B7" s="38" t="n"/>
      <c r="C7" s="38" t="n"/>
      <c r="D7" s="38" t="n"/>
      <c r="E7" s="39" t="n"/>
      <c r="F7" s="42" t="n"/>
      <c r="G7" s="42" t="n"/>
      <c r="H7" s="42" t="n"/>
      <c r="I7" s="42" t="n"/>
      <c r="J7" s="38" t="n"/>
      <c r="K7" s="38" t="n"/>
      <c r="L7" s="38" t="n"/>
      <c r="M7" s="38" t="n"/>
      <c r="N7" s="40" t="n"/>
      <c r="O7" s="40" t="n"/>
      <c r="P7" s="38" t="n"/>
    </row>
    <row r="8" ht="21" customHeight="1">
      <c r="A8" s="38" t="n"/>
      <c r="B8" s="38" t="n"/>
      <c r="C8" s="38" t="n"/>
      <c r="D8" s="38" t="n"/>
      <c r="E8" s="39" t="n"/>
      <c r="F8" s="42" t="n"/>
      <c r="G8" s="42" t="n"/>
      <c r="H8" s="42" t="n"/>
      <c r="I8" s="42" t="n"/>
      <c r="J8" s="38" t="n"/>
      <c r="K8" s="38" t="n"/>
      <c r="L8" s="38" t="n"/>
      <c r="M8" s="38" t="n"/>
      <c r="N8" s="40" t="n"/>
      <c r="O8" s="40" t="n"/>
      <c r="P8" s="38" t="n"/>
    </row>
    <row r="9" ht="21" customHeight="1">
      <c r="A9" s="38" t="n"/>
      <c r="B9" s="38" t="n"/>
      <c r="C9" s="38" t="n"/>
      <c r="D9" s="38" t="n"/>
      <c r="E9" s="39" t="n"/>
      <c r="F9" s="42" t="n"/>
      <c r="G9" s="42" t="n"/>
      <c r="H9" s="42" t="n"/>
      <c r="I9" s="42" t="n"/>
      <c r="J9" s="38" t="n"/>
      <c r="K9" s="38" t="n"/>
      <c r="L9" s="38" t="n"/>
      <c r="M9" s="38" t="n"/>
      <c r="N9" s="40" t="n"/>
      <c r="O9" s="40" t="n"/>
      <c r="P9" s="38" t="n"/>
    </row>
    <row r="10" ht="21" customHeight="1">
      <c r="A10" s="38" t="n"/>
      <c r="B10" s="38" t="n"/>
      <c r="C10" s="38" t="n"/>
      <c r="D10" s="38" t="n"/>
      <c r="E10" s="39" t="n"/>
      <c r="F10" s="42" t="n"/>
      <c r="G10" s="42" t="n"/>
      <c r="H10" s="42" t="n"/>
      <c r="I10" s="42" t="n"/>
      <c r="J10" s="38" t="n"/>
      <c r="K10" s="38" t="n"/>
      <c r="L10" s="38" t="n"/>
      <c r="M10" s="38" t="n"/>
      <c r="N10" s="40" t="n"/>
      <c r="O10" s="40" t="n"/>
      <c r="P10" s="38" t="n"/>
    </row>
    <row r="11" ht="21" customHeight="1">
      <c r="A11" s="38" t="n"/>
      <c r="B11" s="38" t="n"/>
      <c r="C11" s="38" t="n"/>
      <c r="D11" s="38" t="n"/>
      <c r="E11" s="39" t="n"/>
      <c r="F11" s="42" t="n"/>
      <c r="G11" s="42" t="n"/>
      <c r="H11" s="42" t="n"/>
      <c r="I11" s="42" t="n"/>
      <c r="J11" s="38" t="n"/>
      <c r="K11" s="38" t="n"/>
      <c r="L11" s="38" t="n"/>
      <c r="M11" s="38" t="n"/>
      <c r="N11" s="40" t="n"/>
      <c r="O11" s="40" t="n"/>
      <c r="P11" s="38" t="n"/>
    </row>
    <row r="12" ht="21" customHeight="1">
      <c r="A12" s="38" t="n"/>
      <c r="B12" s="38" t="n"/>
      <c r="C12" s="38" t="n"/>
      <c r="D12" s="38" t="n"/>
      <c r="E12" s="39" t="n"/>
      <c r="F12" s="42" t="n"/>
      <c r="G12" s="42" t="n"/>
      <c r="H12" s="42" t="n"/>
      <c r="I12" s="42" t="n"/>
      <c r="J12" s="38" t="n"/>
      <c r="K12" s="38" t="n"/>
      <c r="L12" s="38" t="n"/>
      <c r="M12" s="38" t="n"/>
      <c r="N12" s="40" t="n"/>
      <c r="O12" s="40" t="n"/>
      <c r="P12" s="38" t="n"/>
    </row>
    <row r="13" ht="21" customHeight="1">
      <c r="A13" s="38" t="n"/>
      <c r="B13" s="38" t="n"/>
      <c r="C13" s="38" t="n"/>
      <c r="D13" s="38" t="n"/>
      <c r="E13" s="39" t="n"/>
      <c r="F13" s="42" t="n"/>
      <c r="G13" s="42" t="n"/>
      <c r="H13" s="42" t="n"/>
      <c r="I13" s="42" t="n"/>
      <c r="J13" s="38" t="n"/>
      <c r="K13" s="38" t="n"/>
      <c r="L13" s="38" t="n"/>
      <c r="M13" s="38" t="n"/>
      <c r="N13" s="40" t="n"/>
      <c r="O13" s="40" t="n"/>
      <c r="P13" s="38" t="n"/>
    </row>
    <row r="14" ht="21" customHeight="1">
      <c r="A14" s="38" t="n"/>
      <c r="B14" s="38" t="n"/>
      <c r="C14" s="38" t="n"/>
      <c r="D14" s="38" t="n"/>
      <c r="E14" s="39" t="n"/>
      <c r="F14" s="42" t="n"/>
      <c r="G14" s="42" t="n"/>
      <c r="H14" s="42" t="n"/>
      <c r="I14" s="42" t="n"/>
      <c r="J14" s="38" t="n"/>
      <c r="K14" s="38" t="n"/>
      <c r="L14" s="38" t="n"/>
      <c r="M14" s="38" t="n"/>
      <c r="N14" s="40" t="n"/>
      <c r="O14" s="40" t="n"/>
      <c r="P14" s="38" t="n"/>
    </row>
    <row r="15" ht="21" customHeight="1">
      <c r="A15" s="38" t="n"/>
      <c r="B15" s="38" t="n"/>
      <c r="C15" s="38" t="n"/>
      <c r="D15" s="38" t="n"/>
      <c r="E15" s="39" t="n"/>
      <c r="F15" s="42" t="n"/>
      <c r="G15" s="42" t="n"/>
      <c r="H15" s="42" t="n"/>
      <c r="I15" s="42" t="n"/>
      <c r="J15" s="38" t="n"/>
      <c r="K15" s="38" t="n"/>
      <c r="L15" s="38" t="n"/>
      <c r="M15" s="38" t="n"/>
      <c r="N15" s="40" t="n"/>
      <c r="O15" s="40" t="n"/>
      <c r="P15" s="38" t="n"/>
    </row>
    <row r="16" ht="21" customHeight="1">
      <c r="A16" s="38" t="n"/>
      <c r="B16" s="38" t="n"/>
      <c r="C16" s="38" t="n"/>
      <c r="D16" s="38" t="n"/>
      <c r="E16" s="39" t="n"/>
      <c r="F16" s="42" t="n"/>
      <c r="G16" s="42" t="n"/>
      <c r="H16" s="42" t="n"/>
      <c r="I16" s="42" t="n"/>
      <c r="J16" s="38" t="n"/>
      <c r="K16" s="38" t="n"/>
      <c r="L16" s="38" t="n"/>
      <c r="M16" s="38" t="n"/>
      <c r="N16" s="40" t="n"/>
      <c r="O16" s="40" t="n"/>
      <c r="P16" s="38" t="n"/>
    </row>
    <row r="17" ht="21" customHeight="1">
      <c r="A17" s="38" t="n"/>
      <c r="B17" s="38" t="n"/>
      <c r="C17" s="38" t="n"/>
      <c r="D17" s="38" t="n"/>
      <c r="E17" s="39" t="n"/>
      <c r="F17" s="42" t="n"/>
      <c r="G17" s="42" t="n"/>
      <c r="H17" s="42" t="n"/>
      <c r="I17" s="42" t="n"/>
      <c r="J17" s="38" t="n"/>
      <c r="K17" s="38" t="n"/>
      <c r="L17" s="38" t="n"/>
      <c r="M17" s="38" t="n"/>
      <c r="N17" s="40" t="n"/>
      <c r="O17" s="40" t="n"/>
      <c r="P17" s="38" t="n"/>
    </row>
    <row r="18" ht="21" customHeight="1">
      <c r="A18" s="38" t="n"/>
      <c r="B18" s="38" t="n"/>
      <c r="C18" s="38" t="n"/>
      <c r="D18" s="38" t="n"/>
      <c r="E18" s="39" t="n"/>
      <c r="F18" s="42" t="n"/>
      <c r="G18" s="42" t="n"/>
      <c r="H18" s="42" t="n"/>
      <c r="I18" s="42" t="n"/>
      <c r="J18" s="38" t="n"/>
      <c r="K18" s="38" t="n"/>
      <c r="L18" s="38" t="n"/>
      <c r="M18" s="38" t="n"/>
      <c r="N18" s="40" t="n"/>
      <c r="O18" s="40" t="n"/>
      <c r="P18" s="38" t="n"/>
    </row>
    <row r="19" ht="21" customHeight="1">
      <c r="A19" s="38" t="n"/>
      <c r="B19" s="38" t="n"/>
      <c r="C19" s="38" t="n"/>
      <c r="D19" s="38" t="n"/>
      <c r="E19" s="39" t="n"/>
      <c r="F19" s="42" t="n"/>
      <c r="G19" s="42" t="n"/>
      <c r="H19" s="42" t="n"/>
      <c r="I19" s="42" t="n"/>
      <c r="J19" s="38" t="n"/>
      <c r="K19" s="38" t="n"/>
      <c r="L19" s="38" t="n"/>
      <c r="M19" s="38" t="n"/>
      <c r="N19" s="40" t="n"/>
      <c r="O19" s="40" t="n"/>
      <c r="P19" s="38" t="n"/>
    </row>
    <row r="20" ht="21" customHeight="1">
      <c r="A20" s="38" t="n"/>
      <c r="B20" s="38" t="n"/>
      <c r="C20" s="38" t="n"/>
      <c r="D20" s="38" t="n"/>
      <c r="E20" s="39" t="n"/>
      <c r="F20" s="42" t="n"/>
      <c r="G20" s="42" t="n"/>
      <c r="H20" s="42" t="n"/>
      <c r="I20" s="42" t="n"/>
      <c r="J20" s="38" t="n"/>
      <c r="K20" s="38" t="n"/>
      <c r="L20" s="38" t="n"/>
      <c r="M20" s="38" t="n"/>
      <c r="N20" s="40" t="n"/>
      <c r="O20" s="40" t="n"/>
      <c r="P20" s="38" t="n"/>
    </row>
    <row r="21" ht="21" customHeight="1">
      <c r="A21" s="38" t="n"/>
      <c r="B21" s="38" t="n"/>
      <c r="C21" s="38" t="n"/>
      <c r="D21" s="38" t="n"/>
      <c r="E21" s="39" t="n"/>
      <c r="F21" s="42" t="n"/>
      <c r="G21" s="42" t="n"/>
      <c r="H21" s="42" t="n"/>
      <c r="I21" s="42" t="n"/>
      <c r="J21" s="38" t="n"/>
      <c r="K21" s="38" t="n"/>
      <c r="L21" s="38" t="n"/>
      <c r="M21" s="38" t="n"/>
      <c r="N21" s="40" t="n"/>
      <c r="O21" s="40" t="n"/>
      <c r="P21" s="38" t="n"/>
    </row>
    <row r="22" ht="21" customHeight="1">
      <c r="A22" s="38" t="n"/>
      <c r="B22" s="38" t="n"/>
      <c r="C22" s="38" t="n"/>
      <c r="D22" s="38" t="n"/>
      <c r="E22" s="39" t="n"/>
      <c r="F22" s="42" t="n"/>
      <c r="G22" s="42" t="n"/>
      <c r="H22" s="42" t="n"/>
      <c r="I22" s="42" t="n"/>
      <c r="J22" s="38" t="n"/>
      <c r="K22" s="38" t="n"/>
      <c r="L22" s="38" t="n"/>
      <c r="M22" s="38" t="n"/>
      <c r="N22" s="40" t="n"/>
      <c r="O22" s="40" t="n"/>
      <c r="P22" s="38" t="n"/>
    </row>
    <row r="23" ht="21" customHeight="1">
      <c r="A23" s="38" t="n"/>
      <c r="B23" s="38" t="n"/>
      <c r="C23" s="38" t="n"/>
      <c r="D23" s="38" t="n"/>
      <c r="E23" s="39" t="n"/>
      <c r="F23" s="42" t="n"/>
      <c r="G23" s="42" t="n"/>
      <c r="H23" s="42" t="n"/>
      <c r="I23" s="42" t="n"/>
      <c r="J23" s="38" t="n"/>
      <c r="K23" s="38" t="n"/>
      <c r="L23" s="38" t="n"/>
      <c r="M23" s="38" t="n"/>
      <c r="N23" s="40" t="n"/>
      <c r="O23" s="40" t="n"/>
      <c r="P23" s="38" t="n"/>
    </row>
    <row r="24" ht="21" customHeight="1">
      <c r="A24" s="38" t="n"/>
      <c r="B24" s="38" t="n"/>
      <c r="C24" s="38" t="n"/>
      <c r="D24" s="38" t="n"/>
      <c r="E24" s="39" t="n"/>
      <c r="F24" s="42" t="n"/>
      <c r="G24" s="42" t="n"/>
      <c r="H24" s="42" t="n"/>
      <c r="I24" s="42" t="n"/>
      <c r="J24" s="38" t="n"/>
      <c r="K24" s="38" t="n"/>
      <c r="L24" s="38" t="n"/>
      <c r="M24" s="38" t="n"/>
      <c r="N24" s="40" t="n"/>
      <c r="O24" s="40" t="n"/>
      <c r="P24" s="38" t="n"/>
    </row>
    <row r="25" ht="21" customHeight="1">
      <c r="A25" s="38" t="n"/>
      <c r="B25" s="38" t="n"/>
      <c r="C25" s="38" t="n"/>
      <c r="D25" s="38" t="n"/>
      <c r="E25" s="39" t="n"/>
      <c r="F25" s="42" t="n"/>
      <c r="G25" s="42" t="n"/>
      <c r="H25" s="42" t="n"/>
      <c r="I25" s="42" t="n"/>
      <c r="J25" s="38" t="n"/>
      <c r="K25" s="38" t="n"/>
      <c r="L25" s="38" t="n"/>
      <c r="M25" s="38" t="n"/>
      <c r="N25" s="40" t="n"/>
      <c r="O25" s="40" t="n"/>
      <c r="P25" s="38" t="n"/>
    </row>
    <row r="26" ht="21" customHeight="1">
      <c r="A26" s="38" t="n"/>
      <c r="B26" s="38" t="n"/>
      <c r="C26" s="38" t="n"/>
      <c r="D26" s="38" t="n"/>
      <c r="E26" s="39" t="n"/>
      <c r="F26" s="42" t="n"/>
      <c r="G26" s="42" t="n"/>
      <c r="H26" s="42" t="n"/>
      <c r="I26" s="42" t="n"/>
      <c r="J26" s="38" t="n"/>
      <c r="K26" s="38" t="n"/>
      <c r="L26" s="38" t="n"/>
      <c r="M26" s="38" t="n"/>
      <c r="N26" s="40" t="n"/>
      <c r="O26" s="40" t="n"/>
      <c r="P26" s="38" t="n"/>
    </row>
    <row r="27" ht="21" customHeight="1">
      <c r="A27" s="38" t="n"/>
      <c r="B27" s="38" t="n"/>
      <c r="C27" s="38" t="n"/>
      <c r="D27" s="38" t="n"/>
      <c r="E27" s="39" t="n"/>
      <c r="F27" s="42" t="n"/>
      <c r="G27" s="42" t="n"/>
      <c r="H27" s="42" t="n"/>
      <c r="I27" s="42" t="n"/>
      <c r="J27" s="38" t="n"/>
      <c r="K27" s="38" t="n"/>
      <c r="L27" s="38" t="n"/>
      <c r="M27" s="38" t="n"/>
      <c r="N27" s="40" t="n"/>
      <c r="O27" s="40" t="n"/>
      <c r="P27" s="38" t="n"/>
    </row>
    <row r="28" ht="21" customHeight="1">
      <c r="A28" s="38" t="n"/>
      <c r="B28" s="38" t="n"/>
      <c r="C28" s="38" t="n"/>
      <c r="D28" s="38" t="n"/>
      <c r="E28" s="39" t="n"/>
      <c r="F28" s="42" t="n"/>
      <c r="G28" s="42" t="n"/>
      <c r="H28" s="42" t="n"/>
      <c r="I28" s="42" t="n"/>
      <c r="J28" s="38" t="n"/>
      <c r="K28" s="38" t="n"/>
      <c r="L28" s="38" t="n"/>
      <c r="M28" s="38" t="n"/>
      <c r="N28" s="40" t="n"/>
      <c r="O28" s="40" t="n"/>
      <c r="P28" s="38" t="n"/>
    </row>
    <row r="29" ht="21" customHeight="1">
      <c r="A29" s="38" t="n"/>
      <c r="B29" s="38" t="n"/>
      <c r="C29" s="38" t="n"/>
      <c r="D29" s="38" t="n"/>
      <c r="E29" s="39" t="n"/>
      <c r="F29" s="42" t="n"/>
      <c r="G29" s="42" t="n"/>
      <c r="H29" s="42" t="n"/>
      <c r="I29" s="42" t="n"/>
      <c r="J29" s="38" t="n"/>
      <c r="K29" s="38" t="n"/>
      <c r="L29" s="38" t="n"/>
      <c r="M29" s="38" t="n"/>
      <c r="N29" s="40" t="n"/>
      <c r="O29" s="40" t="n"/>
      <c r="P29" s="38" t="n"/>
    </row>
    <row r="30" ht="21" customHeight="1">
      <c r="A30" s="38" t="n"/>
      <c r="B30" s="38" t="n"/>
      <c r="C30" s="38" t="n"/>
      <c r="D30" s="38" t="n"/>
      <c r="E30" s="39" t="n"/>
      <c r="F30" s="42" t="n"/>
      <c r="G30" s="42" t="n"/>
      <c r="H30" s="42" t="n"/>
      <c r="I30" s="42" t="n"/>
      <c r="J30" s="38" t="n"/>
      <c r="K30" s="38" t="n"/>
      <c r="L30" s="38" t="n"/>
      <c r="M30" s="38" t="n"/>
      <c r="N30" s="40" t="n"/>
      <c r="O30" s="40" t="n"/>
      <c r="P30" s="38" t="n"/>
    </row>
    <row r="31" ht="21" customHeight="1">
      <c r="A31" s="38" t="n"/>
      <c r="B31" s="38" t="n"/>
      <c r="C31" s="38" t="n"/>
      <c r="D31" s="38" t="n"/>
      <c r="E31" s="39" t="n"/>
      <c r="F31" s="42" t="n"/>
      <c r="G31" s="42" t="n"/>
      <c r="H31" s="42" t="n"/>
      <c r="I31" s="42" t="n"/>
      <c r="J31" s="38" t="n"/>
      <c r="K31" s="38" t="n"/>
      <c r="L31" s="38" t="n"/>
      <c r="M31" s="38" t="n"/>
      <c r="N31" s="40" t="n"/>
      <c r="O31" s="40" t="n"/>
      <c r="P31" s="38" t="n"/>
    </row>
    <row r="32" ht="21" customHeight="1">
      <c r="A32" s="38" t="n"/>
      <c r="B32" s="38" t="n"/>
      <c r="C32" s="38" t="n"/>
      <c r="D32" s="38" t="n"/>
      <c r="E32" s="39" t="n"/>
      <c r="F32" s="42" t="n"/>
      <c r="G32" s="42" t="n"/>
      <c r="H32" s="42" t="n"/>
      <c r="I32" s="42" t="n"/>
      <c r="J32" s="38" t="n"/>
      <c r="K32" s="38" t="n"/>
      <c r="L32" s="38" t="n"/>
      <c r="M32" s="38" t="n"/>
      <c r="N32" s="40" t="n"/>
      <c r="O32" s="40" t="n"/>
      <c r="P32" s="38" t="n"/>
    </row>
    <row r="33" ht="21" customHeight="1">
      <c r="A33" s="38" t="n"/>
      <c r="B33" s="38" t="n"/>
      <c r="C33" s="38" t="n"/>
      <c r="D33" s="38" t="n"/>
      <c r="E33" s="39" t="n"/>
      <c r="F33" s="42" t="n"/>
      <c r="G33" s="42" t="n"/>
      <c r="H33" s="42" t="n"/>
      <c r="I33" s="42" t="n"/>
      <c r="J33" s="38" t="n"/>
      <c r="K33" s="38" t="n"/>
      <c r="L33" s="38" t="n"/>
      <c r="M33" s="38" t="n"/>
      <c r="N33" s="40" t="n"/>
      <c r="O33" s="40" t="n"/>
      <c r="P33" s="38" t="n"/>
    </row>
    <row r="34" ht="21" customHeight="1">
      <c r="A34" s="38" t="n"/>
      <c r="B34" s="38" t="n"/>
      <c r="C34" s="38" t="n"/>
      <c r="D34" s="38" t="n"/>
      <c r="E34" s="39" t="n"/>
      <c r="F34" s="42" t="n"/>
      <c r="G34" s="42" t="n"/>
      <c r="H34" s="42" t="n"/>
      <c r="I34" s="42" t="n"/>
      <c r="J34" s="38" t="n"/>
      <c r="K34" s="38" t="n"/>
      <c r="L34" s="38" t="n"/>
      <c r="M34" s="38" t="n"/>
      <c r="N34" s="40" t="n"/>
      <c r="O34" s="40" t="n"/>
      <c r="P34" s="38" t="n"/>
    </row>
    <row r="35" ht="21" customHeight="1">
      <c r="A35" s="38" t="n"/>
      <c r="B35" s="38" t="n"/>
      <c r="C35" s="38" t="n"/>
      <c r="D35" s="38" t="n"/>
      <c r="E35" s="39" t="n"/>
      <c r="F35" s="42" t="n"/>
      <c r="G35" s="42" t="n"/>
      <c r="H35" s="42" t="n"/>
      <c r="I35" s="42" t="n"/>
      <c r="J35" s="38" t="n"/>
      <c r="K35" s="38" t="n"/>
      <c r="L35" s="38" t="n"/>
      <c r="M35" s="38" t="n"/>
      <c r="N35" s="40" t="n"/>
      <c r="O35" s="40" t="n"/>
      <c r="P35" s="38" t="n"/>
    </row>
    <row r="36" ht="21" customHeight="1">
      <c r="A36" s="38" t="n"/>
      <c r="B36" s="38" t="n"/>
      <c r="C36" s="38" t="n"/>
      <c r="D36" s="38" t="n"/>
      <c r="E36" s="39" t="n"/>
      <c r="F36" s="42" t="n"/>
      <c r="G36" s="42" t="n"/>
      <c r="H36" s="42" t="n"/>
      <c r="I36" s="42" t="n"/>
      <c r="J36" s="38" t="n"/>
      <c r="K36" s="38" t="n"/>
      <c r="L36" s="38" t="n"/>
      <c r="M36" s="38" t="n"/>
      <c r="N36" s="40" t="n"/>
      <c r="O36" s="40" t="n"/>
      <c r="P36" s="38" t="n"/>
    </row>
    <row r="37" ht="21" customHeight="1">
      <c r="A37" s="38" t="n"/>
      <c r="B37" s="38" t="n"/>
      <c r="C37" s="38" t="n"/>
      <c r="D37" s="38" t="n"/>
      <c r="E37" s="39" t="n"/>
      <c r="F37" s="42" t="n"/>
      <c r="G37" s="42" t="n"/>
      <c r="H37" s="42" t="n"/>
      <c r="I37" s="42" t="n"/>
      <c r="J37" s="38" t="n"/>
      <c r="K37" s="38" t="n"/>
      <c r="L37" s="38" t="n"/>
      <c r="M37" s="38" t="n"/>
      <c r="N37" s="40" t="n"/>
      <c r="O37" s="40" t="n"/>
      <c r="P37" s="38" t="n"/>
    </row>
    <row r="38" ht="21" customHeight="1">
      <c r="A38" s="38" t="n"/>
      <c r="B38" s="38" t="n"/>
      <c r="C38" s="38" t="n"/>
      <c r="D38" s="38" t="n"/>
      <c r="E38" s="39" t="n"/>
      <c r="F38" s="42" t="n"/>
      <c r="G38" s="42" t="n"/>
      <c r="H38" s="42" t="n"/>
      <c r="I38" s="42" t="n"/>
      <c r="J38" s="38" t="n"/>
      <c r="K38" s="38" t="n"/>
      <c r="L38" s="38" t="n"/>
      <c r="M38" s="38" t="n"/>
      <c r="N38" s="40" t="n"/>
      <c r="O38" s="40" t="n"/>
      <c r="P38" s="38" t="n"/>
    </row>
    <row r="39" ht="21" customHeight="1">
      <c r="A39" s="38" t="n"/>
      <c r="B39" s="38" t="n"/>
      <c r="C39" s="38" t="n"/>
      <c r="D39" s="38" t="n"/>
      <c r="E39" s="39" t="n"/>
      <c r="F39" s="42" t="n"/>
      <c r="G39" s="42" t="n"/>
      <c r="H39" s="42" t="n"/>
      <c r="I39" s="42" t="n"/>
      <c r="J39" s="38" t="n"/>
      <c r="K39" s="38" t="n"/>
      <c r="L39" s="38" t="n"/>
      <c r="M39" s="38" t="n"/>
      <c r="N39" s="40" t="n"/>
      <c r="O39" s="40" t="n"/>
      <c r="P39" s="38" t="n"/>
    </row>
    <row r="40" ht="21" customHeight="1">
      <c r="A40" s="38" t="n"/>
      <c r="B40" s="38" t="n"/>
      <c r="C40" s="38" t="n"/>
      <c r="D40" s="38" t="n"/>
      <c r="E40" s="39" t="n"/>
      <c r="F40" s="42" t="n"/>
      <c r="G40" s="42" t="n"/>
      <c r="H40" s="42" t="n"/>
      <c r="I40" s="42" t="n"/>
      <c r="J40" s="38" t="n"/>
      <c r="K40" s="38" t="n"/>
      <c r="L40" s="38" t="n"/>
      <c r="M40" s="38" t="n"/>
      <c r="N40" s="40" t="n"/>
      <c r="O40" s="40" t="n"/>
      <c r="P40" s="38" t="n"/>
    </row>
    <row r="41" ht="21" customHeight="1">
      <c r="A41" s="38" t="n"/>
      <c r="B41" s="38" t="n"/>
      <c r="C41" s="38" t="n"/>
      <c r="D41" s="38" t="n"/>
      <c r="E41" s="39" t="n"/>
      <c r="F41" s="42" t="n"/>
      <c r="G41" s="42" t="n"/>
      <c r="H41" s="42" t="n"/>
      <c r="I41" s="42" t="n"/>
      <c r="J41" s="38" t="n"/>
      <c r="K41" s="38" t="n"/>
      <c r="L41" s="38" t="n"/>
      <c r="M41" s="38" t="n"/>
      <c r="N41" s="40" t="n"/>
      <c r="O41" s="40" t="n"/>
      <c r="P41" s="38" t="n"/>
    </row>
    <row r="42" ht="21" customHeight="1">
      <c r="A42" s="38" t="n"/>
      <c r="B42" s="38" t="n"/>
      <c r="C42" s="38" t="n"/>
      <c r="D42" s="38" t="n"/>
      <c r="E42" s="39" t="n"/>
      <c r="F42" s="42" t="n"/>
      <c r="G42" s="42" t="n"/>
      <c r="H42" s="42" t="n"/>
      <c r="I42" s="42" t="n"/>
      <c r="J42" s="38" t="n"/>
      <c r="K42" s="38" t="n"/>
      <c r="L42" s="38" t="n"/>
      <c r="M42" s="38" t="n"/>
      <c r="N42" s="40" t="n"/>
      <c r="O42" s="40" t="n"/>
      <c r="P42" s="38" t="n"/>
    </row>
    <row r="43" ht="21" customHeight="1">
      <c r="A43" s="38" t="n"/>
      <c r="B43" s="38" t="n"/>
      <c r="C43" s="38" t="n"/>
      <c r="D43" s="38" t="n"/>
      <c r="E43" s="39" t="n"/>
      <c r="F43" s="42" t="n"/>
      <c r="G43" s="42" t="n"/>
      <c r="H43" s="42" t="n"/>
      <c r="I43" s="42" t="n"/>
      <c r="J43" s="38" t="n"/>
      <c r="K43" s="38" t="n"/>
      <c r="L43" s="38" t="n"/>
      <c r="M43" s="38" t="n"/>
      <c r="N43" s="40" t="n"/>
      <c r="O43" s="40" t="n"/>
      <c r="P43" s="38" t="n"/>
    </row>
    <row r="44" ht="21" customHeight="1">
      <c r="A44" s="38" t="n"/>
      <c r="B44" s="38" t="n"/>
      <c r="C44" s="38" t="n"/>
      <c r="D44" s="38" t="n"/>
      <c r="E44" s="39" t="n"/>
      <c r="F44" s="42" t="n"/>
      <c r="G44" s="42" t="n"/>
      <c r="H44" s="42" t="n"/>
      <c r="I44" s="42" t="n"/>
      <c r="J44" s="38" t="n"/>
      <c r="K44" s="38" t="n"/>
      <c r="L44" s="38" t="n"/>
      <c r="M44" s="38" t="n"/>
      <c r="N44" s="40" t="n"/>
      <c r="O44" s="40" t="n"/>
      <c r="P44" s="38" t="n"/>
    </row>
    <row r="45" ht="21" customHeight="1">
      <c r="A45" s="38" t="n"/>
      <c r="B45" s="38" t="n"/>
      <c r="C45" s="38" t="n"/>
      <c r="D45" s="38" t="n"/>
      <c r="E45" s="39" t="n"/>
      <c r="F45" s="42" t="n"/>
      <c r="G45" s="42" t="n"/>
      <c r="H45" s="42" t="n"/>
      <c r="I45" s="42" t="n"/>
      <c r="J45" s="38" t="n"/>
      <c r="K45" s="38" t="n"/>
      <c r="L45" s="38" t="n"/>
      <c r="M45" s="38" t="n"/>
      <c r="N45" s="40" t="n"/>
      <c r="O45" s="40" t="n"/>
      <c r="P45" s="38" t="n"/>
    </row>
    <row r="46" ht="21" customHeight="1">
      <c r="A46" s="38" t="n"/>
      <c r="B46" s="38" t="n"/>
      <c r="C46" s="38" t="n"/>
      <c r="D46" s="38" t="n"/>
      <c r="E46" s="39" t="n"/>
      <c r="F46" s="42" t="n"/>
      <c r="G46" s="42" t="n"/>
      <c r="H46" s="42" t="n"/>
      <c r="I46" s="42" t="n"/>
      <c r="J46" s="38" t="n"/>
      <c r="K46" s="38" t="n"/>
      <c r="L46" s="38" t="n"/>
      <c r="M46" s="38" t="n"/>
      <c r="N46" s="40" t="n"/>
      <c r="O46" s="40" t="n"/>
      <c r="P46" s="38" t="n"/>
    </row>
    <row r="47" ht="21" customHeight="1">
      <c r="A47" s="38" t="n"/>
      <c r="B47" s="38" t="n"/>
      <c r="C47" s="38" t="n"/>
      <c r="D47" s="38" t="n"/>
      <c r="E47" s="39" t="n"/>
      <c r="F47" s="42" t="n"/>
      <c r="G47" s="42" t="n"/>
      <c r="H47" s="42" t="n"/>
      <c r="I47" s="42" t="n"/>
      <c r="J47" s="38" t="n"/>
      <c r="K47" s="38" t="n"/>
      <c r="L47" s="38" t="n"/>
      <c r="M47" s="38" t="n"/>
      <c r="N47" s="40" t="n"/>
      <c r="O47" s="40" t="n"/>
      <c r="P47" s="38" t="n"/>
    </row>
    <row r="48" ht="21" customHeight="1">
      <c r="A48" s="38" t="n"/>
      <c r="B48" s="38" t="n"/>
      <c r="C48" s="38" t="n"/>
      <c r="D48" s="38" t="n"/>
      <c r="E48" s="39" t="n"/>
      <c r="F48" s="42" t="n"/>
      <c r="G48" s="42" t="n"/>
      <c r="H48" s="42" t="n"/>
      <c r="I48" s="42" t="n"/>
      <c r="J48" s="38" t="n"/>
      <c r="K48" s="38" t="n"/>
      <c r="L48" s="38" t="n"/>
      <c r="M48" s="38" t="n"/>
      <c r="N48" s="40" t="n"/>
      <c r="O48" s="40" t="n"/>
      <c r="P48" s="38" t="n"/>
    </row>
    <row r="49" ht="21" customHeight="1">
      <c r="A49" s="38" t="n"/>
      <c r="B49" s="38" t="n"/>
      <c r="C49" s="38" t="n"/>
      <c r="D49" s="38" t="n"/>
      <c r="E49" s="39" t="n"/>
      <c r="F49" s="42" t="n"/>
      <c r="G49" s="42" t="n"/>
      <c r="H49" s="42" t="n"/>
      <c r="I49" s="42" t="n"/>
      <c r="J49" s="38" t="n"/>
      <c r="K49" s="38" t="n"/>
      <c r="L49" s="38" t="n"/>
      <c r="M49" s="38" t="n"/>
      <c r="N49" s="40" t="n"/>
      <c r="O49" s="40" t="n"/>
      <c r="P49" s="38" t="n"/>
    </row>
    <row r="50" ht="21" customHeight="1">
      <c r="A50" s="38" t="n"/>
      <c r="B50" s="38" t="n"/>
      <c r="C50" s="38" t="n"/>
      <c r="D50" s="38" t="n"/>
      <c r="E50" s="39" t="n"/>
      <c r="F50" s="42" t="n"/>
      <c r="G50" s="42" t="n"/>
      <c r="H50" s="42" t="n"/>
      <c r="I50" s="42" t="n"/>
      <c r="J50" s="38" t="n"/>
      <c r="K50" s="38" t="n"/>
      <c r="L50" s="38" t="n"/>
      <c r="M50" s="38" t="n"/>
      <c r="N50" s="40" t="n"/>
      <c r="O50" s="40" t="n"/>
      <c r="P50" s="38" t="n"/>
    </row>
    <row r="51" ht="21" customHeight="1">
      <c r="A51" s="38" t="n"/>
      <c r="B51" s="38" t="n"/>
      <c r="C51" s="38" t="n"/>
      <c r="D51" s="38" t="n"/>
      <c r="E51" s="39" t="n"/>
      <c r="F51" s="42" t="n"/>
      <c r="G51" s="42" t="n"/>
      <c r="H51" s="42" t="n"/>
      <c r="I51" s="42" t="n"/>
      <c r="J51" s="38" t="n"/>
      <c r="K51" s="38" t="n"/>
      <c r="L51" s="38" t="n"/>
      <c r="M51" s="38" t="n"/>
      <c r="N51" s="40" t="n"/>
      <c r="O51" s="40" t="n"/>
      <c r="P51" s="38" t="n"/>
    </row>
    <row r="52" ht="21" customHeight="1">
      <c r="A52" s="38" t="n"/>
      <c r="B52" s="38" t="n"/>
      <c r="C52" s="38" t="n"/>
      <c r="D52" s="38" t="n"/>
      <c r="E52" s="39" t="n"/>
      <c r="F52" s="42" t="n"/>
      <c r="G52" s="42" t="n"/>
      <c r="H52" s="42" t="n"/>
      <c r="I52" s="42" t="n"/>
      <c r="J52" s="38" t="n"/>
      <c r="K52" s="38" t="n"/>
      <c r="L52" s="38" t="n"/>
      <c r="M52" s="38" t="n"/>
      <c r="N52" s="40" t="n"/>
      <c r="O52" s="40" t="n"/>
      <c r="P52" s="38" t="n"/>
    </row>
    <row r="53" ht="21" customHeight="1">
      <c r="A53" s="38" t="n"/>
      <c r="B53" s="38" t="n"/>
      <c r="C53" s="38" t="n"/>
      <c r="D53" s="38" t="n"/>
      <c r="E53" s="39" t="n"/>
      <c r="F53" s="42" t="n"/>
      <c r="G53" s="42" t="n"/>
      <c r="H53" s="42" t="n"/>
      <c r="I53" s="42" t="n"/>
      <c r="J53" s="38" t="n"/>
      <c r="K53" s="38" t="n"/>
      <c r="L53" s="38" t="n"/>
      <c r="M53" s="38" t="n"/>
      <c r="N53" s="40" t="n"/>
      <c r="O53" s="40" t="n"/>
      <c r="P53" s="38" t="n"/>
    </row>
    <row r="54" ht="21" customHeight="1">
      <c r="A54" s="38" t="n"/>
      <c r="B54" s="38" t="n"/>
      <c r="C54" s="38" t="n"/>
      <c r="D54" s="38" t="n"/>
      <c r="E54" s="39" t="n"/>
      <c r="F54" s="42" t="n"/>
      <c r="G54" s="42" t="n"/>
      <c r="H54" s="42" t="n"/>
      <c r="I54" s="42" t="n"/>
      <c r="J54" s="38" t="n"/>
      <c r="K54" s="38" t="n"/>
      <c r="L54" s="38" t="n"/>
      <c r="M54" s="38" t="n"/>
      <c r="N54" s="40" t="n"/>
      <c r="O54" s="40" t="n"/>
      <c r="P54" s="38" t="n"/>
    </row>
    <row r="55" ht="21" customHeight="1">
      <c r="A55" s="38" t="n"/>
      <c r="B55" s="38" t="n"/>
      <c r="C55" s="38" t="n"/>
      <c r="D55" s="38" t="n"/>
      <c r="E55" s="39" t="n"/>
      <c r="F55" s="42" t="n"/>
      <c r="G55" s="42" t="n"/>
      <c r="H55" s="42" t="n"/>
      <c r="I55" s="42" t="n"/>
      <c r="J55" s="38" t="n"/>
      <c r="K55" s="38" t="n"/>
      <c r="L55" s="38" t="n"/>
      <c r="M55" s="38" t="n"/>
      <c r="N55" s="40" t="n"/>
      <c r="O55" s="40" t="n"/>
      <c r="P55" s="38" t="n"/>
    </row>
    <row r="56" ht="21" customHeight="1">
      <c r="A56" s="38" t="n"/>
      <c r="B56" s="38" t="n"/>
      <c r="C56" s="38" t="n"/>
      <c r="D56" s="38" t="n"/>
      <c r="E56" s="39" t="n"/>
      <c r="F56" s="42" t="n"/>
      <c r="G56" s="42" t="n"/>
      <c r="H56" s="42" t="n"/>
      <c r="I56" s="42" t="n"/>
      <c r="J56" s="38" t="n"/>
      <c r="K56" s="38" t="n"/>
      <c r="L56" s="38" t="n"/>
      <c r="M56" s="38" t="n"/>
      <c r="N56" s="40" t="n"/>
      <c r="O56" s="40" t="n"/>
      <c r="P56" s="38" t="n"/>
    </row>
    <row r="57" ht="21" customHeight="1">
      <c r="A57" s="38" t="n"/>
      <c r="B57" s="38" t="n"/>
      <c r="C57" s="38" t="n"/>
      <c r="D57" s="38" t="n"/>
      <c r="E57" s="39" t="n"/>
      <c r="F57" s="42" t="n"/>
      <c r="G57" s="42" t="n"/>
      <c r="H57" s="42" t="n"/>
      <c r="I57" s="42" t="n"/>
      <c r="J57" s="38" t="n"/>
      <c r="K57" s="38" t="n"/>
      <c r="L57" s="38" t="n"/>
      <c r="M57" s="38" t="n"/>
      <c r="N57" s="40" t="n"/>
      <c r="O57" s="40" t="n"/>
      <c r="P57" s="38" t="n"/>
    </row>
    <row r="58" ht="21" customHeight="1">
      <c r="A58" s="38" t="n"/>
      <c r="B58" s="38" t="n"/>
      <c r="C58" s="38" t="n"/>
      <c r="D58" s="38" t="n"/>
      <c r="E58" s="39" t="n"/>
      <c r="F58" s="42" t="n"/>
      <c r="G58" s="42" t="n"/>
      <c r="H58" s="42" t="n"/>
      <c r="I58" s="42" t="n"/>
      <c r="J58" s="38" t="n"/>
      <c r="K58" s="38" t="n"/>
      <c r="L58" s="38" t="n"/>
      <c r="M58" s="38" t="n"/>
      <c r="N58" s="40" t="n"/>
      <c r="O58" s="40" t="n"/>
      <c r="P58" s="38" t="n"/>
    </row>
    <row r="59" ht="21" customHeight="1">
      <c r="A59" s="38" t="n"/>
      <c r="B59" s="38" t="n"/>
      <c r="C59" s="38" t="n"/>
      <c r="D59" s="38" t="n"/>
      <c r="E59" s="39" t="n"/>
      <c r="F59" s="42" t="n"/>
      <c r="G59" s="42" t="n"/>
      <c r="H59" s="42" t="n"/>
      <c r="I59" s="42" t="n"/>
      <c r="J59" s="38" t="n"/>
      <c r="K59" s="38" t="n"/>
      <c r="L59" s="38" t="n"/>
      <c r="M59" s="38" t="n"/>
      <c r="N59" s="40" t="n"/>
      <c r="O59" s="40" t="n"/>
      <c r="P59" s="38" t="n"/>
    </row>
    <row r="60" ht="21" customHeight="1">
      <c r="A60" s="38" t="n"/>
      <c r="B60" s="38" t="n"/>
      <c r="C60" s="38" t="n"/>
      <c r="D60" s="38" t="n"/>
      <c r="E60" s="39" t="n"/>
      <c r="F60" s="42" t="n"/>
      <c r="G60" s="42" t="n"/>
      <c r="H60" s="42" t="n"/>
      <c r="I60" s="42" t="n"/>
      <c r="J60" s="38" t="n"/>
      <c r="K60" s="38" t="n"/>
      <c r="L60" s="38" t="n"/>
      <c r="M60" s="38" t="n"/>
      <c r="N60" s="40" t="n"/>
      <c r="O60" s="40" t="n"/>
      <c r="P60" s="38" t="n"/>
    </row>
    <row r="61" ht="21" customHeight="1">
      <c r="A61" s="38" t="n"/>
      <c r="B61" s="38" t="n"/>
      <c r="C61" s="38" t="n"/>
      <c r="D61" s="38" t="n"/>
      <c r="E61" s="39" t="n"/>
      <c r="F61" s="42" t="n"/>
      <c r="G61" s="42" t="n"/>
      <c r="H61" s="42" t="n"/>
      <c r="I61" s="42" t="n"/>
      <c r="J61" s="38" t="n"/>
      <c r="K61" s="38" t="n"/>
      <c r="L61" s="38" t="n"/>
      <c r="M61" s="38" t="n"/>
      <c r="N61" s="40" t="n"/>
      <c r="O61" s="40" t="n"/>
      <c r="P61" s="38" t="n"/>
    </row>
    <row r="62" ht="21" customHeight="1">
      <c r="A62" s="38" t="n"/>
      <c r="B62" s="38" t="n"/>
      <c r="C62" s="38" t="n"/>
      <c r="D62" s="38" t="n"/>
      <c r="E62" s="39" t="n"/>
      <c r="F62" s="42" t="n"/>
      <c r="G62" s="42" t="n"/>
      <c r="H62" s="42" t="n"/>
      <c r="I62" s="42" t="n"/>
      <c r="J62" s="38" t="n"/>
      <c r="K62" s="38" t="n"/>
      <c r="L62" s="38" t="n"/>
      <c r="M62" s="38" t="n"/>
      <c r="N62" s="40" t="n"/>
      <c r="O62" s="40" t="n"/>
      <c r="P62" s="38" t="n"/>
    </row>
    <row r="63" ht="21" customHeight="1">
      <c r="A63" s="38" t="n"/>
      <c r="B63" s="38" t="n"/>
      <c r="C63" s="38" t="n"/>
      <c r="D63" s="38" t="n"/>
      <c r="E63" s="39" t="n"/>
      <c r="F63" s="42" t="n"/>
      <c r="G63" s="42" t="n"/>
      <c r="H63" s="42" t="n"/>
      <c r="I63" s="42" t="n"/>
      <c r="J63" s="38" t="n"/>
      <c r="K63" s="38" t="n"/>
      <c r="L63" s="38" t="n"/>
      <c r="M63" s="38" t="n"/>
      <c r="N63" s="40" t="n"/>
      <c r="O63" s="40" t="n"/>
      <c r="P63" s="38" t="n"/>
    </row>
    <row r="64" ht="21" customHeight="1">
      <c r="A64" s="38" t="n"/>
      <c r="B64" s="38" t="n"/>
      <c r="C64" s="38" t="n"/>
      <c r="D64" s="38" t="n"/>
      <c r="E64" s="39" t="n"/>
      <c r="F64" s="42" t="n"/>
      <c r="G64" s="42" t="n"/>
      <c r="H64" s="42" t="n"/>
      <c r="I64" s="42" t="n"/>
      <c r="J64" s="38" t="n"/>
      <c r="K64" s="38" t="n"/>
      <c r="L64" s="38" t="n"/>
      <c r="M64" s="38" t="n"/>
      <c r="N64" s="40" t="n"/>
      <c r="O64" s="40" t="n"/>
      <c r="P64" s="38" t="n"/>
    </row>
    <row r="65" ht="21" customHeight="1">
      <c r="A65" s="38" t="n"/>
      <c r="B65" s="38" t="n"/>
      <c r="C65" s="38" t="n"/>
      <c r="D65" s="38" t="n"/>
      <c r="E65" s="39" t="n"/>
      <c r="F65" s="42" t="n"/>
      <c r="G65" s="42" t="n"/>
      <c r="H65" s="42" t="n"/>
      <c r="I65" s="42" t="n"/>
      <c r="J65" s="38" t="n"/>
      <c r="K65" s="38" t="n"/>
      <c r="L65" s="38" t="n"/>
      <c r="M65" s="38" t="n"/>
      <c r="N65" s="40" t="n"/>
      <c r="O65" s="40" t="n"/>
      <c r="P65" s="38" t="n"/>
    </row>
    <row r="66" ht="21" customHeight="1">
      <c r="A66" s="38" t="n"/>
      <c r="B66" s="38" t="n"/>
      <c r="C66" s="38" t="n"/>
      <c r="D66" s="38" t="n"/>
      <c r="E66" s="39" t="n"/>
      <c r="F66" s="42" t="n"/>
      <c r="G66" s="42" t="n"/>
      <c r="H66" s="42" t="n"/>
      <c r="I66" s="42" t="n"/>
      <c r="J66" s="38" t="n"/>
      <c r="K66" s="38" t="n"/>
      <c r="L66" s="38" t="n"/>
      <c r="M66" s="38" t="n"/>
      <c r="N66" s="40" t="n"/>
      <c r="O66" s="40" t="n"/>
      <c r="P66" s="38" t="n"/>
    </row>
    <row r="67" ht="21" customHeight="1">
      <c r="A67" s="38" t="n"/>
      <c r="B67" s="38" t="n"/>
      <c r="C67" s="38" t="n"/>
      <c r="D67" s="38" t="n"/>
      <c r="E67" s="39" t="n"/>
      <c r="F67" s="42" t="n"/>
      <c r="G67" s="42" t="n"/>
      <c r="H67" s="42" t="n"/>
      <c r="I67" s="42" t="n"/>
      <c r="J67" s="38" t="n"/>
      <c r="K67" s="38" t="n"/>
      <c r="L67" s="38" t="n"/>
      <c r="M67" s="38" t="n"/>
      <c r="N67" s="40" t="n"/>
      <c r="O67" s="40" t="n"/>
      <c r="P67" s="38" t="n"/>
    </row>
    <row r="68" ht="21" customHeight="1">
      <c r="A68" s="38" t="n"/>
      <c r="B68" s="38" t="n"/>
      <c r="C68" s="38" t="n"/>
      <c r="D68" s="38" t="n"/>
      <c r="E68" s="39" t="n"/>
      <c r="F68" s="42" t="n"/>
      <c r="G68" s="42" t="n"/>
      <c r="H68" s="42" t="n"/>
      <c r="I68" s="42" t="n"/>
      <c r="J68" s="38" t="n"/>
      <c r="K68" s="38" t="n"/>
      <c r="L68" s="38" t="n"/>
      <c r="M68" s="38" t="n"/>
      <c r="N68" s="40" t="n"/>
      <c r="O68" s="40" t="n"/>
      <c r="P68" s="38" t="n"/>
    </row>
    <row r="69" ht="21" customHeight="1">
      <c r="A69" s="38" t="n"/>
      <c r="B69" s="38" t="n"/>
      <c r="C69" s="38" t="n"/>
      <c r="D69" s="38" t="n"/>
      <c r="E69" s="39" t="n"/>
      <c r="F69" s="42" t="n"/>
      <c r="G69" s="42" t="n"/>
      <c r="H69" s="42" t="n"/>
      <c r="I69" s="42" t="n"/>
      <c r="J69" s="38" t="n"/>
      <c r="K69" s="38" t="n"/>
      <c r="L69" s="38" t="n"/>
      <c r="M69" s="38" t="n"/>
      <c r="N69" s="40" t="n"/>
      <c r="O69" s="40" t="n"/>
      <c r="P69" s="38" t="n"/>
    </row>
    <row r="70" ht="21" customHeight="1">
      <c r="A70" s="38" t="n"/>
      <c r="B70" s="38" t="n"/>
      <c r="C70" s="38" t="n"/>
      <c r="D70" s="38" t="n"/>
      <c r="E70" s="39" t="n"/>
      <c r="F70" s="42" t="n"/>
      <c r="G70" s="42" t="n"/>
      <c r="H70" s="42" t="n"/>
      <c r="I70" s="42" t="n"/>
      <c r="J70" s="38" t="n"/>
      <c r="K70" s="38" t="n"/>
      <c r="L70" s="38" t="n"/>
      <c r="M70" s="38" t="n"/>
      <c r="N70" s="40" t="n"/>
      <c r="O70" s="40" t="n"/>
      <c r="P70" s="38" t="n"/>
    </row>
    <row r="71" ht="21" customHeight="1">
      <c r="A71" s="38" t="n"/>
      <c r="B71" s="38" t="n"/>
      <c r="C71" s="38" t="n"/>
      <c r="D71" s="38" t="n"/>
      <c r="E71" s="39" t="n"/>
      <c r="F71" s="42" t="n"/>
      <c r="G71" s="42" t="n"/>
      <c r="H71" s="42" t="n"/>
      <c r="I71" s="42" t="n"/>
      <c r="J71" s="38" t="n"/>
      <c r="K71" s="38" t="n"/>
      <c r="L71" s="38" t="n"/>
      <c r="M71" s="38" t="n"/>
      <c r="N71" s="40" t="n"/>
      <c r="O71" s="40" t="n"/>
      <c r="P71" s="38" t="n"/>
    </row>
    <row r="72" ht="21" customHeight="1">
      <c r="A72" s="38" t="n"/>
      <c r="B72" s="38" t="n"/>
      <c r="C72" s="38" t="n"/>
      <c r="D72" s="38" t="n"/>
      <c r="E72" s="39" t="n"/>
      <c r="F72" s="42" t="n"/>
      <c r="G72" s="42" t="n"/>
      <c r="H72" s="42" t="n"/>
      <c r="I72" s="42" t="n"/>
      <c r="J72" s="38" t="n"/>
      <c r="K72" s="38" t="n"/>
      <c r="L72" s="38" t="n"/>
      <c r="M72" s="38" t="n"/>
      <c r="N72" s="40" t="n"/>
      <c r="O72" s="40" t="n"/>
      <c r="P72" s="38" t="n"/>
    </row>
    <row r="73" ht="21" customHeight="1">
      <c r="A73" s="38" t="n"/>
      <c r="B73" s="38" t="n"/>
      <c r="C73" s="38" t="n"/>
      <c r="D73" s="38" t="n"/>
      <c r="E73" s="39" t="n"/>
      <c r="F73" s="42" t="n"/>
      <c r="G73" s="42" t="n"/>
      <c r="H73" s="42" t="n"/>
      <c r="I73" s="42" t="n"/>
      <c r="J73" s="38" t="n"/>
      <c r="K73" s="38" t="n"/>
      <c r="L73" s="38" t="n"/>
      <c r="M73" s="38" t="n"/>
      <c r="N73" s="40" t="n"/>
      <c r="O73" s="40" t="n"/>
      <c r="P73" s="38" t="n"/>
    </row>
    <row r="74" ht="21" customHeight="1">
      <c r="A74" s="38" t="n"/>
      <c r="B74" s="38" t="n"/>
      <c r="C74" s="38" t="n"/>
      <c r="D74" s="38" t="n"/>
      <c r="E74" s="39" t="n"/>
      <c r="F74" s="42" t="n"/>
      <c r="G74" s="42" t="n"/>
      <c r="H74" s="42" t="n"/>
      <c r="I74" s="42" t="n"/>
      <c r="J74" s="38" t="n"/>
      <c r="K74" s="38" t="n"/>
      <c r="L74" s="38" t="n"/>
      <c r="M74" s="38" t="n"/>
      <c r="N74" s="40" t="n"/>
      <c r="O74" s="40" t="n"/>
      <c r="P74" s="38" t="n"/>
    </row>
    <row r="75" ht="21" customHeight="1">
      <c r="A75" s="38" t="n"/>
      <c r="B75" s="38" t="n"/>
      <c r="C75" s="38" t="n"/>
      <c r="D75" s="38" t="n"/>
      <c r="E75" s="39" t="n"/>
      <c r="F75" s="42" t="n"/>
      <c r="G75" s="42" t="n"/>
      <c r="H75" s="42" t="n"/>
      <c r="I75" s="42" t="n"/>
      <c r="J75" s="38" t="n"/>
      <c r="K75" s="38" t="n"/>
      <c r="L75" s="38" t="n"/>
      <c r="M75" s="38" t="n"/>
      <c r="N75" s="40" t="n"/>
      <c r="O75" s="40" t="n"/>
      <c r="P75" s="38" t="n"/>
    </row>
    <row r="76" ht="21" customHeight="1">
      <c r="A76" s="38" t="n"/>
      <c r="B76" s="38" t="n"/>
      <c r="C76" s="38" t="n"/>
      <c r="D76" s="38" t="n"/>
      <c r="E76" s="39" t="n"/>
      <c r="F76" s="42" t="n"/>
      <c r="G76" s="42" t="n"/>
      <c r="H76" s="42" t="n"/>
      <c r="I76" s="42" t="n"/>
      <c r="J76" s="38" t="n"/>
      <c r="K76" s="38" t="n"/>
      <c r="L76" s="38" t="n"/>
      <c r="M76" s="38" t="n"/>
      <c r="N76" s="40" t="n"/>
      <c r="O76" s="40" t="n"/>
      <c r="P76" s="38" t="n"/>
    </row>
    <row r="77" ht="21" customHeight="1">
      <c r="A77" s="38" t="n"/>
      <c r="B77" s="38" t="n"/>
      <c r="C77" s="38" t="n"/>
      <c r="D77" s="38" t="n"/>
      <c r="E77" s="39" t="n"/>
      <c r="F77" s="42" t="n"/>
      <c r="G77" s="42" t="n"/>
      <c r="H77" s="42" t="n"/>
      <c r="I77" s="42" t="n"/>
      <c r="J77" s="38" t="n"/>
      <c r="K77" s="38" t="n"/>
      <c r="L77" s="38" t="n"/>
      <c r="M77" s="38" t="n"/>
      <c r="N77" s="40" t="n"/>
      <c r="O77" s="40" t="n"/>
      <c r="P77" s="38" t="n"/>
    </row>
    <row r="78" ht="21" customHeight="1">
      <c r="A78" s="38" t="n"/>
      <c r="B78" s="38" t="n"/>
      <c r="C78" s="38" t="n"/>
      <c r="D78" s="38" t="n"/>
      <c r="E78" s="39" t="n"/>
      <c r="F78" s="42" t="n"/>
      <c r="G78" s="42" t="n"/>
      <c r="H78" s="42" t="n"/>
      <c r="I78" s="42" t="n"/>
      <c r="J78" s="38" t="n"/>
      <c r="K78" s="38" t="n"/>
      <c r="L78" s="38" t="n"/>
      <c r="M78" s="38" t="n"/>
      <c r="N78" s="40" t="n"/>
      <c r="O78" s="40" t="n"/>
      <c r="P78" s="38" t="n"/>
    </row>
    <row r="79" ht="21" customHeight="1">
      <c r="A79" s="38" t="n"/>
      <c r="B79" s="38" t="n"/>
      <c r="C79" s="38" t="n"/>
      <c r="D79" s="38" t="n"/>
      <c r="E79" s="39" t="n"/>
      <c r="F79" s="42" t="n"/>
      <c r="G79" s="42" t="n"/>
      <c r="H79" s="42" t="n"/>
      <c r="I79" s="42" t="n"/>
      <c r="J79" s="38" t="n"/>
      <c r="K79" s="38" t="n"/>
      <c r="L79" s="38" t="n"/>
      <c r="M79" s="38" t="n"/>
      <c r="N79" s="40" t="n"/>
      <c r="O79" s="40" t="n"/>
      <c r="P79" s="38" t="n"/>
    </row>
    <row r="80" ht="21" customHeight="1">
      <c r="A80" s="38" t="n"/>
      <c r="B80" s="38" t="n"/>
      <c r="C80" s="38" t="n"/>
      <c r="D80" s="38" t="n"/>
      <c r="E80" s="39" t="n"/>
      <c r="F80" s="42" t="n"/>
      <c r="G80" s="42" t="n"/>
      <c r="H80" s="42" t="n"/>
      <c r="I80" s="42" t="n"/>
      <c r="J80" s="38" t="n"/>
      <c r="K80" s="38" t="n"/>
      <c r="L80" s="38" t="n"/>
      <c r="M80" s="38" t="n"/>
      <c r="N80" s="40" t="n"/>
      <c r="O80" s="40" t="n"/>
      <c r="P80" s="38" t="n"/>
    </row>
    <row r="81" ht="21" customHeight="1">
      <c r="A81" s="38" t="n"/>
      <c r="B81" s="38" t="n"/>
      <c r="C81" s="38" t="n"/>
      <c r="D81" s="38" t="n"/>
      <c r="E81" s="39" t="n"/>
      <c r="F81" s="42" t="n"/>
      <c r="G81" s="42" t="n"/>
      <c r="H81" s="42" t="n"/>
      <c r="I81" s="42" t="n"/>
      <c r="J81" s="38" t="n"/>
      <c r="K81" s="38" t="n"/>
      <c r="L81" s="38" t="n"/>
      <c r="M81" s="38" t="n"/>
      <c r="N81" s="40" t="n"/>
      <c r="O81" s="40" t="n"/>
      <c r="P81" s="38" t="n"/>
    </row>
    <row r="82" ht="21" customHeight="1">
      <c r="A82" s="38" t="n"/>
      <c r="B82" s="38" t="n"/>
      <c r="C82" s="38" t="n"/>
      <c r="D82" s="38" t="n"/>
      <c r="E82" s="39" t="n"/>
      <c r="F82" s="42" t="n"/>
      <c r="G82" s="42" t="n"/>
      <c r="H82" s="42" t="n"/>
      <c r="I82" s="42" t="n"/>
      <c r="J82" s="38" t="n"/>
      <c r="K82" s="38" t="n"/>
      <c r="L82" s="38" t="n"/>
      <c r="M82" s="38" t="n"/>
      <c r="N82" s="40" t="n"/>
      <c r="O82" s="40" t="n"/>
      <c r="P82" s="38" t="n"/>
    </row>
    <row r="83" ht="21" customHeight="1">
      <c r="A83" s="38" t="n"/>
      <c r="B83" s="38" t="n"/>
      <c r="C83" s="38" t="n"/>
      <c r="D83" s="38" t="n"/>
      <c r="E83" s="39" t="n"/>
      <c r="F83" s="42" t="n"/>
      <c r="G83" s="42" t="n"/>
      <c r="H83" s="42" t="n"/>
      <c r="I83" s="42" t="n"/>
      <c r="J83" s="38" t="n"/>
      <c r="K83" s="38" t="n"/>
      <c r="L83" s="38" t="n"/>
      <c r="M83" s="38" t="n"/>
      <c r="N83" s="40" t="n"/>
      <c r="O83" s="40" t="n"/>
      <c r="P83" s="38" t="n"/>
    </row>
    <row r="84" ht="21" customHeight="1">
      <c r="A84" s="38" t="n"/>
      <c r="B84" s="38" t="n"/>
      <c r="C84" s="38" t="n"/>
      <c r="D84" s="38" t="n"/>
      <c r="E84" s="39" t="n"/>
      <c r="F84" s="42" t="n"/>
      <c r="G84" s="42" t="n"/>
      <c r="H84" s="42" t="n"/>
      <c r="I84" s="42" t="n"/>
      <c r="J84" s="38" t="n"/>
      <c r="K84" s="38" t="n"/>
      <c r="L84" s="38" t="n"/>
      <c r="M84" s="38" t="n"/>
      <c r="N84" s="40" t="n"/>
      <c r="O84" s="40" t="n"/>
      <c r="P84" s="38" t="n"/>
    </row>
    <row r="85" ht="21" customHeight="1">
      <c r="A85" s="38" t="n"/>
      <c r="B85" s="38" t="n"/>
      <c r="C85" s="38" t="n"/>
      <c r="D85" s="38" t="n"/>
      <c r="E85" s="39" t="n"/>
      <c r="F85" s="42" t="n"/>
      <c r="G85" s="42" t="n"/>
      <c r="H85" s="42" t="n"/>
      <c r="I85" s="42" t="n"/>
      <c r="J85" s="38" t="n"/>
      <c r="K85" s="38" t="n"/>
      <c r="L85" s="38" t="n"/>
      <c r="M85" s="38" t="n"/>
      <c r="N85" s="40" t="n"/>
      <c r="O85" s="40" t="n"/>
      <c r="P85" s="38" t="n"/>
    </row>
    <row r="86" ht="21" customHeight="1">
      <c r="A86" s="38" t="n"/>
      <c r="B86" s="38" t="n"/>
      <c r="C86" s="38" t="n"/>
      <c r="D86" s="38" t="n"/>
      <c r="E86" s="39" t="n"/>
      <c r="F86" s="42" t="n"/>
      <c r="G86" s="42" t="n"/>
      <c r="H86" s="42" t="n"/>
      <c r="I86" s="42" t="n"/>
      <c r="J86" s="38" t="n"/>
      <c r="K86" s="38" t="n"/>
      <c r="L86" s="38" t="n"/>
      <c r="M86" s="38" t="n"/>
      <c r="N86" s="40" t="n"/>
      <c r="O86" s="40" t="n"/>
      <c r="P86" s="38" t="n"/>
    </row>
    <row r="87" ht="21" customHeight="1">
      <c r="A87" s="38" t="n"/>
      <c r="B87" s="38" t="n"/>
      <c r="C87" s="38" t="n"/>
      <c r="D87" s="38" t="n"/>
      <c r="E87" s="39" t="n"/>
      <c r="F87" s="42" t="n"/>
      <c r="G87" s="42" t="n"/>
      <c r="H87" s="42" t="n"/>
      <c r="I87" s="42" t="n"/>
      <c r="J87" s="38" t="n"/>
      <c r="K87" s="38" t="n"/>
      <c r="L87" s="38" t="n"/>
      <c r="M87" s="38" t="n"/>
      <c r="N87" s="40" t="n"/>
      <c r="O87" s="40" t="n"/>
      <c r="P87" s="38" t="n"/>
    </row>
    <row r="88" ht="21" customHeight="1">
      <c r="A88" s="38" t="n"/>
      <c r="B88" s="38" t="n"/>
      <c r="C88" s="38" t="n"/>
      <c r="D88" s="38" t="n"/>
      <c r="E88" s="39" t="n"/>
      <c r="F88" s="42" t="n"/>
      <c r="G88" s="42" t="n"/>
      <c r="H88" s="42" t="n"/>
      <c r="I88" s="42" t="n"/>
      <c r="J88" s="38" t="n"/>
      <c r="K88" s="38" t="n"/>
      <c r="L88" s="38" t="n"/>
      <c r="M88" s="38" t="n"/>
      <c r="N88" s="40" t="n"/>
      <c r="O88" s="40" t="n"/>
      <c r="P88" s="38" t="n"/>
    </row>
    <row r="89" ht="21" customHeight="1">
      <c r="A89" s="38" t="n"/>
      <c r="B89" s="38" t="n"/>
      <c r="C89" s="38" t="n"/>
      <c r="D89" s="38" t="n"/>
      <c r="E89" s="39" t="n"/>
      <c r="F89" s="42" t="n"/>
      <c r="G89" s="42" t="n"/>
      <c r="H89" s="42" t="n"/>
      <c r="I89" s="42" t="n"/>
      <c r="J89" s="38" t="n"/>
      <c r="K89" s="38" t="n"/>
      <c r="L89" s="38" t="n"/>
      <c r="M89" s="38" t="n"/>
      <c r="N89" s="40" t="n"/>
      <c r="O89" s="40" t="n"/>
      <c r="P89" s="38" t="n"/>
    </row>
    <row r="90" ht="21" customHeight="1">
      <c r="A90" s="38" t="n"/>
      <c r="B90" s="38" t="n"/>
      <c r="C90" s="38" t="n"/>
      <c r="D90" s="38" t="n"/>
      <c r="E90" s="39" t="n"/>
      <c r="F90" s="42" t="n"/>
      <c r="G90" s="42" t="n"/>
      <c r="H90" s="42" t="n"/>
      <c r="I90" s="42" t="n"/>
      <c r="J90" s="38" t="n"/>
      <c r="K90" s="38" t="n"/>
      <c r="L90" s="38" t="n"/>
      <c r="M90" s="38" t="n"/>
      <c r="N90" s="40" t="n"/>
      <c r="O90" s="40" t="n"/>
      <c r="P90" s="38" t="n"/>
    </row>
    <row r="91" ht="21" customHeight="1">
      <c r="A91" s="38" t="n"/>
      <c r="B91" s="38" t="n"/>
      <c r="C91" s="38" t="n"/>
      <c r="D91" s="38" t="n"/>
      <c r="E91" s="39" t="n"/>
      <c r="F91" s="42" t="n"/>
      <c r="G91" s="42" t="n"/>
      <c r="H91" s="42" t="n"/>
      <c r="I91" s="42" t="n"/>
      <c r="J91" s="38" t="n"/>
      <c r="K91" s="38" t="n"/>
      <c r="L91" s="38" t="n"/>
      <c r="M91" s="38" t="n"/>
      <c r="N91" s="40" t="n"/>
      <c r="O91" s="40" t="n"/>
      <c r="P91" s="38" t="n"/>
    </row>
    <row r="92" ht="21" customHeight="1">
      <c r="A92" s="38" t="n"/>
      <c r="B92" s="38" t="n"/>
      <c r="C92" s="38" t="n"/>
      <c r="D92" s="38" t="n"/>
      <c r="E92" s="39" t="n"/>
      <c r="F92" s="42" t="n"/>
      <c r="G92" s="42" t="n"/>
      <c r="H92" s="42" t="n"/>
      <c r="I92" s="42" t="n"/>
      <c r="J92" s="38" t="n"/>
      <c r="K92" s="38" t="n"/>
      <c r="L92" s="38" t="n"/>
      <c r="M92" s="38" t="n"/>
      <c r="N92" s="40" t="n"/>
      <c r="O92" s="40" t="n"/>
      <c r="P92" s="38" t="n"/>
    </row>
    <row r="93" ht="21" customHeight="1">
      <c r="A93" s="38" t="n"/>
      <c r="B93" s="38" t="n"/>
      <c r="C93" s="38" t="n"/>
      <c r="D93" s="38" t="n"/>
      <c r="E93" s="39" t="n"/>
      <c r="F93" s="42" t="n"/>
      <c r="G93" s="42" t="n"/>
      <c r="H93" s="42" t="n"/>
      <c r="I93" s="42" t="n"/>
      <c r="J93" s="38" t="n"/>
      <c r="K93" s="38" t="n"/>
      <c r="L93" s="38" t="n"/>
      <c r="M93" s="38" t="n"/>
      <c r="N93" s="40" t="n"/>
      <c r="O93" s="40" t="n"/>
      <c r="P93" s="38" t="n"/>
    </row>
    <row r="94" ht="21" customHeight="1">
      <c r="A94" s="38" t="n"/>
      <c r="B94" s="38" t="n"/>
      <c r="C94" s="38" t="n"/>
      <c r="D94" s="38" t="n"/>
      <c r="E94" s="39" t="n"/>
      <c r="F94" s="42" t="n"/>
      <c r="G94" s="42" t="n"/>
      <c r="H94" s="42" t="n"/>
      <c r="I94" s="42" t="n"/>
      <c r="J94" s="38" t="n"/>
      <c r="K94" s="38" t="n"/>
      <c r="L94" s="38" t="n"/>
      <c r="M94" s="38" t="n"/>
      <c r="N94" s="40" t="n"/>
      <c r="O94" s="40" t="n"/>
      <c r="P94" s="38" t="n"/>
    </row>
    <row r="95" ht="21" customHeight="1">
      <c r="A95" s="38" t="n"/>
      <c r="B95" s="38" t="n"/>
      <c r="C95" s="38" t="n"/>
      <c r="D95" s="38" t="n"/>
      <c r="E95" s="39" t="n"/>
      <c r="F95" s="42" t="n"/>
      <c r="G95" s="42" t="n"/>
      <c r="H95" s="42" t="n"/>
      <c r="I95" s="42" t="n"/>
      <c r="J95" s="38" t="n"/>
      <c r="K95" s="38" t="n"/>
      <c r="L95" s="38" t="n"/>
      <c r="M95" s="38" t="n"/>
      <c r="N95" s="40" t="n"/>
      <c r="O95" s="40" t="n"/>
      <c r="P95" s="38" t="n"/>
    </row>
    <row r="96" ht="21" customHeight="1">
      <c r="A96" s="38" t="n"/>
      <c r="B96" s="38" t="n"/>
      <c r="C96" s="38" t="n"/>
      <c r="D96" s="38" t="n"/>
      <c r="E96" s="39" t="n"/>
      <c r="F96" s="42" t="n"/>
      <c r="G96" s="42" t="n"/>
      <c r="H96" s="42" t="n"/>
      <c r="I96" s="42" t="n"/>
      <c r="J96" s="38" t="n"/>
      <c r="K96" s="38" t="n"/>
      <c r="L96" s="38" t="n"/>
      <c r="M96" s="38" t="n"/>
      <c r="N96" s="40" t="n"/>
      <c r="O96" s="40" t="n"/>
      <c r="P96" s="38" t="n"/>
    </row>
    <row r="97" ht="21" customHeight="1">
      <c r="A97" s="38" t="n"/>
      <c r="B97" s="38" t="n"/>
      <c r="C97" s="38" t="n"/>
      <c r="D97" s="38" t="n"/>
      <c r="E97" s="39" t="n"/>
      <c r="F97" s="42" t="n"/>
      <c r="G97" s="42" t="n"/>
      <c r="H97" s="42" t="n"/>
      <c r="I97" s="42" t="n"/>
      <c r="J97" s="38" t="n"/>
      <c r="K97" s="38" t="n"/>
      <c r="L97" s="38" t="n"/>
      <c r="M97" s="38" t="n"/>
      <c r="N97" s="40" t="n"/>
      <c r="O97" s="40" t="n"/>
      <c r="P97" s="38" t="n"/>
    </row>
    <row r="98" ht="21" customHeight="1">
      <c r="A98" s="38" t="n"/>
      <c r="B98" s="38" t="n"/>
      <c r="C98" s="38" t="n"/>
      <c r="D98" s="38" t="n"/>
      <c r="E98" s="39" t="n"/>
      <c r="F98" s="42" t="n"/>
      <c r="G98" s="42" t="n"/>
      <c r="H98" s="42" t="n"/>
      <c r="I98" s="42" t="n"/>
      <c r="J98" s="38" t="n"/>
      <c r="K98" s="38" t="n"/>
      <c r="L98" s="38" t="n"/>
      <c r="M98" s="38" t="n"/>
      <c r="N98" s="40" t="n"/>
      <c r="O98" s="40" t="n"/>
      <c r="P98" s="38" t="n"/>
    </row>
    <row r="99" ht="21" customHeight="1">
      <c r="A99" s="38" t="n"/>
      <c r="B99" s="38" t="n"/>
      <c r="C99" s="38" t="n"/>
      <c r="D99" s="38" t="n"/>
      <c r="E99" s="39" t="n"/>
      <c r="F99" s="42" t="n"/>
      <c r="G99" s="42" t="n"/>
      <c r="H99" s="42" t="n"/>
      <c r="I99" s="42" t="n"/>
      <c r="J99" s="38" t="n"/>
      <c r="K99" s="38" t="n"/>
      <c r="L99" s="38" t="n"/>
      <c r="M99" s="38" t="n"/>
      <c r="N99" s="40" t="n"/>
      <c r="O99" s="40" t="n"/>
      <c r="P99" s="38" t="n"/>
    </row>
    <row r="100" ht="21" customHeight="1">
      <c r="A100" s="38" t="n"/>
      <c r="B100" s="38" t="n"/>
      <c r="C100" s="38" t="n"/>
      <c r="D100" s="38" t="n"/>
      <c r="E100" s="39" t="n"/>
      <c r="F100" s="42" t="n"/>
      <c r="G100" s="42" t="n"/>
      <c r="H100" s="42" t="n"/>
      <c r="I100" s="42" t="n"/>
      <c r="J100" s="38" t="n"/>
      <c r="K100" s="38" t="n"/>
      <c r="L100" s="38" t="n"/>
      <c r="M100" s="38" t="n"/>
      <c r="N100" s="40" t="n"/>
      <c r="O100" s="40" t="n"/>
      <c r="P100" s="38" t="n"/>
    </row>
    <row r="101" ht="21" customHeight="1">
      <c r="A101" s="38" t="n"/>
      <c r="B101" s="38" t="n"/>
      <c r="C101" s="38" t="n"/>
      <c r="D101" s="38" t="n"/>
      <c r="E101" s="39" t="n"/>
      <c r="F101" s="42" t="n"/>
      <c r="G101" s="42" t="n"/>
      <c r="H101" s="42" t="n"/>
      <c r="I101" s="42" t="n"/>
      <c r="J101" s="38" t="n"/>
      <c r="K101" s="38" t="n"/>
      <c r="L101" s="38" t="n"/>
      <c r="M101" s="38" t="n"/>
      <c r="N101" s="40" t="n"/>
      <c r="O101" s="40" t="n"/>
      <c r="P101" s="38" t="n"/>
    </row>
    <row r="102" ht="21" customHeight="1">
      <c r="A102" s="38" t="n"/>
      <c r="B102" s="38" t="n"/>
      <c r="C102" s="38" t="n"/>
      <c r="D102" s="38" t="n"/>
      <c r="E102" s="39" t="n"/>
      <c r="F102" s="42" t="n"/>
      <c r="G102" s="42" t="n"/>
      <c r="H102" s="42" t="n"/>
      <c r="I102" s="42" t="n"/>
      <c r="J102" s="38" t="n"/>
      <c r="K102" s="38" t="n"/>
      <c r="L102" s="38" t="n"/>
      <c r="M102" s="38" t="n"/>
      <c r="N102" s="40" t="n"/>
      <c r="O102" s="40" t="n"/>
      <c r="P102" s="38" t="n"/>
    </row>
    <row r="103" ht="21" customHeight="1">
      <c r="A103" s="38" t="n"/>
      <c r="B103" s="38" t="n"/>
      <c r="C103" s="38" t="n"/>
      <c r="D103" s="38" t="n"/>
      <c r="E103" s="39" t="n"/>
      <c r="F103" s="42" t="n"/>
      <c r="G103" s="42" t="n"/>
      <c r="H103" s="42" t="n"/>
      <c r="I103" s="42" t="n"/>
      <c r="J103" s="38" t="n"/>
      <c r="K103" s="38" t="n"/>
      <c r="L103" s="38" t="n"/>
      <c r="M103" s="38" t="n"/>
      <c r="N103" s="40" t="n"/>
      <c r="O103" s="40" t="n"/>
      <c r="P103" s="38" t="n"/>
    </row>
    <row r="104" ht="21" customHeight="1">
      <c r="A104" s="38" t="n"/>
      <c r="B104" s="38" t="n"/>
      <c r="C104" s="38" t="n"/>
      <c r="D104" s="38" t="n"/>
      <c r="E104" s="39" t="n"/>
      <c r="F104" s="42" t="n"/>
      <c r="G104" s="42" t="n"/>
      <c r="H104" s="42" t="n"/>
      <c r="I104" s="42" t="n"/>
      <c r="J104" s="38" t="n"/>
      <c r="K104" s="38" t="n"/>
      <c r="L104" s="38" t="n"/>
      <c r="M104" s="38" t="n"/>
      <c r="N104" s="40" t="n"/>
      <c r="O104" s="40" t="n"/>
      <c r="P104" s="38" t="n"/>
    </row>
    <row r="105" ht="21" customHeight="1">
      <c r="A105" s="38" t="n"/>
      <c r="B105" s="38" t="n"/>
      <c r="C105" s="38" t="n"/>
      <c r="D105" s="38" t="n"/>
      <c r="E105" s="39" t="n"/>
      <c r="F105" s="42" t="n"/>
      <c r="G105" s="42" t="n"/>
      <c r="H105" s="42" t="n"/>
      <c r="I105" s="42" t="n"/>
      <c r="J105" s="38" t="n"/>
      <c r="K105" s="38" t="n"/>
      <c r="L105" s="38" t="n"/>
      <c r="M105" s="38" t="n"/>
      <c r="N105" s="40" t="n"/>
      <c r="O105" s="40" t="n"/>
      <c r="P105" s="38" t="n"/>
    </row>
    <row r="106" ht="21" customHeight="1">
      <c r="A106" s="38" t="n"/>
      <c r="B106" s="38" t="n"/>
      <c r="C106" s="38" t="n"/>
      <c r="D106" s="38" t="n"/>
      <c r="E106" s="39" t="n"/>
      <c r="F106" s="42" t="n"/>
      <c r="G106" s="42" t="n"/>
      <c r="H106" s="42" t="n"/>
      <c r="I106" s="42" t="n"/>
      <c r="J106" s="38" t="n"/>
      <c r="K106" s="38" t="n"/>
      <c r="L106" s="38" t="n"/>
      <c r="M106" s="38" t="n"/>
      <c r="N106" s="40" t="n"/>
      <c r="O106" s="40" t="n"/>
      <c r="P106" s="38" t="n"/>
    </row>
    <row r="107" ht="21" customHeight="1">
      <c r="A107" s="38" t="n"/>
      <c r="B107" s="38" t="n"/>
      <c r="C107" s="38" t="n"/>
      <c r="D107" s="38" t="n"/>
      <c r="E107" s="39" t="n"/>
      <c r="F107" s="42" t="n"/>
      <c r="G107" s="42" t="n"/>
      <c r="H107" s="42" t="n"/>
      <c r="I107" s="42" t="n"/>
      <c r="J107" s="38" t="n"/>
      <c r="K107" s="38" t="n"/>
      <c r="L107" s="38" t="n"/>
      <c r="M107" s="38" t="n"/>
      <c r="N107" s="40" t="n"/>
      <c r="O107" s="40" t="n"/>
      <c r="P107" s="38" t="n"/>
    </row>
    <row r="108" ht="21" customHeight="1">
      <c r="A108" s="38" t="n"/>
      <c r="B108" s="38" t="n"/>
      <c r="C108" s="38" t="n"/>
      <c r="D108" s="38" t="n"/>
      <c r="E108" s="39" t="n"/>
      <c r="F108" s="42" t="n"/>
      <c r="G108" s="42" t="n"/>
      <c r="H108" s="42" t="n"/>
      <c r="I108" s="42" t="n"/>
      <c r="J108" s="38" t="n"/>
      <c r="K108" s="38" t="n"/>
      <c r="L108" s="38" t="n"/>
      <c r="M108" s="38" t="n"/>
      <c r="N108" s="40" t="n"/>
      <c r="O108" s="40" t="n"/>
      <c r="P108" s="38" t="n"/>
    </row>
    <row r="109" ht="21" customHeight="1">
      <c r="A109" s="38" t="n"/>
      <c r="B109" s="38" t="n"/>
      <c r="C109" s="38" t="n"/>
      <c r="D109" s="38" t="n"/>
      <c r="E109" s="39" t="n"/>
      <c r="F109" s="42" t="n"/>
      <c r="G109" s="42" t="n"/>
      <c r="H109" s="42" t="n"/>
      <c r="I109" s="42" t="n"/>
      <c r="J109" s="38" t="n"/>
      <c r="K109" s="38" t="n"/>
      <c r="L109" s="38" t="n"/>
      <c r="M109" s="38" t="n"/>
      <c r="N109" s="40" t="n"/>
      <c r="O109" s="40" t="n"/>
      <c r="P109" s="38" t="n"/>
    </row>
    <row r="110" ht="21" customHeight="1">
      <c r="A110" s="38" t="n"/>
      <c r="B110" s="38" t="n"/>
      <c r="C110" s="38" t="n"/>
      <c r="D110" s="38" t="n"/>
      <c r="E110" s="39" t="n"/>
      <c r="F110" s="42" t="n"/>
      <c r="G110" s="42" t="n"/>
      <c r="H110" s="42" t="n"/>
      <c r="I110" s="42" t="n"/>
      <c r="J110" s="38" t="n"/>
      <c r="K110" s="38" t="n"/>
      <c r="L110" s="38" t="n"/>
      <c r="M110" s="38" t="n"/>
      <c r="N110" s="40" t="n"/>
      <c r="O110" s="40" t="n"/>
      <c r="P110" s="38" t="n"/>
    </row>
    <row r="111" ht="21" customHeight="1">
      <c r="A111" s="38" t="n"/>
      <c r="B111" s="38" t="n"/>
      <c r="C111" s="38" t="n"/>
      <c r="D111" s="38" t="n"/>
      <c r="E111" s="39" t="n"/>
      <c r="F111" s="42" t="n"/>
      <c r="G111" s="42" t="n"/>
      <c r="H111" s="42" t="n"/>
      <c r="I111" s="42" t="n"/>
      <c r="J111" s="38" t="n"/>
      <c r="K111" s="38" t="n"/>
      <c r="L111" s="38" t="n"/>
      <c r="M111" s="38" t="n"/>
      <c r="N111" s="40" t="n"/>
      <c r="O111" s="40" t="n"/>
      <c r="P111" s="38" t="n"/>
    </row>
    <row r="112" ht="21" customHeight="1">
      <c r="A112" s="38" t="n"/>
      <c r="B112" s="38" t="n"/>
      <c r="C112" s="38" t="n"/>
      <c r="D112" s="38" t="n"/>
      <c r="E112" s="39" t="n"/>
      <c r="F112" s="42" t="n"/>
      <c r="G112" s="42" t="n"/>
      <c r="H112" s="42" t="n"/>
      <c r="I112" s="42" t="n"/>
      <c r="J112" s="38" t="n"/>
      <c r="K112" s="38" t="n"/>
      <c r="L112" s="38" t="n"/>
      <c r="M112" s="38" t="n"/>
      <c r="N112" s="40" t="n"/>
      <c r="O112" s="40" t="n"/>
      <c r="P112" s="38" t="n"/>
    </row>
    <row r="113" ht="21" customHeight="1">
      <c r="A113" s="38" t="n"/>
      <c r="B113" s="38" t="n"/>
      <c r="C113" s="38" t="n"/>
      <c r="D113" s="38" t="n"/>
      <c r="E113" s="39" t="n"/>
      <c r="F113" s="42" t="n"/>
      <c r="G113" s="42" t="n"/>
      <c r="H113" s="42" t="n"/>
      <c r="I113" s="42" t="n"/>
      <c r="J113" s="38" t="n"/>
      <c r="K113" s="38" t="n"/>
      <c r="L113" s="38" t="n"/>
      <c r="M113" s="38" t="n"/>
      <c r="N113" s="40" t="n"/>
      <c r="O113" s="40" t="n"/>
      <c r="P113" s="38" t="n"/>
    </row>
    <row r="114" ht="21" customHeight="1">
      <c r="A114" s="38" t="n"/>
      <c r="B114" s="38" t="n"/>
      <c r="C114" s="38" t="n"/>
      <c r="D114" s="38" t="n"/>
      <c r="E114" s="39" t="n"/>
      <c r="F114" s="42" t="n"/>
      <c r="G114" s="42" t="n"/>
      <c r="H114" s="42" t="n"/>
      <c r="I114" s="42" t="n"/>
      <c r="J114" s="38" t="n"/>
      <c r="K114" s="38" t="n"/>
      <c r="L114" s="38" t="n"/>
      <c r="M114" s="38" t="n"/>
      <c r="N114" s="40" t="n"/>
      <c r="O114" s="40" t="n"/>
      <c r="P114" s="38" t="n"/>
    </row>
    <row r="115" ht="21" customHeight="1">
      <c r="A115" s="38" t="n"/>
      <c r="B115" s="38" t="n"/>
      <c r="C115" s="38" t="n"/>
      <c r="D115" s="38" t="n"/>
      <c r="E115" s="39" t="n"/>
      <c r="F115" s="42" t="n"/>
      <c r="G115" s="42" t="n"/>
      <c r="H115" s="42" t="n"/>
      <c r="I115" s="42" t="n"/>
      <c r="J115" s="38" t="n"/>
      <c r="K115" s="38" t="n"/>
      <c r="L115" s="38" t="n"/>
      <c r="M115" s="38" t="n"/>
      <c r="N115" s="40" t="n"/>
      <c r="O115" s="40" t="n"/>
      <c r="P115" s="38" t="n"/>
    </row>
    <row r="116" ht="21" customHeight="1">
      <c r="A116" s="38" t="n"/>
      <c r="B116" s="38" t="n"/>
      <c r="C116" s="38" t="n"/>
      <c r="D116" s="38" t="n"/>
      <c r="E116" s="39" t="n"/>
      <c r="F116" s="42" t="n"/>
      <c r="G116" s="42" t="n"/>
      <c r="H116" s="42" t="n"/>
      <c r="I116" s="42" t="n"/>
      <c r="J116" s="38" t="n"/>
      <c r="K116" s="38" t="n"/>
      <c r="L116" s="38" t="n"/>
      <c r="M116" s="38" t="n"/>
      <c r="N116" s="40" t="n"/>
      <c r="O116" s="40" t="n"/>
      <c r="P116" s="38" t="n"/>
    </row>
    <row r="117" ht="21" customHeight="1">
      <c r="A117" s="38" t="n"/>
      <c r="B117" s="38" t="n"/>
      <c r="C117" s="38" t="n"/>
      <c r="D117" s="38" t="n"/>
      <c r="E117" s="39" t="n"/>
      <c r="F117" s="42" t="n"/>
      <c r="G117" s="42" t="n"/>
      <c r="H117" s="42" t="n"/>
      <c r="I117" s="42" t="n"/>
      <c r="J117" s="38" t="n"/>
      <c r="K117" s="38" t="n"/>
      <c r="L117" s="38" t="n"/>
      <c r="M117" s="38" t="n"/>
      <c r="N117" s="40" t="n"/>
      <c r="O117" s="40" t="n"/>
      <c r="P117" s="38" t="n"/>
    </row>
    <row r="118" ht="21" customHeight="1">
      <c r="A118" s="38" t="n"/>
      <c r="B118" s="38" t="n"/>
      <c r="C118" s="38" t="n"/>
      <c r="D118" s="38" t="n"/>
      <c r="E118" s="39" t="n"/>
      <c r="F118" s="42" t="n"/>
      <c r="G118" s="42" t="n"/>
      <c r="H118" s="42" t="n"/>
      <c r="I118" s="42" t="n"/>
      <c r="J118" s="38" t="n"/>
      <c r="K118" s="38" t="n"/>
      <c r="L118" s="38" t="n"/>
      <c r="M118" s="38" t="n"/>
      <c r="N118" s="40" t="n"/>
      <c r="O118" s="40" t="n"/>
      <c r="P118" s="38" t="n"/>
    </row>
    <row r="119" ht="21" customHeight="1">
      <c r="A119" s="38" t="n"/>
      <c r="B119" s="38" t="n"/>
      <c r="C119" s="38" t="n"/>
      <c r="D119" s="38" t="n"/>
      <c r="E119" s="39" t="n"/>
      <c r="F119" s="42" t="n"/>
      <c r="G119" s="42" t="n"/>
      <c r="H119" s="42" t="n"/>
      <c r="I119" s="42" t="n"/>
      <c r="J119" s="38" t="n"/>
      <c r="K119" s="38" t="n"/>
      <c r="L119" s="38" t="n"/>
      <c r="M119" s="38" t="n"/>
      <c r="N119" s="40" t="n"/>
      <c r="O119" s="40" t="n"/>
      <c r="P119" s="38" t="n"/>
    </row>
    <row r="120" ht="21" customHeight="1">
      <c r="A120" s="38" t="n"/>
      <c r="B120" s="38" t="n"/>
      <c r="C120" s="38" t="n"/>
      <c r="D120" s="38" t="n"/>
      <c r="E120" s="39" t="n"/>
      <c r="F120" s="42" t="n"/>
      <c r="G120" s="42" t="n"/>
      <c r="H120" s="42" t="n"/>
      <c r="I120" s="42" t="n"/>
      <c r="J120" s="38" t="n"/>
      <c r="K120" s="38" t="n"/>
      <c r="L120" s="38" t="n"/>
      <c r="M120" s="38" t="n"/>
      <c r="N120" s="40" t="n"/>
      <c r="O120" s="40" t="n"/>
      <c r="P120" s="38" t="n"/>
    </row>
    <row r="121" ht="21" customHeight="1">
      <c r="A121" s="38" t="n"/>
      <c r="B121" s="38" t="n"/>
      <c r="C121" s="38" t="n"/>
      <c r="D121" s="38" t="n"/>
      <c r="E121" s="39" t="n"/>
      <c r="F121" s="42" t="n"/>
      <c r="G121" s="42" t="n"/>
      <c r="H121" s="42" t="n"/>
      <c r="I121" s="42" t="n"/>
      <c r="J121" s="38" t="n"/>
      <c r="K121" s="38" t="n"/>
      <c r="L121" s="38" t="n"/>
      <c r="M121" s="38" t="n"/>
      <c r="N121" s="40" t="n"/>
      <c r="O121" s="40" t="n"/>
      <c r="P121" s="38" t="n"/>
    </row>
    <row r="122" ht="21" customHeight="1">
      <c r="A122" s="38" t="n"/>
      <c r="B122" s="38" t="n"/>
      <c r="C122" s="38" t="n"/>
      <c r="D122" s="38" t="n"/>
      <c r="E122" s="39" t="n"/>
      <c r="F122" s="42" t="n"/>
      <c r="G122" s="42" t="n"/>
      <c r="H122" s="42" t="n"/>
      <c r="I122" s="42" t="n"/>
      <c r="J122" s="38" t="n"/>
      <c r="K122" s="38" t="n"/>
      <c r="L122" s="38" t="n"/>
      <c r="M122" s="38" t="n"/>
      <c r="N122" s="40" t="n"/>
      <c r="O122" s="40" t="n"/>
      <c r="P122" s="38" t="n"/>
    </row>
    <row r="123" ht="21" customHeight="1">
      <c r="A123" s="38" t="n"/>
      <c r="B123" s="38" t="n"/>
      <c r="C123" s="38" t="n"/>
      <c r="D123" s="38" t="n"/>
      <c r="E123" s="39" t="n"/>
      <c r="F123" s="42" t="n"/>
      <c r="G123" s="42" t="n"/>
      <c r="H123" s="42" t="n"/>
      <c r="I123" s="42" t="n"/>
      <c r="J123" s="38" t="n"/>
      <c r="K123" s="38" t="n"/>
      <c r="L123" s="38" t="n"/>
      <c r="M123" s="38" t="n"/>
      <c r="N123" s="40" t="n"/>
      <c r="O123" s="40" t="n"/>
      <c r="P123" s="38" t="n"/>
    </row>
    <row r="124" ht="21" customHeight="1">
      <c r="A124" s="38" t="n"/>
      <c r="B124" s="38" t="n"/>
      <c r="C124" s="38" t="n"/>
      <c r="D124" s="38" t="n"/>
      <c r="E124" s="39" t="n"/>
      <c r="F124" s="42" t="n"/>
      <c r="G124" s="42" t="n"/>
      <c r="H124" s="42" t="n"/>
      <c r="I124" s="42" t="n"/>
      <c r="J124" s="38" t="n"/>
      <c r="K124" s="38" t="n"/>
      <c r="L124" s="38" t="n"/>
      <c r="M124" s="38" t="n"/>
      <c r="N124" s="40" t="n"/>
      <c r="O124" s="40" t="n"/>
      <c r="P124" s="38" t="n"/>
    </row>
    <row r="125" ht="21" customHeight="1">
      <c r="A125" s="38" t="n"/>
      <c r="B125" s="38" t="n"/>
      <c r="C125" s="38" t="n"/>
      <c r="D125" s="38" t="n"/>
      <c r="E125" s="39" t="n"/>
      <c r="F125" s="42" t="n"/>
      <c r="G125" s="42" t="n"/>
      <c r="H125" s="42" t="n"/>
      <c r="I125" s="42" t="n"/>
      <c r="J125" s="38" t="n"/>
      <c r="K125" s="38" t="n"/>
      <c r="L125" s="38" t="n"/>
      <c r="M125" s="38" t="n"/>
      <c r="N125" s="40" t="n"/>
      <c r="O125" s="40" t="n"/>
      <c r="P125" s="38" t="n"/>
    </row>
    <row r="126" ht="21" customHeight="1">
      <c r="A126" s="38" t="n"/>
      <c r="B126" s="38" t="n"/>
      <c r="C126" s="38" t="n"/>
      <c r="D126" s="38" t="n"/>
      <c r="E126" s="39" t="n"/>
      <c r="F126" s="42" t="n"/>
      <c r="G126" s="42" t="n"/>
      <c r="H126" s="42" t="n"/>
      <c r="I126" s="42" t="n"/>
      <c r="J126" s="38" t="n"/>
      <c r="K126" s="38" t="n"/>
      <c r="L126" s="38" t="n"/>
      <c r="M126" s="38" t="n"/>
      <c r="N126" s="40" t="n"/>
      <c r="O126" s="40" t="n"/>
      <c r="P126" s="38" t="n"/>
    </row>
    <row r="127" ht="21" customHeight="1">
      <c r="A127" s="38" t="n"/>
      <c r="B127" s="38" t="n"/>
      <c r="C127" s="38" t="n"/>
      <c r="D127" s="38" t="n"/>
      <c r="E127" s="39" t="n"/>
      <c r="F127" s="42" t="n"/>
      <c r="G127" s="42" t="n"/>
      <c r="H127" s="42" t="n"/>
      <c r="I127" s="42" t="n"/>
      <c r="J127" s="38" t="n"/>
      <c r="K127" s="38" t="n"/>
      <c r="L127" s="38" t="n"/>
      <c r="M127" s="38" t="n"/>
      <c r="N127" s="40" t="n"/>
      <c r="O127" s="40" t="n"/>
      <c r="P127" s="38" t="n"/>
    </row>
    <row r="128" ht="21" customHeight="1">
      <c r="A128" s="38" t="n"/>
      <c r="B128" s="38" t="n"/>
      <c r="C128" s="38" t="n"/>
      <c r="D128" s="38" t="n"/>
      <c r="E128" s="39" t="n"/>
      <c r="F128" s="42" t="n"/>
      <c r="G128" s="42" t="n"/>
      <c r="H128" s="42" t="n"/>
      <c r="I128" s="42" t="n"/>
      <c r="J128" s="38" t="n"/>
      <c r="K128" s="38" t="n"/>
      <c r="L128" s="38" t="n"/>
      <c r="M128" s="38" t="n"/>
      <c r="N128" s="40" t="n"/>
      <c r="O128" s="40" t="n"/>
      <c r="P128" s="38" t="n"/>
    </row>
    <row r="129" ht="21" customHeight="1">
      <c r="A129" s="38" t="n"/>
      <c r="B129" s="38" t="n"/>
      <c r="C129" s="38" t="n"/>
      <c r="D129" s="38" t="n"/>
      <c r="E129" s="39" t="n"/>
      <c r="F129" s="42" t="n"/>
      <c r="G129" s="42" t="n"/>
      <c r="H129" s="42" t="n"/>
      <c r="I129" s="42" t="n"/>
      <c r="J129" s="38" t="n"/>
      <c r="K129" s="38" t="n"/>
      <c r="L129" s="38" t="n"/>
      <c r="M129" s="38" t="n"/>
      <c r="N129" s="40" t="n"/>
      <c r="O129" s="40" t="n"/>
      <c r="P129" s="38" t="n"/>
    </row>
    <row r="130" ht="21" customHeight="1">
      <c r="A130" s="38" t="n"/>
      <c r="B130" s="38" t="n"/>
      <c r="C130" s="38" t="n"/>
      <c r="D130" s="38" t="n"/>
      <c r="E130" s="39" t="n"/>
      <c r="F130" s="42" t="n"/>
      <c r="G130" s="42" t="n"/>
      <c r="H130" s="42" t="n"/>
      <c r="I130" s="42" t="n"/>
      <c r="J130" s="38" t="n"/>
      <c r="K130" s="38" t="n"/>
      <c r="L130" s="38" t="n"/>
      <c r="M130" s="38" t="n"/>
      <c r="N130" s="40" t="n"/>
      <c r="O130" s="40" t="n"/>
      <c r="P130" s="38" t="n"/>
    </row>
    <row r="131" ht="21" customHeight="1">
      <c r="A131" s="38" t="n"/>
      <c r="B131" s="38" t="n"/>
      <c r="C131" s="38" t="n"/>
      <c r="D131" s="38" t="n"/>
      <c r="E131" s="39" t="n"/>
      <c r="F131" s="42" t="n"/>
      <c r="G131" s="42" t="n"/>
      <c r="H131" s="42" t="n"/>
      <c r="I131" s="42" t="n"/>
      <c r="J131" s="38" t="n"/>
      <c r="K131" s="38" t="n"/>
      <c r="L131" s="38" t="n"/>
      <c r="M131" s="38" t="n"/>
      <c r="N131" s="40" t="n"/>
      <c r="O131" s="40" t="n"/>
      <c r="P131" s="38" t="n"/>
    </row>
    <row r="132" ht="21" customHeight="1">
      <c r="A132" s="38" t="n"/>
      <c r="B132" s="38" t="n"/>
      <c r="C132" s="38" t="n"/>
      <c r="D132" s="38" t="n"/>
      <c r="E132" s="39" t="n"/>
      <c r="F132" s="42" t="n"/>
      <c r="G132" s="42" t="n"/>
      <c r="H132" s="42" t="n"/>
      <c r="I132" s="42" t="n"/>
      <c r="J132" s="38" t="n"/>
      <c r="K132" s="38" t="n"/>
      <c r="L132" s="38" t="n"/>
      <c r="M132" s="38" t="n"/>
      <c r="N132" s="40" t="n"/>
      <c r="O132" s="40" t="n"/>
      <c r="P132" s="38" t="n"/>
    </row>
    <row r="133" ht="21" customHeight="1">
      <c r="A133" s="38" t="n"/>
      <c r="B133" s="38" t="n"/>
      <c r="C133" s="38" t="n"/>
      <c r="D133" s="38" t="n"/>
      <c r="E133" s="39" t="n"/>
      <c r="F133" s="42" t="n"/>
      <c r="G133" s="42" t="n"/>
      <c r="H133" s="42" t="n"/>
      <c r="I133" s="42" t="n"/>
      <c r="J133" s="38" t="n"/>
      <c r="K133" s="38" t="n"/>
      <c r="L133" s="38" t="n"/>
      <c r="M133" s="38" t="n"/>
      <c r="N133" s="40" t="n"/>
      <c r="O133" s="40" t="n"/>
      <c r="P133" s="38" t="n"/>
    </row>
    <row r="134" ht="21" customHeight="1">
      <c r="A134" s="38" t="n"/>
      <c r="B134" s="38" t="n"/>
      <c r="C134" s="38" t="n"/>
      <c r="D134" s="38" t="n"/>
      <c r="E134" s="39" t="n"/>
      <c r="F134" s="42" t="n"/>
      <c r="G134" s="42" t="n"/>
      <c r="H134" s="42" t="n"/>
      <c r="I134" s="42" t="n"/>
      <c r="J134" s="38" t="n"/>
      <c r="K134" s="38" t="n"/>
      <c r="L134" s="38" t="n"/>
      <c r="M134" s="38" t="n"/>
      <c r="N134" s="40" t="n"/>
      <c r="O134" s="40" t="n"/>
      <c r="P134" s="38" t="n"/>
    </row>
    <row r="135" ht="21" customHeight="1">
      <c r="A135" s="38" t="n"/>
      <c r="B135" s="38" t="n"/>
      <c r="C135" s="38" t="n"/>
      <c r="D135" s="38" t="n"/>
      <c r="E135" s="39" t="n"/>
      <c r="F135" s="42" t="n"/>
      <c r="G135" s="42" t="n"/>
      <c r="H135" s="42" t="n"/>
      <c r="I135" s="42" t="n"/>
      <c r="J135" s="38" t="n"/>
      <c r="K135" s="38" t="n"/>
      <c r="L135" s="38" t="n"/>
      <c r="M135" s="38" t="n"/>
      <c r="N135" s="40" t="n"/>
      <c r="O135" s="40" t="n"/>
      <c r="P135" s="38" t="n"/>
    </row>
    <row r="136" ht="21" customHeight="1">
      <c r="A136" s="38" t="n"/>
      <c r="B136" s="38" t="n"/>
      <c r="C136" s="38" t="n"/>
      <c r="D136" s="38" t="n"/>
      <c r="E136" s="39" t="n"/>
      <c r="F136" s="42" t="n"/>
      <c r="G136" s="42" t="n"/>
      <c r="H136" s="42" t="n"/>
      <c r="I136" s="42" t="n"/>
      <c r="J136" s="38" t="n"/>
      <c r="K136" s="38" t="n"/>
      <c r="L136" s="38" t="n"/>
      <c r="M136" s="38" t="n"/>
      <c r="N136" s="40" t="n"/>
      <c r="O136" s="40" t="n"/>
      <c r="P136" s="38" t="n"/>
    </row>
    <row r="137" ht="21" customHeight="1">
      <c r="A137" s="38" t="n"/>
      <c r="B137" s="38" t="n"/>
      <c r="C137" s="38" t="n"/>
      <c r="D137" s="38" t="n"/>
      <c r="E137" s="39" t="n"/>
      <c r="F137" s="42" t="n"/>
      <c r="G137" s="42" t="n"/>
      <c r="H137" s="42" t="n"/>
      <c r="I137" s="42" t="n"/>
      <c r="J137" s="38" t="n"/>
      <c r="K137" s="38" t="n"/>
      <c r="L137" s="38" t="n"/>
      <c r="M137" s="38" t="n"/>
      <c r="N137" s="40" t="n"/>
      <c r="O137" s="40" t="n"/>
      <c r="P137" s="38" t="n"/>
    </row>
    <row r="138" ht="21" customHeight="1">
      <c r="A138" s="38" t="n"/>
      <c r="B138" s="38" t="n"/>
      <c r="C138" s="38" t="n"/>
      <c r="D138" s="38" t="n"/>
      <c r="E138" s="39" t="n"/>
      <c r="F138" s="42" t="n"/>
      <c r="G138" s="42" t="n"/>
      <c r="H138" s="42" t="n"/>
      <c r="I138" s="42" t="n"/>
      <c r="J138" s="38" t="n"/>
      <c r="K138" s="38" t="n"/>
      <c r="L138" s="38" t="n"/>
      <c r="M138" s="38" t="n"/>
      <c r="N138" s="40" t="n"/>
      <c r="O138" s="40" t="n"/>
      <c r="P138" s="38" t="n"/>
    </row>
    <row r="139" ht="21" customHeight="1">
      <c r="A139" s="38" t="n"/>
      <c r="B139" s="38" t="n"/>
      <c r="C139" s="38" t="n"/>
      <c r="D139" s="38" t="n"/>
      <c r="E139" s="39" t="n"/>
      <c r="F139" s="42" t="n"/>
      <c r="G139" s="42" t="n"/>
      <c r="H139" s="42" t="n"/>
      <c r="I139" s="42" t="n"/>
      <c r="J139" s="38" t="n"/>
      <c r="K139" s="38" t="n"/>
      <c r="L139" s="38" t="n"/>
      <c r="M139" s="38" t="n"/>
      <c r="N139" s="40" t="n"/>
      <c r="O139" s="40" t="n"/>
      <c r="P139" s="38" t="n"/>
    </row>
    <row r="140" ht="21" customHeight="1">
      <c r="A140" s="38" t="n"/>
      <c r="B140" s="38" t="n"/>
      <c r="C140" s="38" t="n"/>
      <c r="D140" s="38" t="n"/>
      <c r="E140" s="39" t="n"/>
      <c r="F140" s="42" t="n"/>
      <c r="G140" s="42" t="n"/>
      <c r="H140" s="42" t="n"/>
      <c r="I140" s="42" t="n"/>
      <c r="J140" s="38" t="n"/>
      <c r="K140" s="38" t="n"/>
      <c r="L140" s="38" t="n"/>
      <c r="M140" s="38" t="n"/>
      <c r="N140" s="40" t="n"/>
      <c r="O140" s="40" t="n"/>
      <c r="P140" s="38" t="n"/>
    </row>
    <row r="141" ht="21" customHeight="1">
      <c r="A141" s="38" t="n"/>
      <c r="B141" s="38" t="n"/>
      <c r="C141" s="38" t="n"/>
      <c r="D141" s="38" t="n"/>
      <c r="E141" s="39" t="n"/>
      <c r="F141" s="42" t="n"/>
      <c r="G141" s="42" t="n"/>
      <c r="H141" s="42" t="n"/>
      <c r="I141" s="42" t="n"/>
      <c r="J141" s="38" t="n"/>
      <c r="K141" s="38" t="n"/>
      <c r="L141" s="38" t="n"/>
      <c r="M141" s="38" t="n"/>
      <c r="N141" s="40" t="n"/>
      <c r="O141" s="40" t="n"/>
      <c r="P141" s="38" t="n"/>
    </row>
    <row r="142" ht="21" customHeight="1">
      <c r="A142" s="38" t="n"/>
      <c r="B142" s="38" t="n"/>
      <c r="C142" s="38" t="n"/>
      <c r="D142" s="38" t="n"/>
      <c r="E142" s="39" t="n"/>
      <c r="F142" s="42" t="n"/>
      <c r="G142" s="42" t="n"/>
      <c r="H142" s="42" t="n"/>
      <c r="I142" s="42" t="n"/>
      <c r="J142" s="38" t="n"/>
      <c r="K142" s="38" t="n"/>
      <c r="L142" s="38" t="n"/>
      <c r="M142" s="38" t="n"/>
      <c r="N142" s="40" t="n"/>
      <c r="O142" s="40" t="n"/>
      <c r="P142" s="38" t="n"/>
    </row>
    <row r="143" ht="21" customHeight="1">
      <c r="A143" s="38" t="n"/>
      <c r="B143" s="38" t="n"/>
      <c r="C143" s="38" t="n"/>
      <c r="D143" s="38" t="n"/>
      <c r="E143" s="39" t="n"/>
      <c r="F143" s="42" t="n"/>
      <c r="G143" s="42" t="n"/>
      <c r="H143" s="42" t="n"/>
      <c r="I143" s="42" t="n"/>
      <c r="J143" s="38" t="n"/>
      <c r="K143" s="38" t="n"/>
      <c r="L143" s="38" t="n"/>
      <c r="M143" s="38" t="n"/>
      <c r="N143" s="40" t="n"/>
      <c r="O143" s="40" t="n"/>
      <c r="P143" s="38" t="n"/>
    </row>
    <row r="144" ht="21" customHeight="1">
      <c r="A144" s="38" t="n"/>
      <c r="B144" s="38" t="n"/>
      <c r="C144" s="38" t="n"/>
      <c r="D144" s="38" t="n"/>
      <c r="E144" s="39" t="n"/>
      <c r="F144" s="42" t="n"/>
      <c r="G144" s="42" t="n"/>
      <c r="H144" s="42" t="n"/>
      <c r="I144" s="42" t="n"/>
      <c r="J144" s="38" t="n"/>
      <c r="K144" s="38" t="n"/>
      <c r="L144" s="38" t="n"/>
      <c r="M144" s="38" t="n"/>
      <c r="N144" s="40" t="n"/>
      <c r="O144" s="40" t="n"/>
      <c r="P144" s="38" t="n"/>
    </row>
    <row r="145" ht="21" customHeight="1">
      <c r="A145" s="38" t="n"/>
      <c r="B145" s="38" t="n"/>
      <c r="C145" s="38" t="n"/>
      <c r="D145" s="38" t="n"/>
      <c r="E145" s="39" t="n"/>
      <c r="F145" s="42" t="n"/>
      <c r="G145" s="42" t="n"/>
      <c r="H145" s="42" t="n"/>
      <c r="I145" s="42" t="n"/>
      <c r="J145" s="38" t="n"/>
      <c r="K145" s="38" t="n"/>
      <c r="L145" s="38" t="n"/>
      <c r="M145" s="38" t="n"/>
      <c r="N145" s="40" t="n"/>
      <c r="O145" s="40" t="n"/>
      <c r="P145" s="38" t="n"/>
    </row>
    <row r="146" ht="21" customHeight="1">
      <c r="A146" s="38" t="n"/>
      <c r="B146" s="38" t="n"/>
      <c r="C146" s="38" t="n"/>
      <c r="D146" s="38" t="n"/>
      <c r="E146" s="39" t="n"/>
      <c r="F146" s="42" t="n"/>
      <c r="G146" s="42" t="n"/>
      <c r="H146" s="42" t="n"/>
      <c r="I146" s="42" t="n"/>
      <c r="J146" s="38" t="n"/>
      <c r="K146" s="38" t="n"/>
      <c r="L146" s="38" t="n"/>
      <c r="M146" s="38" t="n"/>
      <c r="N146" s="40" t="n"/>
      <c r="O146" s="40" t="n"/>
      <c r="P146" s="38" t="n"/>
    </row>
    <row r="147" ht="21" customHeight="1">
      <c r="A147" s="38" t="n"/>
      <c r="B147" s="38" t="n"/>
      <c r="C147" s="38" t="n"/>
      <c r="D147" s="38" t="n"/>
      <c r="E147" s="39" t="n"/>
      <c r="F147" s="42" t="n"/>
      <c r="G147" s="42" t="n"/>
      <c r="H147" s="42" t="n"/>
      <c r="I147" s="42" t="n"/>
      <c r="J147" s="38" t="n"/>
      <c r="K147" s="38" t="n"/>
      <c r="L147" s="38" t="n"/>
      <c r="M147" s="38" t="n"/>
      <c r="N147" s="40" t="n"/>
      <c r="O147" s="40" t="n"/>
      <c r="P147" s="38" t="n"/>
    </row>
    <row r="148" ht="21" customHeight="1">
      <c r="A148" s="38" t="n"/>
      <c r="B148" s="38" t="n"/>
      <c r="C148" s="38" t="n"/>
      <c r="D148" s="38" t="n"/>
      <c r="E148" s="39" t="n"/>
      <c r="F148" s="42" t="n"/>
      <c r="G148" s="42" t="n"/>
      <c r="H148" s="42" t="n"/>
      <c r="I148" s="42" t="n"/>
      <c r="J148" s="38" t="n"/>
      <c r="K148" s="38" t="n"/>
      <c r="L148" s="38" t="n"/>
      <c r="M148" s="38" t="n"/>
      <c r="N148" s="40" t="n"/>
      <c r="O148" s="40" t="n"/>
      <c r="P148" s="38" t="n"/>
    </row>
    <row r="149" ht="21" customHeight="1">
      <c r="A149" s="38" t="n"/>
      <c r="B149" s="38" t="n"/>
      <c r="C149" s="38" t="n"/>
      <c r="D149" s="38" t="n"/>
      <c r="E149" s="39" t="n"/>
      <c r="F149" s="42" t="n"/>
      <c r="G149" s="42" t="n"/>
      <c r="H149" s="42" t="n"/>
      <c r="I149" s="42" t="n"/>
      <c r="J149" s="38" t="n"/>
      <c r="K149" s="38" t="n"/>
      <c r="L149" s="38" t="n"/>
      <c r="M149" s="38" t="n"/>
      <c r="N149" s="40" t="n"/>
      <c r="O149" s="40" t="n"/>
      <c r="P149" s="38" t="n"/>
    </row>
    <row r="150" ht="21" customHeight="1">
      <c r="A150" s="38" t="n"/>
      <c r="B150" s="38" t="n"/>
      <c r="C150" s="38" t="n"/>
      <c r="D150" s="38" t="n"/>
      <c r="E150" s="39" t="n"/>
      <c r="F150" s="42" t="n"/>
      <c r="G150" s="42" t="n"/>
      <c r="H150" s="42" t="n"/>
      <c r="I150" s="42" t="n"/>
      <c r="J150" s="38" t="n"/>
      <c r="K150" s="38" t="n"/>
      <c r="L150" s="38" t="n"/>
      <c r="M150" s="38" t="n"/>
      <c r="N150" s="40" t="n"/>
      <c r="O150" s="40" t="n"/>
      <c r="P150" s="38" t="n"/>
    </row>
    <row r="151" ht="21" customHeight="1">
      <c r="A151" s="38" t="n"/>
      <c r="B151" s="38" t="n"/>
      <c r="C151" s="38" t="n"/>
      <c r="D151" s="38" t="n"/>
      <c r="E151" s="39" t="n"/>
      <c r="F151" s="42" t="n"/>
      <c r="G151" s="42" t="n"/>
      <c r="H151" s="42" t="n"/>
      <c r="I151" s="42" t="n"/>
      <c r="J151" s="38" t="n"/>
      <c r="K151" s="38" t="n"/>
      <c r="L151" s="38" t="n"/>
      <c r="M151" s="38" t="n"/>
      <c r="N151" s="40" t="n"/>
      <c r="O151" s="40" t="n"/>
      <c r="P151" s="38" t="n"/>
    </row>
    <row r="152" ht="21" customHeight="1">
      <c r="A152" s="38" t="n"/>
      <c r="B152" s="38" t="n"/>
      <c r="C152" s="38" t="n"/>
      <c r="D152" s="38" t="n"/>
      <c r="E152" s="39" t="n"/>
      <c r="F152" s="42" t="n"/>
      <c r="G152" s="42" t="n"/>
      <c r="H152" s="42" t="n"/>
      <c r="I152" s="42" t="n"/>
      <c r="J152" s="38" t="n"/>
      <c r="K152" s="38" t="n"/>
      <c r="L152" s="38" t="n"/>
      <c r="M152" s="38" t="n"/>
      <c r="N152" s="40" t="n"/>
      <c r="O152" s="40" t="n"/>
      <c r="P152" s="38" t="n"/>
    </row>
    <row r="153" ht="21" customHeight="1">
      <c r="A153" s="38" t="n"/>
      <c r="B153" s="38" t="n"/>
      <c r="C153" s="38" t="n"/>
      <c r="D153" s="38" t="n"/>
      <c r="E153" s="39" t="n"/>
      <c r="F153" s="42" t="n"/>
      <c r="G153" s="42" t="n"/>
      <c r="H153" s="42" t="n"/>
      <c r="I153" s="42" t="n"/>
      <c r="J153" s="38" t="n"/>
      <c r="K153" s="38" t="n"/>
      <c r="L153" s="38" t="n"/>
      <c r="M153" s="38" t="n"/>
      <c r="N153" s="40" t="n"/>
      <c r="O153" s="40" t="n"/>
      <c r="P153" s="38" t="n"/>
    </row>
    <row r="154" ht="21" customHeight="1">
      <c r="A154" s="38" t="n"/>
      <c r="B154" s="38" t="n"/>
      <c r="C154" s="38" t="n"/>
      <c r="D154" s="38" t="n"/>
      <c r="E154" s="39" t="n"/>
      <c r="F154" s="42" t="n"/>
      <c r="G154" s="42" t="n"/>
      <c r="H154" s="42" t="n"/>
      <c r="I154" s="42" t="n"/>
      <c r="J154" s="38" t="n"/>
      <c r="K154" s="38" t="n"/>
      <c r="L154" s="38" t="n"/>
      <c r="M154" s="38" t="n"/>
      <c r="N154" s="40" t="n"/>
      <c r="O154" s="40" t="n"/>
      <c r="P154" s="38" t="n"/>
    </row>
    <row r="155" ht="21" customHeight="1">
      <c r="A155" s="38" t="n"/>
      <c r="B155" s="38" t="n"/>
      <c r="C155" s="38" t="n"/>
      <c r="D155" s="38" t="n"/>
      <c r="E155" s="39" t="n"/>
      <c r="F155" s="42" t="n"/>
      <c r="G155" s="42" t="n"/>
      <c r="H155" s="42" t="n"/>
      <c r="I155" s="42" t="n"/>
      <c r="J155" s="38" t="n"/>
      <c r="K155" s="38" t="n"/>
      <c r="L155" s="38" t="n"/>
      <c r="M155" s="38" t="n"/>
      <c r="N155" s="40" t="n"/>
      <c r="O155" s="40" t="n"/>
      <c r="P155" s="38" t="n"/>
    </row>
    <row r="156" ht="21" customHeight="1">
      <c r="A156" s="38" t="n"/>
      <c r="B156" s="38" t="n"/>
      <c r="C156" s="38" t="n"/>
      <c r="D156" s="38" t="n"/>
      <c r="E156" s="39" t="n"/>
      <c r="F156" s="42" t="n"/>
      <c r="G156" s="42" t="n"/>
      <c r="H156" s="42" t="n"/>
      <c r="I156" s="42" t="n"/>
      <c r="J156" s="38" t="n"/>
      <c r="K156" s="38" t="n"/>
      <c r="L156" s="38" t="n"/>
      <c r="M156" s="38" t="n"/>
      <c r="N156" s="40" t="n"/>
      <c r="O156" s="40" t="n"/>
      <c r="P156" s="38" t="n"/>
    </row>
    <row r="157" ht="21" customHeight="1">
      <c r="A157" s="38" t="n"/>
      <c r="B157" s="38" t="n"/>
      <c r="C157" s="38" t="n"/>
      <c r="D157" s="38" t="n"/>
      <c r="E157" s="39" t="n"/>
      <c r="F157" s="42" t="n"/>
      <c r="G157" s="42" t="n"/>
      <c r="H157" s="42" t="n"/>
      <c r="I157" s="42" t="n"/>
      <c r="J157" s="38" t="n"/>
      <c r="K157" s="38" t="n"/>
      <c r="L157" s="38" t="n"/>
      <c r="M157" s="38" t="n"/>
      <c r="N157" s="40" t="n"/>
      <c r="O157" s="40" t="n"/>
      <c r="P157" s="38" t="n"/>
    </row>
    <row r="158" ht="21" customHeight="1">
      <c r="A158" s="38" t="n"/>
      <c r="B158" s="38" t="n"/>
      <c r="C158" s="38" t="n"/>
      <c r="D158" s="38" t="n"/>
      <c r="E158" s="39" t="n"/>
      <c r="F158" s="42" t="n"/>
      <c r="G158" s="42" t="n"/>
      <c r="H158" s="42" t="n"/>
      <c r="I158" s="42" t="n"/>
      <c r="J158" s="38" t="n"/>
      <c r="K158" s="38" t="n"/>
      <c r="L158" s="38" t="n"/>
      <c r="M158" s="38" t="n"/>
      <c r="N158" s="40" t="n"/>
      <c r="O158" s="40" t="n"/>
      <c r="P158" s="38" t="n"/>
    </row>
    <row r="159" ht="21" customHeight="1">
      <c r="A159" s="38" t="n"/>
      <c r="B159" s="38" t="n"/>
      <c r="C159" s="38" t="n"/>
      <c r="D159" s="38" t="n"/>
      <c r="E159" s="39" t="n"/>
      <c r="F159" s="42" t="n"/>
      <c r="G159" s="42" t="n"/>
      <c r="H159" s="42" t="n"/>
      <c r="I159" s="42" t="n"/>
      <c r="J159" s="38" t="n"/>
      <c r="K159" s="38" t="n"/>
      <c r="L159" s="38" t="n"/>
      <c r="M159" s="38" t="n"/>
      <c r="N159" s="40" t="n"/>
      <c r="O159" s="40" t="n"/>
      <c r="P159" s="38" t="n"/>
    </row>
    <row r="160" ht="21" customHeight="1">
      <c r="A160" s="38" t="n"/>
      <c r="B160" s="38" t="n"/>
      <c r="C160" s="38" t="n"/>
      <c r="D160" s="38" t="n"/>
      <c r="E160" s="39" t="n"/>
      <c r="F160" s="42" t="n"/>
      <c r="G160" s="42" t="n"/>
      <c r="H160" s="42" t="n"/>
      <c r="I160" s="42" t="n"/>
      <c r="J160" s="38" t="n"/>
      <c r="K160" s="38" t="n"/>
      <c r="L160" s="38" t="n"/>
      <c r="M160" s="38" t="n"/>
      <c r="N160" s="40" t="n"/>
      <c r="O160" s="40" t="n"/>
      <c r="P160" s="38" t="n"/>
    </row>
    <row r="161" ht="21" customHeight="1">
      <c r="A161" s="38" t="n"/>
      <c r="B161" s="38" t="n"/>
      <c r="C161" s="38" t="n"/>
      <c r="D161" s="38" t="n"/>
      <c r="E161" s="39" t="n"/>
      <c r="F161" s="42" t="n"/>
      <c r="G161" s="42" t="n"/>
      <c r="H161" s="42" t="n"/>
      <c r="I161" s="42" t="n"/>
      <c r="J161" s="38" t="n"/>
      <c r="K161" s="38" t="n"/>
      <c r="L161" s="38" t="n"/>
      <c r="M161" s="38" t="n"/>
      <c r="N161" s="40" t="n"/>
      <c r="O161" s="40" t="n"/>
      <c r="P161" s="38" t="n"/>
    </row>
    <row r="162" ht="21" customHeight="1">
      <c r="A162" s="38" t="n"/>
      <c r="B162" s="38" t="n"/>
      <c r="C162" s="38" t="n"/>
      <c r="D162" s="38" t="n"/>
      <c r="E162" s="39" t="n"/>
      <c r="F162" s="42" t="n"/>
      <c r="G162" s="42" t="n"/>
      <c r="H162" s="42" t="n"/>
      <c r="I162" s="42" t="n"/>
      <c r="J162" s="38" t="n"/>
      <c r="K162" s="38" t="n"/>
      <c r="L162" s="38" t="n"/>
      <c r="M162" s="38" t="n"/>
      <c r="N162" s="40" t="n"/>
      <c r="O162" s="40" t="n"/>
      <c r="P162" s="38" t="n"/>
    </row>
    <row r="163" ht="21" customHeight="1">
      <c r="A163" s="38" t="n"/>
      <c r="B163" s="38" t="n"/>
      <c r="C163" s="38" t="n"/>
      <c r="D163" s="38" t="n"/>
      <c r="E163" s="39" t="n"/>
      <c r="F163" s="42" t="n"/>
      <c r="G163" s="42" t="n"/>
      <c r="H163" s="42" t="n"/>
      <c r="I163" s="42" t="n"/>
      <c r="J163" s="38" t="n"/>
      <c r="K163" s="38" t="n"/>
      <c r="L163" s="38" t="n"/>
      <c r="M163" s="38" t="n"/>
      <c r="N163" s="40" t="n"/>
      <c r="O163" s="40" t="n"/>
      <c r="P163" s="38" t="n"/>
    </row>
    <row r="164" ht="21" customHeight="1">
      <c r="A164" s="38" t="n"/>
      <c r="B164" s="38" t="n"/>
      <c r="C164" s="38" t="n"/>
      <c r="D164" s="38" t="n"/>
      <c r="E164" s="39" t="n"/>
      <c r="F164" s="42" t="n"/>
      <c r="G164" s="42" t="n"/>
      <c r="H164" s="42" t="n"/>
      <c r="I164" s="42" t="n"/>
      <c r="J164" s="38" t="n"/>
      <c r="K164" s="38" t="n"/>
      <c r="L164" s="38" t="n"/>
      <c r="M164" s="38" t="n"/>
      <c r="N164" s="40" t="n"/>
      <c r="O164" s="40" t="n"/>
      <c r="P164" s="38" t="n"/>
    </row>
    <row r="165" ht="21" customHeight="1">
      <c r="A165" s="38" t="n"/>
      <c r="B165" s="38" t="n"/>
      <c r="C165" s="38" t="n"/>
      <c r="D165" s="38" t="n"/>
      <c r="E165" s="39" t="n"/>
      <c r="F165" s="42" t="n"/>
      <c r="G165" s="42" t="n"/>
      <c r="H165" s="42" t="n"/>
      <c r="I165" s="42" t="n"/>
      <c r="J165" s="38" t="n"/>
      <c r="K165" s="38" t="n"/>
      <c r="L165" s="38" t="n"/>
      <c r="M165" s="38" t="n"/>
      <c r="N165" s="40" t="n"/>
      <c r="O165" s="40" t="n"/>
      <c r="P165" s="38" t="n"/>
    </row>
    <row r="166" ht="21" customHeight="1">
      <c r="A166" s="38" t="n"/>
      <c r="B166" s="38" t="n"/>
      <c r="C166" s="38" t="n"/>
      <c r="D166" s="38" t="n"/>
      <c r="E166" s="39" t="n"/>
      <c r="F166" s="42" t="n"/>
      <c r="G166" s="42" t="n"/>
      <c r="H166" s="42" t="n"/>
      <c r="I166" s="42" t="n"/>
      <c r="J166" s="38" t="n"/>
      <c r="K166" s="38" t="n"/>
      <c r="L166" s="38" t="n"/>
      <c r="M166" s="38" t="n"/>
      <c r="N166" s="40" t="n"/>
      <c r="O166" s="40" t="n"/>
      <c r="P166" s="38" t="n"/>
    </row>
    <row r="167" ht="21" customHeight="1">
      <c r="A167" s="38" t="n"/>
      <c r="B167" s="38" t="n"/>
      <c r="C167" s="38" t="n"/>
      <c r="D167" s="38" t="n"/>
      <c r="E167" s="39" t="n"/>
      <c r="F167" s="42" t="n"/>
      <c r="G167" s="42" t="n"/>
      <c r="H167" s="42" t="n"/>
      <c r="I167" s="42" t="n"/>
      <c r="J167" s="38" t="n"/>
      <c r="K167" s="38" t="n"/>
      <c r="L167" s="38" t="n"/>
      <c r="M167" s="38" t="n"/>
      <c r="N167" s="40" t="n"/>
      <c r="O167" s="40" t="n"/>
      <c r="P167" s="38" t="n"/>
    </row>
    <row r="168" ht="21" customHeight="1">
      <c r="A168" s="38" t="n"/>
      <c r="B168" s="38" t="n"/>
      <c r="C168" s="38" t="n"/>
      <c r="D168" s="38" t="n"/>
      <c r="E168" s="39" t="n"/>
      <c r="F168" s="42" t="n"/>
      <c r="G168" s="42" t="n"/>
      <c r="H168" s="42" t="n"/>
      <c r="I168" s="42" t="n"/>
      <c r="J168" s="38" t="n"/>
      <c r="K168" s="38" t="n"/>
      <c r="L168" s="38" t="n"/>
      <c r="M168" s="38" t="n"/>
      <c r="N168" s="40" t="n"/>
      <c r="O168" s="40" t="n"/>
      <c r="P168" s="38" t="n"/>
    </row>
    <row r="169" ht="21" customHeight="1">
      <c r="A169" s="38" t="n"/>
      <c r="B169" s="38" t="n"/>
      <c r="C169" s="38" t="n"/>
      <c r="D169" s="38" t="n"/>
      <c r="E169" s="39" t="n"/>
      <c r="F169" s="42" t="n"/>
      <c r="G169" s="42" t="n"/>
      <c r="H169" s="42" t="n"/>
      <c r="I169" s="42" t="n"/>
      <c r="J169" s="38" t="n"/>
      <c r="K169" s="38" t="n"/>
      <c r="L169" s="38" t="n"/>
      <c r="M169" s="38" t="n"/>
      <c r="N169" s="40" t="n"/>
      <c r="O169" s="40" t="n"/>
      <c r="P169" s="38" t="n"/>
    </row>
    <row r="170" ht="21" customHeight="1">
      <c r="A170" s="38" t="n"/>
      <c r="B170" s="38" t="n"/>
      <c r="C170" s="38" t="n"/>
      <c r="D170" s="38" t="n"/>
      <c r="E170" s="39" t="n"/>
      <c r="F170" s="42" t="n"/>
      <c r="G170" s="42" t="n"/>
      <c r="H170" s="42" t="n"/>
      <c r="I170" s="42" t="n"/>
      <c r="J170" s="38" t="n"/>
      <c r="K170" s="38" t="n"/>
      <c r="L170" s="38" t="n"/>
      <c r="M170" s="38" t="n"/>
      <c r="N170" s="40" t="n"/>
      <c r="O170" s="40" t="n"/>
      <c r="P170" s="38" t="n"/>
    </row>
    <row r="171" ht="21" customHeight="1">
      <c r="A171" s="38" t="n"/>
      <c r="B171" s="38" t="n"/>
      <c r="C171" s="38" t="n"/>
      <c r="D171" s="38" t="n"/>
      <c r="E171" s="39" t="n"/>
      <c r="F171" s="42" t="n"/>
      <c r="G171" s="42" t="n"/>
      <c r="H171" s="42" t="n"/>
      <c r="I171" s="42" t="n"/>
      <c r="J171" s="38" t="n"/>
      <c r="K171" s="38" t="n"/>
      <c r="L171" s="38" t="n"/>
      <c r="M171" s="38" t="n"/>
      <c r="N171" s="40" t="n"/>
      <c r="O171" s="40" t="n"/>
      <c r="P171" s="38" t="n"/>
    </row>
    <row r="172" ht="21" customHeight="1">
      <c r="A172" s="38" t="n"/>
      <c r="B172" s="38" t="n"/>
      <c r="C172" s="38" t="n"/>
      <c r="D172" s="38" t="n"/>
      <c r="E172" s="39" t="n"/>
      <c r="F172" s="42" t="n"/>
      <c r="G172" s="42" t="n"/>
      <c r="H172" s="42" t="n"/>
      <c r="I172" s="42" t="n"/>
      <c r="J172" s="38" t="n"/>
      <c r="K172" s="38" t="n"/>
      <c r="L172" s="38" t="n"/>
      <c r="M172" s="38" t="n"/>
      <c r="N172" s="40" t="n"/>
      <c r="O172" s="40" t="n"/>
      <c r="P172" s="38" t="n"/>
    </row>
    <row r="173" ht="21" customHeight="1">
      <c r="A173" s="38" t="n"/>
      <c r="B173" s="38" t="n"/>
      <c r="C173" s="38" t="n"/>
      <c r="D173" s="38" t="n"/>
      <c r="E173" s="39" t="n"/>
      <c r="F173" s="42" t="n"/>
      <c r="G173" s="42" t="n"/>
      <c r="H173" s="42" t="n"/>
      <c r="I173" s="42" t="n"/>
      <c r="J173" s="38" t="n"/>
      <c r="K173" s="38" t="n"/>
      <c r="L173" s="38" t="n"/>
      <c r="M173" s="38" t="n"/>
      <c r="N173" s="40" t="n"/>
      <c r="O173" s="40" t="n"/>
      <c r="P173" s="38" t="n"/>
    </row>
    <row r="174" ht="21" customHeight="1">
      <c r="A174" s="38" t="n"/>
      <c r="B174" s="38" t="n"/>
      <c r="C174" s="38" t="n"/>
      <c r="D174" s="38" t="n"/>
      <c r="E174" s="39" t="n"/>
      <c r="F174" s="42" t="n"/>
      <c r="G174" s="42" t="n"/>
      <c r="H174" s="42" t="n"/>
      <c r="I174" s="42" t="n"/>
      <c r="J174" s="38" t="n"/>
      <c r="K174" s="38" t="n"/>
      <c r="L174" s="38" t="n"/>
      <c r="M174" s="38" t="n"/>
      <c r="N174" s="40" t="n"/>
      <c r="O174" s="40" t="n"/>
      <c r="P174" s="38" t="n"/>
    </row>
    <row r="175" ht="21" customHeight="1">
      <c r="A175" s="38" t="n"/>
      <c r="B175" s="38" t="n"/>
      <c r="C175" s="38" t="n"/>
      <c r="D175" s="38" t="n"/>
      <c r="E175" s="39" t="n"/>
      <c r="F175" s="42" t="n"/>
      <c r="G175" s="42" t="n"/>
      <c r="H175" s="42" t="n"/>
      <c r="I175" s="42" t="n"/>
      <c r="J175" s="38" t="n"/>
      <c r="K175" s="38" t="n"/>
      <c r="L175" s="38" t="n"/>
      <c r="M175" s="38" t="n"/>
      <c r="N175" s="40" t="n"/>
      <c r="O175" s="40" t="n"/>
      <c r="P175" s="38" t="n"/>
    </row>
    <row r="176" ht="21" customHeight="1">
      <c r="A176" s="38" t="n"/>
      <c r="B176" s="38" t="n"/>
      <c r="C176" s="38" t="n"/>
      <c r="D176" s="38" t="n"/>
      <c r="E176" s="39" t="n"/>
      <c r="F176" s="42" t="n"/>
      <c r="G176" s="42" t="n"/>
      <c r="H176" s="42" t="n"/>
      <c r="I176" s="42" t="n"/>
      <c r="J176" s="38" t="n"/>
      <c r="K176" s="38" t="n"/>
      <c r="L176" s="38" t="n"/>
      <c r="M176" s="38" t="n"/>
      <c r="N176" s="40" t="n"/>
      <c r="O176" s="40" t="n"/>
      <c r="P176" s="38" t="n"/>
    </row>
    <row r="177" ht="21" customHeight="1">
      <c r="A177" s="38" t="n"/>
      <c r="B177" s="38" t="n"/>
      <c r="C177" s="38" t="n"/>
      <c r="D177" s="38" t="n"/>
      <c r="E177" s="39" t="n"/>
      <c r="F177" s="42" t="n"/>
      <c r="G177" s="42" t="n"/>
      <c r="H177" s="42" t="n"/>
      <c r="I177" s="42" t="n"/>
      <c r="J177" s="38" t="n"/>
      <c r="K177" s="38" t="n"/>
      <c r="L177" s="38" t="n"/>
      <c r="M177" s="38" t="n"/>
      <c r="N177" s="40" t="n"/>
      <c r="O177" s="40" t="n"/>
      <c r="P177" s="38" t="n"/>
    </row>
    <row r="178" ht="21" customHeight="1">
      <c r="A178" s="38" t="n"/>
      <c r="B178" s="38" t="n"/>
      <c r="C178" s="38" t="n"/>
      <c r="D178" s="38" t="n"/>
      <c r="E178" s="39" t="n"/>
      <c r="F178" s="42" t="n"/>
      <c r="G178" s="42" t="n"/>
      <c r="H178" s="42" t="n"/>
      <c r="I178" s="42" t="n"/>
      <c r="J178" s="38" t="n"/>
      <c r="K178" s="38" t="n"/>
      <c r="L178" s="38" t="n"/>
      <c r="M178" s="38" t="n"/>
      <c r="N178" s="40" t="n"/>
      <c r="O178" s="40" t="n"/>
      <c r="P178" s="38" t="n"/>
    </row>
    <row r="179" ht="21" customHeight="1">
      <c r="A179" s="38" t="n"/>
      <c r="B179" s="38" t="n"/>
      <c r="C179" s="38" t="n"/>
      <c r="D179" s="38" t="n"/>
      <c r="E179" s="39" t="n"/>
      <c r="F179" s="42" t="n"/>
      <c r="G179" s="42" t="n"/>
      <c r="H179" s="42" t="n"/>
      <c r="I179" s="42" t="n"/>
      <c r="J179" s="38" t="n"/>
      <c r="K179" s="38" t="n"/>
      <c r="L179" s="38" t="n"/>
      <c r="M179" s="38" t="n"/>
      <c r="N179" s="40" t="n"/>
      <c r="O179" s="40" t="n"/>
      <c r="P179" s="38" t="n"/>
    </row>
    <row r="180" ht="21" customHeight="1">
      <c r="A180" s="38" t="n"/>
      <c r="B180" s="38" t="n"/>
      <c r="C180" s="38" t="n"/>
      <c r="D180" s="38" t="n"/>
      <c r="E180" s="39" t="n"/>
      <c r="F180" s="42" t="n"/>
      <c r="G180" s="42" t="n"/>
      <c r="H180" s="42" t="n"/>
      <c r="I180" s="42" t="n"/>
      <c r="J180" s="38" t="n"/>
      <c r="K180" s="38" t="n"/>
      <c r="L180" s="38" t="n"/>
      <c r="M180" s="38" t="n"/>
      <c r="N180" s="40" t="n"/>
      <c r="O180" s="40" t="n"/>
      <c r="P180" s="38" t="n"/>
    </row>
    <row r="181" ht="21" customHeight="1">
      <c r="A181" s="38" t="n"/>
      <c r="B181" s="38" t="n"/>
      <c r="C181" s="38" t="n"/>
      <c r="D181" s="38" t="n"/>
      <c r="E181" s="39" t="n"/>
      <c r="F181" s="42" t="n"/>
      <c r="G181" s="42" t="n"/>
      <c r="H181" s="42" t="n"/>
      <c r="I181" s="42" t="n"/>
      <c r="J181" s="38" t="n"/>
      <c r="K181" s="38" t="n"/>
      <c r="L181" s="38" t="n"/>
      <c r="M181" s="38" t="n"/>
      <c r="N181" s="40" t="n"/>
      <c r="O181" s="40" t="n"/>
      <c r="P181" s="38" t="n"/>
    </row>
    <row r="182" ht="21" customHeight="1">
      <c r="A182" s="38" t="n"/>
      <c r="B182" s="38" t="n"/>
      <c r="C182" s="38" t="n"/>
      <c r="D182" s="38" t="n"/>
      <c r="E182" s="39" t="n"/>
      <c r="F182" s="42" t="n"/>
      <c r="G182" s="42" t="n"/>
      <c r="H182" s="42" t="n"/>
      <c r="I182" s="42" t="n"/>
      <c r="J182" s="38" t="n"/>
      <c r="K182" s="38" t="n"/>
      <c r="L182" s="38" t="n"/>
      <c r="M182" s="38" t="n"/>
      <c r="N182" s="40" t="n"/>
      <c r="O182" s="40" t="n"/>
      <c r="P182" s="38" t="n"/>
    </row>
    <row r="183" ht="21" customHeight="1">
      <c r="A183" s="38" t="n"/>
      <c r="B183" s="38" t="n"/>
      <c r="C183" s="38" t="n"/>
      <c r="D183" s="38" t="n"/>
      <c r="E183" s="39" t="n"/>
      <c r="F183" s="42" t="n"/>
      <c r="G183" s="42" t="n"/>
      <c r="H183" s="42" t="n"/>
      <c r="I183" s="42" t="n"/>
      <c r="J183" s="38" t="n"/>
      <c r="K183" s="38" t="n"/>
      <c r="L183" s="38" t="n"/>
      <c r="M183" s="38" t="n"/>
      <c r="N183" s="40" t="n"/>
      <c r="O183" s="40" t="n"/>
      <c r="P183" s="38" t="n"/>
    </row>
    <row r="184" ht="21" customHeight="1">
      <c r="A184" s="38" t="n"/>
      <c r="B184" s="38" t="n"/>
      <c r="C184" s="38" t="n"/>
      <c r="D184" s="38" t="n"/>
      <c r="E184" s="39" t="n"/>
      <c r="F184" s="42" t="n"/>
      <c r="G184" s="42" t="n"/>
      <c r="H184" s="42" t="n"/>
      <c r="I184" s="42" t="n"/>
      <c r="J184" s="38" t="n"/>
      <c r="K184" s="38" t="n"/>
      <c r="L184" s="38" t="n"/>
      <c r="M184" s="38" t="n"/>
      <c r="N184" s="40" t="n"/>
      <c r="O184" s="40" t="n"/>
      <c r="P184" s="38" t="n"/>
    </row>
    <row r="185" ht="21" customHeight="1">
      <c r="A185" s="38" t="n"/>
      <c r="B185" s="38" t="n"/>
      <c r="C185" s="38" t="n"/>
      <c r="D185" s="38" t="n"/>
      <c r="E185" s="39" t="n"/>
      <c r="F185" s="42" t="n"/>
      <c r="G185" s="42" t="n"/>
      <c r="H185" s="42" t="n"/>
      <c r="I185" s="42" t="n"/>
      <c r="J185" s="38" t="n"/>
      <c r="K185" s="38" t="n"/>
      <c r="L185" s="38" t="n"/>
      <c r="M185" s="38" t="n"/>
      <c r="N185" s="40" t="n"/>
      <c r="O185" s="40" t="n"/>
      <c r="P185" s="38" t="n"/>
    </row>
    <row r="186" ht="21" customHeight="1">
      <c r="A186" s="38" t="n"/>
      <c r="B186" s="38" t="n"/>
      <c r="C186" s="38" t="n"/>
      <c r="D186" s="38" t="n"/>
      <c r="E186" s="39" t="n"/>
      <c r="F186" s="42" t="n"/>
      <c r="G186" s="42" t="n"/>
      <c r="H186" s="42" t="n"/>
      <c r="I186" s="42" t="n"/>
      <c r="J186" s="38" t="n"/>
      <c r="K186" s="38" t="n"/>
      <c r="L186" s="38" t="n"/>
      <c r="M186" s="38" t="n"/>
      <c r="N186" s="40" t="n"/>
      <c r="O186" s="40" t="n"/>
      <c r="P186" s="38" t="n"/>
    </row>
    <row r="187" ht="21" customHeight="1">
      <c r="A187" s="38" t="n"/>
      <c r="B187" s="38" t="n"/>
      <c r="C187" s="38" t="n"/>
      <c r="D187" s="38" t="n"/>
      <c r="E187" s="39" t="n"/>
      <c r="F187" s="42" t="n"/>
      <c r="G187" s="42" t="n"/>
      <c r="H187" s="42" t="n"/>
      <c r="I187" s="42" t="n"/>
      <c r="J187" s="38" t="n"/>
      <c r="K187" s="38" t="n"/>
      <c r="L187" s="38" t="n"/>
      <c r="M187" s="38" t="n"/>
      <c r="N187" s="40" t="n"/>
      <c r="O187" s="40" t="n"/>
      <c r="P187" s="38" t="n"/>
    </row>
    <row r="188" ht="21" customHeight="1">
      <c r="A188" s="38" t="n"/>
      <c r="B188" s="38" t="n"/>
      <c r="C188" s="38" t="n"/>
      <c r="D188" s="38" t="n"/>
      <c r="E188" s="39" t="n"/>
      <c r="F188" s="42" t="n"/>
      <c r="G188" s="42" t="n"/>
      <c r="H188" s="42" t="n"/>
      <c r="I188" s="42" t="n"/>
      <c r="J188" s="38" t="n"/>
      <c r="K188" s="38" t="n"/>
      <c r="L188" s="38" t="n"/>
      <c r="M188" s="38" t="n"/>
      <c r="N188" s="40" t="n"/>
      <c r="O188" s="40" t="n"/>
      <c r="P188" s="38" t="n"/>
    </row>
    <row r="189" ht="21" customHeight="1">
      <c r="A189" s="38" t="n"/>
      <c r="B189" s="38" t="n"/>
      <c r="C189" s="38" t="n"/>
      <c r="D189" s="38" t="n"/>
      <c r="E189" s="39" t="n"/>
      <c r="F189" s="42" t="n"/>
      <c r="G189" s="42" t="n"/>
      <c r="H189" s="42" t="n"/>
      <c r="I189" s="42" t="n"/>
      <c r="J189" s="38" t="n"/>
      <c r="K189" s="38" t="n"/>
      <c r="L189" s="38" t="n"/>
      <c r="M189" s="38" t="n"/>
      <c r="N189" s="40" t="n"/>
      <c r="O189" s="40" t="n"/>
      <c r="P189" s="38" t="n"/>
    </row>
    <row r="190" ht="21" customHeight="1">
      <c r="A190" s="38" t="n"/>
      <c r="B190" s="38" t="n"/>
      <c r="C190" s="38" t="n"/>
      <c r="D190" s="38" t="n"/>
      <c r="E190" s="39" t="n"/>
      <c r="F190" s="42" t="n"/>
      <c r="G190" s="42" t="n"/>
      <c r="H190" s="42" t="n"/>
      <c r="I190" s="42" t="n"/>
      <c r="J190" s="38" t="n"/>
      <c r="K190" s="38" t="n"/>
      <c r="L190" s="38" t="n"/>
      <c r="M190" s="38" t="n"/>
      <c r="N190" s="40" t="n"/>
      <c r="O190" s="40" t="n"/>
      <c r="P190" s="38" t="n"/>
    </row>
    <row r="191" ht="21" customHeight="1">
      <c r="A191" s="38" t="n"/>
      <c r="B191" s="38" t="n"/>
      <c r="C191" s="38" t="n"/>
      <c r="D191" s="38" t="n"/>
      <c r="E191" s="39" t="n"/>
      <c r="F191" s="42" t="n"/>
      <c r="G191" s="42" t="n"/>
      <c r="H191" s="42" t="n"/>
      <c r="I191" s="42" t="n"/>
      <c r="J191" s="38" t="n"/>
      <c r="K191" s="38" t="n"/>
      <c r="L191" s="38" t="n"/>
      <c r="M191" s="38" t="n"/>
      <c r="N191" s="40" t="n"/>
      <c r="O191" s="40" t="n"/>
      <c r="P191" s="38" t="n"/>
    </row>
    <row r="192" ht="21" customHeight="1">
      <c r="A192" s="38" t="n"/>
      <c r="B192" s="38" t="n"/>
      <c r="C192" s="38" t="n"/>
      <c r="D192" s="38" t="n"/>
      <c r="E192" s="39" t="n"/>
      <c r="F192" s="42" t="n"/>
      <c r="G192" s="42" t="n"/>
      <c r="H192" s="42" t="n"/>
      <c r="I192" s="42" t="n"/>
      <c r="J192" s="38" t="n"/>
      <c r="K192" s="38" t="n"/>
      <c r="L192" s="38" t="n"/>
      <c r="M192" s="38" t="n"/>
      <c r="N192" s="40" t="n"/>
      <c r="O192" s="40" t="n"/>
      <c r="P192" s="38" t="n"/>
    </row>
    <row r="193" ht="21" customHeight="1">
      <c r="A193" s="38" t="n"/>
      <c r="B193" s="38" t="n"/>
      <c r="C193" s="38" t="n"/>
      <c r="D193" s="38" t="n"/>
      <c r="E193" s="39" t="n"/>
      <c r="F193" s="42" t="n"/>
      <c r="G193" s="42" t="n"/>
      <c r="H193" s="42" t="n"/>
      <c r="I193" s="42" t="n"/>
      <c r="J193" s="38" t="n"/>
      <c r="K193" s="38" t="n"/>
      <c r="L193" s="38" t="n"/>
      <c r="M193" s="38" t="n"/>
      <c r="N193" s="40" t="n"/>
      <c r="O193" s="40" t="n"/>
      <c r="P193" s="38" t="n"/>
    </row>
    <row r="194" ht="21" customHeight="1">
      <c r="A194" s="38" t="n"/>
      <c r="B194" s="38" t="n"/>
      <c r="C194" s="38" t="n"/>
      <c r="D194" s="38" t="n"/>
      <c r="E194" s="39" t="n"/>
      <c r="F194" s="42" t="n"/>
      <c r="G194" s="42" t="n"/>
      <c r="H194" s="42" t="n"/>
      <c r="I194" s="42" t="n"/>
      <c r="J194" s="38" t="n"/>
      <c r="K194" s="38" t="n"/>
      <c r="L194" s="38" t="n"/>
      <c r="M194" s="38" t="n"/>
      <c r="N194" s="40" t="n"/>
      <c r="O194" s="40" t="n"/>
      <c r="P194" s="38" t="n"/>
    </row>
    <row r="195" ht="21" customHeight="1">
      <c r="A195" s="38" t="n"/>
      <c r="B195" s="38" t="n"/>
      <c r="C195" s="38" t="n"/>
      <c r="D195" s="38" t="n"/>
      <c r="E195" s="39" t="n"/>
      <c r="F195" s="42" t="n"/>
      <c r="G195" s="42" t="n"/>
      <c r="H195" s="42" t="n"/>
      <c r="I195" s="42" t="n"/>
      <c r="J195" s="38" t="n"/>
      <c r="K195" s="38" t="n"/>
      <c r="L195" s="38" t="n"/>
      <c r="M195" s="38" t="n"/>
      <c r="N195" s="40" t="n"/>
      <c r="O195" s="40" t="n"/>
      <c r="P195" s="38" t="n"/>
    </row>
    <row r="196" ht="21" customHeight="1">
      <c r="A196" s="38" t="n"/>
      <c r="B196" s="38" t="n"/>
      <c r="C196" s="38" t="n"/>
      <c r="D196" s="38" t="n"/>
      <c r="E196" s="39" t="n"/>
      <c r="F196" s="42" t="n"/>
      <c r="G196" s="42" t="n"/>
      <c r="H196" s="42" t="n"/>
      <c r="I196" s="42" t="n"/>
      <c r="J196" s="38" t="n"/>
      <c r="K196" s="38" t="n"/>
      <c r="L196" s="38" t="n"/>
      <c r="M196" s="38" t="n"/>
      <c r="N196" s="40" t="n"/>
      <c r="O196" s="40" t="n"/>
      <c r="P196" s="38" t="n"/>
    </row>
    <row r="197" ht="21" customHeight="1">
      <c r="A197" s="38" t="n"/>
      <c r="B197" s="38" t="n"/>
      <c r="C197" s="38" t="n"/>
      <c r="D197" s="38" t="n"/>
      <c r="E197" s="39" t="n"/>
      <c r="F197" s="42" t="n"/>
      <c r="G197" s="42" t="n"/>
      <c r="H197" s="42" t="n"/>
      <c r="I197" s="42" t="n"/>
      <c r="J197" s="38" t="n"/>
      <c r="K197" s="38" t="n"/>
      <c r="L197" s="38" t="n"/>
      <c r="M197" s="38" t="n"/>
      <c r="N197" s="40" t="n"/>
      <c r="O197" s="40" t="n"/>
      <c r="P197" s="38" t="n"/>
    </row>
    <row r="198" ht="21" customHeight="1">
      <c r="A198" s="38" t="n"/>
      <c r="B198" s="38" t="n"/>
      <c r="C198" s="38" t="n"/>
      <c r="D198" s="38" t="n"/>
      <c r="E198" s="39" t="n"/>
      <c r="F198" s="42" t="n"/>
      <c r="G198" s="42" t="n"/>
      <c r="H198" s="42" t="n"/>
      <c r="I198" s="42" t="n"/>
      <c r="J198" s="38" t="n"/>
      <c r="K198" s="38" t="n"/>
      <c r="L198" s="38" t="n"/>
      <c r="M198" s="38" t="n"/>
      <c r="N198" s="40" t="n"/>
      <c r="O198" s="40" t="n"/>
      <c r="P198" s="38" t="n"/>
    </row>
    <row r="199" ht="21" customHeight="1">
      <c r="A199" s="38" t="n"/>
      <c r="B199" s="38" t="n"/>
      <c r="C199" s="38" t="n"/>
      <c r="D199" s="38" t="n"/>
      <c r="E199" s="39" t="n"/>
      <c r="F199" s="42" t="n"/>
      <c r="G199" s="42" t="n"/>
      <c r="H199" s="42" t="n"/>
      <c r="I199" s="42" t="n"/>
      <c r="J199" s="38" t="n"/>
      <c r="K199" s="38" t="n"/>
      <c r="L199" s="38" t="n"/>
      <c r="M199" s="38" t="n"/>
      <c r="N199" s="40" t="n"/>
      <c r="O199" s="40" t="n"/>
      <c r="P199" s="38" t="n"/>
    </row>
    <row r="200" ht="21" customHeight="1">
      <c r="A200" s="38" t="n"/>
      <c r="B200" s="38" t="n"/>
      <c r="C200" s="38" t="n"/>
      <c r="D200" s="38" t="n"/>
      <c r="E200" s="39" t="n"/>
      <c r="F200" s="42" t="n"/>
      <c r="G200" s="42" t="n"/>
      <c r="H200" s="42" t="n"/>
      <c r="I200" s="42" t="n"/>
      <c r="J200" s="38" t="n"/>
      <c r="K200" s="38" t="n"/>
      <c r="L200" s="38" t="n"/>
      <c r="M200" s="38" t="n"/>
      <c r="N200" s="40" t="n"/>
      <c r="O200" s="40" t="n"/>
      <c r="P200" s="38" t="n"/>
    </row>
    <row r="201" ht="21" customHeight="1">
      <c r="A201" s="38" t="n"/>
      <c r="B201" s="38" t="n"/>
      <c r="C201" s="38" t="n"/>
      <c r="D201" s="38" t="n"/>
      <c r="E201" s="39" t="n"/>
      <c r="F201" s="42" t="n"/>
      <c r="G201" s="42" t="n"/>
      <c r="H201" s="42" t="n"/>
      <c r="I201" s="42" t="n"/>
      <c r="J201" s="38" t="n"/>
      <c r="K201" s="38" t="n"/>
      <c r="L201" s="38" t="n"/>
      <c r="M201" s="38" t="n"/>
      <c r="N201" s="40" t="n"/>
      <c r="O201" s="40" t="n"/>
      <c r="P201" s="38" t="n"/>
    </row>
    <row r="202" ht="21" customHeight="1">
      <c r="A202" s="38" t="n"/>
      <c r="B202" s="38" t="n"/>
      <c r="C202" s="38" t="n"/>
      <c r="D202" s="38" t="n"/>
      <c r="E202" s="39" t="n"/>
      <c r="F202" s="42" t="n"/>
      <c r="G202" s="42" t="n"/>
      <c r="H202" s="42" t="n"/>
      <c r="I202" s="42" t="n"/>
      <c r="J202" s="38" t="n"/>
      <c r="K202" s="38" t="n"/>
      <c r="L202" s="38" t="n"/>
      <c r="M202" s="38" t="n"/>
      <c r="N202" s="40" t="n"/>
      <c r="O202" s="40" t="n"/>
      <c r="P202" s="38" t="n"/>
    </row>
    <row r="203" ht="21" customHeight="1">
      <c r="A203" s="38" t="n"/>
      <c r="B203" s="38" t="n"/>
      <c r="C203" s="38" t="n"/>
      <c r="D203" s="38" t="n"/>
      <c r="E203" s="39" t="n"/>
      <c r="F203" s="42" t="n"/>
      <c r="G203" s="42" t="n"/>
      <c r="H203" s="42" t="n"/>
      <c r="I203" s="42" t="n"/>
      <c r="J203" s="38" t="n"/>
      <c r="K203" s="38" t="n"/>
      <c r="L203" s="38" t="n"/>
      <c r="M203" s="38" t="n"/>
      <c r="N203" s="40" t="n"/>
      <c r="O203" s="40" t="n"/>
      <c r="P203" s="38" t="n"/>
    </row>
    <row r="204" ht="21" customHeight="1">
      <c r="A204" s="38" t="n"/>
      <c r="B204" s="38" t="n"/>
      <c r="C204" s="38" t="n"/>
      <c r="D204" s="38" t="n"/>
      <c r="E204" s="39" t="n"/>
      <c r="F204" s="42" t="n"/>
      <c r="G204" s="42" t="n"/>
      <c r="H204" s="42" t="n"/>
      <c r="I204" s="42" t="n"/>
      <c r="J204" s="38" t="n"/>
      <c r="K204" s="38" t="n"/>
      <c r="L204" s="38" t="n"/>
      <c r="M204" s="38" t="n"/>
      <c r="N204" s="40" t="n"/>
      <c r="O204" s="40" t="n"/>
      <c r="P204" s="38" t="n"/>
    </row>
    <row r="205" ht="21" customHeight="1">
      <c r="A205" s="38" t="n"/>
      <c r="B205" s="38" t="n"/>
      <c r="C205" s="38" t="n"/>
      <c r="D205" s="38" t="n"/>
      <c r="E205" s="39" t="n"/>
      <c r="F205" s="42" t="n"/>
      <c r="G205" s="42" t="n"/>
      <c r="H205" s="42" t="n"/>
      <c r="I205" s="42" t="n"/>
      <c r="J205" s="38" t="n"/>
      <c r="K205" s="38" t="n"/>
      <c r="L205" s="38" t="n"/>
      <c r="M205" s="38" t="n"/>
      <c r="N205" s="40" t="n"/>
      <c r="O205" s="40" t="n"/>
      <c r="P205" s="38" t="n"/>
    </row>
    <row r="206" ht="21" customHeight="1">
      <c r="A206" s="38" t="n"/>
      <c r="B206" s="38" t="n"/>
      <c r="C206" s="38" t="n"/>
      <c r="D206" s="38" t="n"/>
      <c r="E206" s="39" t="n"/>
      <c r="F206" s="42" t="n"/>
      <c r="G206" s="42" t="n"/>
      <c r="H206" s="42" t="n"/>
      <c r="I206" s="42" t="n"/>
      <c r="J206" s="38" t="n"/>
      <c r="K206" s="38" t="n"/>
      <c r="L206" s="38" t="n"/>
      <c r="M206" s="38" t="n"/>
      <c r="N206" s="40" t="n"/>
      <c r="O206" s="40" t="n"/>
      <c r="P206" s="38" t="n"/>
    </row>
    <row r="207" ht="21" customHeight="1">
      <c r="A207" s="38" t="n"/>
      <c r="B207" s="38" t="n"/>
      <c r="C207" s="38" t="n"/>
      <c r="D207" s="38" t="n"/>
      <c r="E207" s="39" t="n"/>
      <c r="F207" s="42" t="n"/>
      <c r="G207" s="42" t="n"/>
      <c r="H207" s="42" t="n"/>
      <c r="I207" s="42" t="n"/>
      <c r="J207" s="38" t="n"/>
      <c r="K207" s="38" t="n"/>
      <c r="L207" s="38" t="n"/>
      <c r="M207" s="38" t="n"/>
      <c r="N207" s="40" t="n"/>
      <c r="O207" s="40" t="n"/>
      <c r="P207" s="38" t="n"/>
    </row>
    <row r="208" ht="21" customHeight="1">
      <c r="A208" s="38" t="n"/>
      <c r="B208" s="38" t="n"/>
      <c r="C208" s="38" t="n"/>
      <c r="D208" s="38" t="n"/>
      <c r="E208" s="39" t="n"/>
      <c r="F208" s="42" t="n"/>
      <c r="G208" s="42" t="n"/>
      <c r="H208" s="42" t="n"/>
      <c r="I208" s="42" t="n"/>
      <c r="J208" s="38" t="n"/>
      <c r="K208" s="38" t="n"/>
      <c r="L208" s="38" t="n"/>
      <c r="M208" s="38" t="n"/>
      <c r="N208" s="40" t="n"/>
      <c r="O208" s="40" t="n"/>
      <c r="P208" s="38" t="n"/>
    </row>
    <row r="209" ht="21" customHeight="1">
      <c r="A209" s="38" t="n"/>
      <c r="B209" s="38" t="n"/>
      <c r="C209" s="38" t="n"/>
      <c r="D209" s="38" t="n"/>
      <c r="E209" s="39" t="n"/>
      <c r="F209" s="42" t="n"/>
      <c r="G209" s="42" t="n"/>
      <c r="H209" s="42" t="n"/>
      <c r="I209" s="42" t="n"/>
      <c r="J209" s="38" t="n"/>
      <c r="K209" s="38" t="n"/>
      <c r="L209" s="38" t="n"/>
      <c r="M209" s="38" t="n"/>
      <c r="N209" s="40" t="n"/>
      <c r="O209" s="40" t="n"/>
      <c r="P209" s="38" t="n"/>
    </row>
    <row r="210" ht="21" customHeight="1">
      <c r="A210" s="38" t="n"/>
      <c r="B210" s="38" t="n"/>
      <c r="C210" s="38" t="n"/>
      <c r="D210" s="38" t="n"/>
      <c r="E210" s="39" t="n"/>
      <c r="F210" s="42" t="n"/>
      <c r="G210" s="42" t="n"/>
      <c r="H210" s="42" t="n"/>
      <c r="I210" s="42" t="n"/>
      <c r="J210" s="38" t="n"/>
      <c r="K210" s="38" t="n"/>
      <c r="L210" s="38" t="n"/>
      <c r="M210" s="38" t="n"/>
      <c r="N210" s="40" t="n"/>
      <c r="O210" s="40" t="n"/>
      <c r="P210" s="38" t="n"/>
    </row>
    <row r="211" ht="21" customHeight="1">
      <c r="A211" s="38" t="n"/>
      <c r="B211" s="38" t="n"/>
      <c r="C211" s="38" t="n"/>
      <c r="D211" s="38" t="n"/>
      <c r="E211" s="39" t="n"/>
      <c r="F211" s="42" t="n"/>
      <c r="G211" s="42" t="n"/>
      <c r="H211" s="42" t="n"/>
      <c r="I211" s="42" t="n"/>
      <c r="J211" s="38" t="n"/>
      <c r="K211" s="38" t="n"/>
      <c r="L211" s="38" t="n"/>
      <c r="M211" s="38" t="n"/>
      <c r="N211" s="40" t="n"/>
      <c r="O211" s="40" t="n"/>
      <c r="P211" s="38" t="n"/>
    </row>
    <row r="212" ht="21" customHeight="1">
      <c r="A212" s="38" t="n"/>
      <c r="B212" s="38" t="n"/>
      <c r="C212" s="38" t="n"/>
      <c r="D212" s="38" t="n"/>
      <c r="E212" s="39" t="n"/>
      <c r="F212" s="42" t="n"/>
      <c r="G212" s="42" t="n"/>
      <c r="H212" s="42" t="n"/>
      <c r="I212" s="42" t="n"/>
      <c r="J212" s="38" t="n"/>
      <c r="K212" s="38" t="n"/>
      <c r="L212" s="38" t="n"/>
      <c r="M212" s="38" t="n"/>
      <c r="N212" s="40" t="n"/>
      <c r="O212" s="40" t="n"/>
      <c r="P212" s="38" t="n"/>
    </row>
    <row r="213" ht="21" customHeight="1">
      <c r="A213" s="38" t="n"/>
      <c r="B213" s="38" t="n"/>
      <c r="C213" s="38" t="n"/>
      <c r="D213" s="38" t="n"/>
      <c r="E213" s="39" t="n"/>
      <c r="F213" s="42" t="n"/>
      <c r="G213" s="42" t="n"/>
      <c r="H213" s="42" t="n"/>
      <c r="I213" s="42" t="n"/>
      <c r="J213" s="38" t="n"/>
      <c r="K213" s="38" t="n"/>
      <c r="L213" s="38" t="n"/>
      <c r="M213" s="38" t="n"/>
      <c r="N213" s="40" t="n"/>
      <c r="O213" s="40" t="n"/>
      <c r="P213" s="38" t="n"/>
    </row>
    <row r="214" ht="21" customHeight="1">
      <c r="A214" s="38" t="n"/>
      <c r="B214" s="38" t="n"/>
      <c r="C214" s="38" t="n"/>
      <c r="D214" s="38" t="n"/>
      <c r="E214" s="39" t="n"/>
      <c r="F214" s="42" t="n"/>
      <c r="G214" s="42" t="n"/>
      <c r="H214" s="42" t="n"/>
      <c r="I214" s="42" t="n"/>
      <c r="J214" s="38" t="n"/>
      <c r="K214" s="38" t="n"/>
      <c r="L214" s="38" t="n"/>
      <c r="M214" s="38" t="n"/>
      <c r="N214" s="40" t="n"/>
      <c r="O214" s="40" t="n"/>
      <c r="P214" s="38" t="n"/>
    </row>
    <row r="215" ht="21" customHeight="1">
      <c r="A215" s="38" t="n"/>
      <c r="B215" s="38" t="n"/>
      <c r="C215" s="38" t="n"/>
      <c r="D215" s="38" t="n"/>
      <c r="E215" s="39" t="n"/>
      <c r="F215" s="42" t="n"/>
      <c r="G215" s="42" t="n"/>
      <c r="H215" s="42" t="n"/>
      <c r="I215" s="42" t="n"/>
      <c r="J215" s="38" t="n"/>
      <c r="K215" s="38" t="n"/>
      <c r="L215" s="38" t="n"/>
      <c r="M215" s="38" t="n"/>
      <c r="N215" s="40" t="n"/>
      <c r="O215" s="40" t="n"/>
      <c r="P215" s="38" t="n"/>
    </row>
    <row r="216" ht="21" customHeight="1">
      <c r="A216" s="38" t="n"/>
      <c r="B216" s="38" t="n"/>
      <c r="C216" s="38" t="n"/>
      <c r="D216" s="38" t="n"/>
      <c r="E216" s="39" t="n"/>
      <c r="F216" s="42" t="n"/>
      <c r="G216" s="42" t="n"/>
      <c r="H216" s="42" t="n"/>
      <c r="I216" s="42" t="n"/>
      <c r="J216" s="38" t="n"/>
      <c r="K216" s="38" t="n"/>
      <c r="L216" s="38" t="n"/>
      <c r="M216" s="38" t="n"/>
      <c r="N216" s="40" t="n"/>
      <c r="O216" s="40" t="n"/>
      <c r="P216" s="38" t="n"/>
    </row>
    <row r="217" ht="21" customHeight="1">
      <c r="A217" s="38" t="n"/>
      <c r="B217" s="38" t="n"/>
      <c r="C217" s="38" t="n"/>
      <c r="D217" s="38" t="n"/>
      <c r="E217" s="39" t="n"/>
      <c r="F217" s="42" t="n"/>
      <c r="G217" s="42" t="n"/>
      <c r="H217" s="42" t="n"/>
      <c r="I217" s="42" t="n"/>
      <c r="J217" s="38" t="n"/>
      <c r="K217" s="38" t="n"/>
      <c r="L217" s="38" t="n"/>
      <c r="M217" s="38" t="n"/>
      <c r="N217" s="40" t="n"/>
      <c r="O217" s="40" t="n"/>
      <c r="P217" s="38" t="n"/>
    </row>
    <row r="218" ht="21" customHeight="1">
      <c r="A218" s="38" t="n"/>
      <c r="B218" s="38" t="n"/>
      <c r="C218" s="38" t="n"/>
      <c r="D218" s="38" t="n"/>
      <c r="E218" s="39" t="n"/>
      <c r="F218" s="42" t="n"/>
      <c r="G218" s="42" t="n"/>
      <c r="H218" s="42" t="n"/>
      <c r="I218" s="42" t="n"/>
      <c r="J218" s="38" t="n"/>
      <c r="K218" s="38" t="n"/>
      <c r="L218" s="38" t="n"/>
      <c r="M218" s="38" t="n"/>
      <c r="N218" s="40" t="n"/>
      <c r="O218" s="40" t="n"/>
      <c r="P218" s="38" t="n"/>
    </row>
    <row r="219" ht="21" customHeight="1">
      <c r="A219" s="38" t="n"/>
      <c r="B219" s="38" t="n"/>
      <c r="C219" s="38" t="n"/>
      <c r="D219" s="38" t="n"/>
      <c r="E219" s="39" t="n"/>
      <c r="F219" s="42" t="n"/>
      <c r="G219" s="42" t="n"/>
      <c r="H219" s="42" t="n"/>
      <c r="I219" s="42" t="n"/>
      <c r="J219" s="38" t="n"/>
      <c r="K219" s="38" t="n"/>
      <c r="L219" s="38" t="n"/>
      <c r="M219" s="38" t="n"/>
      <c r="N219" s="40" t="n"/>
      <c r="O219" s="40" t="n"/>
      <c r="P219" s="38" t="n"/>
    </row>
    <row r="220" ht="21" customHeight="1">
      <c r="A220" s="38" t="n"/>
      <c r="B220" s="38" t="n"/>
      <c r="C220" s="38" t="n"/>
      <c r="D220" s="38" t="n"/>
      <c r="E220" s="39" t="n"/>
      <c r="F220" s="42" t="n"/>
      <c r="G220" s="42" t="n"/>
      <c r="H220" s="42" t="n"/>
      <c r="I220" s="42" t="n"/>
      <c r="J220" s="38" t="n"/>
      <c r="K220" s="38" t="n"/>
      <c r="L220" s="38" t="n"/>
      <c r="M220" s="38" t="n"/>
      <c r="N220" s="40" t="n"/>
      <c r="O220" s="40" t="n"/>
      <c r="P220" s="38" t="n"/>
    </row>
    <row r="221" ht="21" customHeight="1">
      <c r="A221" s="38" t="n"/>
      <c r="B221" s="38" t="n"/>
      <c r="C221" s="38" t="n"/>
      <c r="D221" s="38" t="n"/>
      <c r="E221" s="39" t="n"/>
      <c r="F221" s="42" t="n"/>
      <c r="G221" s="42" t="n"/>
      <c r="H221" s="42" t="n"/>
      <c r="I221" s="42" t="n"/>
      <c r="J221" s="38" t="n"/>
      <c r="K221" s="38" t="n"/>
      <c r="L221" s="38" t="n"/>
      <c r="M221" s="38" t="n"/>
      <c r="N221" s="40" t="n"/>
      <c r="O221" s="40" t="n"/>
      <c r="P221" s="38" t="n"/>
    </row>
    <row r="222" ht="21" customHeight="1">
      <c r="A222" s="38" t="n"/>
      <c r="B222" s="38" t="n"/>
      <c r="C222" s="38" t="n"/>
      <c r="D222" s="38" t="n"/>
      <c r="E222" s="39" t="n"/>
      <c r="F222" s="42" t="n"/>
      <c r="G222" s="42" t="n"/>
      <c r="H222" s="42" t="n"/>
      <c r="I222" s="42" t="n"/>
      <c r="J222" s="38" t="n"/>
      <c r="K222" s="38" t="n"/>
      <c r="L222" s="38" t="n"/>
      <c r="M222" s="38" t="n"/>
      <c r="N222" s="40" t="n"/>
      <c r="O222" s="40" t="n"/>
      <c r="P222" s="38" t="n"/>
    </row>
    <row r="223" ht="21" customHeight="1">
      <c r="A223" s="38" t="n"/>
      <c r="B223" s="38" t="n"/>
      <c r="C223" s="38" t="n"/>
      <c r="D223" s="38" t="n"/>
      <c r="E223" s="39" t="n"/>
      <c r="F223" s="42" t="n"/>
      <c r="G223" s="42" t="n"/>
      <c r="H223" s="42" t="n"/>
      <c r="I223" s="42" t="n"/>
      <c r="J223" s="38" t="n"/>
      <c r="K223" s="38" t="n"/>
      <c r="L223" s="38" t="n"/>
      <c r="M223" s="38" t="n"/>
      <c r="N223" s="40" t="n"/>
      <c r="O223" s="40" t="n"/>
      <c r="P223" s="38" t="n"/>
    </row>
    <row r="224" ht="21" customHeight="1">
      <c r="A224" s="38" t="n"/>
      <c r="B224" s="38" t="n"/>
      <c r="C224" s="38" t="n"/>
      <c r="D224" s="38" t="n"/>
      <c r="E224" s="39" t="n"/>
      <c r="F224" s="42" t="n"/>
      <c r="G224" s="42" t="n"/>
      <c r="H224" s="42" t="n"/>
      <c r="I224" s="42" t="n"/>
      <c r="J224" s="38" t="n"/>
      <c r="K224" s="38" t="n"/>
      <c r="L224" s="38" t="n"/>
      <c r="M224" s="38" t="n"/>
      <c r="N224" s="40" t="n"/>
      <c r="O224" s="40" t="n"/>
      <c r="P224" s="38" t="n"/>
    </row>
    <row r="225" ht="21" customHeight="1">
      <c r="A225" s="38" t="n"/>
      <c r="B225" s="38" t="n"/>
      <c r="C225" s="38" t="n"/>
      <c r="D225" s="38" t="n"/>
      <c r="E225" s="39" t="n"/>
      <c r="F225" s="42" t="n"/>
      <c r="G225" s="42" t="n"/>
      <c r="H225" s="42" t="n"/>
      <c r="I225" s="42" t="n"/>
      <c r="J225" s="38" t="n"/>
      <c r="K225" s="38" t="n"/>
      <c r="L225" s="38" t="n"/>
      <c r="M225" s="38" t="n"/>
      <c r="N225" s="40" t="n"/>
      <c r="O225" s="40" t="n"/>
      <c r="P225" s="38" t="n"/>
    </row>
    <row r="226" ht="21" customHeight="1">
      <c r="A226" s="38" t="n"/>
      <c r="B226" s="38" t="n"/>
      <c r="C226" s="38" t="n"/>
      <c r="D226" s="38" t="n"/>
      <c r="E226" s="39" t="n"/>
      <c r="F226" s="42" t="n"/>
      <c r="G226" s="42" t="n"/>
      <c r="H226" s="42" t="n"/>
      <c r="I226" s="42" t="n"/>
      <c r="J226" s="38" t="n"/>
      <c r="K226" s="38" t="n"/>
      <c r="L226" s="38" t="n"/>
      <c r="M226" s="38" t="n"/>
      <c r="N226" s="40" t="n"/>
      <c r="O226" s="40" t="n"/>
      <c r="P226" s="38" t="n"/>
    </row>
    <row r="227" ht="21" customHeight="1">
      <c r="A227" s="38" t="n"/>
      <c r="B227" s="38" t="n"/>
      <c r="C227" s="38" t="n"/>
      <c r="D227" s="38" t="n"/>
      <c r="E227" s="39" t="n"/>
      <c r="F227" s="42" t="n"/>
      <c r="G227" s="42" t="n"/>
      <c r="H227" s="42" t="n"/>
      <c r="I227" s="42" t="n"/>
      <c r="J227" s="38" t="n"/>
      <c r="K227" s="38" t="n"/>
      <c r="L227" s="38" t="n"/>
      <c r="M227" s="38" t="n"/>
      <c r="N227" s="40" t="n"/>
      <c r="O227" s="40" t="n"/>
      <c r="P227" s="38" t="n"/>
    </row>
    <row r="228" ht="21" customHeight="1">
      <c r="A228" s="38" t="n"/>
      <c r="B228" s="38" t="n"/>
      <c r="C228" s="38" t="n"/>
      <c r="D228" s="38" t="n"/>
      <c r="E228" s="39" t="n"/>
      <c r="F228" s="42" t="n"/>
      <c r="G228" s="42" t="n"/>
      <c r="H228" s="42" t="n"/>
      <c r="I228" s="42" t="n"/>
      <c r="J228" s="38" t="n"/>
      <c r="K228" s="38" t="n"/>
      <c r="L228" s="38" t="n"/>
      <c r="M228" s="38" t="n"/>
      <c r="N228" s="40" t="n"/>
      <c r="O228" s="40" t="n"/>
      <c r="P228" s="38" t="n"/>
    </row>
    <row r="229" ht="21" customHeight="1">
      <c r="A229" s="38" t="n"/>
      <c r="B229" s="38" t="n"/>
      <c r="C229" s="38" t="n"/>
      <c r="D229" s="38" t="n"/>
      <c r="E229" s="39" t="n"/>
      <c r="F229" s="42" t="n"/>
      <c r="G229" s="42" t="n"/>
      <c r="H229" s="42" t="n"/>
      <c r="I229" s="42" t="n"/>
      <c r="J229" s="38" t="n"/>
      <c r="K229" s="38" t="n"/>
      <c r="L229" s="38" t="n"/>
      <c r="M229" s="38" t="n"/>
      <c r="N229" s="40" t="n"/>
      <c r="O229" s="40" t="n"/>
      <c r="P229" s="38" t="n"/>
    </row>
    <row r="230" ht="21" customHeight="1">
      <c r="A230" s="38" t="n"/>
      <c r="B230" s="38" t="n"/>
      <c r="C230" s="38" t="n"/>
      <c r="D230" s="38" t="n"/>
      <c r="E230" s="39" t="n"/>
      <c r="F230" s="42" t="n"/>
      <c r="G230" s="42" t="n"/>
      <c r="H230" s="42" t="n"/>
      <c r="I230" s="42" t="n"/>
      <c r="J230" s="38" t="n"/>
      <c r="K230" s="38" t="n"/>
      <c r="L230" s="38" t="n"/>
      <c r="M230" s="38" t="n"/>
      <c r="N230" s="40" t="n"/>
      <c r="O230" s="40" t="n"/>
      <c r="P230" s="38" t="n"/>
    </row>
    <row r="231" ht="21" customHeight="1">
      <c r="A231" s="38" t="n"/>
      <c r="B231" s="38" t="n"/>
      <c r="C231" s="38" t="n"/>
      <c r="D231" s="38" t="n"/>
      <c r="E231" s="39" t="n"/>
      <c r="F231" s="42" t="n"/>
      <c r="G231" s="42" t="n"/>
      <c r="H231" s="42" t="n"/>
      <c r="I231" s="42" t="n"/>
      <c r="J231" s="38" t="n"/>
      <c r="K231" s="38" t="n"/>
      <c r="L231" s="38" t="n"/>
      <c r="M231" s="38" t="n"/>
      <c r="N231" s="40" t="n"/>
      <c r="O231" s="40" t="n"/>
      <c r="P231" s="38" t="n"/>
    </row>
    <row r="232" ht="21" customHeight="1">
      <c r="A232" s="38" t="n"/>
      <c r="B232" s="38" t="n"/>
      <c r="C232" s="38" t="n"/>
      <c r="D232" s="38" t="n"/>
      <c r="E232" s="39" t="n"/>
      <c r="F232" s="42" t="n"/>
      <c r="G232" s="42" t="n"/>
      <c r="H232" s="42" t="n"/>
      <c r="I232" s="42" t="n"/>
      <c r="J232" s="38" t="n"/>
      <c r="K232" s="38" t="n"/>
      <c r="L232" s="38" t="n"/>
      <c r="M232" s="38" t="n"/>
      <c r="N232" s="40" t="n"/>
      <c r="O232" s="40" t="n"/>
      <c r="P232" s="38" t="n"/>
    </row>
    <row r="233" ht="21" customHeight="1">
      <c r="A233" s="38" t="n"/>
      <c r="B233" s="38" t="n"/>
      <c r="C233" s="38" t="n"/>
      <c r="D233" s="38" t="n"/>
      <c r="E233" s="39" t="n"/>
      <c r="F233" s="42" t="n"/>
      <c r="G233" s="42" t="n"/>
      <c r="H233" s="42" t="n"/>
      <c r="I233" s="42" t="n"/>
      <c r="J233" s="38" t="n"/>
      <c r="K233" s="38" t="n"/>
      <c r="L233" s="38" t="n"/>
      <c r="M233" s="38" t="n"/>
      <c r="N233" s="40" t="n"/>
      <c r="O233" s="40" t="n"/>
      <c r="P233" s="38" t="n"/>
    </row>
    <row r="234" ht="21" customHeight="1">
      <c r="A234" s="38" t="n"/>
      <c r="B234" s="38" t="n"/>
      <c r="C234" s="38" t="n"/>
      <c r="D234" s="38" t="n"/>
      <c r="E234" s="39" t="n"/>
      <c r="F234" s="42" t="n"/>
      <c r="G234" s="42" t="n"/>
      <c r="H234" s="42" t="n"/>
      <c r="I234" s="42" t="n"/>
      <c r="J234" s="38" t="n"/>
      <c r="K234" s="38" t="n"/>
      <c r="L234" s="38" t="n"/>
      <c r="M234" s="38" t="n"/>
      <c r="N234" s="40" t="n"/>
      <c r="O234" s="40" t="n"/>
      <c r="P234" s="38" t="n"/>
    </row>
    <row r="235" ht="21" customHeight="1">
      <c r="A235" s="38" t="n"/>
      <c r="B235" s="38" t="n"/>
      <c r="C235" s="38" t="n"/>
      <c r="D235" s="38" t="n"/>
      <c r="E235" s="39" t="n"/>
      <c r="F235" s="42" t="n"/>
      <c r="G235" s="42" t="n"/>
      <c r="H235" s="42" t="n"/>
      <c r="I235" s="42" t="n"/>
      <c r="J235" s="38" t="n"/>
      <c r="K235" s="38" t="n"/>
      <c r="L235" s="38" t="n"/>
      <c r="M235" s="38" t="n"/>
      <c r="N235" s="40" t="n"/>
      <c r="O235" s="40" t="n"/>
      <c r="P235" s="38" t="n"/>
    </row>
    <row r="236" ht="21" customHeight="1">
      <c r="A236" s="38" t="n"/>
      <c r="B236" s="38" t="n"/>
      <c r="C236" s="38" t="n"/>
      <c r="D236" s="38" t="n"/>
      <c r="E236" s="39" t="n"/>
      <c r="F236" s="42" t="n"/>
      <c r="G236" s="42" t="n"/>
      <c r="H236" s="42" t="n"/>
      <c r="I236" s="42" t="n"/>
      <c r="J236" s="38" t="n"/>
      <c r="K236" s="38" t="n"/>
      <c r="L236" s="38" t="n"/>
      <c r="M236" s="38" t="n"/>
      <c r="N236" s="40" t="n"/>
      <c r="O236" s="40" t="n"/>
      <c r="P236" s="38" t="n"/>
    </row>
    <row r="237" ht="21" customHeight="1">
      <c r="A237" s="38" t="n"/>
      <c r="B237" s="38" t="n"/>
      <c r="C237" s="38" t="n"/>
      <c r="D237" s="38" t="n"/>
      <c r="E237" s="39" t="n"/>
      <c r="F237" s="42" t="n"/>
      <c r="G237" s="42" t="n"/>
      <c r="H237" s="42" t="n"/>
      <c r="I237" s="42" t="n"/>
      <c r="J237" s="38" t="n"/>
      <c r="K237" s="38" t="n"/>
      <c r="L237" s="38" t="n"/>
      <c r="M237" s="38" t="n"/>
      <c r="N237" s="40" t="n"/>
      <c r="O237" s="40" t="n"/>
      <c r="P237" s="38" t="n"/>
    </row>
    <row r="238" ht="21" customHeight="1">
      <c r="A238" s="38" t="n"/>
      <c r="B238" s="38" t="n"/>
      <c r="C238" s="38" t="n"/>
      <c r="D238" s="38" t="n"/>
      <c r="E238" s="39" t="n"/>
      <c r="F238" s="42" t="n"/>
      <c r="G238" s="42" t="n"/>
      <c r="H238" s="42" t="n"/>
      <c r="I238" s="42" t="n"/>
      <c r="J238" s="38" t="n"/>
      <c r="K238" s="38" t="n"/>
      <c r="L238" s="38" t="n"/>
      <c r="M238" s="38" t="n"/>
      <c r="N238" s="40" t="n"/>
      <c r="O238" s="40" t="n"/>
      <c r="P238" s="38" t="n"/>
    </row>
    <row r="239" ht="21" customHeight="1">
      <c r="A239" s="38" t="n"/>
      <c r="B239" s="38" t="n"/>
      <c r="C239" s="38" t="n"/>
      <c r="D239" s="38" t="n"/>
      <c r="E239" s="39" t="n"/>
      <c r="F239" s="42" t="n"/>
      <c r="G239" s="42" t="n"/>
      <c r="H239" s="42" t="n"/>
      <c r="I239" s="42" t="n"/>
      <c r="J239" s="38" t="n"/>
      <c r="K239" s="38" t="n"/>
      <c r="L239" s="38" t="n"/>
      <c r="M239" s="38" t="n"/>
      <c r="N239" s="40" t="n"/>
      <c r="O239" s="40" t="n"/>
      <c r="P239" s="38" t="n"/>
    </row>
    <row r="240" ht="21" customHeight="1">
      <c r="A240" s="38" t="n"/>
      <c r="B240" s="38" t="n"/>
      <c r="C240" s="38" t="n"/>
      <c r="D240" s="38" t="n"/>
      <c r="E240" s="39" t="n"/>
      <c r="F240" s="42" t="n"/>
      <c r="G240" s="42" t="n"/>
      <c r="H240" s="42" t="n"/>
      <c r="I240" s="42" t="n"/>
      <c r="J240" s="38" t="n"/>
      <c r="K240" s="38" t="n"/>
      <c r="L240" s="38" t="n"/>
      <c r="M240" s="38" t="n"/>
      <c r="N240" s="40" t="n"/>
      <c r="O240" s="40" t="n"/>
      <c r="P240" s="38" t="n"/>
    </row>
    <row r="241" ht="21" customHeight="1">
      <c r="A241" s="38" t="n"/>
      <c r="B241" s="38" t="n"/>
      <c r="C241" s="38" t="n"/>
      <c r="D241" s="38" t="n"/>
      <c r="E241" s="39" t="n"/>
      <c r="F241" s="42" t="n"/>
      <c r="G241" s="42" t="n"/>
      <c r="H241" s="42" t="n"/>
      <c r="I241" s="42" t="n"/>
      <c r="J241" s="38" t="n"/>
      <c r="K241" s="38" t="n"/>
      <c r="L241" s="38" t="n"/>
      <c r="M241" s="38" t="n"/>
      <c r="N241" s="40" t="n"/>
      <c r="O241" s="40" t="n"/>
      <c r="P241" s="38" t="n"/>
    </row>
    <row r="242" ht="21" customHeight="1">
      <c r="A242" s="38" t="n"/>
      <c r="B242" s="38" t="n"/>
      <c r="C242" s="38" t="n"/>
      <c r="D242" s="38" t="n"/>
      <c r="E242" s="39" t="n"/>
      <c r="F242" s="42" t="n"/>
      <c r="G242" s="42" t="n"/>
      <c r="H242" s="42" t="n"/>
      <c r="I242" s="42" t="n"/>
      <c r="J242" s="38" t="n"/>
      <c r="K242" s="38" t="n"/>
      <c r="L242" s="38" t="n"/>
      <c r="M242" s="38" t="n"/>
      <c r="N242" s="40" t="n"/>
      <c r="O242" s="40" t="n"/>
      <c r="P242" s="38" t="n"/>
    </row>
    <row r="243" ht="21" customHeight="1">
      <c r="A243" s="38" t="n"/>
      <c r="B243" s="38" t="n"/>
      <c r="C243" s="38" t="n"/>
      <c r="D243" s="38" t="n"/>
      <c r="E243" s="39" t="n"/>
      <c r="F243" s="42" t="n"/>
      <c r="G243" s="42" t="n"/>
      <c r="H243" s="42" t="n"/>
      <c r="I243" s="42" t="n"/>
      <c r="J243" s="38" t="n"/>
      <c r="K243" s="38" t="n"/>
      <c r="L243" s="38" t="n"/>
      <c r="M243" s="38" t="n"/>
      <c r="N243" s="40" t="n"/>
      <c r="O243" s="40" t="n"/>
      <c r="P243" s="38" t="n"/>
    </row>
    <row r="244" ht="21" customHeight="1">
      <c r="A244" s="38" t="n"/>
      <c r="B244" s="38" t="n"/>
      <c r="C244" s="38" t="n"/>
      <c r="D244" s="38" t="n"/>
      <c r="E244" s="39" t="n"/>
      <c r="F244" s="42" t="n"/>
      <c r="G244" s="42" t="n"/>
      <c r="H244" s="42" t="n"/>
      <c r="I244" s="42" t="n"/>
      <c r="J244" s="38" t="n"/>
      <c r="K244" s="38" t="n"/>
      <c r="L244" s="38" t="n"/>
      <c r="M244" s="38" t="n"/>
      <c r="N244" s="40" t="n"/>
      <c r="O244" s="40" t="n"/>
      <c r="P244" s="38" t="n"/>
    </row>
    <row r="245" ht="21" customHeight="1">
      <c r="A245" s="38" t="n"/>
      <c r="B245" s="38" t="n"/>
      <c r="C245" s="38" t="n"/>
      <c r="D245" s="38" t="n"/>
      <c r="E245" s="39" t="n"/>
      <c r="F245" s="42" t="n"/>
      <c r="G245" s="42" t="n"/>
      <c r="H245" s="42" t="n"/>
      <c r="I245" s="42" t="n"/>
      <c r="J245" s="38" t="n"/>
      <c r="K245" s="38" t="n"/>
      <c r="L245" s="38" t="n"/>
      <c r="M245" s="38" t="n"/>
      <c r="N245" s="40" t="n"/>
      <c r="O245" s="40" t="n"/>
      <c r="P245" s="38" t="n"/>
    </row>
    <row r="246" ht="21" customHeight="1">
      <c r="A246" s="38" t="n"/>
      <c r="B246" s="38" t="n"/>
      <c r="C246" s="38" t="n"/>
      <c r="D246" s="38" t="n"/>
      <c r="E246" s="39" t="n"/>
      <c r="F246" s="42" t="n"/>
      <c r="G246" s="42" t="n"/>
      <c r="H246" s="42" t="n"/>
      <c r="I246" s="42" t="n"/>
      <c r="J246" s="38" t="n"/>
      <c r="K246" s="38" t="n"/>
      <c r="L246" s="38" t="n"/>
      <c r="M246" s="38" t="n"/>
      <c r="N246" s="40" t="n"/>
      <c r="O246" s="40" t="n"/>
      <c r="P246" s="38" t="n"/>
    </row>
    <row r="247" ht="21" customHeight="1">
      <c r="A247" s="38" t="n"/>
      <c r="B247" s="38" t="n"/>
      <c r="C247" s="38" t="n"/>
      <c r="D247" s="38" t="n"/>
      <c r="E247" s="39" t="n"/>
      <c r="F247" s="42" t="n"/>
      <c r="G247" s="42" t="n"/>
      <c r="H247" s="42" t="n"/>
      <c r="I247" s="42" t="n"/>
      <c r="J247" s="38" t="n"/>
      <c r="K247" s="38" t="n"/>
      <c r="L247" s="38" t="n"/>
      <c r="M247" s="38" t="n"/>
      <c r="N247" s="40" t="n"/>
      <c r="O247" s="40" t="n"/>
      <c r="P247" s="38" t="n"/>
    </row>
    <row r="248" ht="21" customHeight="1">
      <c r="A248" s="38" t="n"/>
      <c r="B248" s="38" t="n"/>
      <c r="C248" s="38" t="n"/>
      <c r="D248" s="38" t="n"/>
      <c r="E248" s="39" t="n"/>
      <c r="F248" s="42" t="n"/>
      <c r="G248" s="42" t="n"/>
      <c r="H248" s="42" t="n"/>
      <c r="I248" s="42" t="n"/>
      <c r="J248" s="38" t="n"/>
      <c r="K248" s="38" t="n"/>
      <c r="L248" s="38" t="n"/>
      <c r="M248" s="38" t="n"/>
      <c r="N248" s="40" t="n"/>
      <c r="O248" s="40" t="n"/>
      <c r="P248" s="38" t="n"/>
    </row>
    <row r="249" ht="21" customHeight="1">
      <c r="A249" s="38" t="n"/>
      <c r="B249" s="38" t="n"/>
      <c r="C249" s="38" t="n"/>
      <c r="D249" s="38" t="n"/>
      <c r="E249" s="39" t="n"/>
      <c r="F249" s="42" t="n"/>
      <c r="G249" s="42" t="n"/>
      <c r="H249" s="42" t="n"/>
      <c r="I249" s="42" t="n"/>
      <c r="J249" s="38" t="n"/>
      <c r="K249" s="38" t="n"/>
      <c r="L249" s="38" t="n"/>
      <c r="M249" s="38" t="n"/>
      <c r="N249" s="40" t="n"/>
      <c r="O249" s="40" t="n"/>
      <c r="P249" s="38" t="n"/>
    </row>
    <row r="250" ht="21" customHeight="1">
      <c r="A250" s="38" t="n"/>
      <c r="B250" s="38" t="n"/>
      <c r="C250" s="38" t="n"/>
      <c r="D250" s="38" t="n"/>
      <c r="E250" s="39" t="n"/>
      <c r="F250" s="42" t="n"/>
      <c r="G250" s="42" t="n"/>
      <c r="H250" s="42" t="n"/>
      <c r="I250" s="42" t="n"/>
      <c r="J250" s="38" t="n"/>
      <c r="K250" s="38" t="n"/>
      <c r="L250" s="38" t="n"/>
      <c r="M250" s="38" t="n"/>
      <c r="N250" s="40" t="n"/>
      <c r="O250" s="40" t="n"/>
      <c r="P250" s="38" t="n"/>
    </row>
    <row r="251" ht="21" customHeight="1">
      <c r="A251" s="38" t="n"/>
      <c r="B251" s="38" t="n"/>
      <c r="C251" s="38" t="n"/>
      <c r="D251" s="38" t="n"/>
      <c r="E251" s="39" t="n"/>
      <c r="F251" s="42" t="n"/>
      <c r="G251" s="42" t="n"/>
      <c r="H251" s="42" t="n"/>
      <c r="I251" s="42" t="n"/>
      <c r="J251" s="38" t="n"/>
      <c r="K251" s="38" t="n"/>
      <c r="L251" s="38" t="n"/>
      <c r="M251" s="38" t="n"/>
      <c r="N251" s="40" t="n"/>
      <c r="O251" s="40" t="n"/>
      <c r="P251" s="38" t="n"/>
    </row>
    <row r="252" ht="21" customHeight="1">
      <c r="A252" s="38" t="n"/>
      <c r="B252" s="38" t="n"/>
      <c r="C252" s="38" t="n"/>
      <c r="D252" s="38" t="n"/>
      <c r="E252" s="39" t="n"/>
      <c r="F252" s="42" t="n"/>
      <c r="G252" s="42" t="n"/>
      <c r="H252" s="42" t="n"/>
      <c r="I252" s="42" t="n"/>
      <c r="J252" s="38" t="n"/>
      <c r="K252" s="38" t="n"/>
      <c r="L252" s="38" t="n"/>
      <c r="M252" s="38" t="n"/>
      <c r="N252" s="40" t="n"/>
      <c r="O252" s="40" t="n"/>
      <c r="P252" s="38" t="n"/>
    </row>
    <row r="253" ht="21" customHeight="1">
      <c r="A253" s="38" t="n"/>
      <c r="B253" s="38" t="n"/>
      <c r="C253" s="38" t="n"/>
      <c r="D253" s="38" t="n"/>
      <c r="E253" s="39" t="n"/>
      <c r="F253" s="42" t="n"/>
      <c r="G253" s="42" t="n"/>
      <c r="H253" s="42" t="n"/>
      <c r="I253" s="42" t="n"/>
      <c r="J253" s="38" t="n"/>
      <c r="K253" s="38" t="n"/>
      <c r="L253" s="38" t="n"/>
      <c r="M253" s="38" t="n"/>
      <c r="N253" s="40" t="n"/>
      <c r="O253" s="40" t="n"/>
      <c r="P253" s="38" t="n"/>
    </row>
    <row r="254" ht="21" customHeight="1">
      <c r="A254" s="38" t="n"/>
      <c r="B254" s="38" t="n"/>
      <c r="C254" s="38" t="n"/>
      <c r="D254" s="38" t="n"/>
      <c r="E254" s="39" t="n"/>
      <c r="F254" s="42" t="n"/>
      <c r="G254" s="42" t="n"/>
      <c r="H254" s="42" t="n"/>
      <c r="I254" s="42" t="n"/>
      <c r="J254" s="38" t="n"/>
      <c r="K254" s="38" t="n"/>
      <c r="L254" s="38" t="n"/>
      <c r="M254" s="38" t="n"/>
      <c r="N254" s="40" t="n"/>
      <c r="O254" s="40" t="n"/>
      <c r="P254" s="38" t="n"/>
    </row>
    <row r="255" ht="21" customHeight="1">
      <c r="A255" s="38" t="n"/>
      <c r="B255" s="38" t="n"/>
      <c r="C255" s="38" t="n"/>
      <c r="D255" s="38" t="n"/>
      <c r="E255" s="39" t="n"/>
      <c r="F255" s="42" t="n"/>
      <c r="G255" s="42" t="n"/>
      <c r="H255" s="42" t="n"/>
      <c r="I255" s="42" t="n"/>
      <c r="J255" s="38" t="n"/>
      <c r="K255" s="38" t="n"/>
      <c r="L255" s="38" t="n"/>
      <c r="M255" s="38" t="n"/>
      <c r="N255" s="40" t="n"/>
      <c r="O255" s="40" t="n"/>
      <c r="P255" s="38" t="n"/>
    </row>
    <row r="256" ht="21" customHeight="1">
      <c r="A256" s="38" t="n"/>
      <c r="B256" s="38" t="n"/>
      <c r="C256" s="38" t="n"/>
      <c r="D256" s="38" t="n"/>
      <c r="E256" s="39" t="n"/>
      <c r="F256" s="42" t="n"/>
      <c r="G256" s="42" t="n"/>
      <c r="H256" s="42" t="n"/>
      <c r="I256" s="42" t="n"/>
      <c r="J256" s="38" t="n"/>
      <c r="K256" s="38" t="n"/>
      <c r="L256" s="38" t="n"/>
      <c r="M256" s="38" t="n"/>
      <c r="N256" s="40" t="n"/>
      <c r="O256" s="40" t="n"/>
      <c r="P256" s="38" t="n"/>
    </row>
    <row r="257" ht="21" customHeight="1">
      <c r="A257" s="38" t="n"/>
      <c r="B257" s="38" t="n"/>
      <c r="C257" s="38" t="n"/>
      <c r="D257" s="38" t="n"/>
      <c r="E257" s="39" t="n"/>
      <c r="F257" s="42" t="n"/>
      <c r="G257" s="42" t="n"/>
      <c r="H257" s="42" t="n"/>
      <c r="I257" s="42" t="n"/>
      <c r="J257" s="38" t="n"/>
      <c r="K257" s="38" t="n"/>
      <c r="L257" s="38" t="n"/>
      <c r="M257" s="38" t="n"/>
      <c r="N257" s="40" t="n"/>
      <c r="O257" s="40" t="n"/>
      <c r="P257" s="38" t="n"/>
    </row>
    <row r="258" ht="21" customHeight="1">
      <c r="A258" s="38" t="n"/>
      <c r="B258" s="38" t="n"/>
      <c r="C258" s="38" t="n"/>
      <c r="D258" s="38" t="n"/>
      <c r="E258" s="39" t="n"/>
      <c r="F258" s="42" t="n"/>
      <c r="G258" s="42" t="n"/>
      <c r="H258" s="42" t="n"/>
      <c r="I258" s="42" t="n"/>
      <c r="J258" s="38" t="n"/>
      <c r="K258" s="38" t="n"/>
      <c r="L258" s="38" t="n"/>
      <c r="M258" s="38" t="n"/>
      <c r="N258" s="40" t="n"/>
      <c r="O258" s="40" t="n"/>
      <c r="P258" s="38" t="n"/>
    </row>
    <row r="259" ht="21" customHeight="1">
      <c r="A259" s="38" t="n"/>
      <c r="B259" s="38" t="n"/>
      <c r="C259" s="38" t="n"/>
      <c r="D259" s="38" t="n"/>
      <c r="E259" s="39" t="n"/>
      <c r="F259" s="42" t="n"/>
      <c r="G259" s="42" t="n"/>
      <c r="H259" s="42" t="n"/>
      <c r="I259" s="42" t="n"/>
      <c r="J259" s="38" t="n"/>
      <c r="K259" s="38" t="n"/>
      <c r="L259" s="38" t="n"/>
      <c r="M259" s="38" t="n"/>
      <c r="N259" s="40" t="n"/>
      <c r="O259" s="40" t="n"/>
      <c r="P259" s="38" t="n"/>
    </row>
    <row r="260" ht="21" customHeight="1">
      <c r="A260" s="38" t="n"/>
      <c r="B260" s="38" t="n"/>
      <c r="C260" s="38" t="n"/>
      <c r="D260" s="38" t="n"/>
      <c r="E260" s="39" t="n"/>
      <c r="F260" s="42" t="n"/>
      <c r="G260" s="42" t="n"/>
      <c r="H260" s="42" t="n"/>
      <c r="I260" s="42" t="n"/>
      <c r="J260" s="38" t="n"/>
      <c r="K260" s="38" t="n"/>
      <c r="L260" s="38" t="n"/>
      <c r="M260" s="38" t="n"/>
      <c r="N260" s="40" t="n"/>
      <c r="O260" s="40" t="n"/>
      <c r="P260" s="38" t="n"/>
    </row>
    <row r="261" ht="21" customHeight="1">
      <c r="A261" s="38" t="n"/>
      <c r="B261" s="38" t="n"/>
      <c r="C261" s="38" t="n"/>
      <c r="D261" s="38" t="n"/>
      <c r="E261" s="39" t="n"/>
      <c r="F261" s="42" t="n"/>
      <c r="G261" s="42" t="n"/>
      <c r="H261" s="42" t="n"/>
      <c r="I261" s="42" t="n"/>
      <c r="J261" s="38" t="n"/>
      <c r="K261" s="38" t="n"/>
      <c r="L261" s="38" t="n"/>
      <c r="M261" s="38" t="n"/>
      <c r="N261" s="40" t="n"/>
      <c r="O261" s="40" t="n"/>
      <c r="P261" s="38" t="n"/>
    </row>
    <row r="262" ht="21" customHeight="1">
      <c r="A262" s="38" t="n"/>
      <c r="B262" s="38" t="n"/>
      <c r="C262" s="38" t="n"/>
      <c r="D262" s="38" t="n"/>
      <c r="E262" s="39" t="n"/>
      <c r="F262" s="42" t="n"/>
      <c r="G262" s="42" t="n"/>
      <c r="H262" s="42" t="n"/>
      <c r="I262" s="42" t="n"/>
      <c r="J262" s="38" t="n"/>
      <c r="K262" s="38" t="n"/>
      <c r="L262" s="38" t="n"/>
      <c r="M262" s="38" t="n"/>
      <c r="N262" s="40" t="n"/>
      <c r="O262" s="40" t="n"/>
      <c r="P262" s="38" t="n"/>
    </row>
    <row r="263" ht="21" customHeight="1">
      <c r="A263" s="38" t="n"/>
      <c r="B263" s="38" t="n"/>
      <c r="C263" s="38" t="n"/>
      <c r="D263" s="38" t="n"/>
      <c r="E263" s="39" t="n"/>
      <c r="F263" s="42" t="n"/>
      <c r="G263" s="42" t="n"/>
      <c r="H263" s="42" t="n"/>
      <c r="I263" s="42" t="n"/>
      <c r="J263" s="38" t="n"/>
      <c r="K263" s="38" t="n"/>
      <c r="L263" s="38" t="n"/>
      <c r="M263" s="38" t="n"/>
      <c r="N263" s="40" t="n"/>
      <c r="O263" s="40" t="n"/>
      <c r="P263" s="38" t="n"/>
    </row>
    <row r="264" ht="21" customHeight="1">
      <c r="A264" s="38" t="n"/>
      <c r="B264" s="38" t="n"/>
      <c r="C264" s="38" t="n"/>
      <c r="D264" s="38" t="n"/>
      <c r="E264" s="39" t="n"/>
      <c r="F264" s="42" t="n"/>
      <c r="G264" s="42" t="n"/>
      <c r="H264" s="42" t="n"/>
      <c r="I264" s="42" t="n"/>
      <c r="J264" s="38" t="n"/>
      <c r="K264" s="38" t="n"/>
      <c r="L264" s="38" t="n"/>
      <c r="M264" s="38" t="n"/>
      <c r="N264" s="40" t="n"/>
      <c r="O264" s="40" t="n"/>
      <c r="P264" s="38" t="n"/>
    </row>
    <row r="265" ht="21" customHeight="1">
      <c r="A265" s="38" t="n"/>
      <c r="B265" s="38" t="n"/>
      <c r="C265" s="38" t="n"/>
      <c r="D265" s="38" t="n"/>
      <c r="E265" s="39" t="n"/>
      <c r="F265" s="42" t="n"/>
      <c r="G265" s="42" t="n"/>
      <c r="H265" s="42" t="n"/>
      <c r="I265" s="42" t="n"/>
      <c r="J265" s="38" t="n"/>
      <c r="K265" s="38" t="n"/>
      <c r="L265" s="38" t="n"/>
      <c r="M265" s="38" t="n"/>
      <c r="N265" s="40" t="n"/>
      <c r="O265" s="40" t="n"/>
      <c r="P265" s="38" t="n"/>
    </row>
    <row r="266" ht="21" customHeight="1">
      <c r="A266" s="38" t="n"/>
      <c r="B266" s="38" t="n"/>
      <c r="C266" s="38" t="n"/>
      <c r="D266" s="38" t="n"/>
      <c r="E266" s="39" t="n"/>
      <c r="F266" s="42" t="n"/>
      <c r="G266" s="42" t="n"/>
      <c r="H266" s="42" t="n"/>
      <c r="I266" s="42" t="n"/>
      <c r="J266" s="38" t="n"/>
      <c r="K266" s="38" t="n"/>
      <c r="L266" s="38" t="n"/>
      <c r="M266" s="38" t="n"/>
      <c r="N266" s="40" t="n"/>
      <c r="O266" s="40" t="n"/>
      <c r="P266" s="38" t="n"/>
    </row>
    <row r="267" ht="21" customHeight="1">
      <c r="A267" s="38" t="n"/>
      <c r="B267" s="38" t="n"/>
      <c r="C267" s="38" t="n"/>
      <c r="D267" s="38" t="n"/>
      <c r="E267" s="39" t="n"/>
      <c r="F267" s="42" t="n"/>
      <c r="G267" s="42" t="n"/>
      <c r="H267" s="42" t="n"/>
      <c r="I267" s="42" t="n"/>
      <c r="J267" s="38" t="n"/>
      <c r="K267" s="38" t="n"/>
      <c r="L267" s="38" t="n"/>
      <c r="M267" s="38" t="n"/>
      <c r="N267" s="40" t="n"/>
      <c r="O267" s="40" t="n"/>
      <c r="P267" s="38" t="n"/>
    </row>
    <row r="268" ht="21" customHeight="1">
      <c r="A268" s="38" t="n"/>
      <c r="B268" s="38" t="n"/>
      <c r="C268" s="38" t="n"/>
      <c r="D268" s="38" t="n"/>
      <c r="E268" s="39" t="n"/>
      <c r="F268" s="42" t="n"/>
      <c r="G268" s="42" t="n"/>
      <c r="H268" s="42" t="n"/>
      <c r="I268" s="42" t="n"/>
      <c r="J268" s="38" t="n"/>
      <c r="K268" s="38" t="n"/>
      <c r="L268" s="38" t="n"/>
      <c r="M268" s="38" t="n"/>
      <c r="N268" s="40" t="n"/>
      <c r="O268" s="40" t="n"/>
      <c r="P268" s="38" t="n"/>
    </row>
    <row r="269" ht="21" customHeight="1">
      <c r="A269" s="38" t="n"/>
      <c r="B269" s="38" t="n"/>
      <c r="C269" s="38" t="n"/>
      <c r="D269" s="38" t="n"/>
      <c r="E269" s="39" t="n"/>
      <c r="F269" s="42" t="n"/>
      <c r="G269" s="42" t="n"/>
      <c r="H269" s="42" t="n"/>
      <c r="I269" s="42" t="n"/>
      <c r="J269" s="38" t="n"/>
      <c r="K269" s="38" t="n"/>
      <c r="L269" s="38" t="n"/>
      <c r="M269" s="38" t="n"/>
      <c r="N269" s="40" t="n"/>
      <c r="O269" s="40" t="n"/>
      <c r="P269" s="38" t="n"/>
    </row>
    <row r="270" ht="21" customHeight="1">
      <c r="A270" s="38" t="n"/>
      <c r="B270" s="38" t="n"/>
      <c r="C270" s="38" t="n"/>
      <c r="D270" s="38" t="n"/>
      <c r="E270" s="39" t="n"/>
      <c r="F270" s="42" t="n"/>
      <c r="G270" s="42" t="n"/>
      <c r="H270" s="42" t="n"/>
      <c r="I270" s="42" t="n"/>
      <c r="J270" s="38" t="n"/>
      <c r="K270" s="38" t="n"/>
      <c r="L270" s="38" t="n"/>
      <c r="M270" s="38" t="n"/>
      <c r="N270" s="40" t="n"/>
      <c r="O270" s="40" t="n"/>
      <c r="P270" s="38" t="n"/>
    </row>
    <row r="271" ht="21" customHeight="1">
      <c r="A271" s="38" t="n"/>
      <c r="B271" s="38" t="n"/>
      <c r="C271" s="38" t="n"/>
      <c r="D271" s="38" t="n"/>
      <c r="E271" s="39" t="n"/>
      <c r="F271" s="42" t="n"/>
      <c r="G271" s="42" t="n"/>
      <c r="H271" s="42" t="n"/>
      <c r="I271" s="42" t="n"/>
      <c r="J271" s="38" t="n"/>
      <c r="K271" s="38" t="n"/>
      <c r="L271" s="38" t="n"/>
      <c r="M271" s="38" t="n"/>
      <c r="N271" s="40" t="n"/>
      <c r="O271" s="40" t="n"/>
      <c r="P271" s="38" t="n"/>
    </row>
    <row r="272" ht="21" customHeight="1">
      <c r="A272" s="38" t="n"/>
      <c r="B272" s="38" t="n"/>
      <c r="C272" s="38" t="n"/>
      <c r="D272" s="38" t="n"/>
      <c r="E272" s="39" t="n"/>
      <c r="F272" s="42" t="n"/>
      <c r="G272" s="42" t="n"/>
      <c r="H272" s="42" t="n"/>
      <c r="I272" s="42" t="n"/>
      <c r="J272" s="38" t="n"/>
      <c r="K272" s="38" t="n"/>
      <c r="L272" s="38" t="n"/>
      <c r="M272" s="38" t="n"/>
      <c r="N272" s="40" t="n"/>
      <c r="O272" s="40" t="n"/>
      <c r="P272" s="38" t="n"/>
    </row>
    <row r="273" ht="21" customHeight="1">
      <c r="A273" s="38" t="n"/>
      <c r="B273" s="38" t="n"/>
      <c r="C273" s="38" t="n"/>
      <c r="D273" s="38" t="n"/>
      <c r="E273" s="39" t="n"/>
      <c r="F273" s="42" t="n"/>
      <c r="G273" s="42" t="n"/>
      <c r="H273" s="42" t="n"/>
      <c r="I273" s="42" t="n"/>
      <c r="J273" s="38" t="n"/>
      <c r="K273" s="38" t="n"/>
      <c r="L273" s="38" t="n"/>
      <c r="M273" s="38" t="n"/>
      <c r="N273" s="40" t="n"/>
      <c r="O273" s="40" t="n"/>
      <c r="P273" s="38" t="n"/>
    </row>
    <row r="274" ht="21" customHeight="1">
      <c r="A274" s="38" t="n"/>
      <c r="B274" s="38" t="n"/>
      <c r="C274" s="38" t="n"/>
      <c r="D274" s="38" t="n"/>
      <c r="E274" s="39" t="n"/>
      <c r="F274" s="42" t="n"/>
      <c r="G274" s="42" t="n"/>
      <c r="H274" s="42" t="n"/>
      <c r="I274" s="42" t="n"/>
      <c r="J274" s="38" t="n"/>
      <c r="K274" s="38" t="n"/>
      <c r="L274" s="38" t="n"/>
      <c r="M274" s="38" t="n"/>
      <c r="N274" s="40" t="n"/>
      <c r="O274" s="40" t="n"/>
      <c r="P274" s="38" t="n"/>
    </row>
    <row r="275" ht="21" customHeight="1">
      <c r="A275" s="38" t="n"/>
      <c r="B275" s="38" t="n"/>
      <c r="C275" s="38" t="n"/>
      <c r="D275" s="38" t="n"/>
      <c r="E275" s="39" t="n"/>
      <c r="F275" s="42" t="n"/>
      <c r="G275" s="42" t="n"/>
      <c r="H275" s="42" t="n"/>
      <c r="I275" s="42" t="n"/>
      <c r="J275" s="38" t="n"/>
      <c r="K275" s="38" t="n"/>
      <c r="L275" s="38" t="n"/>
      <c r="M275" s="38" t="n"/>
      <c r="N275" s="40" t="n"/>
      <c r="O275" s="40" t="n"/>
      <c r="P275" s="38" t="n"/>
    </row>
    <row r="276" ht="21" customHeight="1">
      <c r="A276" s="38" t="n"/>
      <c r="B276" s="38" t="n"/>
      <c r="C276" s="38" t="n"/>
      <c r="D276" s="38" t="n"/>
      <c r="E276" s="39" t="n"/>
      <c r="F276" s="42" t="n"/>
      <c r="G276" s="42" t="n"/>
      <c r="H276" s="42" t="n"/>
      <c r="I276" s="42" t="n"/>
      <c r="J276" s="38" t="n"/>
      <c r="K276" s="38" t="n"/>
      <c r="L276" s="38" t="n"/>
      <c r="M276" s="38" t="n"/>
      <c r="N276" s="40" t="n"/>
      <c r="O276" s="40" t="n"/>
      <c r="P276" s="38" t="n"/>
    </row>
    <row r="277" ht="21" customHeight="1">
      <c r="A277" s="38" t="n"/>
      <c r="B277" s="38" t="n"/>
      <c r="C277" s="38" t="n"/>
      <c r="D277" s="38" t="n"/>
      <c r="E277" s="39" t="n"/>
      <c r="F277" s="42" t="n"/>
      <c r="G277" s="42" t="n"/>
      <c r="H277" s="42" t="n"/>
      <c r="I277" s="42" t="n"/>
      <c r="J277" s="38" t="n"/>
      <c r="K277" s="38" t="n"/>
      <c r="L277" s="38" t="n"/>
      <c r="M277" s="38" t="n"/>
      <c r="N277" s="40" t="n"/>
      <c r="O277" s="40" t="n"/>
      <c r="P277" s="38" t="n"/>
    </row>
    <row r="278" ht="21" customHeight="1">
      <c r="A278" s="38" t="n"/>
      <c r="B278" s="38" t="n"/>
      <c r="C278" s="38" t="n"/>
      <c r="D278" s="38" t="n"/>
      <c r="E278" s="39" t="n"/>
      <c r="F278" s="42" t="n"/>
      <c r="G278" s="42" t="n"/>
      <c r="H278" s="42" t="n"/>
      <c r="I278" s="42" t="n"/>
      <c r="J278" s="38" t="n"/>
      <c r="K278" s="38" t="n"/>
      <c r="L278" s="38" t="n"/>
      <c r="M278" s="38" t="n"/>
      <c r="N278" s="40" t="n"/>
      <c r="O278" s="40" t="n"/>
      <c r="P278" s="38" t="n"/>
    </row>
    <row r="279" ht="21" customHeight="1">
      <c r="A279" s="38" t="n"/>
      <c r="B279" s="38" t="n"/>
      <c r="C279" s="38" t="n"/>
      <c r="D279" s="38" t="n"/>
      <c r="E279" s="39" t="n"/>
      <c r="F279" s="42" t="n"/>
      <c r="G279" s="42" t="n"/>
      <c r="H279" s="42" t="n"/>
      <c r="I279" s="42" t="n"/>
      <c r="J279" s="38" t="n"/>
      <c r="K279" s="38" t="n"/>
      <c r="L279" s="38" t="n"/>
      <c r="M279" s="38" t="n"/>
      <c r="N279" s="40" t="n"/>
      <c r="O279" s="40" t="n"/>
      <c r="P279" s="38" t="n"/>
    </row>
    <row r="280" ht="21" customHeight="1">
      <c r="A280" s="38" t="n"/>
      <c r="B280" s="38" t="n"/>
      <c r="C280" s="38" t="n"/>
      <c r="D280" s="38" t="n"/>
      <c r="E280" s="39" t="n"/>
      <c r="F280" s="42" t="n"/>
      <c r="G280" s="42" t="n"/>
      <c r="H280" s="42" t="n"/>
      <c r="I280" s="42" t="n"/>
      <c r="J280" s="38" t="n"/>
      <c r="K280" s="38" t="n"/>
      <c r="L280" s="38" t="n"/>
      <c r="M280" s="38" t="n"/>
      <c r="N280" s="40" t="n"/>
      <c r="O280" s="40" t="n"/>
      <c r="P280" s="38" t="n"/>
    </row>
    <row r="281" ht="21" customHeight="1">
      <c r="A281" s="38" t="n"/>
      <c r="B281" s="38" t="n"/>
      <c r="C281" s="38" t="n"/>
      <c r="D281" s="38" t="n"/>
      <c r="E281" s="39" t="n"/>
      <c r="F281" s="42" t="n"/>
      <c r="G281" s="42" t="n"/>
      <c r="H281" s="42" t="n"/>
      <c r="I281" s="42" t="n"/>
      <c r="J281" s="38" t="n"/>
      <c r="K281" s="38" t="n"/>
      <c r="L281" s="38" t="n"/>
      <c r="M281" s="38" t="n"/>
      <c r="N281" s="40" t="n"/>
      <c r="O281" s="40" t="n"/>
      <c r="P281" s="38" t="n"/>
    </row>
    <row r="282" ht="21" customHeight="1">
      <c r="A282" s="38" t="n"/>
      <c r="B282" s="38" t="n"/>
      <c r="C282" s="38" t="n"/>
      <c r="D282" s="38" t="n"/>
      <c r="E282" s="39" t="n"/>
      <c r="F282" s="42" t="n"/>
      <c r="G282" s="42" t="n"/>
      <c r="H282" s="42" t="n"/>
      <c r="I282" s="42" t="n"/>
      <c r="J282" s="38" t="n"/>
      <c r="K282" s="38" t="n"/>
      <c r="L282" s="38" t="n"/>
      <c r="M282" s="38" t="n"/>
      <c r="N282" s="40" t="n"/>
      <c r="O282" s="40" t="n"/>
      <c r="P282" s="38" t="n"/>
    </row>
    <row r="283" ht="21" customHeight="1">
      <c r="A283" s="38" t="n"/>
      <c r="B283" s="38" t="n"/>
      <c r="C283" s="38" t="n"/>
      <c r="D283" s="38" t="n"/>
      <c r="E283" s="39" t="n"/>
      <c r="F283" s="42" t="n"/>
      <c r="G283" s="42" t="n"/>
      <c r="H283" s="42" t="n"/>
      <c r="I283" s="42" t="n"/>
      <c r="J283" s="38" t="n"/>
      <c r="K283" s="38" t="n"/>
      <c r="L283" s="38" t="n"/>
      <c r="M283" s="38" t="n"/>
      <c r="N283" s="40" t="n"/>
      <c r="O283" s="40" t="n"/>
      <c r="P283" s="38" t="n"/>
    </row>
    <row r="284" ht="21" customHeight="1">
      <c r="A284" s="38" t="n"/>
      <c r="B284" s="38" t="n"/>
      <c r="C284" s="38" t="n"/>
      <c r="D284" s="38" t="n"/>
      <c r="E284" s="39" t="n"/>
      <c r="F284" s="42" t="n"/>
      <c r="G284" s="42" t="n"/>
      <c r="H284" s="42" t="n"/>
      <c r="I284" s="42" t="n"/>
      <c r="J284" s="38" t="n"/>
      <c r="K284" s="38" t="n"/>
      <c r="L284" s="38" t="n"/>
      <c r="M284" s="38" t="n"/>
      <c r="N284" s="40" t="n"/>
      <c r="O284" s="40" t="n"/>
      <c r="P284" s="38" t="n"/>
    </row>
    <row r="285" ht="21" customHeight="1">
      <c r="A285" s="38" t="n"/>
      <c r="B285" s="38" t="n"/>
      <c r="C285" s="38" t="n"/>
      <c r="D285" s="38" t="n"/>
      <c r="E285" s="39" t="n"/>
      <c r="F285" s="42" t="n"/>
      <c r="G285" s="42" t="n"/>
      <c r="H285" s="42" t="n"/>
      <c r="I285" s="42" t="n"/>
      <c r="J285" s="38" t="n"/>
      <c r="K285" s="38" t="n"/>
      <c r="L285" s="38" t="n"/>
      <c r="M285" s="38" t="n"/>
      <c r="N285" s="40" t="n"/>
      <c r="O285" s="40" t="n"/>
      <c r="P285" s="38" t="n"/>
    </row>
    <row r="286" ht="21" customHeight="1">
      <c r="A286" s="38" t="n"/>
      <c r="B286" s="38" t="n"/>
      <c r="C286" s="38" t="n"/>
      <c r="D286" s="38" t="n"/>
      <c r="E286" s="39" t="n"/>
      <c r="F286" s="42" t="n"/>
      <c r="G286" s="42" t="n"/>
      <c r="H286" s="42" t="n"/>
      <c r="I286" s="42" t="n"/>
      <c r="J286" s="38" t="n"/>
      <c r="K286" s="38" t="n"/>
      <c r="L286" s="38" t="n"/>
      <c r="M286" s="38" t="n"/>
      <c r="N286" s="40" t="n"/>
      <c r="O286" s="40" t="n"/>
      <c r="P286" s="38" t="n"/>
    </row>
    <row r="287" ht="21" customHeight="1">
      <c r="A287" s="38" t="n"/>
      <c r="B287" s="38" t="n"/>
      <c r="C287" s="38" t="n"/>
      <c r="D287" s="38" t="n"/>
      <c r="E287" s="39" t="n"/>
      <c r="F287" s="42" t="n"/>
      <c r="G287" s="42" t="n"/>
      <c r="H287" s="42" t="n"/>
      <c r="I287" s="42" t="n"/>
      <c r="J287" s="38" t="n"/>
      <c r="K287" s="38" t="n"/>
      <c r="L287" s="38" t="n"/>
      <c r="M287" s="38" t="n"/>
      <c r="N287" s="40" t="n"/>
      <c r="O287" s="40" t="n"/>
      <c r="P287" s="38" t="n"/>
    </row>
    <row r="288" ht="21" customHeight="1">
      <c r="A288" s="38" t="n"/>
      <c r="B288" s="38" t="n"/>
      <c r="C288" s="38" t="n"/>
      <c r="D288" s="38" t="n"/>
      <c r="E288" s="39" t="n"/>
      <c r="F288" s="42" t="n"/>
      <c r="G288" s="42" t="n"/>
      <c r="H288" s="42" t="n"/>
      <c r="I288" s="42" t="n"/>
      <c r="J288" s="38" t="n"/>
      <c r="K288" s="38" t="n"/>
      <c r="L288" s="38" t="n"/>
      <c r="M288" s="38" t="n"/>
      <c r="N288" s="40" t="n"/>
      <c r="O288" s="40" t="n"/>
      <c r="P288" s="38" t="n"/>
    </row>
    <row r="289" ht="21" customHeight="1">
      <c r="A289" s="38" t="n"/>
      <c r="B289" s="38" t="n"/>
      <c r="C289" s="38" t="n"/>
      <c r="D289" s="38" t="n"/>
      <c r="E289" s="39" t="n"/>
      <c r="F289" s="42" t="n"/>
      <c r="G289" s="42" t="n"/>
      <c r="H289" s="42" t="n"/>
      <c r="I289" s="42" t="n"/>
      <c r="J289" s="38" t="n"/>
      <c r="K289" s="38" t="n"/>
      <c r="L289" s="38" t="n"/>
      <c r="M289" s="38" t="n"/>
      <c r="N289" s="40" t="n"/>
      <c r="O289" s="40" t="n"/>
      <c r="P289" s="38" t="n"/>
    </row>
    <row r="290" ht="21" customHeight="1">
      <c r="A290" s="38" t="n"/>
      <c r="B290" s="38" t="n"/>
      <c r="C290" s="38" t="n"/>
      <c r="D290" s="38" t="n"/>
      <c r="E290" s="39" t="n"/>
      <c r="F290" s="42" t="n"/>
      <c r="G290" s="42" t="n"/>
      <c r="H290" s="42" t="n"/>
      <c r="I290" s="42" t="n"/>
      <c r="J290" s="38" t="n"/>
      <c r="K290" s="38" t="n"/>
      <c r="L290" s="38" t="n"/>
      <c r="M290" s="38" t="n"/>
      <c r="N290" s="40" t="n"/>
      <c r="O290" s="40" t="n"/>
      <c r="P290" s="38" t="n"/>
    </row>
    <row r="291" ht="21" customHeight="1">
      <c r="A291" s="38" t="n"/>
      <c r="B291" s="38" t="n"/>
      <c r="C291" s="38" t="n"/>
      <c r="D291" s="38" t="n"/>
      <c r="E291" s="39" t="n"/>
      <c r="F291" s="42" t="n"/>
      <c r="G291" s="42" t="n"/>
      <c r="H291" s="42" t="n"/>
      <c r="I291" s="42" t="n"/>
      <c r="J291" s="38" t="n"/>
      <c r="K291" s="38" t="n"/>
      <c r="L291" s="38" t="n"/>
      <c r="M291" s="38" t="n"/>
      <c r="N291" s="40" t="n"/>
      <c r="O291" s="40" t="n"/>
      <c r="P291" s="38" t="n"/>
    </row>
    <row r="292" ht="21" customHeight="1">
      <c r="A292" s="38" t="n"/>
      <c r="B292" s="38" t="n"/>
      <c r="C292" s="38" t="n"/>
      <c r="D292" s="38" t="n"/>
      <c r="E292" s="39" t="n"/>
      <c r="F292" s="42" t="n"/>
      <c r="G292" s="42" t="n"/>
      <c r="H292" s="42" t="n"/>
      <c r="I292" s="42" t="n"/>
      <c r="J292" s="38" t="n"/>
      <c r="K292" s="38" t="n"/>
      <c r="L292" s="38" t="n"/>
      <c r="M292" s="38" t="n"/>
      <c r="N292" s="40" t="n"/>
      <c r="O292" s="40" t="n"/>
      <c r="P292" s="38" t="n"/>
    </row>
    <row r="293" ht="21" customHeight="1">
      <c r="A293" s="38" t="n"/>
      <c r="B293" s="38" t="n"/>
      <c r="C293" s="38" t="n"/>
      <c r="D293" s="38" t="n"/>
      <c r="E293" s="39" t="n"/>
      <c r="F293" s="42" t="n"/>
      <c r="G293" s="42" t="n"/>
      <c r="H293" s="42" t="n"/>
      <c r="I293" s="42" t="n"/>
      <c r="J293" s="38" t="n"/>
      <c r="K293" s="38" t="n"/>
      <c r="L293" s="38" t="n"/>
      <c r="M293" s="38" t="n"/>
      <c r="N293" s="40" t="n"/>
      <c r="O293" s="40" t="n"/>
      <c r="P293" s="38" t="n"/>
    </row>
    <row r="294" ht="21" customHeight="1">
      <c r="A294" s="38" t="n"/>
      <c r="B294" s="38" t="n"/>
      <c r="C294" s="38" t="n"/>
      <c r="D294" s="38" t="n"/>
      <c r="E294" s="39" t="n"/>
      <c r="F294" s="42" t="n"/>
      <c r="G294" s="42" t="n"/>
      <c r="H294" s="42" t="n"/>
      <c r="I294" s="42" t="n"/>
      <c r="J294" s="38" t="n"/>
      <c r="K294" s="38" t="n"/>
      <c r="L294" s="38" t="n"/>
      <c r="M294" s="38" t="n"/>
      <c r="N294" s="40" t="n"/>
      <c r="O294" s="40" t="n"/>
      <c r="P294" s="38" t="n"/>
    </row>
    <row r="295" ht="21" customHeight="1">
      <c r="A295" s="38" t="n"/>
      <c r="B295" s="38" t="n"/>
      <c r="C295" s="38" t="n"/>
      <c r="D295" s="38" t="n"/>
      <c r="E295" s="39" t="n"/>
      <c r="F295" s="42" t="n"/>
      <c r="G295" s="42" t="n"/>
      <c r="H295" s="42" t="n"/>
      <c r="I295" s="42" t="n"/>
      <c r="J295" s="38" t="n"/>
      <c r="K295" s="38" t="n"/>
      <c r="L295" s="38" t="n"/>
      <c r="M295" s="38" t="n"/>
      <c r="N295" s="40" t="n"/>
      <c r="O295" s="40" t="n"/>
      <c r="P295" s="38" t="n"/>
    </row>
    <row r="296" ht="21" customHeight="1">
      <c r="A296" s="38" t="n"/>
      <c r="B296" s="38" t="n"/>
      <c r="C296" s="38" t="n"/>
      <c r="D296" s="38" t="n"/>
      <c r="E296" s="39" t="n"/>
      <c r="F296" s="42" t="n"/>
      <c r="G296" s="42" t="n"/>
      <c r="H296" s="42" t="n"/>
      <c r="I296" s="42" t="n"/>
      <c r="J296" s="38" t="n"/>
      <c r="K296" s="38" t="n"/>
      <c r="L296" s="38" t="n"/>
      <c r="M296" s="38" t="n"/>
      <c r="N296" s="40" t="n"/>
      <c r="O296" s="40" t="n"/>
      <c r="P296" s="38" t="n"/>
    </row>
    <row r="297" ht="21" customHeight="1">
      <c r="A297" s="38" t="n"/>
      <c r="B297" s="38" t="n"/>
      <c r="C297" s="38" t="n"/>
      <c r="D297" s="38" t="n"/>
      <c r="E297" s="39" t="n"/>
      <c r="F297" s="42" t="n"/>
      <c r="G297" s="42" t="n"/>
      <c r="H297" s="42" t="n"/>
      <c r="I297" s="42" t="n"/>
      <c r="J297" s="38" t="n"/>
      <c r="K297" s="38" t="n"/>
      <c r="L297" s="38" t="n"/>
      <c r="M297" s="38" t="n"/>
      <c r="N297" s="40" t="n"/>
      <c r="O297" s="40" t="n"/>
      <c r="P297" s="38" t="n"/>
    </row>
    <row r="298" ht="21" customHeight="1">
      <c r="A298" s="38" t="n"/>
      <c r="B298" s="38" t="n"/>
      <c r="C298" s="38" t="n"/>
      <c r="D298" s="38" t="n"/>
      <c r="E298" s="39" t="n"/>
      <c r="F298" s="42" t="n"/>
      <c r="G298" s="42" t="n"/>
      <c r="H298" s="42" t="n"/>
      <c r="I298" s="42" t="n"/>
      <c r="J298" s="38" t="n"/>
      <c r="K298" s="38" t="n"/>
      <c r="L298" s="38" t="n"/>
      <c r="M298" s="38" t="n"/>
      <c r="N298" s="40" t="n"/>
      <c r="O298" s="40" t="n"/>
      <c r="P298" s="38" t="n"/>
    </row>
    <row r="299" ht="21" customHeight="1">
      <c r="A299" s="38" t="n"/>
      <c r="B299" s="38" t="n"/>
      <c r="C299" s="38" t="n"/>
      <c r="D299" s="38" t="n"/>
      <c r="E299" s="39" t="n"/>
      <c r="F299" s="42" t="n"/>
      <c r="G299" s="42" t="n"/>
      <c r="H299" s="42" t="n"/>
      <c r="I299" s="42" t="n"/>
      <c r="J299" s="38" t="n"/>
      <c r="K299" s="38" t="n"/>
      <c r="L299" s="38" t="n"/>
      <c r="M299" s="38" t="n"/>
      <c r="N299" s="40" t="n"/>
      <c r="O299" s="40" t="n"/>
      <c r="P299" s="38" t="n"/>
    </row>
    <row r="300" ht="21" customHeight="1">
      <c r="A300" s="38" t="n"/>
      <c r="B300" s="38" t="n"/>
      <c r="C300" s="38" t="n"/>
      <c r="D300" s="38" t="n"/>
      <c r="E300" s="39" t="n"/>
      <c r="F300" s="42" t="n"/>
      <c r="G300" s="42" t="n"/>
      <c r="H300" s="42" t="n"/>
      <c r="I300" s="42" t="n"/>
      <c r="J300" s="38" t="n"/>
      <c r="K300" s="38" t="n"/>
      <c r="L300" s="38" t="n"/>
      <c r="M300" s="38" t="n"/>
      <c r="N300" s="40" t="n"/>
      <c r="O300" s="40" t="n"/>
      <c r="P300" s="38" t="n"/>
    </row>
    <row r="301" ht="21" customHeight="1">
      <c r="A301" s="38" t="n"/>
      <c r="B301" s="38" t="n"/>
      <c r="C301" s="38" t="n"/>
      <c r="D301" s="38" t="n"/>
      <c r="E301" s="39" t="n"/>
      <c r="F301" s="42" t="n"/>
      <c r="G301" s="42" t="n"/>
      <c r="H301" s="42" t="n"/>
      <c r="I301" s="42" t="n"/>
      <c r="J301" s="38" t="n"/>
      <c r="K301" s="38" t="n"/>
      <c r="L301" s="38" t="n"/>
      <c r="M301" s="38" t="n"/>
      <c r="N301" s="40" t="n"/>
      <c r="O301" s="40" t="n"/>
      <c r="P301" s="38" t="n"/>
    </row>
    <row r="302" ht="21" customHeight="1">
      <c r="A302" s="38" t="n"/>
      <c r="B302" s="38" t="n"/>
      <c r="C302" s="38" t="n"/>
      <c r="D302" s="38" t="n"/>
      <c r="E302" s="39" t="n"/>
      <c r="F302" s="42" t="n"/>
      <c r="G302" s="42" t="n"/>
      <c r="H302" s="42" t="n"/>
      <c r="I302" s="42" t="n"/>
      <c r="J302" s="38" t="n"/>
      <c r="K302" s="38" t="n"/>
      <c r="L302" s="38" t="n"/>
      <c r="M302" s="38" t="n"/>
      <c r="N302" s="40" t="n"/>
      <c r="O302" s="40" t="n"/>
      <c r="P302" s="38" t="n"/>
    </row>
    <row r="303" ht="21" customHeight="1">
      <c r="A303" s="38" t="n"/>
      <c r="B303" s="38" t="n"/>
      <c r="C303" s="38" t="n"/>
      <c r="D303" s="38" t="n"/>
      <c r="E303" s="39" t="n"/>
      <c r="F303" s="42" t="n"/>
      <c r="G303" s="42" t="n"/>
      <c r="H303" s="42" t="n"/>
      <c r="I303" s="42" t="n"/>
      <c r="J303" s="38" t="n"/>
      <c r="K303" s="38" t="n"/>
      <c r="L303" s="38" t="n"/>
      <c r="M303" s="38" t="n"/>
      <c r="N303" s="40" t="n"/>
      <c r="O303" s="40" t="n"/>
      <c r="P303" s="38" t="n"/>
    </row>
    <row r="304" ht="21" customHeight="1">
      <c r="A304" s="38" t="n"/>
      <c r="B304" s="38" t="n"/>
      <c r="C304" s="38" t="n"/>
      <c r="D304" s="38" t="n"/>
      <c r="E304" s="39" t="n"/>
      <c r="F304" s="42" t="n"/>
      <c r="G304" s="42" t="n"/>
      <c r="H304" s="42" t="n"/>
      <c r="I304" s="42" t="n"/>
      <c r="J304" s="38" t="n"/>
      <c r="K304" s="38" t="n"/>
      <c r="L304" s="38" t="n"/>
      <c r="M304" s="38" t="n"/>
      <c r="N304" s="40" t="n"/>
      <c r="O304" s="40" t="n"/>
      <c r="P304" s="38" t="n"/>
    </row>
    <row r="305" ht="21" customHeight="1">
      <c r="A305" s="38" t="n"/>
      <c r="B305" s="38" t="n"/>
      <c r="C305" s="38" t="n"/>
      <c r="D305" s="38" t="n"/>
      <c r="E305" s="39" t="n"/>
      <c r="F305" s="42" t="n"/>
      <c r="G305" s="42" t="n"/>
      <c r="H305" s="42" t="n"/>
      <c r="I305" s="42" t="n"/>
      <c r="J305" s="38" t="n"/>
      <c r="K305" s="38" t="n"/>
      <c r="L305" s="38" t="n"/>
      <c r="M305" s="38" t="n"/>
      <c r="N305" s="40" t="n"/>
      <c r="O305" s="40" t="n"/>
      <c r="P305" s="38" t="n"/>
    </row>
    <row r="306" ht="21" customHeight="1">
      <c r="A306" s="38" t="n"/>
      <c r="B306" s="38" t="n"/>
      <c r="C306" s="38" t="n"/>
      <c r="D306" s="38" t="n"/>
      <c r="E306" s="39" t="n"/>
      <c r="F306" s="42" t="n"/>
      <c r="G306" s="42" t="n"/>
      <c r="H306" s="42" t="n"/>
      <c r="I306" s="42" t="n"/>
      <c r="J306" s="38" t="n"/>
      <c r="K306" s="38" t="n"/>
      <c r="L306" s="38" t="n"/>
      <c r="M306" s="38" t="n"/>
      <c r="N306" s="40" t="n"/>
      <c r="O306" s="40" t="n"/>
      <c r="P306" s="38" t="n"/>
    </row>
  </sheetData>
  <autoFilter ref="A6:P306"/>
  <mergeCells count="3">
    <mergeCell ref="A1:P2"/>
    <mergeCell ref="A4:P4"/>
    <mergeCell ref="A3:P3"/>
  </mergeCells>
  <conditionalFormatting sqref="J7:J306">
    <cfRule type="expression" priority="1" dxfId="2">
      <formula>=OR(J7="Complete",J7="Approved",J7="Delivered",J7="Installed",J7="Good condition",J7="Paid",J7="On budget")</formula>
    </cfRule>
    <cfRule type="expression" priority="2" dxfId="1">
      <formula>=OR(J7="Pending",J7="In progress",J7="Sent",J7="Waiting on client",J7="Waiting on vendor",J7="On hold",J7="Partially paid",J7="Scheduled")</formula>
    </cfRule>
    <cfRule type="expression" priority="3" dxfId="0">
      <formula>=OR(J7="Overdue",J7="Delayed",J7="Damaged",J7="Missing item",J7="Rejected",J7="Revisions requested")</formula>
    </cfRule>
    <cfRule type="expression" priority="4" dxfId="3">
      <formula>=OR(J7="Cancelled",J7="On hold",J7="Returned")</formula>
    </cfRule>
  </conditionalFormatting>
  <conditionalFormatting sqref="O7:O306">
    <cfRule type="expression" priority="5" dxfId="2">
      <formula>=OR(O7="Complete",O7="Approved",O7="Delivered",O7="Installed",O7="Good condition",O7="Paid",O7="On budget")</formula>
    </cfRule>
    <cfRule type="expression" priority="6" dxfId="1">
      <formula>=OR(O7="Pending",O7="In progress",O7="Sent",O7="Waiting on client",O7="Waiting on vendor",O7="On hold",O7="Partially paid",O7="Scheduled")</formula>
    </cfRule>
    <cfRule type="expression" priority="7" dxfId="0">
      <formula>=OR(O7="Overdue",O7="Delayed",O7="Damaged",O7="Missing item",O7="Rejected",O7="Revisions requested")</formula>
    </cfRule>
    <cfRule type="expression" priority="8" dxfId="3">
      <formula>=OR(O7="Cancelled",O7="On hold",O7="Returned")</formula>
    </cfRule>
  </conditionalFormatting>
  <conditionalFormatting sqref="H7:H306">
    <cfRule type="expression" priority="9" dxfId="0">
      <formula>=AND($H7&lt;TODAY(),$H7&lt;&gt;"",$J7&lt;&gt;"Delivered",$J7&lt;&gt;"Cancelled",$A7&lt;&gt;"")</formula>
    </cfRule>
  </conditionalFormatting>
  <dataValidations count="5">
    <dataValidation sqref="B7:B306" showDropDown="0" showInputMessage="1" showErrorMessage="1" allowBlank="1" errorTitle="Invalid entry" error="Please choose a value from the dropdown list." promptTitle="Choose from the dropdown" prompt="Select a value from the list." type="list">
      <formula1>=VendorNames</formula1>
    </dataValidation>
    <dataValidation sqref="C7:C306" showDropDown="0" showInputMessage="1" showErrorMessage="1" allowBlank="1" errorTitle="Invalid entry" error="Please choose a value from the dropdown list." promptTitle="Choose from the dropdown" prompt="Select a value from the list." type="list">
      <formula1>=RoomNames</formula1>
    </dataValidation>
    <dataValidation sqref="J7:J306" showDropDown="0" showInputMessage="1" showErrorMessage="1" allowBlank="1" errorTitle="Invalid entry" error="Please choose a value from the dropdown list." promptTitle="Choose from the dropdown" prompt="Select a value from the list." type="list">
      <formula1>=POStatuses</formula1>
    </dataValidation>
    <dataValidation sqref="O7:O306" showDropDown="0" showInputMessage="1" showErrorMessage="1" allowBlank="1" errorTitle="Invalid entry" error="Please choose a value from the dropdown list." promptTitle="Choose from the dropdown" prompt="Select a value from the list." type="list">
      <formula1>=YesNo</formula1>
    </dataValidation>
    <dataValidation sqref="F7:I306" showDropDown="0" showInputMessage="1" showErrorMessage="1" allowBlank="1" errorTitle="Invalid date" error="Enter a valid date between 1/1/1900 and 12/31/2100." promptTitle="Enter a date" prompt="Use a date such as 6/30/2026." type="date" operator="between">
      <formula1>DATE(1900,1,1)</formula1>
      <formula2>DATE(2100,12,31)</formula2>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13.xml><?xml version="1.0" encoding="utf-8"?>
<worksheet xmlns="http://schemas.openxmlformats.org/spreadsheetml/2006/main">
  <sheetPr>
    <tabColor rgb="00D6A756"/>
    <outlinePr summaryBelow="1" summaryRight="1"/>
    <pageSetUpPr fitToPage="1"/>
  </sheetPr>
  <dimension ref="A1:O306"/>
  <sheetViews>
    <sheetView showGridLines="0" zoomScale="85" workbookViewId="0">
      <pane ySplit="6" topLeftCell="A7" activePane="bottomLeft" state="frozen"/>
      <selection pane="bottomLeft" activeCell="A7" sqref="A1"/>
    </sheetView>
  </sheetViews>
  <sheetFormatPr baseColWidth="8" defaultRowHeight="15"/>
  <cols>
    <col width="28" customWidth="1" min="1" max="1"/>
    <col width="20" customWidth="1" min="2" max="2"/>
    <col width="22" customWidth="1" min="3" max="3"/>
    <col width="30" customWidth="1" min="4" max="4"/>
    <col width="21" customWidth="1" min="5" max="5"/>
    <col width="19" customWidth="1" min="6" max="6"/>
    <col width="17" customWidth="1" min="7" max="7"/>
    <col width="20" customWidth="1" min="8" max="8"/>
    <col width="17" customWidth="1" min="9" max="9"/>
    <col width="30" customWidth="1" min="10" max="10"/>
    <col width="22" customWidth="1" min="11" max="11"/>
    <col width="15" customWidth="1" min="12" max="12"/>
    <col width="22" customWidth="1" min="13" max="13"/>
    <col width="19" customWidth="1" min="14" max="14"/>
    <col width="34" customWidth="1" min="15" max="15"/>
  </cols>
  <sheetData>
    <row r="1" ht="26" customHeight="1">
      <c r="A1" s="1" t="inlineStr">
        <is>
          <t>Delivery &amp; Installation Tracker</t>
        </is>
      </c>
    </row>
    <row r="2" ht="26" customHeight="1"/>
    <row r="3" ht="26" customHeight="1">
      <c r="A3" s="24" t="inlineStr">
        <is>
          <t>Keep deliveries organized: expected dates, damage checks, storage, installers, and installation status.</t>
        </is>
      </c>
    </row>
    <row r="4">
      <c r="A4" s="36" t="inlineStr">
        <is>
          <t>Tip: enter data in the warm cream cells. Blue cells calculate automatically. Use the filter arrows in row 6 to focus the view.</t>
        </is>
      </c>
    </row>
    <row r="6" ht="34" customHeight="1">
      <c r="A6" s="37" t="inlineStr">
        <is>
          <t>Item</t>
        </is>
      </c>
      <c r="B6" s="37" t="inlineStr">
        <is>
          <t>Room</t>
        </is>
      </c>
      <c r="C6" s="37" t="inlineStr">
        <is>
          <t>Vendor</t>
        </is>
      </c>
      <c r="D6" s="37" t="inlineStr">
        <is>
          <t>Delivery address</t>
        </is>
      </c>
      <c r="E6" s="37" t="inlineStr">
        <is>
          <t>Expected delivery date</t>
        </is>
      </c>
      <c r="F6" s="37" t="inlineStr">
        <is>
          <t>Actual delivery date</t>
        </is>
      </c>
      <c r="G6" s="37" t="inlineStr">
        <is>
          <t>Delivery status</t>
        </is>
      </c>
      <c r="H6" s="37" t="inlineStr">
        <is>
          <t>Received by</t>
        </is>
      </c>
      <c r="I6" s="37" t="inlineStr">
        <is>
          <t>Damage check</t>
        </is>
      </c>
      <c r="J6" s="37" t="inlineStr">
        <is>
          <t>Damage notes</t>
        </is>
      </c>
      <c r="K6" s="37" t="inlineStr">
        <is>
          <t>Storage location</t>
        </is>
      </c>
      <c r="L6" s="37" t="inlineStr">
        <is>
          <t>Install date</t>
        </is>
      </c>
      <c r="M6" s="37" t="inlineStr">
        <is>
          <t>Installer</t>
        </is>
      </c>
      <c r="N6" s="37" t="inlineStr">
        <is>
          <t>Installation status</t>
        </is>
      </c>
      <c r="O6" s="37" t="inlineStr">
        <is>
          <t>Punch list notes</t>
        </is>
      </c>
    </row>
    <row r="7" ht="21" customHeight="1">
      <c r="A7" s="38" t="n"/>
      <c r="B7" s="38" t="n"/>
      <c r="C7" s="38" t="n"/>
      <c r="D7" s="38" t="n"/>
      <c r="E7" s="42" t="n"/>
      <c r="F7" s="42" t="n"/>
      <c r="G7" s="38" t="n"/>
      <c r="H7" s="38" t="n"/>
      <c r="I7" s="38" t="n"/>
      <c r="J7" s="38" t="n"/>
      <c r="K7" s="38" t="n"/>
      <c r="L7" s="42" t="n"/>
      <c r="M7" s="38" t="n"/>
      <c r="N7" s="38" t="n"/>
      <c r="O7" s="38" t="n"/>
    </row>
    <row r="8" ht="21" customHeight="1">
      <c r="A8" s="38" t="n"/>
      <c r="B8" s="38" t="n"/>
      <c r="C8" s="38" t="n"/>
      <c r="D8" s="38" t="n"/>
      <c r="E8" s="42" t="n"/>
      <c r="F8" s="42" t="n"/>
      <c r="G8" s="38" t="n"/>
      <c r="H8" s="38" t="n"/>
      <c r="I8" s="38" t="n"/>
      <c r="J8" s="38" t="n"/>
      <c r="K8" s="38" t="n"/>
      <c r="L8" s="42" t="n"/>
      <c r="M8" s="38" t="n"/>
      <c r="N8" s="38" t="n"/>
      <c r="O8" s="38" t="n"/>
    </row>
    <row r="9" ht="21" customHeight="1">
      <c r="A9" s="38" t="n"/>
      <c r="B9" s="38" t="n"/>
      <c r="C9" s="38" t="n"/>
      <c r="D9" s="38" t="n"/>
      <c r="E9" s="42" t="n"/>
      <c r="F9" s="42" t="n"/>
      <c r="G9" s="38" t="n"/>
      <c r="H9" s="38" t="n"/>
      <c r="I9" s="38" t="n"/>
      <c r="J9" s="38" t="n"/>
      <c r="K9" s="38" t="n"/>
      <c r="L9" s="42" t="n"/>
      <c r="M9" s="38" t="n"/>
      <c r="N9" s="38" t="n"/>
      <c r="O9" s="38" t="n"/>
    </row>
    <row r="10" ht="21" customHeight="1">
      <c r="A10" s="38" t="n"/>
      <c r="B10" s="38" t="n"/>
      <c r="C10" s="38" t="n"/>
      <c r="D10" s="38" t="n"/>
      <c r="E10" s="42" t="n"/>
      <c r="F10" s="42" t="n"/>
      <c r="G10" s="38" t="n"/>
      <c r="H10" s="38" t="n"/>
      <c r="I10" s="38" t="n"/>
      <c r="J10" s="38" t="n"/>
      <c r="K10" s="38" t="n"/>
      <c r="L10" s="42" t="n"/>
      <c r="M10" s="38" t="n"/>
      <c r="N10" s="38" t="n"/>
      <c r="O10" s="38" t="n"/>
    </row>
    <row r="11" ht="21" customHeight="1">
      <c r="A11" s="38" t="n"/>
      <c r="B11" s="38" t="n"/>
      <c r="C11" s="38" t="n"/>
      <c r="D11" s="38" t="n"/>
      <c r="E11" s="42" t="n"/>
      <c r="F11" s="42" t="n"/>
      <c r="G11" s="38" t="n"/>
      <c r="H11" s="38" t="n"/>
      <c r="I11" s="38" t="n"/>
      <c r="J11" s="38" t="n"/>
      <c r="K11" s="38" t="n"/>
      <c r="L11" s="42" t="n"/>
      <c r="M11" s="38" t="n"/>
      <c r="N11" s="38" t="n"/>
      <c r="O11" s="38" t="n"/>
    </row>
    <row r="12" ht="21" customHeight="1">
      <c r="A12" s="38" t="n"/>
      <c r="B12" s="38" t="n"/>
      <c r="C12" s="38" t="n"/>
      <c r="D12" s="38" t="n"/>
      <c r="E12" s="42" t="n"/>
      <c r="F12" s="42" t="n"/>
      <c r="G12" s="38" t="n"/>
      <c r="H12" s="38" t="n"/>
      <c r="I12" s="38" t="n"/>
      <c r="J12" s="38" t="n"/>
      <c r="K12" s="38" t="n"/>
      <c r="L12" s="42" t="n"/>
      <c r="M12" s="38" t="n"/>
      <c r="N12" s="38" t="n"/>
      <c r="O12" s="38" t="n"/>
    </row>
    <row r="13" ht="21" customHeight="1">
      <c r="A13" s="38" t="n"/>
      <c r="B13" s="38" t="n"/>
      <c r="C13" s="38" t="n"/>
      <c r="D13" s="38" t="n"/>
      <c r="E13" s="42" t="n"/>
      <c r="F13" s="42" t="n"/>
      <c r="G13" s="38" t="n"/>
      <c r="H13" s="38" t="n"/>
      <c r="I13" s="38" t="n"/>
      <c r="J13" s="38" t="n"/>
      <c r="K13" s="38" t="n"/>
      <c r="L13" s="42" t="n"/>
      <c r="M13" s="38" t="n"/>
      <c r="N13" s="38" t="n"/>
      <c r="O13" s="38" t="n"/>
    </row>
    <row r="14" ht="21" customHeight="1">
      <c r="A14" s="38" t="n"/>
      <c r="B14" s="38" t="n"/>
      <c r="C14" s="38" t="n"/>
      <c r="D14" s="38" t="n"/>
      <c r="E14" s="42" t="n"/>
      <c r="F14" s="42" t="n"/>
      <c r="G14" s="38" t="n"/>
      <c r="H14" s="38" t="n"/>
      <c r="I14" s="38" t="n"/>
      <c r="J14" s="38" t="n"/>
      <c r="K14" s="38" t="n"/>
      <c r="L14" s="42" t="n"/>
      <c r="M14" s="38" t="n"/>
      <c r="N14" s="38" t="n"/>
      <c r="O14" s="38" t="n"/>
    </row>
    <row r="15" ht="21" customHeight="1">
      <c r="A15" s="38" t="n"/>
      <c r="B15" s="38" t="n"/>
      <c r="C15" s="38" t="n"/>
      <c r="D15" s="38" t="n"/>
      <c r="E15" s="42" t="n"/>
      <c r="F15" s="42" t="n"/>
      <c r="G15" s="38" t="n"/>
      <c r="H15" s="38" t="n"/>
      <c r="I15" s="38" t="n"/>
      <c r="J15" s="38" t="n"/>
      <c r="K15" s="38" t="n"/>
      <c r="L15" s="42" t="n"/>
      <c r="M15" s="38" t="n"/>
      <c r="N15" s="38" t="n"/>
      <c r="O15" s="38" t="n"/>
    </row>
    <row r="16" ht="21" customHeight="1">
      <c r="A16" s="38" t="n"/>
      <c r="B16" s="38" t="n"/>
      <c r="C16" s="38" t="n"/>
      <c r="D16" s="38" t="n"/>
      <c r="E16" s="42" t="n"/>
      <c r="F16" s="42" t="n"/>
      <c r="G16" s="38" t="n"/>
      <c r="H16" s="38" t="n"/>
      <c r="I16" s="38" t="n"/>
      <c r="J16" s="38" t="n"/>
      <c r="K16" s="38" t="n"/>
      <c r="L16" s="42" t="n"/>
      <c r="M16" s="38" t="n"/>
      <c r="N16" s="38" t="n"/>
      <c r="O16" s="38" t="n"/>
    </row>
    <row r="17" ht="21" customHeight="1">
      <c r="A17" s="38" t="n"/>
      <c r="B17" s="38" t="n"/>
      <c r="C17" s="38" t="n"/>
      <c r="D17" s="38" t="n"/>
      <c r="E17" s="42" t="n"/>
      <c r="F17" s="42" t="n"/>
      <c r="G17" s="38" t="n"/>
      <c r="H17" s="38" t="n"/>
      <c r="I17" s="38" t="n"/>
      <c r="J17" s="38" t="n"/>
      <c r="K17" s="38" t="n"/>
      <c r="L17" s="42" t="n"/>
      <c r="M17" s="38" t="n"/>
      <c r="N17" s="38" t="n"/>
      <c r="O17" s="38" t="n"/>
    </row>
    <row r="18" ht="21" customHeight="1">
      <c r="A18" s="38" t="n"/>
      <c r="B18" s="38" t="n"/>
      <c r="C18" s="38" t="n"/>
      <c r="D18" s="38" t="n"/>
      <c r="E18" s="42" t="n"/>
      <c r="F18" s="42" t="n"/>
      <c r="G18" s="38" t="n"/>
      <c r="H18" s="38" t="n"/>
      <c r="I18" s="38" t="n"/>
      <c r="J18" s="38" t="n"/>
      <c r="K18" s="38" t="n"/>
      <c r="L18" s="42" t="n"/>
      <c r="M18" s="38" t="n"/>
      <c r="N18" s="38" t="n"/>
      <c r="O18" s="38" t="n"/>
    </row>
    <row r="19" ht="21" customHeight="1">
      <c r="A19" s="38" t="n"/>
      <c r="B19" s="38" t="n"/>
      <c r="C19" s="38" t="n"/>
      <c r="D19" s="38" t="n"/>
      <c r="E19" s="42" t="n"/>
      <c r="F19" s="42" t="n"/>
      <c r="G19" s="38" t="n"/>
      <c r="H19" s="38" t="n"/>
      <c r="I19" s="38" t="n"/>
      <c r="J19" s="38" t="n"/>
      <c r="K19" s="38" t="n"/>
      <c r="L19" s="42" t="n"/>
      <c r="M19" s="38" t="n"/>
      <c r="N19" s="38" t="n"/>
      <c r="O19" s="38" t="n"/>
    </row>
    <row r="20" ht="21" customHeight="1">
      <c r="A20" s="38" t="n"/>
      <c r="B20" s="38" t="n"/>
      <c r="C20" s="38" t="n"/>
      <c r="D20" s="38" t="n"/>
      <c r="E20" s="42" t="n"/>
      <c r="F20" s="42" t="n"/>
      <c r="G20" s="38" t="n"/>
      <c r="H20" s="38" t="n"/>
      <c r="I20" s="38" t="n"/>
      <c r="J20" s="38" t="n"/>
      <c r="K20" s="38" t="n"/>
      <c r="L20" s="42" t="n"/>
      <c r="M20" s="38" t="n"/>
      <c r="N20" s="38" t="n"/>
      <c r="O20" s="38" t="n"/>
    </row>
    <row r="21" ht="21" customHeight="1">
      <c r="A21" s="38" t="n"/>
      <c r="B21" s="38" t="n"/>
      <c r="C21" s="38" t="n"/>
      <c r="D21" s="38" t="n"/>
      <c r="E21" s="42" t="n"/>
      <c r="F21" s="42" t="n"/>
      <c r="G21" s="38" t="n"/>
      <c r="H21" s="38" t="n"/>
      <c r="I21" s="38" t="n"/>
      <c r="J21" s="38" t="n"/>
      <c r="K21" s="38" t="n"/>
      <c r="L21" s="42" t="n"/>
      <c r="M21" s="38" t="n"/>
      <c r="N21" s="38" t="n"/>
      <c r="O21" s="38" t="n"/>
    </row>
    <row r="22" ht="21" customHeight="1">
      <c r="A22" s="38" t="n"/>
      <c r="B22" s="38" t="n"/>
      <c r="C22" s="38" t="n"/>
      <c r="D22" s="38" t="n"/>
      <c r="E22" s="42" t="n"/>
      <c r="F22" s="42" t="n"/>
      <c r="G22" s="38" t="n"/>
      <c r="H22" s="38" t="n"/>
      <c r="I22" s="38" t="n"/>
      <c r="J22" s="38" t="n"/>
      <c r="K22" s="38" t="n"/>
      <c r="L22" s="42" t="n"/>
      <c r="M22" s="38" t="n"/>
      <c r="N22" s="38" t="n"/>
      <c r="O22" s="38" t="n"/>
    </row>
    <row r="23" ht="21" customHeight="1">
      <c r="A23" s="38" t="n"/>
      <c r="B23" s="38" t="n"/>
      <c r="C23" s="38" t="n"/>
      <c r="D23" s="38" t="n"/>
      <c r="E23" s="42" t="n"/>
      <c r="F23" s="42" t="n"/>
      <c r="G23" s="38" t="n"/>
      <c r="H23" s="38" t="n"/>
      <c r="I23" s="38" t="n"/>
      <c r="J23" s="38" t="n"/>
      <c r="K23" s="38" t="n"/>
      <c r="L23" s="42" t="n"/>
      <c r="M23" s="38" t="n"/>
      <c r="N23" s="38" t="n"/>
      <c r="O23" s="38" t="n"/>
    </row>
    <row r="24" ht="21" customHeight="1">
      <c r="A24" s="38" t="n"/>
      <c r="B24" s="38" t="n"/>
      <c r="C24" s="38" t="n"/>
      <c r="D24" s="38" t="n"/>
      <c r="E24" s="42" t="n"/>
      <c r="F24" s="42" t="n"/>
      <c r="G24" s="38" t="n"/>
      <c r="H24" s="38" t="n"/>
      <c r="I24" s="38" t="n"/>
      <c r="J24" s="38" t="n"/>
      <c r="K24" s="38" t="n"/>
      <c r="L24" s="42" t="n"/>
      <c r="M24" s="38" t="n"/>
      <c r="N24" s="38" t="n"/>
      <c r="O24" s="38" t="n"/>
    </row>
    <row r="25" ht="21" customHeight="1">
      <c r="A25" s="38" t="n"/>
      <c r="B25" s="38" t="n"/>
      <c r="C25" s="38" t="n"/>
      <c r="D25" s="38" t="n"/>
      <c r="E25" s="42" t="n"/>
      <c r="F25" s="42" t="n"/>
      <c r="G25" s="38" t="n"/>
      <c r="H25" s="38" t="n"/>
      <c r="I25" s="38" t="n"/>
      <c r="J25" s="38" t="n"/>
      <c r="K25" s="38" t="n"/>
      <c r="L25" s="42" t="n"/>
      <c r="M25" s="38" t="n"/>
      <c r="N25" s="38" t="n"/>
      <c r="O25" s="38" t="n"/>
    </row>
    <row r="26" ht="21" customHeight="1">
      <c r="A26" s="38" t="n"/>
      <c r="B26" s="38" t="n"/>
      <c r="C26" s="38" t="n"/>
      <c r="D26" s="38" t="n"/>
      <c r="E26" s="42" t="n"/>
      <c r="F26" s="42" t="n"/>
      <c r="G26" s="38" t="n"/>
      <c r="H26" s="38" t="n"/>
      <c r="I26" s="38" t="n"/>
      <c r="J26" s="38" t="n"/>
      <c r="K26" s="38" t="n"/>
      <c r="L26" s="42" t="n"/>
      <c r="M26" s="38" t="n"/>
      <c r="N26" s="38" t="n"/>
      <c r="O26" s="38" t="n"/>
    </row>
    <row r="27" ht="21" customHeight="1">
      <c r="A27" s="38" t="n"/>
      <c r="B27" s="38" t="n"/>
      <c r="C27" s="38" t="n"/>
      <c r="D27" s="38" t="n"/>
      <c r="E27" s="42" t="n"/>
      <c r="F27" s="42" t="n"/>
      <c r="G27" s="38" t="n"/>
      <c r="H27" s="38" t="n"/>
      <c r="I27" s="38" t="n"/>
      <c r="J27" s="38" t="n"/>
      <c r="K27" s="38" t="n"/>
      <c r="L27" s="42" t="n"/>
      <c r="M27" s="38" t="n"/>
      <c r="N27" s="38" t="n"/>
      <c r="O27" s="38" t="n"/>
    </row>
    <row r="28" ht="21" customHeight="1">
      <c r="A28" s="38" t="n"/>
      <c r="B28" s="38" t="n"/>
      <c r="C28" s="38" t="n"/>
      <c r="D28" s="38" t="n"/>
      <c r="E28" s="42" t="n"/>
      <c r="F28" s="42" t="n"/>
      <c r="G28" s="38" t="n"/>
      <c r="H28" s="38" t="n"/>
      <c r="I28" s="38" t="n"/>
      <c r="J28" s="38" t="n"/>
      <c r="K28" s="38" t="n"/>
      <c r="L28" s="42" t="n"/>
      <c r="M28" s="38" t="n"/>
      <c r="N28" s="38" t="n"/>
      <c r="O28" s="38" t="n"/>
    </row>
    <row r="29" ht="21" customHeight="1">
      <c r="A29" s="38" t="n"/>
      <c r="B29" s="38" t="n"/>
      <c r="C29" s="38" t="n"/>
      <c r="D29" s="38" t="n"/>
      <c r="E29" s="42" t="n"/>
      <c r="F29" s="42" t="n"/>
      <c r="G29" s="38" t="n"/>
      <c r="H29" s="38" t="n"/>
      <c r="I29" s="38" t="n"/>
      <c r="J29" s="38" t="n"/>
      <c r="K29" s="38" t="n"/>
      <c r="L29" s="42" t="n"/>
      <c r="M29" s="38" t="n"/>
      <c r="N29" s="38" t="n"/>
      <c r="O29" s="38" t="n"/>
    </row>
    <row r="30" ht="21" customHeight="1">
      <c r="A30" s="38" t="n"/>
      <c r="B30" s="38" t="n"/>
      <c r="C30" s="38" t="n"/>
      <c r="D30" s="38" t="n"/>
      <c r="E30" s="42" t="n"/>
      <c r="F30" s="42" t="n"/>
      <c r="G30" s="38" t="n"/>
      <c r="H30" s="38" t="n"/>
      <c r="I30" s="38" t="n"/>
      <c r="J30" s="38" t="n"/>
      <c r="K30" s="38" t="n"/>
      <c r="L30" s="42" t="n"/>
      <c r="M30" s="38" t="n"/>
      <c r="N30" s="38" t="n"/>
      <c r="O30" s="38" t="n"/>
    </row>
    <row r="31" ht="21" customHeight="1">
      <c r="A31" s="38" t="n"/>
      <c r="B31" s="38" t="n"/>
      <c r="C31" s="38" t="n"/>
      <c r="D31" s="38" t="n"/>
      <c r="E31" s="42" t="n"/>
      <c r="F31" s="42" t="n"/>
      <c r="G31" s="38" t="n"/>
      <c r="H31" s="38" t="n"/>
      <c r="I31" s="38" t="n"/>
      <c r="J31" s="38" t="n"/>
      <c r="K31" s="38" t="n"/>
      <c r="L31" s="42" t="n"/>
      <c r="M31" s="38" t="n"/>
      <c r="N31" s="38" t="n"/>
      <c r="O31" s="38" t="n"/>
    </row>
    <row r="32" ht="21" customHeight="1">
      <c r="A32" s="38" t="n"/>
      <c r="B32" s="38" t="n"/>
      <c r="C32" s="38" t="n"/>
      <c r="D32" s="38" t="n"/>
      <c r="E32" s="42" t="n"/>
      <c r="F32" s="42" t="n"/>
      <c r="G32" s="38" t="n"/>
      <c r="H32" s="38" t="n"/>
      <c r="I32" s="38" t="n"/>
      <c r="J32" s="38" t="n"/>
      <c r="K32" s="38" t="n"/>
      <c r="L32" s="42" t="n"/>
      <c r="M32" s="38" t="n"/>
      <c r="N32" s="38" t="n"/>
      <c r="O32" s="38" t="n"/>
    </row>
    <row r="33" ht="21" customHeight="1">
      <c r="A33" s="38" t="n"/>
      <c r="B33" s="38" t="n"/>
      <c r="C33" s="38" t="n"/>
      <c r="D33" s="38" t="n"/>
      <c r="E33" s="42" t="n"/>
      <c r="F33" s="42" t="n"/>
      <c r="G33" s="38" t="n"/>
      <c r="H33" s="38" t="n"/>
      <c r="I33" s="38" t="n"/>
      <c r="J33" s="38" t="n"/>
      <c r="K33" s="38" t="n"/>
      <c r="L33" s="42" t="n"/>
      <c r="M33" s="38" t="n"/>
      <c r="N33" s="38" t="n"/>
      <c r="O33" s="38" t="n"/>
    </row>
    <row r="34" ht="21" customHeight="1">
      <c r="A34" s="38" t="n"/>
      <c r="B34" s="38" t="n"/>
      <c r="C34" s="38" t="n"/>
      <c r="D34" s="38" t="n"/>
      <c r="E34" s="42" t="n"/>
      <c r="F34" s="42" t="n"/>
      <c r="G34" s="38" t="n"/>
      <c r="H34" s="38" t="n"/>
      <c r="I34" s="38" t="n"/>
      <c r="J34" s="38" t="n"/>
      <c r="K34" s="38" t="n"/>
      <c r="L34" s="42" t="n"/>
      <c r="M34" s="38" t="n"/>
      <c r="N34" s="38" t="n"/>
      <c r="O34" s="38" t="n"/>
    </row>
    <row r="35" ht="21" customHeight="1">
      <c r="A35" s="38" t="n"/>
      <c r="B35" s="38" t="n"/>
      <c r="C35" s="38" t="n"/>
      <c r="D35" s="38" t="n"/>
      <c r="E35" s="42" t="n"/>
      <c r="F35" s="42" t="n"/>
      <c r="G35" s="38" t="n"/>
      <c r="H35" s="38" t="n"/>
      <c r="I35" s="38" t="n"/>
      <c r="J35" s="38" t="n"/>
      <c r="K35" s="38" t="n"/>
      <c r="L35" s="42" t="n"/>
      <c r="M35" s="38" t="n"/>
      <c r="N35" s="38" t="n"/>
      <c r="O35" s="38" t="n"/>
    </row>
    <row r="36" ht="21" customHeight="1">
      <c r="A36" s="38" t="n"/>
      <c r="B36" s="38" t="n"/>
      <c r="C36" s="38" t="n"/>
      <c r="D36" s="38" t="n"/>
      <c r="E36" s="42" t="n"/>
      <c r="F36" s="42" t="n"/>
      <c r="G36" s="38" t="n"/>
      <c r="H36" s="38" t="n"/>
      <c r="I36" s="38" t="n"/>
      <c r="J36" s="38" t="n"/>
      <c r="K36" s="38" t="n"/>
      <c r="L36" s="42" t="n"/>
      <c r="M36" s="38" t="n"/>
      <c r="N36" s="38" t="n"/>
      <c r="O36" s="38" t="n"/>
    </row>
    <row r="37" ht="21" customHeight="1">
      <c r="A37" s="38" t="n"/>
      <c r="B37" s="38" t="n"/>
      <c r="C37" s="38" t="n"/>
      <c r="D37" s="38" t="n"/>
      <c r="E37" s="42" t="n"/>
      <c r="F37" s="42" t="n"/>
      <c r="G37" s="38" t="n"/>
      <c r="H37" s="38" t="n"/>
      <c r="I37" s="38" t="n"/>
      <c r="J37" s="38" t="n"/>
      <c r="K37" s="38" t="n"/>
      <c r="L37" s="42" t="n"/>
      <c r="M37" s="38" t="n"/>
      <c r="N37" s="38" t="n"/>
      <c r="O37" s="38" t="n"/>
    </row>
    <row r="38" ht="21" customHeight="1">
      <c r="A38" s="38" t="n"/>
      <c r="B38" s="38" t="n"/>
      <c r="C38" s="38" t="n"/>
      <c r="D38" s="38" t="n"/>
      <c r="E38" s="42" t="n"/>
      <c r="F38" s="42" t="n"/>
      <c r="G38" s="38" t="n"/>
      <c r="H38" s="38" t="n"/>
      <c r="I38" s="38" t="n"/>
      <c r="J38" s="38" t="n"/>
      <c r="K38" s="38" t="n"/>
      <c r="L38" s="42" t="n"/>
      <c r="M38" s="38" t="n"/>
      <c r="N38" s="38" t="n"/>
      <c r="O38" s="38" t="n"/>
    </row>
    <row r="39" ht="21" customHeight="1">
      <c r="A39" s="38" t="n"/>
      <c r="B39" s="38" t="n"/>
      <c r="C39" s="38" t="n"/>
      <c r="D39" s="38" t="n"/>
      <c r="E39" s="42" t="n"/>
      <c r="F39" s="42" t="n"/>
      <c r="G39" s="38" t="n"/>
      <c r="H39" s="38" t="n"/>
      <c r="I39" s="38" t="n"/>
      <c r="J39" s="38" t="n"/>
      <c r="K39" s="38" t="n"/>
      <c r="L39" s="42" t="n"/>
      <c r="M39" s="38" t="n"/>
      <c r="N39" s="38" t="n"/>
      <c r="O39" s="38" t="n"/>
    </row>
    <row r="40" ht="21" customHeight="1">
      <c r="A40" s="38" t="n"/>
      <c r="B40" s="38" t="n"/>
      <c r="C40" s="38" t="n"/>
      <c r="D40" s="38" t="n"/>
      <c r="E40" s="42" t="n"/>
      <c r="F40" s="42" t="n"/>
      <c r="G40" s="38" t="n"/>
      <c r="H40" s="38" t="n"/>
      <c r="I40" s="38" t="n"/>
      <c r="J40" s="38" t="n"/>
      <c r="K40" s="38" t="n"/>
      <c r="L40" s="42" t="n"/>
      <c r="M40" s="38" t="n"/>
      <c r="N40" s="38" t="n"/>
      <c r="O40" s="38" t="n"/>
    </row>
    <row r="41" ht="21" customHeight="1">
      <c r="A41" s="38" t="n"/>
      <c r="B41" s="38" t="n"/>
      <c r="C41" s="38" t="n"/>
      <c r="D41" s="38" t="n"/>
      <c r="E41" s="42" t="n"/>
      <c r="F41" s="42" t="n"/>
      <c r="G41" s="38" t="n"/>
      <c r="H41" s="38" t="n"/>
      <c r="I41" s="38" t="n"/>
      <c r="J41" s="38" t="n"/>
      <c r="K41" s="38" t="n"/>
      <c r="L41" s="42" t="n"/>
      <c r="M41" s="38" t="n"/>
      <c r="N41" s="38" t="n"/>
      <c r="O41" s="38" t="n"/>
    </row>
    <row r="42" ht="21" customHeight="1">
      <c r="A42" s="38" t="n"/>
      <c r="B42" s="38" t="n"/>
      <c r="C42" s="38" t="n"/>
      <c r="D42" s="38" t="n"/>
      <c r="E42" s="42" t="n"/>
      <c r="F42" s="42" t="n"/>
      <c r="G42" s="38" t="n"/>
      <c r="H42" s="38" t="n"/>
      <c r="I42" s="38" t="n"/>
      <c r="J42" s="38" t="n"/>
      <c r="K42" s="38" t="n"/>
      <c r="L42" s="42" t="n"/>
      <c r="M42" s="38" t="n"/>
      <c r="N42" s="38" t="n"/>
      <c r="O42" s="38" t="n"/>
    </row>
    <row r="43" ht="21" customHeight="1">
      <c r="A43" s="38" t="n"/>
      <c r="B43" s="38" t="n"/>
      <c r="C43" s="38" t="n"/>
      <c r="D43" s="38" t="n"/>
      <c r="E43" s="42" t="n"/>
      <c r="F43" s="42" t="n"/>
      <c r="G43" s="38" t="n"/>
      <c r="H43" s="38" t="n"/>
      <c r="I43" s="38" t="n"/>
      <c r="J43" s="38" t="n"/>
      <c r="K43" s="38" t="n"/>
      <c r="L43" s="42" t="n"/>
      <c r="M43" s="38" t="n"/>
      <c r="N43" s="38" t="n"/>
      <c r="O43" s="38" t="n"/>
    </row>
    <row r="44" ht="21" customHeight="1">
      <c r="A44" s="38" t="n"/>
      <c r="B44" s="38" t="n"/>
      <c r="C44" s="38" t="n"/>
      <c r="D44" s="38" t="n"/>
      <c r="E44" s="42" t="n"/>
      <c r="F44" s="42" t="n"/>
      <c r="G44" s="38" t="n"/>
      <c r="H44" s="38" t="n"/>
      <c r="I44" s="38" t="n"/>
      <c r="J44" s="38" t="n"/>
      <c r="K44" s="38" t="n"/>
      <c r="L44" s="42" t="n"/>
      <c r="M44" s="38" t="n"/>
      <c r="N44" s="38" t="n"/>
      <c r="O44" s="38" t="n"/>
    </row>
    <row r="45" ht="21" customHeight="1">
      <c r="A45" s="38" t="n"/>
      <c r="B45" s="38" t="n"/>
      <c r="C45" s="38" t="n"/>
      <c r="D45" s="38" t="n"/>
      <c r="E45" s="42" t="n"/>
      <c r="F45" s="42" t="n"/>
      <c r="G45" s="38" t="n"/>
      <c r="H45" s="38" t="n"/>
      <c r="I45" s="38" t="n"/>
      <c r="J45" s="38" t="n"/>
      <c r="K45" s="38" t="n"/>
      <c r="L45" s="42" t="n"/>
      <c r="M45" s="38" t="n"/>
      <c r="N45" s="38" t="n"/>
      <c r="O45" s="38" t="n"/>
    </row>
    <row r="46" ht="21" customHeight="1">
      <c r="A46" s="38" t="n"/>
      <c r="B46" s="38" t="n"/>
      <c r="C46" s="38" t="n"/>
      <c r="D46" s="38" t="n"/>
      <c r="E46" s="42" t="n"/>
      <c r="F46" s="42" t="n"/>
      <c r="G46" s="38" t="n"/>
      <c r="H46" s="38" t="n"/>
      <c r="I46" s="38" t="n"/>
      <c r="J46" s="38" t="n"/>
      <c r="K46" s="38" t="n"/>
      <c r="L46" s="42" t="n"/>
      <c r="M46" s="38" t="n"/>
      <c r="N46" s="38" t="n"/>
      <c r="O46" s="38" t="n"/>
    </row>
    <row r="47" ht="21" customHeight="1">
      <c r="A47" s="38" t="n"/>
      <c r="B47" s="38" t="n"/>
      <c r="C47" s="38" t="n"/>
      <c r="D47" s="38" t="n"/>
      <c r="E47" s="42" t="n"/>
      <c r="F47" s="42" t="n"/>
      <c r="G47" s="38" t="n"/>
      <c r="H47" s="38" t="n"/>
      <c r="I47" s="38" t="n"/>
      <c r="J47" s="38" t="n"/>
      <c r="K47" s="38" t="n"/>
      <c r="L47" s="42" t="n"/>
      <c r="M47" s="38" t="n"/>
      <c r="N47" s="38" t="n"/>
      <c r="O47" s="38" t="n"/>
    </row>
    <row r="48" ht="21" customHeight="1">
      <c r="A48" s="38" t="n"/>
      <c r="B48" s="38" t="n"/>
      <c r="C48" s="38" t="n"/>
      <c r="D48" s="38" t="n"/>
      <c r="E48" s="42" t="n"/>
      <c r="F48" s="42" t="n"/>
      <c r="G48" s="38" t="n"/>
      <c r="H48" s="38" t="n"/>
      <c r="I48" s="38" t="n"/>
      <c r="J48" s="38" t="n"/>
      <c r="K48" s="38" t="n"/>
      <c r="L48" s="42" t="n"/>
      <c r="M48" s="38" t="n"/>
      <c r="N48" s="38" t="n"/>
      <c r="O48" s="38" t="n"/>
    </row>
    <row r="49" ht="21" customHeight="1">
      <c r="A49" s="38" t="n"/>
      <c r="B49" s="38" t="n"/>
      <c r="C49" s="38" t="n"/>
      <c r="D49" s="38" t="n"/>
      <c r="E49" s="42" t="n"/>
      <c r="F49" s="42" t="n"/>
      <c r="G49" s="38" t="n"/>
      <c r="H49" s="38" t="n"/>
      <c r="I49" s="38" t="n"/>
      <c r="J49" s="38" t="n"/>
      <c r="K49" s="38" t="n"/>
      <c r="L49" s="42" t="n"/>
      <c r="M49" s="38" t="n"/>
      <c r="N49" s="38" t="n"/>
      <c r="O49" s="38" t="n"/>
    </row>
    <row r="50" ht="21" customHeight="1">
      <c r="A50" s="38" t="n"/>
      <c r="B50" s="38" t="n"/>
      <c r="C50" s="38" t="n"/>
      <c r="D50" s="38" t="n"/>
      <c r="E50" s="42" t="n"/>
      <c r="F50" s="42" t="n"/>
      <c r="G50" s="38" t="n"/>
      <c r="H50" s="38" t="n"/>
      <c r="I50" s="38" t="n"/>
      <c r="J50" s="38" t="n"/>
      <c r="K50" s="38" t="n"/>
      <c r="L50" s="42" t="n"/>
      <c r="M50" s="38" t="n"/>
      <c r="N50" s="38" t="n"/>
      <c r="O50" s="38" t="n"/>
    </row>
    <row r="51" ht="21" customHeight="1">
      <c r="A51" s="38" t="n"/>
      <c r="B51" s="38" t="n"/>
      <c r="C51" s="38" t="n"/>
      <c r="D51" s="38" t="n"/>
      <c r="E51" s="42" t="n"/>
      <c r="F51" s="42" t="n"/>
      <c r="G51" s="38" t="n"/>
      <c r="H51" s="38" t="n"/>
      <c r="I51" s="38" t="n"/>
      <c r="J51" s="38" t="n"/>
      <c r="K51" s="38" t="n"/>
      <c r="L51" s="42" t="n"/>
      <c r="M51" s="38" t="n"/>
      <c r="N51" s="38" t="n"/>
      <c r="O51" s="38" t="n"/>
    </row>
    <row r="52" ht="21" customHeight="1">
      <c r="A52" s="38" t="n"/>
      <c r="B52" s="38" t="n"/>
      <c r="C52" s="38" t="n"/>
      <c r="D52" s="38" t="n"/>
      <c r="E52" s="42" t="n"/>
      <c r="F52" s="42" t="n"/>
      <c r="G52" s="38" t="n"/>
      <c r="H52" s="38" t="n"/>
      <c r="I52" s="38" t="n"/>
      <c r="J52" s="38" t="n"/>
      <c r="K52" s="38" t="n"/>
      <c r="L52" s="42" t="n"/>
      <c r="M52" s="38" t="n"/>
      <c r="N52" s="38" t="n"/>
      <c r="O52" s="38" t="n"/>
    </row>
    <row r="53" ht="21" customHeight="1">
      <c r="A53" s="38" t="n"/>
      <c r="B53" s="38" t="n"/>
      <c r="C53" s="38" t="n"/>
      <c r="D53" s="38" t="n"/>
      <c r="E53" s="42" t="n"/>
      <c r="F53" s="42" t="n"/>
      <c r="G53" s="38" t="n"/>
      <c r="H53" s="38" t="n"/>
      <c r="I53" s="38" t="n"/>
      <c r="J53" s="38" t="n"/>
      <c r="K53" s="38" t="n"/>
      <c r="L53" s="42" t="n"/>
      <c r="M53" s="38" t="n"/>
      <c r="N53" s="38" t="n"/>
      <c r="O53" s="38" t="n"/>
    </row>
    <row r="54" ht="21" customHeight="1">
      <c r="A54" s="38" t="n"/>
      <c r="B54" s="38" t="n"/>
      <c r="C54" s="38" t="n"/>
      <c r="D54" s="38" t="n"/>
      <c r="E54" s="42" t="n"/>
      <c r="F54" s="42" t="n"/>
      <c r="G54" s="38" t="n"/>
      <c r="H54" s="38" t="n"/>
      <c r="I54" s="38" t="n"/>
      <c r="J54" s="38" t="n"/>
      <c r="K54" s="38" t="n"/>
      <c r="L54" s="42" t="n"/>
      <c r="M54" s="38" t="n"/>
      <c r="N54" s="38" t="n"/>
      <c r="O54" s="38" t="n"/>
    </row>
    <row r="55" ht="21" customHeight="1">
      <c r="A55" s="38" t="n"/>
      <c r="B55" s="38" t="n"/>
      <c r="C55" s="38" t="n"/>
      <c r="D55" s="38" t="n"/>
      <c r="E55" s="42" t="n"/>
      <c r="F55" s="42" t="n"/>
      <c r="G55" s="38" t="n"/>
      <c r="H55" s="38" t="n"/>
      <c r="I55" s="38" t="n"/>
      <c r="J55" s="38" t="n"/>
      <c r="K55" s="38" t="n"/>
      <c r="L55" s="42" t="n"/>
      <c r="M55" s="38" t="n"/>
      <c r="N55" s="38" t="n"/>
      <c r="O55" s="38" t="n"/>
    </row>
    <row r="56" ht="21" customHeight="1">
      <c r="A56" s="38" t="n"/>
      <c r="B56" s="38" t="n"/>
      <c r="C56" s="38" t="n"/>
      <c r="D56" s="38" t="n"/>
      <c r="E56" s="42" t="n"/>
      <c r="F56" s="42" t="n"/>
      <c r="G56" s="38" t="n"/>
      <c r="H56" s="38" t="n"/>
      <c r="I56" s="38" t="n"/>
      <c r="J56" s="38" t="n"/>
      <c r="K56" s="38" t="n"/>
      <c r="L56" s="42" t="n"/>
      <c r="M56" s="38" t="n"/>
      <c r="N56" s="38" t="n"/>
      <c r="O56" s="38" t="n"/>
    </row>
    <row r="57" ht="21" customHeight="1">
      <c r="A57" s="38" t="n"/>
      <c r="B57" s="38" t="n"/>
      <c r="C57" s="38" t="n"/>
      <c r="D57" s="38" t="n"/>
      <c r="E57" s="42" t="n"/>
      <c r="F57" s="42" t="n"/>
      <c r="G57" s="38" t="n"/>
      <c r="H57" s="38" t="n"/>
      <c r="I57" s="38" t="n"/>
      <c r="J57" s="38" t="n"/>
      <c r="K57" s="38" t="n"/>
      <c r="L57" s="42" t="n"/>
      <c r="M57" s="38" t="n"/>
      <c r="N57" s="38" t="n"/>
      <c r="O57" s="38" t="n"/>
    </row>
    <row r="58" ht="21" customHeight="1">
      <c r="A58" s="38" t="n"/>
      <c r="B58" s="38" t="n"/>
      <c r="C58" s="38" t="n"/>
      <c r="D58" s="38" t="n"/>
      <c r="E58" s="42" t="n"/>
      <c r="F58" s="42" t="n"/>
      <c r="G58" s="38" t="n"/>
      <c r="H58" s="38" t="n"/>
      <c r="I58" s="38" t="n"/>
      <c r="J58" s="38" t="n"/>
      <c r="K58" s="38" t="n"/>
      <c r="L58" s="42" t="n"/>
      <c r="M58" s="38" t="n"/>
      <c r="N58" s="38" t="n"/>
      <c r="O58" s="38" t="n"/>
    </row>
    <row r="59" ht="21" customHeight="1">
      <c r="A59" s="38" t="n"/>
      <c r="B59" s="38" t="n"/>
      <c r="C59" s="38" t="n"/>
      <c r="D59" s="38" t="n"/>
      <c r="E59" s="42" t="n"/>
      <c r="F59" s="42" t="n"/>
      <c r="G59" s="38" t="n"/>
      <c r="H59" s="38" t="n"/>
      <c r="I59" s="38" t="n"/>
      <c r="J59" s="38" t="n"/>
      <c r="K59" s="38" t="n"/>
      <c r="L59" s="42" t="n"/>
      <c r="M59" s="38" t="n"/>
      <c r="N59" s="38" t="n"/>
      <c r="O59" s="38" t="n"/>
    </row>
    <row r="60" ht="21" customHeight="1">
      <c r="A60" s="38" t="n"/>
      <c r="B60" s="38" t="n"/>
      <c r="C60" s="38" t="n"/>
      <c r="D60" s="38" t="n"/>
      <c r="E60" s="42" t="n"/>
      <c r="F60" s="42" t="n"/>
      <c r="G60" s="38" t="n"/>
      <c r="H60" s="38" t="n"/>
      <c r="I60" s="38" t="n"/>
      <c r="J60" s="38" t="n"/>
      <c r="K60" s="38" t="n"/>
      <c r="L60" s="42" t="n"/>
      <c r="M60" s="38" t="n"/>
      <c r="N60" s="38" t="n"/>
      <c r="O60" s="38" t="n"/>
    </row>
    <row r="61" ht="21" customHeight="1">
      <c r="A61" s="38" t="n"/>
      <c r="B61" s="38" t="n"/>
      <c r="C61" s="38" t="n"/>
      <c r="D61" s="38" t="n"/>
      <c r="E61" s="42" t="n"/>
      <c r="F61" s="42" t="n"/>
      <c r="G61" s="38" t="n"/>
      <c r="H61" s="38" t="n"/>
      <c r="I61" s="38" t="n"/>
      <c r="J61" s="38" t="n"/>
      <c r="K61" s="38" t="n"/>
      <c r="L61" s="42" t="n"/>
      <c r="M61" s="38" t="n"/>
      <c r="N61" s="38" t="n"/>
      <c r="O61" s="38" t="n"/>
    </row>
    <row r="62" ht="21" customHeight="1">
      <c r="A62" s="38" t="n"/>
      <c r="B62" s="38" t="n"/>
      <c r="C62" s="38" t="n"/>
      <c r="D62" s="38" t="n"/>
      <c r="E62" s="42" t="n"/>
      <c r="F62" s="42" t="n"/>
      <c r="G62" s="38" t="n"/>
      <c r="H62" s="38" t="n"/>
      <c r="I62" s="38" t="n"/>
      <c r="J62" s="38" t="n"/>
      <c r="K62" s="38" t="n"/>
      <c r="L62" s="42" t="n"/>
      <c r="M62" s="38" t="n"/>
      <c r="N62" s="38" t="n"/>
      <c r="O62" s="38" t="n"/>
    </row>
    <row r="63" ht="21" customHeight="1">
      <c r="A63" s="38" t="n"/>
      <c r="B63" s="38" t="n"/>
      <c r="C63" s="38" t="n"/>
      <c r="D63" s="38" t="n"/>
      <c r="E63" s="42" t="n"/>
      <c r="F63" s="42" t="n"/>
      <c r="G63" s="38" t="n"/>
      <c r="H63" s="38" t="n"/>
      <c r="I63" s="38" t="n"/>
      <c r="J63" s="38" t="n"/>
      <c r="K63" s="38" t="n"/>
      <c r="L63" s="42" t="n"/>
      <c r="M63" s="38" t="n"/>
      <c r="N63" s="38" t="n"/>
      <c r="O63" s="38" t="n"/>
    </row>
    <row r="64" ht="21" customHeight="1">
      <c r="A64" s="38" t="n"/>
      <c r="B64" s="38" t="n"/>
      <c r="C64" s="38" t="n"/>
      <c r="D64" s="38" t="n"/>
      <c r="E64" s="42" t="n"/>
      <c r="F64" s="42" t="n"/>
      <c r="G64" s="38" t="n"/>
      <c r="H64" s="38" t="n"/>
      <c r="I64" s="38" t="n"/>
      <c r="J64" s="38" t="n"/>
      <c r="K64" s="38" t="n"/>
      <c r="L64" s="42" t="n"/>
      <c r="M64" s="38" t="n"/>
      <c r="N64" s="38" t="n"/>
      <c r="O64" s="38" t="n"/>
    </row>
    <row r="65" ht="21" customHeight="1">
      <c r="A65" s="38" t="n"/>
      <c r="B65" s="38" t="n"/>
      <c r="C65" s="38" t="n"/>
      <c r="D65" s="38" t="n"/>
      <c r="E65" s="42" t="n"/>
      <c r="F65" s="42" t="n"/>
      <c r="G65" s="38" t="n"/>
      <c r="H65" s="38" t="n"/>
      <c r="I65" s="38" t="n"/>
      <c r="J65" s="38" t="n"/>
      <c r="K65" s="38" t="n"/>
      <c r="L65" s="42" t="n"/>
      <c r="M65" s="38" t="n"/>
      <c r="N65" s="38" t="n"/>
      <c r="O65" s="38" t="n"/>
    </row>
    <row r="66" ht="21" customHeight="1">
      <c r="A66" s="38" t="n"/>
      <c r="B66" s="38" t="n"/>
      <c r="C66" s="38" t="n"/>
      <c r="D66" s="38" t="n"/>
      <c r="E66" s="42" t="n"/>
      <c r="F66" s="42" t="n"/>
      <c r="G66" s="38" t="n"/>
      <c r="H66" s="38" t="n"/>
      <c r="I66" s="38" t="n"/>
      <c r="J66" s="38" t="n"/>
      <c r="K66" s="38" t="n"/>
      <c r="L66" s="42" t="n"/>
      <c r="M66" s="38" t="n"/>
      <c r="N66" s="38" t="n"/>
      <c r="O66" s="38" t="n"/>
    </row>
    <row r="67" ht="21" customHeight="1">
      <c r="A67" s="38" t="n"/>
      <c r="B67" s="38" t="n"/>
      <c r="C67" s="38" t="n"/>
      <c r="D67" s="38" t="n"/>
      <c r="E67" s="42" t="n"/>
      <c r="F67" s="42" t="n"/>
      <c r="G67" s="38" t="n"/>
      <c r="H67" s="38" t="n"/>
      <c r="I67" s="38" t="n"/>
      <c r="J67" s="38" t="n"/>
      <c r="K67" s="38" t="n"/>
      <c r="L67" s="42" t="n"/>
      <c r="M67" s="38" t="n"/>
      <c r="N67" s="38" t="n"/>
      <c r="O67" s="38" t="n"/>
    </row>
    <row r="68" ht="21" customHeight="1">
      <c r="A68" s="38" t="n"/>
      <c r="B68" s="38" t="n"/>
      <c r="C68" s="38" t="n"/>
      <c r="D68" s="38" t="n"/>
      <c r="E68" s="42" t="n"/>
      <c r="F68" s="42" t="n"/>
      <c r="G68" s="38" t="n"/>
      <c r="H68" s="38" t="n"/>
      <c r="I68" s="38" t="n"/>
      <c r="J68" s="38" t="n"/>
      <c r="K68" s="38" t="n"/>
      <c r="L68" s="42" t="n"/>
      <c r="M68" s="38" t="n"/>
      <c r="N68" s="38" t="n"/>
      <c r="O68" s="38" t="n"/>
    </row>
    <row r="69" ht="21" customHeight="1">
      <c r="A69" s="38" t="n"/>
      <c r="B69" s="38" t="n"/>
      <c r="C69" s="38" t="n"/>
      <c r="D69" s="38" t="n"/>
      <c r="E69" s="42" t="n"/>
      <c r="F69" s="42" t="n"/>
      <c r="G69" s="38" t="n"/>
      <c r="H69" s="38" t="n"/>
      <c r="I69" s="38" t="n"/>
      <c r="J69" s="38" t="n"/>
      <c r="K69" s="38" t="n"/>
      <c r="L69" s="42" t="n"/>
      <c r="M69" s="38" t="n"/>
      <c r="N69" s="38" t="n"/>
      <c r="O69" s="38" t="n"/>
    </row>
    <row r="70" ht="21" customHeight="1">
      <c r="A70" s="38" t="n"/>
      <c r="B70" s="38" t="n"/>
      <c r="C70" s="38" t="n"/>
      <c r="D70" s="38" t="n"/>
      <c r="E70" s="42" t="n"/>
      <c r="F70" s="42" t="n"/>
      <c r="G70" s="38" t="n"/>
      <c r="H70" s="38" t="n"/>
      <c r="I70" s="38" t="n"/>
      <c r="J70" s="38" t="n"/>
      <c r="K70" s="38" t="n"/>
      <c r="L70" s="42" t="n"/>
      <c r="M70" s="38" t="n"/>
      <c r="N70" s="38" t="n"/>
      <c r="O70" s="38" t="n"/>
    </row>
    <row r="71" ht="21" customHeight="1">
      <c r="A71" s="38" t="n"/>
      <c r="B71" s="38" t="n"/>
      <c r="C71" s="38" t="n"/>
      <c r="D71" s="38" t="n"/>
      <c r="E71" s="42" t="n"/>
      <c r="F71" s="42" t="n"/>
      <c r="G71" s="38" t="n"/>
      <c r="H71" s="38" t="n"/>
      <c r="I71" s="38" t="n"/>
      <c r="J71" s="38" t="n"/>
      <c r="K71" s="38" t="n"/>
      <c r="L71" s="42" t="n"/>
      <c r="M71" s="38" t="n"/>
      <c r="N71" s="38" t="n"/>
      <c r="O71" s="38" t="n"/>
    </row>
    <row r="72" ht="21" customHeight="1">
      <c r="A72" s="38" t="n"/>
      <c r="B72" s="38" t="n"/>
      <c r="C72" s="38" t="n"/>
      <c r="D72" s="38" t="n"/>
      <c r="E72" s="42" t="n"/>
      <c r="F72" s="42" t="n"/>
      <c r="G72" s="38" t="n"/>
      <c r="H72" s="38" t="n"/>
      <c r="I72" s="38" t="n"/>
      <c r="J72" s="38" t="n"/>
      <c r="K72" s="38" t="n"/>
      <c r="L72" s="42" t="n"/>
      <c r="M72" s="38" t="n"/>
      <c r="N72" s="38" t="n"/>
      <c r="O72" s="38" t="n"/>
    </row>
    <row r="73" ht="21" customHeight="1">
      <c r="A73" s="38" t="n"/>
      <c r="B73" s="38" t="n"/>
      <c r="C73" s="38" t="n"/>
      <c r="D73" s="38" t="n"/>
      <c r="E73" s="42" t="n"/>
      <c r="F73" s="42" t="n"/>
      <c r="G73" s="38" t="n"/>
      <c r="H73" s="38" t="n"/>
      <c r="I73" s="38" t="n"/>
      <c r="J73" s="38" t="n"/>
      <c r="K73" s="38" t="n"/>
      <c r="L73" s="42" t="n"/>
      <c r="M73" s="38" t="n"/>
      <c r="N73" s="38" t="n"/>
      <c r="O73" s="38" t="n"/>
    </row>
    <row r="74" ht="21" customHeight="1">
      <c r="A74" s="38" t="n"/>
      <c r="B74" s="38" t="n"/>
      <c r="C74" s="38" t="n"/>
      <c r="D74" s="38" t="n"/>
      <c r="E74" s="42" t="n"/>
      <c r="F74" s="42" t="n"/>
      <c r="G74" s="38" t="n"/>
      <c r="H74" s="38" t="n"/>
      <c r="I74" s="38" t="n"/>
      <c r="J74" s="38" t="n"/>
      <c r="K74" s="38" t="n"/>
      <c r="L74" s="42" t="n"/>
      <c r="M74" s="38" t="n"/>
      <c r="N74" s="38" t="n"/>
      <c r="O74" s="38" t="n"/>
    </row>
    <row r="75" ht="21" customHeight="1">
      <c r="A75" s="38" t="n"/>
      <c r="B75" s="38" t="n"/>
      <c r="C75" s="38" t="n"/>
      <c r="D75" s="38" t="n"/>
      <c r="E75" s="42" t="n"/>
      <c r="F75" s="42" t="n"/>
      <c r="G75" s="38" t="n"/>
      <c r="H75" s="38" t="n"/>
      <c r="I75" s="38" t="n"/>
      <c r="J75" s="38" t="n"/>
      <c r="K75" s="38" t="n"/>
      <c r="L75" s="42" t="n"/>
      <c r="M75" s="38" t="n"/>
      <c r="N75" s="38" t="n"/>
      <c r="O75" s="38" t="n"/>
    </row>
    <row r="76" ht="21" customHeight="1">
      <c r="A76" s="38" t="n"/>
      <c r="B76" s="38" t="n"/>
      <c r="C76" s="38" t="n"/>
      <c r="D76" s="38" t="n"/>
      <c r="E76" s="42" t="n"/>
      <c r="F76" s="42" t="n"/>
      <c r="G76" s="38" t="n"/>
      <c r="H76" s="38" t="n"/>
      <c r="I76" s="38" t="n"/>
      <c r="J76" s="38" t="n"/>
      <c r="K76" s="38" t="n"/>
      <c r="L76" s="42" t="n"/>
      <c r="M76" s="38" t="n"/>
      <c r="N76" s="38" t="n"/>
      <c r="O76" s="38" t="n"/>
    </row>
    <row r="77" ht="21" customHeight="1">
      <c r="A77" s="38" t="n"/>
      <c r="B77" s="38" t="n"/>
      <c r="C77" s="38" t="n"/>
      <c r="D77" s="38" t="n"/>
      <c r="E77" s="42" t="n"/>
      <c r="F77" s="42" t="n"/>
      <c r="G77" s="38" t="n"/>
      <c r="H77" s="38" t="n"/>
      <c r="I77" s="38" t="n"/>
      <c r="J77" s="38" t="n"/>
      <c r="K77" s="38" t="n"/>
      <c r="L77" s="42" t="n"/>
      <c r="M77" s="38" t="n"/>
      <c r="N77" s="38" t="n"/>
      <c r="O77" s="38" t="n"/>
    </row>
    <row r="78" ht="21" customHeight="1">
      <c r="A78" s="38" t="n"/>
      <c r="B78" s="38" t="n"/>
      <c r="C78" s="38" t="n"/>
      <c r="D78" s="38" t="n"/>
      <c r="E78" s="42" t="n"/>
      <c r="F78" s="42" t="n"/>
      <c r="G78" s="38" t="n"/>
      <c r="H78" s="38" t="n"/>
      <c r="I78" s="38" t="n"/>
      <c r="J78" s="38" t="n"/>
      <c r="K78" s="38" t="n"/>
      <c r="L78" s="42" t="n"/>
      <c r="M78" s="38" t="n"/>
      <c r="N78" s="38" t="n"/>
      <c r="O78" s="38" t="n"/>
    </row>
    <row r="79" ht="21" customHeight="1">
      <c r="A79" s="38" t="n"/>
      <c r="B79" s="38" t="n"/>
      <c r="C79" s="38" t="n"/>
      <c r="D79" s="38" t="n"/>
      <c r="E79" s="42" t="n"/>
      <c r="F79" s="42" t="n"/>
      <c r="G79" s="38" t="n"/>
      <c r="H79" s="38" t="n"/>
      <c r="I79" s="38" t="n"/>
      <c r="J79" s="38" t="n"/>
      <c r="K79" s="38" t="n"/>
      <c r="L79" s="42" t="n"/>
      <c r="M79" s="38" t="n"/>
      <c r="N79" s="38" t="n"/>
      <c r="O79" s="38" t="n"/>
    </row>
    <row r="80" ht="21" customHeight="1">
      <c r="A80" s="38" t="n"/>
      <c r="B80" s="38" t="n"/>
      <c r="C80" s="38" t="n"/>
      <c r="D80" s="38" t="n"/>
      <c r="E80" s="42" t="n"/>
      <c r="F80" s="42" t="n"/>
      <c r="G80" s="38" t="n"/>
      <c r="H80" s="38" t="n"/>
      <c r="I80" s="38" t="n"/>
      <c r="J80" s="38" t="n"/>
      <c r="K80" s="38" t="n"/>
      <c r="L80" s="42" t="n"/>
      <c r="M80" s="38" t="n"/>
      <c r="N80" s="38" t="n"/>
      <c r="O80" s="38" t="n"/>
    </row>
    <row r="81" ht="21" customHeight="1">
      <c r="A81" s="38" t="n"/>
      <c r="B81" s="38" t="n"/>
      <c r="C81" s="38" t="n"/>
      <c r="D81" s="38" t="n"/>
      <c r="E81" s="42" t="n"/>
      <c r="F81" s="42" t="n"/>
      <c r="G81" s="38" t="n"/>
      <c r="H81" s="38" t="n"/>
      <c r="I81" s="38" t="n"/>
      <c r="J81" s="38" t="n"/>
      <c r="K81" s="38" t="n"/>
      <c r="L81" s="42" t="n"/>
      <c r="M81" s="38" t="n"/>
      <c r="N81" s="38" t="n"/>
      <c r="O81" s="38" t="n"/>
    </row>
    <row r="82" ht="21" customHeight="1">
      <c r="A82" s="38" t="n"/>
      <c r="B82" s="38" t="n"/>
      <c r="C82" s="38" t="n"/>
      <c r="D82" s="38" t="n"/>
      <c r="E82" s="42" t="n"/>
      <c r="F82" s="42" t="n"/>
      <c r="G82" s="38" t="n"/>
      <c r="H82" s="38" t="n"/>
      <c r="I82" s="38" t="n"/>
      <c r="J82" s="38" t="n"/>
      <c r="K82" s="38" t="n"/>
      <c r="L82" s="42" t="n"/>
      <c r="M82" s="38" t="n"/>
      <c r="N82" s="38" t="n"/>
      <c r="O82" s="38" t="n"/>
    </row>
    <row r="83" ht="21" customHeight="1">
      <c r="A83" s="38" t="n"/>
      <c r="B83" s="38" t="n"/>
      <c r="C83" s="38" t="n"/>
      <c r="D83" s="38" t="n"/>
      <c r="E83" s="42" t="n"/>
      <c r="F83" s="42" t="n"/>
      <c r="G83" s="38" t="n"/>
      <c r="H83" s="38" t="n"/>
      <c r="I83" s="38" t="n"/>
      <c r="J83" s="38" t="n"/>
      <c r="K83" s="38" t="n"/>
      <c r="L83" s="42" t="n"/>
      <c r="M83" s="38" t="n"/>
      <c r="N83" s="38" t="n"/>
      <c r="O83" s="38" t="n"/>
    </row>
    <row r="84" ht="21" customHeight="1">
      <c r="A84" s="38" t="n"/>
      <c r="B84" s="38" t="n"/>
      <c r="C84" s="38" t="n"/>
      <c r="D84" s="38" t="n"/>
      <c r="E84" s="42" t="n"/>
      <c r="F84" s="42" t="n"/>
      <c r="G84" s="38" t="n"/>
      <c r="H84" s="38" t="n"/>
      <c r="I84" s="38" t="n"/>
      <c r="J84" s="38" t="n"/>
      <c r="K84" s="38" t="n"/>
      <c r="L84" s="42" t="n"/>
      <c r="M84" s="38" t="n"/>
      <c r="N84" s="38" t="n"/>
      <c r="O84" s="38" t="n"/>
    </row>
    <row r="85" ht="21" customHeight="1">
      <c r="A85" s="38" t="n"/>
      <c r="B85" s="38" t="n"/>
      <c r="C85" s="38" t="n"/>
      <c r="D85" s="38" t="n"/>
      <c r="E85" s="42" t="n"/>
      <c r="F85" s="42" t="n"/>
      <c r="G85" s="38" t="n"/>
      <c r="H85" s="38" t="n"/>
      <c r="I85" s="38" t="n"/>
      <c r="J85" s="38" t="n"/>
      <c r="K85" s="38" t="n"/>
      <c r="L85" s="42" t="n"/>
      <c r="M85" s="38" t="n"/>
      <c r="N85" s="38" t="n"/>
      <c r="O85" s="38" t="n"/>
    </row>
    <row r="86" ht="21" customHeight="1">
      <c r="A86" s="38" t="n"/>
      <c r="B86" s="38" t="n"/>
      <c r="C86" s="38" t="n"/>
      <c r="D86" s="38" t="n"/>
      <c r="E86" s="42" t="n"/>
      <c r="F86" s="42" t="n"/>
      <c r="G86" s="38" t="n"/>
      <c r="H86" s="38" t="n"/>
      <c r="I86" s="38" t="n"/>
      <c r="J86" s="38" t="n"/>
      <c r="K86" s="38" t="n"/>
      <c r="L86" s="42" t="n"/>
      <c r="M86" s="38" t="n"/>
      <c r="N86" s="38" t="n"/>
      <c r="O86" s="38" t="n"/>
    </row>
    <row r="87" ht="21" customHeight="1">
      <c r="A87" s="38" t="n"/>
      <c r="B87" s="38" t="n"/>
      <c r="C87" s="38" t="n"/>
      <c r="D87" s="38" t="n"/>
      <c r="E87" s="42" t="n"/>
      <c r="F87" s="42" t="n"/>
      <c r="G87" s="38" t="n"/>
      <c r="H87" s="38" t="n"/>
      <c r="I87" s="38" t="n"/>
      <c r="J87" s="38" t="n"/>
      <c r="K87" s="38" t="n"/>
      <c r="L87" s="42" t="n"/>
      <c r="M87" s="38" t="n"/>
      <c r="N87" s="38" t="n"/>
      <c r="O87" s="38" t="n"/>
    </row>
    <row r="88" ht="21" customHeight="1">
      <c r="A88" s="38" t="n"/>
      <c r="B88" s="38" t="n"/>
      <c r="C88" s="38" t="n"/>
      <c r="D88" s="38" t="n"/>
      <c r="E88" s="42" t="n"/>
      <c r="F88" s="42" t="n"/>
      <c r="G88" s="38" t="n"/>
      <c r="H88" s="38" t="n"/>
      <c r="I88" s="38" t="n"/>
      <c r="J88" s="38" t="n"/>
      <c r="K88" s="38" t="n"/>
      <c r="L88" s="42" t="n"/>
      <c r="M88" s="38" t="n"/>
      <c r="N88" s="38" t="n"/>
      <c r="O88" s="38" t="n"/>
    </row>
    <row r="89" ht="21" customHeight="1">
      <c r="A89" s="38" t="n"/>
      <c r="B89" s="38" t="n"/>
      <c r="C89" s="38" t="n"/>
      <c r="D89" s="38" t="n"/>
      <c r="E89" s="42" t="n"/>
      <c r="F89" s="42" t="n"/>
      <c r="G89" s="38" t="n"/>
      <c r="H89" s="38" t="n"/>
      <c r="I89" s="38" t="n"/>
      <c r="J89" s="38" t="n"/>
      <c r="K89" s="38" t="n"/>
      <c r="L89" s="42" t="n"/>
      <c r="M89" s="38" t="n"/>
      <c r="N89" s="38" t="n"/>
      <c r="O89" s="38" t="n"/>
    </row>
    <row r="90" ht="21" customHeight="1">
      <c r="A90" s="38" t="n"/>
      <c r="B90" s="38" t="n"/>
      <c r="C90" s="38" t="n"/>
      <c r="D90" s="38" t="n"/>
      <c r="E90" s="42" t="n"/>
      <c r="F90" s="42" t="n"/>
      <c r="G90" s="38" t="n"/>
      <c r="H90" s="38" t="n"/>
      <c r="I90" s="38" t="n"/>
      <c r="J90" s="38" t="n"/>
      <c r="K90" s="38" t="n"/>
      <c r="L90" s="42" t="n"/>
      <c r="M90" s="38" t="n"/>
      <c r="N90" s="38" t="n"/>
      <c r="O90" s="38" t="n"/>
    </row>
    <row r="91" ht="21" customHeight="1">
      <c r="A91" s="38" t="n"/>
      <c r="B91" s="38" t="n"/>
      <c r="C91" s="38" t="n"/>
      <c r="D91" s="38" t="n"/>
      <c r="E91" s="42" t="n"/>
      <c r="F91" s="42" t="n"/>
      <c r="G91" s="38" t="n"/>
      <c r="H91" s="38" t="n"/>
      <c r="I91" s="38" t="n"/>
      <c r="J91" s="38" t="n"/>
      <c r="K91" s="38" t="n"/>
      <c r="L91" s="42" t="n"/>
      <c r="M91" s="38" t="n"/>
      <c r="N91" s="38" t="n"/>
      <c r="O91" s="38" t="n"/>
    </row>
    <row r="92" ht="21" customHeight="1">
      <c r="A92" s="38" t="n"/>
      <c r="B92" s="38" t="n"/>
      <c r="C92" s="38" t="n"/>
      <c r="D92" s="38" t="n"/>
      <c r="E92" s="42" t="n"/>
      <c r="F92" s="42" t="n"/>
      <c r="G92" s="38" t="n"/>
      <c r="H92" s="38" t="n"/>
      <c r="I92" s="38" t="n"/>
      <c r="J92" s="38" t="n"/>
      <c r="K92" s="38" t="n"/>
      <c r="L92" s="42" t="n"/>
      <c r="M92" s="38" t="n"/>
      <c r="N92" s="38" t="n"/>
      <c r="O92" s="38" t="n"/>
    </row>
    <row r="93" ht="21" customHeight="1">
      <c r="A93" s="38" t="n"/>
      <c r="B93" s="38" t="n"/>
      <c r="C93" s="38" t="n"/>
      <c r="D93" s="38" t="n"/>
      <c r="E93" s="42" t="n"/>
      <c r="F93" s="42" t="n"/>
      <c r="G93" s="38" t="n"/>
      <c r="H93" s="38" t="n"/>
      <c r="I93" s="38" t="n"/>
      <c r="J93" s="38" t="n"/>
      <c r="K93" s="38" t="n"/>
      <c r="L93" s="42" t="n"/>
      <c r="M93" s="38" t="n"/>
      <c r="N93" s="38" t="n"/>
      <c r="O93" s="38" t="n"/>
    </row>
    <row r="94" ht="21" customHeight="1">
      <c r="A94" s="38" t="n"/>
      <c r="B94" s="38" t="n"/>
      <c r="C94" s="38" t="n"/>
      <c r="D94" s="38" t="n"/>
      <c r="E94" s="42" t="n"/>
      <c r="F94" s="42" t="n"/>
      <c r="G94" s="38" t="n"/>
      <c r="H94" s="38" t="n"/>
      <c r="I94" s="38" t="n"/>
      <c r="J94" s="38" t="n"/>
      <c r="K94" s="38" t="n"/>
      <c r="L94" s="42" t="n"/>
      <c r="M94" s="38" t="n"/>
      <c r="N94" s="38" t="n"/>
      <c r="O94" s="38" t="n"/>
    </row>
    <row r="95" ht="21" customHeight="1">
      <c r="A95" s="38" t="n"/>
      <c r="B95" s="38" t="n"/>
      <c r="C95" s="38" t="n"/>
      <c r="D95" s="38" t="n"/>
      <c r="E95" s="42" t="n"/>
      <c r="F95" s="42" t="n"/>
      <c r="G95" s="38" t="n"/>
      <c r="H95" s="38" t="n"/>
      <c r="I95" s="38" t="n"/>
      <c r="J95" s="38" t="n"/>
      <c r="K95" s="38" t="n"/>
      <c r="L95" s="42" t="n"/>
      <c r="M95" s="38" t="n"/>
      <c r="N95" s="38" t="n"/>
      <c r="O95" s="38" t="n"/>
    </row>
    <row r="96" ht="21" customHeight="1">
      <c r="A96" s="38" t="n"/>
      <c r="B96" s="38" t="n"/>
      <c r="C96" s="38" t="n"/>
      <c r="D96" s="38" t="n"/>
      <c r="E96" s="42" t="n"/>
      <c r="F96" s="42" t="n"/>
      <c r="G96" s="38" t="n"/>
      <c r="H96" s="38" t="n"/>
      <c r="I96" s="38" t="n"/>
      <c r="J96" s="38" t="n"/>
      <c r="K96" s="38" t="n"/>
      <c r="L96" s="42" t="n"/>
      <c r="M96" s="38" t="n"/>
      <c r="N96" s="38" t="n"/>
      <c r="O96" s="38" t="n"/>
    </row>
    <row r="97" ht="21" customHeight="1">
      <c r="A97" s="38" t="n"/>
      <c r="B97" s="38" t="n"/>
      <c r="C97" s="38" t="n"/>
      <c r="D97" s="38" t="n"/>
      <c r="E97" s="42" t="n"/>
      <c r="F97" s="42" t="n"/>
      <c r="G97" s="38" t="n"/>
      <c r="H97" s="38" t="n"/>
      <c r="I97" s="38" t="n"/>
      <c r="J97" s="38" t="n"/>
      <c r="K97" s="38" t="n"/>
      <c r="L97" s="42" t="n"/>
      <c r="M97" s="38" t="n"/>
      <c r="N97" s="38" t="n"/>
      <c r="O97" s="38" t="n"/>
    </row>
    <row r="98" ht="21" customHeight="1">
      <c r="A98" s="38" t="n"/>
      <c r="B98" s="38" t="n"/>
      <c r="C98" s="38" t="n"/>
      <c r="D98" s="38" t="n"/>
      <c r="E98" s="42" t="n"/>
      <c r="F98" s="42" t="n"/>
      <c r="G98" s="38" t="n"/>
      <c r="H98" s="38" t="n"/>
      <c r="I98" s="38" t="n"/>
      <c r="J98" s="38" t="n"/>
      <c r="K98" s="38" t="n"/>
      <c r="L98" s="42" t="n"/>
      <c r="M98" s="38" t="n"/>
      <c r="N98" s="38" t="n"/>
      <c r="O98" s="38" t="n"/>
    </row>
    <row r="99" ht="21" customHeight="1">
      <c r="A99" s="38" t="n"/>
      <c r="B99" s="38" t="n"/>
      <c r="C99" s="38" t="n"/>
      <c r="D99" s="38" t="n"/>
      <c r="E99" s="42" t="n"/>
      <c r="F99" s="42" t="n"/>
      <c r="G99" s="38" t="n"/>
      <c r="H99" s="38" t="n"/>
      <c r="I99" s="38" t="n"/>
      <c r="J99" s="38" t="n"/>
      <c r="K99" s="38" t="n"/>
      <c r="L99" s="42" t="n"/>
      <c r="M99" s="38" t="n"/>
      <c r="N99" s="38" t="n"/>
      <c r="O99" s="38" t="n"/>
    </row>
    <row r="100" ht="21" customHeight="1">
      <c r="A100" s="38" t="n"/>
      <c r="B100" s="38" t="n"/>
      <c r="C100" s="38" t="n"/>
      <c r="D100" s="38" t="n"/>
      <c r="E100" s="42" t="n"/>
      <c r="F100" s="42" t="n"/>
      <c r="G100" s="38" t="n"/>
      <c r="H100" s="38" t="n"/>
      <c r="I100" s="38" t="n"/>
      <c r="J100" s="38" t="n"/>
      <c r="K100" s="38" t="n"/>
      <c r="L100" s="42" t="n"/>
      <c r="M100" s="38" t="n"/>
      <c r="N100" s="38" t="n"/>
      <c r="O100" s="38" t="n"/>
    </row>
    <row r="101" ht="21" customHeight="1">
      <c r="A101" s="38" t="n"/>
      <c r="B101" s="38" t="n"/>
      <c r="C101" s="38" t="n"/>
      <c r="D101" s="38" t="n"/>
      <c r="E101" s="42" t="n"/>
      <c r="F101" s="42" t="n"/>
      <c r="G101" s="38" t="n"/>
      <c r="H101" s="38" t="n"/>
      <c r="I101" s="38" t="n"/>
      <c r="J101" s="38" t="n"/>
      <c r="K101" s="38" t="n"/>
      <c r="L101" s="42" t="n"/>
      <c r="M101" s="38" t="n"/>
      <c r="N101" s="38" t="n"/>
      <c r="O101" s="38" t="n"/>
    </row>
    <row r="102" ht="21" customHeight="1">
      <c r="A102" s="38" t="n"/>
      <c r="B102" s="38" t="n"/>
      <c r="C102" s="38" t="n"/>
      <c r="D102" s="38" t="n"/>
      <c r="E102" s="42" t="n"/>
      <c r="F102" s="42" t="n"/>
      <c r="G102" s="38" t="n"/>
      <c r="H102" s="38" t="n"/>
      <c r="I102" s="38" t="n"/>
      <c r="J102" s="38" t="n"/>
      <c r="K102" s="38" t="n"/>
      <c r="L102" s="42" t="n"/>
      <c r="M102" s="38" t="n"/>
      <c r="N102" s="38" t="n"/>
      <c r="O102" s="38" t="n"/>
    </row>
    <row r="103" ht="21" customHeight="1">
      <c r="A103" s="38" t="n"/>
      <c r="B103" s="38" t="n"/>
      <c r="C103" s="38" t="n"/>
      <c r="D103" s="38" t="n"/>
      <c r="E103" s="42" t="n"/>
      <c r="F103" s="42" t="n"/>
      <c r="G103" s="38" t="n"/>
      <c r="H103" s="38" t="n"/>
      <c r="I103" s="38" t="n"/>
      <c r="J103" s="38" t="n"/>
      <c r="K103" s="38" t="n"/>
      <c r="L103" s="42" t="n"/>
      <c r="M103" s="38" t="n"/>
      <c r="N103" s="38" t="n"/>
      <c r="O103" s="38" t="n"/>
    </row>
    <row r="104" ht="21" customHeight="1">
      <c r="A104" s="38" t="n"/>
      <c r="B104" s="38" t="n"/>
      <c r="C104" s="38" t="n"/>
      <c r="D104" s="38" t="n"/>
      <c r="E104" s="42" t="n"/>
      <c r="F104" s="42" t="n"/>
      <c r="G104" s="38" t="n"/>
      <c r="H104" s="38" t="n"/>
      <c r="I104" s="38" t="n"/>
      <c r="J104" s="38" t="n"/>
      <c r="K104" s="38" t="n"/>
      <c r="L104" s="42" t="n"/>
      <c r="M104" s="38" t="n"/>
      <c r="N104" s="38" t="n"/>
      <c r="O104" s="38" t="n"/>
    </row>
    <row r="105" ht="21" customHeight="1">
      <c r="A105" s="38" t="n"/>
      <c r="B105" s="38" t="n"/>
      <c r="C105" s="38" t="n"/>
      <c r="D105" s="38" t="n"/>
      <c r="E105" s="42" t="n"/>
      <c r="F105" s="42" t="n"/>
      <c r="G105" s="38" t="n"/>
      <c r="H105" s="38" t="n"/>
      <c r="I105" s="38" t="n"/>
      <c r="J105" s="38" t="n"/>
      <c r="K105" s="38" t="n"/>
      <c r="L105" s="42" t="n"/>
      <c r="M105" s="38" t="n"/>
      <c r="N105" s="38" t="n"/>
      <c r="O105" s="38" t="n"/>
    </row>
    <row r="106" ht="21" customHeight="1">
      <c r="A106" s="38" t="n"/>
      <c r="B106" s="38" t="n"/>
      <c r="C106" s="38" t="n"/>
      <c r="D106" s="38" t="n"/>
      <c r="E106" s="42" t="n"/>
      <c r="F106" s="42" t="n"/>
      <c r="G106" s="38" t="n"/>
      <c r="H106" s="38" t="n"/>
      <c r="I106" s="38" t="n"/>
      <c r="J106" s="38" t="n"/>
      <c r="K106" s="38" t="n"/>
      <c r="L106" s="42" t="n"/>
      <c r="M106" s="38" t="n"/>
      <c r="N106" s="38" t="n"/>
      <c r="O106" s="38" t="n"/>
    </row>
    <row r="107" ht="21" customHeight="1">
      <c r="A107" s="38" t="n"/>
      <c r="B107" s="38" t="n"/>
      <c r="C107" s="38" t="n"/>
      <c r="D107" s="38" t="n"/>
      <c r="E107" s="42" t="n"/>
      <c r="F107" s="42" t="n"/>
      <c r="G107" s="38" t="n"/>
      <c r="H107" s="38" t="n"/>
      <c r="I107" s="38" t="n"/>
      <c r="J107" s="38" t="n"/>
      <c r="K107" s="38" t="n"/>
      <c r="L107" s="42" t="n"/>
      <c r="M107" s="38" t="n"/>
      <c r="N107" s="38" t="n"/>
      <c r="O107" s="38" t="n"/>
    </row>
    <row r="108" ht="21" customHeight="1">
      <c r="A108" s="38" t="n"/>
      <c r="B108" s="38" t="n"/>
      <c r="C108" s="38" t="n"/>
      <c r="D108" s="38" t="n"/>
      <c r="E108" s="42" t="n"/>
      <c r="F108" s="42" t="n"/>
      <c r="G108" s="38" t="n"/>
      <c r="H108" s="38" t="n"/>
      <c r="I108" s="38" t="n"/>
      <c r="J108" s="38" t="n"/>
      <c r="K108" s="38" t="n"/>
      <c r="L108" s="42" t="n"/>
      <c r="M108" s="38" t="n"/>
      <c r="N108" s="38" t="n"/>
      <c r="O108" s="38" t="n"/>
    </row>
    <row r="109" ht="21" customHeight="1">
      <c r="A109" s="38" t="n"/>
      <c r="B109" s="38" t="n"/>
      <c r="C109" s="38" t="n"/>
      <c r="D109" s="38" t="n"/>
      <c r="E109" s="42" t="n"/>
      <c r="F109" s="42" t="n"/>
      <c r="G109" s="38" t="n"/>
      <c r="H109" s="38" t="n"/>
      <c r="I109" s="38" t="n"/>
      <c r="J109" s="38" t="n"/>
      <c r="K109" s="38" t="n"/>
      <c r="L109" s="42" t="n"/>
      <c r="M109" s="38" t="n"/>
      <c r="N109" s="38" t="n"/>
      <c r="O109" s="38" t="n"/>
    </row>
    <row r="110" ht="21" customHeight="1">
      <c r="A110" s="38" t="n"/>
      <c r="B110" s="38" t="n"/>
      <c r="C110" s="38" t="n"/>
      <c r="D110" s="38" t="n"/>
      <c r="E110" s="42" t="n"/>
      <c r="F110" s="42" t="n"/>
      <c r="G110" s="38" t="n"/>
      <c r="H110" s="38" t="n"/>
      <c r="I110" s="38" t="n"/>
      <c r="J110" s="38" t="n"/>
      <c r="K110" s="38" t="n"/>
      <c r="L110" s="42" t="n"/>
      <c r="M110" s="38" t="n"/>
      <c r="N110" s="38" t="n"/>
      <c r="O110" s="38" t="n"/>
    </row>
    <row r="111" ht="21" customHeight="1">
      <c r="A111" s="38" t="n"/>
      <c r="B111" s="38" t="n"/>
      <c r="C111" s="38" t="n"/>
      <c r="D111" s="38" t="n"/>
      <c r="E111" s="42" t="n"/>
      <c r="F111" s="42" t="n"/>
      <c r="G111" s="38" t="n"/>
      <c r="H111" s="38" t="n"/>
      <c r="I111" s="38" t="n"/>
      <c r="J111" s="38" t="n"/>
      <c r="K111" s="38" t="n"/>
      <c r="L111" s="42" t="n"/>
      <c r="M111" s="38" t="n"/>
      <c r="N111" s="38" t="n"/>
      <c r="O111" s="38" t="n"/>
    </row>
    <row r="112" ht="21" customHeight="1">
      <c r="A112" s="38" t="n"/>
      <c r="B112" s="38" t="n"/>
      <c r="C112" s="38" t="n"/>
      <c r="D112" s="38" t="n"/>
      <c r="E112" s="42" t="n"/>
      <c r="F112" s="42" t="n"/>
      <c r="G112" s="38" t="n"/>
      <c r="H112" s="38" t="n"/>
      <c r="I112" s="38" t="n"/>
      <c r="J112" s="38" t="n"/>
      <c r="K112" s="38" t="n"/>
      <c r="L112" s="42" t="n"/>
      <c r="M112" s="38" t="n"/>
      <c r="N112" s="38" t="n"/>
      <c r="O112" s="38" t="n"/>
    </row>
    <row r="113" ht="21" customHeight="1">
      <c r="A113" s="38" t="n"/>
      <c r="B113" s="38" t="n"/>
      <c r="C113" s="38" t="n"/>
      <c r="D113" s="38" t="n"/>
      <c r="E113" s="42" t="n"/>
      <c r="F113" s="42" t="n"/>
      <c r="G113" s="38" t="n"/>
      <c r="H113" s="38" t="n"/>
      <c r="I113" s="38" t="n"/>
      <c r="J113" s="38" t="n"/>
      <c r="K113" s="38" t="n"/>
      <c r="L113" s="42" t="n"/>
      <c r="M113" s="38" t="n"/>
      <c r="N113" s="38" t="n"/>
      <c r="O113" s="38" t="n"/>
    </row>
    <row r="114" ht="21" customHeight="1">
      <c r="A114" s="38" t="n"/>
      <c r="B114" s="38" t="n"/>
      <c r="C114" s="38" t="n"/>
      <c r="D114" s="38" t="n"/>
      <c r="E114" s="42" t="n"/>
      <c r="F114" s="42" t="n"/>
      <c r="G114" s="38" t="n"/>
      <c r="H114" s="38" t="n"/>
      <c r="I114" s="38" t="n"/>
      <c r="J114" s="38" t="n"/>
      <c r="K114" s="38" t="n"/>
      <c r="L114" s="42" t="n"/>
      <c r="M114" s="38" t="n"/>
      <c r="N114" s="38" t="n"/>
      <c r="O114" s="38" t="n"/>
    </row>
    <row r="115" ht="21" customHeight="1">
      <c r="A115" s="38" t="n"/>
      <c r="B115" s="38" t="n"/>
      <c r="C115" s="38" t="n"/>
      <c r="D115" s="38" t="n"/>
      <c r="E115" s="42" t="n"/>
      <c r="F115" s="42" t="n"/>
      <c r="G115" s="38" t="n"/>
      <c r="H115" s="38" t="n"/>
      <c r="I115" s="38" t="n"/>
      <c r="J115" s="38" t="n"/>
      <c r="K115" s="38" t="n"/>
      <c r="L115" s="42" t="n"/>
      <c r="M115" s="38" t="n"/>
      <c r="N115" s="38" t="n"/>
      <c r="O115" s="38" t="n"/>
    </row>
    <row r="116" ht="21" customHeight="1">
      <c r="A116" s="38" t="n"/>
      <c r="B116" s="38" t="n"/>
      <c r="C116" s="38" t="n"/>
      <c r="D116" s="38" t="n"/>
      <c r="E116" s="42" t="n"/>
      <c r="F116" s="42" t="n"/>
      <c r="G116" s="38" t="n"/>
      <c r="H116" s="38" t="n"/>
      <c r="I116" s="38" t="n"/>
      <c r="J116" s="38" t="n"/>
      <c r="K116" s="38" t="n"/>
      <c r="L116" s="42" t="n"/>
      <c r="M116" s="38" t="n"/>
      <c r="N116" s="38" t="n"/>
      <c r="O116" s="38" t="n"/>
    </row>
    <row r="117" ht="21" customHeight="1">
      <c r="A117" s="38" t="n"/>
      <c r="B117" s="38" t="n"/>
      <c r="C117" s="38" t="n"/>
      <c r="D117" s="38" t="n"/>
      <c r="E117" s="42" t="n"/>
      <c r="F117" s="42" t="n"/>
      <c r="G117" s="38" t="n"/>
      <c r="H117" s="38" t="n"/>
      <c r="I117" s="38" t="n"/>
      <c r="J117" s="38" t="n"/>
      <c r="K117" s="38" t="n"/>
      <c r="L117" s="42" t="n"/>
      <c r="M117" s="38" t="n"/>
      <c r="N117" s="38" t="n"/>
      <c r="O117" s="38" t="n"/>
    </row>
    <row r="118" ht="21" customHeight="1">
      <c r="A118" s="38" t="n"/>
      <c r="B118" s="38" t="n"/>
      <c r="C118" s="38" t="n"/>
      <c r="D118" s="38" t="n"/>
      <c r="E118" s="42" t="n"/>
      <c r="F118" s="42" t="n"/>
      <c r="G118" s="38" t="n"/>
      <c r="H118" s="38" t="n"/>
      <c r="I118" s="38" t="n"/>
      <c r="J118" s="38" t="n"/>
      <c r="K118" s="38" t="n"/>
      <c r="L118" s="42" t="n"/>
      <c r="M118" s="38" t="n"/>
      <c r="N118" s="38" t="n"/>
      <c r="O118" s="38" t="n"/>
    </row>
    <row r="119" ht="21" customHeight="1">
      <c r="A119" s="38" t="n"/>
      <c r="B119" s="38" t="n"/>
      <c r="C119" s="38" t="n"/>
      <c r="D119" s="38" t="n"/>
      <c r="E119" s="42" t="n"/>
      <c r="F119" s="42" t="n"/>
      <c r="G119" s="38" t="n"/>
      <c r="H119" s="38" t="n"/>
      <c r="I119" s="38" t="n"/>
      <c r="J119" s="38" t="n"/>
      <c r="K119" s="38" t="n"/>
      <c r="L119" s="42" t="n"/>
      <c r="M119" s="38" t="n"/>
      <c r="N119" s="38" t="n"/>
      <c r="O119" s="38" t="n"/>
    </row>
    <row r="120" ht="21" customHeight="1">
      <c r="A120" s="38" t="n"/>
      <c r="B120" s="38" t="n"/>
      <c r="C120" s="38" t="n"/>
      <c r="D120" s="38" t="n"/>
      <c r="E120" s="42" t="n"/>
      <c r="F120" s="42" t="n"/>
      <c r="G120" s="38" t="n"/>
      <c r="H120" s="38" t="n"/>
      <c r="I120" s="38" t="n"/>
      <c r="J120" s="38" t="n"/>
      <c r="K120" s="38" t="n"/>
      <c r="L120" s="42" t="n"/>
      <c r="M120" s="38" t="n"/>
      <c r="N120" s="38" t="n"/>
      <c r="O120" s="38" t="n"/>
    </row>
    <row r="121" ht="21" customHeight="1">
      <c r="A121" s="38" t="n"/>
      <c r="B121" s="38" t="n"/>
      <c r="C121" s="38" t="n"/>
      <c r="D121" s="38" t="n"/>
      <c r="E121" s="42" t="n"/>
      <c r="F121" s="42" t="n"/>
      <c r="G121" s="38" t="n"/>
      <c r="H121" s="38" t="n"/>
      <c r="I121" s="38" t="n"/>
      <c r="J121" s="38" t="n"/>
      <c r="K121" s="38" t="n"/>
      <c r="L121" s="42" t="n"/>
      <c r="M121" s="38" t="n"/>
      <c r="N121" s="38" t="n"/>
      <c r="O121" s="38" t="n"/>
    </row>
    <row r="122" ht="21" customHeight="1">
      <c r="A122" s="38" t="n"/>
      <c r="B122" s="38" t="n"/>
      <c r="C122" s="38" t="n"/>
      <c r="D122" s="38" t="n"/>
      <c r="E122" s="42" t="n"/>
      <c r="F122" s="42" t="n"/>
      <c r="G122" s="38" t="n"/>
      <c r="H122" s="38" t="n"/>
      <c r="I122" s="38" t="n"/>
      <c r="J122" s="38" t="n"/>
      <c r="K122" s="38" t="n"/>
      <c r="L122" s="42" t="n"/>
      <c r="M122" s="38" t="n"/>
      <c r="N122" s="38" t="n"/>
      <c r="O122" s="38" t="n"/>
    </row>
    <row r="123" ht="21" customHeight="1">
      <c r="A123" s="38" t="n"/>
      <c r="B123" s="38" t="n"/>
      <c r="C123" s="38" t="n"/>
      <c r="D123" s="38" t="n"/>
      <c r="E123" s="42" t="n"/>
      <c r="F123" s="42" t="n"/>
      <c r="G123" s="38" t="n"/>
      <c r="H123" s="38" t="n"/>
      <c r="I123" s="38" t="n"/>
      <c r="J123" s="38" t="n"/>
      <c r="K123" s="38" t="n"/>
      <c r="L123" s="42" t="n"/>
      <c r="M123" s="38" t="n"/>
      <c r="N123" s="38" t="n"/>
      <c r="O123" s="38" t="n"/>
    </row>
    <row r="124" ht="21" customHeight="1">
      <c r="A124" s="38" t="n"/>
      <c r="B124" s="38" t="n"/>
      <c r="C124" s="38" t="n"/>
      <c r="D124" s="38" t="n"/>
      <c r="E124" s="42" t="n"/>
      <c r="F124" s="42" t="n"/>
      <c r="G124" s="38" t="n"/>
      <c r="H124" s="38" t="n"/>
      <c r="I124" s="38" t="n"/>
      <c r="J124" s="38" t="n"/>
      <c r="K124" s="38" t="n"/>
      <c r="L124" s="42" t="n"/>
      <c r="M124" s="38" t="n"/>
      <c r="N124" s="38" t="n"/>
      <c r="O124" s="38" t="n"/>
    </row>
    <row r="125" ht="21" customHeight="1">
      <c r="A125" s="38" t="n"/>
      <c r="B125" s="38" t="n"/>
      <c r="C125" s="38" t="n"/>
      <c r="D125" s="38" t="n"/>
      <c r="E125" s="42" t="n"/>
      <c r="F125" s="42" t="n"/>
      <c r="G125" s="38" t="n"/>
      <c r="H125" s="38" t="n"/>
      <c r="I125" s="38" t="n"/>
      <c r="J125" s="38" t="n"/>
      <c r="K125" s="38" t="n"/>
      <c r="L125" s="42" t="n"/>
      <c r="M125" s="38" t="n"/>
      <c r="N125" s="38" t="n"/>
      <c r="O125" s="38" t="n"/>
    </row>
    <row r="126" ht="21" customHeight="1">
      <c r="A126" s="38" t="n"/>
      <c r="B126" s="38" t="n"/>
      <c r="C126" s="38" t="n"/>
      <c r="D126" s="38" t="n"/>
      <c r="E126" s="42" t="n"/>
      <c r="F126" s="42" t="n"/>
      <c r="G126" s="38" t="n"/>
      <c r="H126" s="38" t="n"/>
      <c r="I126" s="38" t="n"/>
      <c r="J126" s="38" t="n"/>
      <c r="K126" s="38" t="n"/>
      <c r="L126" s="42" t="n"/>
      <c r="M126" s="38" t="n"/>
      <c r="N126" s="38" t="n"/>
      <c r="O126" s="38" t="n"/>
    </row>
    <row r="127" ht="21" customHeight="1">
      <c r="A127" s="38" t="n"/>
      <c r="B127" s="38" t="n"/>
      <c r="C127" s="38" t="n"/>
      <c r="D127" s="38" t="n"/>
      <c r="E127" s="42" t="n"/>
      <c r="F127" s="42" t="n"/>
      <c r="G127" s="38" t="n"/>
      <c r="H127" s="38" t="n"/>
      <c r="I127" s="38" t="n"/>
      <c r="J127" s="38" t="n"/>
      <c r="K127" s="38" t="n"/>
      <c r="L127" s="42" t="n"/>
      <c r="M127" s="38" t="n"/>
      <c r="N127" s="38" t="n"/>
      <c r="O127" s="38" t="n"/>
    </row>
    <row r="128" ht="21" customHeight="1">
      <c r="A128" s="38" t="n"/>
      <c r="B128" s="38" t="n"/>
      <c r="C128" s="38" t="n"/>
      <c r="D128" s="38" t="n"/>
      <c r="E128" s="42" t="n"/>
      <c r="F128" s="42" t="n"/>
      <c r="G128" s="38" t="n"/>
      <c r="H128" s="38" t="n"/>
      <c r="I128" s="38" t="n"/>
      <c r="J128" s="38" t="n"/>
      <c r="K128" s="38" t="n"/>
      <c r="L128" s="42" t="n"/>
      <c r="M128" s="38" t="n"/>
      <c r="N128" s="38" t="n"/>
      <c r="O128" s="38" t="n"/>
    </row>
    <row r="129" ht="21" customHeight="1">
      <c r="A129" s="38" t="n"/>
      <c r="B129" s="38" t="n"/>
      <c r="C129" s="38" t="n"/>
      <c r="D129" s="38" t="n"/>
      <c r="E129" s="42" t="n"/>
      <c r="F129" s="42" t="n"/>
      <c r="G129" s="38" t="n"/>
      <c r="H129" s="38" t="n"/>
      <c r="I129" s="38" t="n"/>
      <c r="J129" s="38" t="n"/>
      <c r="K129" s="38" t="n"/>
      <c r="L129" s="42" t="n"/>
      <c r="M129" s="38" t="n"/>
      <c r="N129" s="38" t="n"/>
      <c r="O129" s="38" t="n"/>
    </row>
    <row r="130" ht="21" customHeight="1">
      <c r="A130" s="38" t="n"/>
      <c r="B130" s="38" t="n"/>
      <c r="C130" s="38" t="n"/>
      <c r="D130" s="38" t="n"/>
      <c r="E130" s="42" t="n"/>
      <c r="F130" s="42" t="n"/>
      <c r="G130" s="38" t="n"/>
      <c r="H130" s="38" t="n"/>
      <c r="I130" s="38" t="n"/>
      <c r="J130" s="38" t="n"/>
      <c r="K130" s="38" t="n"/>
      <c r="L130" s="42" t="n"/>
      <c r="M130" s="38" t="n"/>
      <c r="N130" s="38" t="n"/>
      <c r="O130" s="38" t="n"/>
    </row>
    <row r="131" ht="21" customHeight="1">
      <c r="A131" s="38" t="n"/>
      <c r="B131" s="38" t="n"/>
      <c r="C131" s="38" t="n"/>
      <c r="D131" s="38" t="n"/>
      <c r="E131" s="42" t="n"/>
      <c r="F131" s="42" t="n"/>
      <c r="G131" s="38" t="n"/>
      <c r="H131" s="38" t="n"/>
      <c r="I131" s="38" t="n"/>
      <c r="J131" s="38" t="n"/>
      <c r="K131" s="38" t="n"/>
      <c r="L131" s="42" t="n"/>
      <c r="M131" s="38" t="n"/>
      <c r="N131" s="38" t="n"/>
      <c r="O131" s="38" t="n"/>
    </row>
    <row r="132" ht="21" customHeight="1">
      <c r="A132" s="38" t="n"/>
      <c r="B132" s="38" t="n"/>
      <c r="C132" s="38" t="n"/>
      <c r="D132" s="38" t="n"/>
      <c r="E132" s="42" t="n"/>
      <c r="F132" s="42" t="n"/>
      <c r="G132" s="38" t="n"/>
      <c r="H132" s="38" t="n"/>
      <c r="I132" s="38" t="n"/>
      <c r="J132" s="38" t="n"/>
      <c r="K132" s="38" t="n"/>
      <c r="L132" s="42" t="n"/>
      <c r="M132" s="38" t="n"/>
      <c r="N132" s="38" t="n"/>
      <c r="O132" s="38" t="n"/>
    </row>
    <row r="133" ht="21" customHeight="1">
      <c r="A133" s="38" t="n"/>
      <c r="B133" s="38" t="n"/>
      <c r="C133" s="38" t="n"/>
      <c r="D133" s="38" t="n"/>
      <c r="E133" s="42" t="n"/>
      <c r="F133" s="42" t="n"/>
      <c r="G133" s="38" t="n"/>
      <c r="H133" s="38" t="n"/>
      <c r="I133" s="38" t="n"/>
      <c r="J133" s="38" t="n"/>
      <c r="K133" s="38" t="n"/>
      <c r="L133" s="42" t="n"/>
      <c r="M133" s="38" t="n"/>
      <c r="N133" s="38" t="n"/>
      <c r="O133" s="38" t="n"/>
    </row>
    <row r="134" ht="21" customHeight="1">
      <c r="A134" s="38" t="n"/>
      <c r="B134" s="38" t="n"/>
      <c r="C134" s="38" t="n"/>
      <c r="D134" s="38" t="n"/>
      <c r="E134" s="42" t="n"/>
      <c r="F134" s="42" t="n"/>
      <c r="G134" s="38" t="n"/>
      <c r="H134" s="38" t="n"/>
      <c r="I134" s="38" t="n"/>
      <c r="J134" s="38" t="n"/>
      <c r="K134" s="38" t="n"/>
      <c r="L134" s="42" t="n"/>
      <c r="M134" s="38" t="n"/>
      <c r="N134" s="38" t="n"/>
      <c r="O134" s="38" t="n"/>
    </row>
    <row r="135" ht="21" customHeight="1">
      <c r="A135" s="38" t="n"/>
      <c r="B135" s="38" t="n"/>
      <c r="C135" s="38" t="n"/>
      <c r="D135" s="38" t="n"/>
      <c r="E135" s="42" t="n"/>
      <c r="F135" s="42" t="n"/>
      <c r="G135" s="38" t="n"/>
      <c r="H135" s="38" t="n"/>
      <c r="I135" s="38" t="n"/>
      <c r="J135" s="38" t="n"/>
      <c r="K135" s="38" t="n"/>
      <c r="L135" s="42" t="n"/>
      <c r="M135" s="38" t="n"/>
      <c r="N135" s="38" t="n"/>
      <c r="O135" s="38" t="n"/>
    </row>
    <row r="136" ht="21" customHeight="1">
      <c r="A136" s="38" t="n"/>
      <c r="B136" s="38" t="n"/>
      <c r="C136" s="38" t="n"/>
      <c r="D136" s="38" t="n"/>
      <c r="E136" s="42" t="n"/>
      <c r="F136" s="42" t="n"/>
      <c r="G136" s="38" t="n"/>
      <c r="H136" s="38" t="n"/>
      <c r="I136" s="38" t="n"/>
      <c r="J136" s="38" t="n"/>
      <c r="K136" s="38" t="n"/>
      <c r="L136" s="42" t="n"/>
      <c r="M136" s="38" t="n"/>
      <c r="N136" s="38" t="n"/>
      <c r="O136" s="38" t="n"/>
    </row>
    <row r="137" ht="21" customHeight="1">
      <c r="A137" s="38" t="n"/>
      <c r="B137" s="38" t="n"/>
      <c r="C137" s="38" t="n"/>
      <c r="D137" s="38" t="n"/>
      <c r="E137" s="42" t="n"/>
      <c r="F137" s="42" t="n"/>
      <c r="G137" s="38" t="n"/>
      <c r="H137" s="38" t="n"/>
      <c r="I137" s="38" t="n"/>
      <c r="J137" s="38" t="n"/>
      <c r="K137" s="38" t="n"/>
      <c r="L137" s="42" t="n"/>
      <c r="M137" s="38" t="n"/>
      <c r="N137" s="38" t="n"/>
      <c r="O137" s="38" t="n"/>
    </row>
    <row r="138" ht="21" customHeight="1">
      <c r="A138" s="38" t="n"/>
      <c r="B138" s="38" t="n"/>
      <c r="C138" s="38" t="n"/>
      <c r="D138" s="38" t="n"/>
      <c r="E138" s="42" t="n"/>
      <c r="F138" s="42" t="n"/>
      <c r="G138" s="38" t="n"/>
      <c r="H138" s="38" t="n"/>
      <c r="I138" s="38" t="n"/>
      <c r="J138" s="38" t="n"/>
      <c r="K138" s="38" t="n"/>
      <c r="L138" s="42" t="n"/>
      <c r="M138" s="38" t="n"/>
      <c r="N138" s="38" t="n"/>
      <c r="O138" s="38" t="n"/>
    </row>
    <row r="139" ht="21" customHeight="1">
      <c r="A139" s="38" t="n"/>
      <c r="B139" s="38" t="n"/>
      <c r="C139" s="38" t="n"/>
      <c r="D139" s="38" t="n"/>
      <c r="E139" s="42" t="n"/>
      <c r="F139" s="42" t="n"/>
      <c r="G139" s="38" t="n"/>
      <c r="H139" s="38" t="n"/>
      <c r="I139" s="38" t="n"/>
      <c r="J139" s="38" t="n"/>
      <c r="K139" s="38" t="n"/>
      <c r="L139" s="42" t="n"/>
      <c r="M139" s="38" t="n"/>
      <c r="N139" s="38" t="n"/>
      <c r="O139" s="38" t="n"/>
    </row>
    <row r="140" ht="21" customHeight="1">
      <c r="A140" s="38" t="n"/>
      <c r="B140" s="38" t="n"/>
      <c r="C140" s="38" t="n"/>
      <c r="D140" s="38" t="n"/>
      <c r="E140" s="42" t="n"/>
      <c r="F140" s="42" t="n"/>
      <c r="G140" s="38" t="n"/>
      <c r="H140" s="38" t="n"/>
      <c r="I140" s="38" t="n"/>
      <c r="J140" s="38" t="n"/>
      <c r="K140" s="38" t="n"/>
      <c r="L140" s="42" t="n"/>
      <c r="M140" s="38" t="n"/>
      <c r="N140" s="38" t="n"/>
      <c r="O140" s="38" t="n"/>
    </row>
    <row r="141" ht="21" customHeight="1">
      <c r="A141" s="38" t="n"/>
      <c r="B141" s="38" t="n"/>
      <c r="C141" s="38" t="n"/>
      <c r="D141" s="38" t="n"/>
      <c r="E141" s="42" t="n"/>
      <c r="F141" s="42" t="n"/>
      <c r="G141" s="38" t="n"/>
      <c r="H141" s="38" t="n"/>
      <c r="I141" s="38" t="n"/>
      <c r="J141" s="38" t="n"/>
      <c r="K141" s="38" t="n"/>
      <c r="L141" s="42" t="n"/>
      <c r="M141" s="38" t="n"/>
      <c r="N141" s="38" t="n"/>
      <c r="O141" s="38" t="n"/>
    </row>
    <row r="142" ht="21" customHeight="1">
      <c r="A142" s="38" t="n"/>
      <c r="B142" s="38" t="n"/>
      <c r="C142" s="38" t="n"/>
      <c r="D142" s="38" t="n"/>
      <c r="E142" s="42" t="n"/>
      <c r="F142" s="42" t="n"/>
      <c r="G142" s="38" t="n"/>
      <c r="H142" s="38" t="n"/>
      <c r="I142" s="38" t="n"/>
      <c r="J142" s="38" t="n"/>
      <c r="K142" s="38" t="n"/>
      <c r="L142" s="42" t="n"/>
      <c r="M142" s="38" t="n"/>
      <c r="N142" s="38" t="n"/>
      <c r="O142" s="38" t="n"/>
    </row>
    <row r="143" ht="21" customHeight="1">
      <c r="A143" s="38" t="n"/>
      <c r="B143" s="38" t="n"/>
      <c r="C143" s="38" t="n"/>
      <c r="D143" s="38" t="n"/>
      <c r="E143" s="42" t="n"/>
      <c r="F143" s="42" t="n"/>
      <c r="G143" s="38" t="n"/>
      <c r="H143" s="38" t="n"/>
      <c r="I143" s="38" t="n"/>
      <c r="J143" s="38" t="n"/>
      <c r="K143" s="38" t="n"/>
      <c r="L143" s="42" t="n"/>
      <c r="M143" s="38" t="n"/>
      <c r="N143" s="38" t="n"/>
      <c r="O143" s="38" t="n"/>
    </row>
    <row r="144" ht="21" customHeight="1">
      <c r="A144" s="38" t="n"/>
      <c r="B144" s="38" t="n"/>
      <c r="C144" s="38" t="n"/>
      <c r="D144" s="38" t="n"/>
      <c r="E144" s="42" t="n"/>
      <c r="F144" s="42" t="n"/>
      <c r="G144" s="38" t="n"/>
      <c r="H144" s="38" t="n"/>
      <c r="I144" s="38" t="n"/>
      <c r="J144" s="38" t="n"/>
      <c r="K144" s="38" t="n"/>
      <c r="L144" s="42" t="n"/>
      <c r="M144" s="38" t="n"/>
      <c r="N144" s="38" t="n"/>
      <c r="O144" s="38" t="n"/>
    </row>
    <row r="145" ht="21" customHeight="1">
      <c r="A145" s="38" t="n"/>
      <c r="B145" s="38" t="n"/>
      <c r="C145" s="38" t="n"/>
      <c r="D145" s="38" t="n"/>
      <c r="E145" s="42" t="n"/>
      <c r="F145" s="42" t="n"/>
      <c r="G145" s="38" t="n"/>
      <c r="H145" s="38" t="n"/>
      <c r="I145" s="38" t="n"/>
      <c r="J145" s="38" t="n"/>
      <c r="K145" s="38" t="n"/>
      <c r="L145" s="42" t="n"/>
      <c r="M145" s="38" t="n"/>
      <c r="N145" s="38" t="n"/>
      <c r="O145" s="38" t="n"/>
    </row>
    <row r="146" ht="21" customHeight="1">
      <c r="A146" s="38" t="n"/>
      <c r="B146" s="38" t="n"/>
      <c r="C146" s="38" t="n"/>
      <c r="D146" s="38" t="n"/>
      <c r="E146" s="42" t="n"/>
      <c r="F146" s="42" t="n"/>
      <c r="G146" s="38" t="n"/>
      <c r="H146" s="38" t="n"/>
      <c r="I146" s="38" t="n"/>
      <c r="J146" s="38" t="n"/>
      <c r="K146" s="38" t="n"/>
      <c r="L146" s="42" t="n"/>
      <c r="M146" s="38" t="n"/>
      <c r="N146" s="38" t="n"/>
      <c r="O146" s="38" t="n"/>
    </row>
    <row r="147" ht="21" customHeight="1">
      <c r="A147" s="38" t="n"/>
      <c r="B147" s="38" t="n"/>
      <c r="C147" s="38" t="n"/>
      <c r="D147" s="38" t="n"/>
      <c r="E147" s="42" t="n"/>
      <c r="F147" s="42" t="n"/>
      <c r="G147" s="38" t="n"/>
      <c r="H147" s="38" t="n"/>
      <c r="I147" s="38" t="n"/>
      <c r="J147" s="38" t="n"/>
      <c r="K147" s="38" t="n"/>
      <c r="L147" s="42" t="n"/>
      <c r="M147" s="38" t="n"/>
      <c r="N147" s="38" t="n"/>
      <c r="O147" s="38" t="n"/>
    </row>
    <row r="148" ht="21" customHeight="1">
      <c r="A148" s="38" t="n"/>
      <c r="B148" s="38" t="n"/>
      <c r="C148" s="38" t="n"/>
      <c r="D148" s="38" t="n"/>
      <c r="E148" s="42" t="n"/>
      <c r="F148" s="42" t="n"/>
      <c r="G148" s="38" t="n"/>
      <c r="H148" s="38" t="n"/>
      <c r="I148" s="38" t="n"/>
      <c r="J148" s="38" t="n"/>
      <c r="K148" s="38" t="n"/>
      <c r="L148" s="42" t="n"/>
      <c r="M148" s="38" t="n"/>
      <c r="N148" s="38" t="n"/>
      <c r="O148" s="38" t="n"/>
    </row>
    <row r="149" ht="21" customHeight="1">
      <c r="A149" s="38" t="n"/>
      <c r="B149" s="38" t="n"/>
      <c r="C149" s="38" t="n"/>
      <c r="D149" s="38" t="n"/>
      <c r="E149" s="42" t="n"/>
      <c r="F149" s="42" t="n"/>
      <c r="G149" s="38" t="n"/>
      <c r="H149" s="38" t="n"/>
      <c r="I149" s="38" t="n"/>
      <c r="J149" s="38" t="n"/>
      <c r="K149" s="38" t="n"/>
      <c r="L149" s="42" t="n"/>
      <c r="M149" s="38" t="n"/>
      <c r="N149" s="38" t="n"/>
      <c r="O149" s="38" t="n"/>
    </row>
    <row r="150" ht="21" customHeight="1">
      <c r="A150" s="38" t="n"/>
      <c r="B150" s="38" t="n"/>
      <c r="C150" s="38" t="n"/>
      <c r="D150" s="38" t="n"/>
      <c r="E150" s="42" t="n"/>
      <c r="F150" s="42" t="n"/>
      <c r="G150" s="38" t="n"/>
      <c r="H150" s="38" t="n"/>
      <c r="I150" s="38" t="n"/>
      <c r="J150" s="38" t="n"/>
      <c r="K150" s="38" t="n"/>
      <c r="L150" s="42" t="n"/>
      <c r="M150" s="38" t="n"/>
      <c r="N150" s="38" t="n"/>
      <c r="O150" s="38" t="n"/>
    </row>
    <row r="151" ht="21" customHeight="1">
      <c r="A151" s="38" t="n"/>
      <c r="B151" s="38" t="n"/>
      <c r="C151" s="38" t="n"/>
      <c r="D151" s="38" t="n"/>
      <c r="E151" s="42" t="n"/>
      <c r="F151" s="42" t="n"/>
      <c r="G151" s="38" t="n"/>
      <c r="H151" s="38" t="n"/>
      <c r="I151" s="38" t="n"/>
      <c r="J151" s="38" t="n"/>
      <c r="K151" s="38" t="n"/>
      <c r="L151" s="42" t="n"/>
      <c r="M151" s="38" t="n"/>
      <c r="N151" s="38" t="n"/>
      <c r="O151" s="38" t="n"/>
    </row>
    <row r="152" ht="21" customHeight="1">
      <c r="A152" s="38" t="n"/>
      <c r="B152" s="38" t="n"/>
      <c r="C152" s="38" t="n"/>
      <c r="D152" s="38" t="n"/>
      <c r="E152" s="42" t="n"/>
      <c r="F152" s="42" t="n"/>
      <c r="G152" s="38" t="n"/>
      <c r="H152" s="38" t="n"/>
      <c r="I152" s="38" t="n"/>
      <c r="J152" s="38" t="n"/>
      <c r="K152" s="38" t="n"/>
      <c r="L152" s="42" t="n"/>
      <c r="M152" s="38" t="n"/>
      <c r="N152" s="38" t="n"/>
      <c r="O152" s="38" t="n"/>
    </row>
    <row r="153" ht="21" customHeight="1">
      <c r="A153" s="38" t="n"/>
      <c r="B153" s="38" t="n"/>
      <c r="C153" s="38" t="n"/>
      <c r="D153" s="38" t="n"/>
      <c r="E153" s="42" t="n"/>
      <c r="F153" s="42" t="n"/>
      <c r="G153" s="38" t="n"/>
      <c r="H153" s="38" t="n"/>
      <c r="I153" s="38" t="n"/>
      <c r="J153" s="38" t="n"/>
      <c r="K153" s="38" t="n"/>
      <c r="L153" s="42" t="n"/>
      <c r="M153" s="38" t="n"/>
      <c r="N153" s="38" t="n"/>
      <c r="O153" s="38" t="n"/>
    </row>
    <row r="154" ht="21" customHeight="1">
      <c r="A154" s="38" t="n"/>
      <c r="B154" s="38" t="n"/>
      <c r="C154" s="38" t="n"/>
      <c r="D154" s="38" t="n"/>
      <c r="E154" s="42" t="n"/>
      <c r="F154" s="42" t="n"/>
      <c r="G154" s="38" t="n"/>
      <c r="H154" s="38" t="n"/>
      <c r="I154" s="38" t="n"/>
      <c r="J154" s="38" t="n"/>
      <c r="K154" s="38" t="n"/>
      <c r="L154" s="42" t="n"/>
      <c r="M154" s="38" t="n"/>
      <c r="N154" s="38" t="n"/>
      <c r="O154" s="38" t="n"/>
    </row>
    <row r="155" ht="21" customHeight="1">
      <c r="A155" s="38" t="n"/>
      <c r="B155" s="38" t="n"/>
      <c r="C155" s="38" t="n"/>
      <c r="D155" s="38" t="n"/>
      <c r="E155" s="42" t="n"/>
      <c r="F155" s="42" t="n"/>
      <c r="G155" s="38" t="n"/>
      <c r="H155" s="38" t="n"/>
      <c r="I155" s="38" t="n"/>
      <c r="J155" s="38" t="n"/>
      <c r="K155" s="38" t="n"/>
      <c r="L155" s="42" t="n"/>
      <c r="M155" s="38" t="n"/>
      <c r="N155" s="38" t="n"/>
      <c r="O155" s="38" t="n"/>
    </row>
    <row r="156" ht="21" customHeight="1">
      <c r="A156" s="38" t="n"/>
      <c r="B156" s="38" t="n"/>
      <c r="C156" s="38" t="n"/>
      <c r="D156" s="38" t="n"/>
      <c r="E156" s="42" t="n"/>
      <c r="F156" s="42" t="n"/>
      <c r="G156" s="38" t="n"/>
      <c r="H156" s="38" t="n"/>
      <c r="I156" s="38" t="n"/>
      <c r="J156" s="38" t="n"/>
      <c r="K156" s="38" t="n"/>
      <c r="L156" s="42" t="n"/>
      <c r="M156" s="38" t="n"/>
      <c r="N156" s="38" t="n"/>
      <c r="O156" s="38" t="n"/>
    </row>
    <row r="157" ht="21" customHeight="1">
      <c r="A157" s="38" t="n"/>
      <c r="B157" s="38" t="n"/>
      <c r="C157" s="38" t="n"/>
      <c r="D157" s="38" t="n"/>
      <c r="E157" s="42" t="n"/>
      <c r="F157" s="42" t="n"/>
      <c r="G157" s="38" t="n"/>
      <c r="H157" s="38" t="n"/>
      <c r="I157" s="38" t="n"/>
      <c r="J157" s="38" t="n"/>
      <c r="K157" s="38" t="n"/>
      <c r="L157" s="42" t="n"/>
      <c r="M157" s="38" t="n"/>
      <c r="N157" s="38" t="n"/>
      <c r="O157" s="38" t="n"/>
    </row>
    <row r="158" ht="21" customHeight="1">
      <c r="A158" s="38" t="n"/>
      <c r="B158" s="38" t="n"/>
      <c r="C158" s="38" t="n"/>
      <c r="D158" s="38" t="n"/>
      <c r="E158" s="42" t="n"/>
      <c r="F158" s="42" t="n"/>
      <c r="G158" s="38" t="n"/>
      <c r="H158" s="38" t="n"/>
      <c r="I158" s="38" t="n"/>
      <c r="J158" s="38" t="n"/>
      <c r="K158" s="38" t="n"/>
      <c r="L158" s="42" t="n"/>
      <c r="M158" s="38" t="n"/>
      <c r="N158" s="38" t="n"/>
      <c r="O158" s="38" t="n"/>
    </row>
    <row r="159" ht="21" customHeight="1">
      <c r="A159" s="38" t="n"/>
      <c r="B159" s="38" t="n"/>
      <c r="C159" s="38" t="n"/>
      <c r="D159" s="38" t="n"/>
      <c r="E159" s="42" t="n"/>
      <c r="F159" s="42" t="n"/>
      <c r="G159" s="38" t="n"/>
      <c r="H159" s="38" t="n"/>
      <c r="I159" s="38" t="n"/>
      <c r="J159" s="38" t="n"/>
      <c r="K159" s="38" t="n"/>
      <c r="L159" s="42" t="n"/>
      <c r="M159" s="38" t="n"/>
      <c r="N159" s="38" t="n"/>
      <c r="O159" s="38" t="n"/>
    </row>
    <row r="160" ht="21" customHeight="1">
      <c r="A160" s="38" t="n"/>
      <c r="B160" s="38" t="n"/>
      <c r="C160" s="38" t="n"/>
      <c r="D160" s="38" t="n"/>
      <c r="E160" s="42" t="n"/>
      <c r="F160" s="42" t="n"/>
      <c r="G160" s="38" t="n"/>
      <c r="H160" s="38" t="n"/>
      <c r="I160" s="38" t="n"/>
      <c r="J160" s="38" t="n"/>
      <c r="K160" s="38" t="n"/>
      <c r="L160" s="42" t="n"/>
      <c r="M160" s="38" t="n"/>
      <c r="N160" s="38" t="n"/>
      <c r="O160" s="38" t="n"/>
    </row>
    <row r="161" ht="21" customHeight="1">
      <c r="A161" s="38" t="n"/>
      <c r="B161" s="38" t="n"/>
      <c r="C161" s="38" t="n"/>
      <c r="D161" s="38" t="n"/>
      <c r="E161" s="42" t="n"/>
      <c r="F161" s="42" t="n"/>
      <c r="G161" s="38" t="n"/>
      <c r="H161" s="38" t="n"/>
      <c r="I161" s="38" t="n"/>
      <c r="J161" s="38" t="n"/>
      <c r="K161" s="38" t="n"/>
      <c r="L161" s="42" t="n"/>
      <c r="M161" s="38" t="n"/>
      <c r="N161" s="38" t="n"/>
      <c r="O161" s="38" t="n"/>
    </row>
    <row r="162" ht="21" customHeight="1">
      <c r="A162" s="38" t="n"/>
      <c r="B162" s="38" t="n"/>
      <c r="C162" s="38" t="n"/>
      <c r="D162" s="38" t="n"/>
      <c r="E162" s="42" t="n"/>
      <c r="F162" s="42" t="n"/>
      <c r="G162" s="38" t="n"/>
      <c r="H162" s="38" t="n"/>
      <c r="I162" s="38" t="n"/>
      <c r="J162" s="38" t="n"/>
      <c r="K162" s="38" t="n"/>
      <c r="L162" s="42" t="n"/>
      <c r="M162" s="38" t="n"/>
      <c r="N162" s="38" t="n"/>
      <c r="O162" s="38" t="n"/>
    </row>
    <row r="163" ht="21" customHeight="1">
      <c r="A163" s="38" t="n"/>
      <c r="B163" s="38" t="n"/>
      <c r="C163" s="38" t="n"/>
      <c r="D163" s="38" t="n"/>
      <c r="E163" s="42" t="n"/>
      <c r="F163" s="42" t="n"/>
      <c r="G163" s="38" t="n"/>
      <c r="H163" s="38" t="n"/>
      <c r="I163" s="38" t="n"/>
      <c r="J163" s="38" t="n"/>
      <c r="K163" s="38" t="n"/>
      <c r="L163" s="42" t="n"/>
      <c r="M163" s="38" t="n"/>
      <c r="N163" s="38" t="n"/>
      <c r="O163" s="38" t="n"/>
    </row>
    <row r="164" ht="21" customHeight="1">
      <c r="A164" s="38" t="n"/>
      <c r="B164" s="38" t="n"/>
      <c r="C164" s="38" t="n"/>
      <c r="D164" s="38" t="n"/>
      <c r="E164" s="42" t="n"/>
      <c r="F164" s="42" t="n"/>
      <c r="G164" s="38" t="n"/>
      <c r="H164" s="38" t="n"/>
      <c r="I164" s="38" t="n"/>
      <c r="J164" s="38" t="n"/>
      <c r="K164" s="38" t="n"/>
      <c r="L164" s="42" t="n"/>
      <c r="M164" s="38" t="n"/>
      <c r="N164" s="38" t="n"/>
      <c r="O164" s="38" t="n"/>
    </row>
    <row r="165" ht="21" customHeight="1">
      <c r="A165" s="38" t="n"/>
      <c r="B165" s="38" t="n"/>
      <c r="C165" s="38" t="n"/>
      <c r="D165" s="38" t="n"/>
      <c r="E165" s="42" t="n"/>
      <c r="F165" s="42" t="n"/>
      <c r="G165" s="38" t="n"/>
      <c r="H165" s="38" t="n"/>
      <c r="I165" s="38" t="n"/>
      <c r="J165" s="38" t="n"/>
      <c r="K165" s="38" t="n"/>
      <c r="L165" s="42" t="n"/>
      <c r="M165" s="38" t="n"/>
      <c r="N165" s="38" t="n"/>
      <c r="O165" s="38" t="n"/>
    </row>
    <row r="166" ht="21" customHeight="1">
      <c r="A166" s="38" t="n"/>
      <c r="B166" s="38" t="n"/>
      <c r="C166" s="38" t="n"/>
      <c r="D166" s="38" t="n"/>
      <c r="E166" s="42" t="n"/>
      <c r="F166" s="42" t="n"/>
      <c r="G166" s="38" t="n"/>
      <c r="H166" s="38" t="n"/>
      <c r="I166" s="38" t="n"/>
      <c r="J166" s="38" t="n"/>
      <c r="K166" s="38" t="n"/>
      <c r="L166" s="42" t="n"/>
      <c r="M166" s="38" t="n"/>
      <c r="N166" s="38" t="n"/>
      <c r="O166" s="38" t="n"/>
    </row>
    <row r="167" ht="21" customHeight="1">
      <c r="A167" s="38" t="n"/>
      <c r="B167" s="38" t="n"/>
      <c r="C167" s="38" t="n"/>
      <c r="D167" s="38" t="n"/>
      <c r="E167" s="42" t="n"/>
      <c r="F167" s="42" t="n"/>
      <c r="G167" s="38" t="n"/>
      <c r="H167" s="38" t="n"/>
      <c r="I167" s="38" t="n"/>
      <c r="J167" s="38" t="n"/>
      <c r="K167" s="38" t="n"/>
      <c r="L167" s="42" t="n"/>
      <c r="M167" s="38" t="n"/>
      <c r="N167" s="38" t="n"/>
      <c r="O167" s="38" t="n"/>
    </row>
    <row r="168" ht="21" customHeight="1">
      <c r="A168" s="38" t="n"/>
      <c r="B168" s="38" t="n"/>
      <c r="C168" s="38" t="n"/>
      <c r="D168" s="38" t="n"/>
      <c r="E168" s="42" t="n"/>
      <c r="F168" s="42" t="n"/>
      <c r="G168" s="38" t="n"/>
      <c r="H168" s="38" t="n"/>
      <c r="I168" s="38" t="n"/>
      <c r="J168" s="38" t="n"/>
      <c r="K168" s="38" t="n"/>
      <c r="L168" s="42" t="n"/>
      <c r="M168" s="38" t="n"/>
      <c r="N168" s="38" t="n"/>
      <c r="O168" s="38" t="n"/>
    </row>
    <row r="169" ht="21" customHeight="1">
      <c r="A169" s="38" t="n"/>
      <c r="B169" s="38" t="n"/>
      <c r="C169" s="38" t="n"/>
      <c r="D169" s="38" t="n"/>
      <c r="E169" s="42" t="n"/>
      <c r="F169" s="42" t="n"/>
      <c r="G169" s="38" t="n"/>
      <c r="H169" s="38" t="n"/>
      <c r="I169" s="38" t="n"/>
      <c r="J169" s="38" t="n"/>
      <c r="K169" s="38" t="n"/>
      <c r="L169" s="42" t="n"/>
      <c r="M169" s="38" t="n"/>
      <c r="N169" s="38" t="n"/>
      <c r="O169" s="38" t="n"/>
    </row>
    <row r="170" ht="21" customHeight="1">
      <c r="A170" s="38" t="n"/>
      <c r="B170" s="38" t="n"/>
      <c r="C170" s="38" t="n"/>
      <c r="D170" s="38" t="n"/>
      <c r="E170" s="42" t="n"/>
      <c r="F170" s="42" t="n"/>
      <c r="G170" s="38" t="n"/>
      <c r="H170" s="38" t="n"/>
      <c r="I170" s="38" t="n"/>
      <c r="J170" s="38" t="n"/>
      <c r="K170" s="38" t="n"/>
      <c r="L170" s="42" t="n"/>
      <c r="M170" s="38" t="n"/>
      <c r="N170" s="38" t="n"/>
      <c r="O170" s="38" t="n"/>
    </row>
    <row r="171" ht="21" customHeight="1">
      <c r="A171" s="38" t="n"/>
      <c r="B171" s="38" t="n"/>
      <c r="C171" s="38" t="n"/>
      <c r="D171" s="38" t="n"/>
      <c r="E171" s="42" t="n"/>
      <c r="F171" s="42" t="n"/>
      <c r="G171" s="38" t="n"/>
      <c r="H171" s="38" t="n"/>
      <c r="I171" s="38" t="n"/>
      <c r="J171" s="38" t="n"/>
      <c r="K171" s="38" t="n"/>
      <c r="L171" s="42" t="n"/>
      <c r="M171" s="38" t="n"/>
      <c r="N171" s="38" t="n"/>
      <c r="O171" s="38" t="n"/>
    </row>
    <row r="172" ht="21" customHeight="1">
      <c r="A172" s="38" t="n"/>
      <c r="B172" s="38" t="n"/>
      <c r="C172" s="38" t="n"/>
      <c r="D172" s="38" t="n"/>
      <c r="E172" s="42" t="n"/>
      <c r="F172" s="42" t="n"/>
      <c r="G172" s="38" t="n"/>
      <c r="H172" s="38" t="n"/>
      <c r="I172" s="38" t="n"/>
      <c r="J172" s="38" t="n"/>
      <c r="K172" s="38" t="n"/>
      <c r="L172" s="42" t="n"/>
      <c r="M172" s="38" t="n"/>
      <c r="N172" s="38" t="n"/>
      <c r="O172" s="38" t="n"/>
    </row>
    <row r="173" ht="21" customHeight="1">
      <c r="A173" s="38" t="n"/>
      <c r="B173" s="38" t="n"/>
      <c r="C173" s="38" t="n"/>
      <c r="D173" s="38" t="n"/>
      <c r="E173" s="42" t="n"/>
      <c r="F173" s="42" t="n"/>
      <c r="G173" s="38" t="n"/>
      <c r="H173" s="38" t="n"/>
      <c r="I173" s="38" t="n"/>
      <c r="J173" s="38" t="n"/>
      <c r="K173" s="38" t="n"/>
      <c r="L173" s="42" t="n"/>
      <c r="M173" s="38" t="n"/>
      <c r="N173" s="38" t="n"/>
      <c r="O173" s="38" t="n"/>
    </row>
    <row r="174" ht="21" customHeight="1">
      <c r="A174" s="38" t="n"/>
      <c r="B174" s="38" t="n"/>
      <c r="C174" s="38" t="n"/>
      <c r="D174" s="38" t="n"/>
      <c r="E174" s="42" t="n"/>
      <c r="F174" s="42" t="n"/>
      <c r="G174" s="38" t="n"/>
      <c r="H174" s="38" t="n"/>
      <c r="I174" s="38" t="n"/>
      <c r="J174" s="38" t="n"/>
      <c r="K174" s="38" t="n"/>
      <c r="L174" s="42" t="n"/>
      <c r="M174" s="38" t="n"/>
      <c r="N174" s="38" t="n"/>
      <c r="O174" s="38" t="n"/>
    </row>
    <row r="175" ht="21" customHeight="1">
      <c r="A175" s="38" t="n"/>
      <c r="B175" s="38" t="n"/>
      <c r="C175" s="38" t="n"/>
      <c r="D175" s="38" t="n"/>
      <c r="E175" s="42" t="n"/>
      <c r="F175" s="42" t="n"/>
      <c r="G175" s="38" t="n"/>
      <c r="H175" s="38" t="n"/>
      <c r="I175" s="38" t="n"/>
      <c r="J175" s="38" t="n"/>
      <c r="K175" s="38" t="n"/>
      <c r="L175" s="42" t="n"/>
      <c r="M175" s="38" t="n"/>
      <c r="N175" s="38" t="n"/>
      <c r="O175" s="38" t="n"/>
    </row>
    <row r="176" ht="21" customHeight="1">
      <c r="A176" s="38" t="n"/>
      <c r="B176" s="38" t="n"/>
      <c r="C176" s="38" t="n"/>
      <c r="D176" s="38" t="n"/>
      <c r="E176" s="42" t="n"/>
      <c r="F176" s="42" t="n"/>
      <c r="G176" s="38" t="n"/>
      <c r="H176" s="38" t="n"/>
      <c r="I176" s="38" t="n"/>
      <c r="J176" s="38" t="n"/>
      <c r="K176" s="38" t="n"/>
      <c r="L176" s="42" t="n"/>
      <c r="M176" s="38" t="n"/>
      <c r="N176" s="38" t="n"/>
      <c r="O176" s="38" t="n"/>
    </row>
    <row r="177" ht="21" customHeight="1">
      <c r="A177" s="38" t="n"/>
      <c r="B177" s="38" t="n"/>
      <c r="C177" s="38" t="n"/>
      <c r="D177" s="38" t="n"/>
      <c r="E177" s="42" t="n"/>
      <c r="F177" s="42" t="n"/>
      <c r="G177" s="38" t="n"/>
      <c r="H177" s="38" t="n"/>
      <c r="I177" s="38" t="n"/>
      <c r="J177" s="38" t="n"/>
      <c r="K177" s="38" t="n"/>
      <c r="L177" s="42" t="n"/>
      <c r="M177" s="38" t="n"/>
      <c r="N177" s="38" t="n"/>
      <c r="O177" s="38" t="n"/>
    </row>
    <row r="178" ht="21" customHeight="1">
      <c r="A178" s="38" t="n"/>
      <c r="B178" s="38" t="n"/>
      <c r="C178" s="38" t="n"/>
      <c r="D178" s="38" t="n"/>
      <c r="E178" s="42" t="n"/>
      <c r="F178" s="42" t="n"/>
      <c r="G178" s="38" t="n"/>
      <c r="H178" s="38" t="n"/>
      <c r="I178" s="38" t="n"/>
      <c r="J178" s="38" t="n"/>
      <c r="K178" s="38" t="n"/>
      <c r="L178" s="42" t="n"/>
      <c r="M178" s="38" t="n"/>
      <c r="N178" s="38" t="n"/>
      <c r="O178" s="38" t="n"/>
    </row>
    <row r="179" ht="21" customHeight="1">
      <c r="A179" s="38" t="n"/>
      <c r="B179" s="38" t="n"/>
      <c r="C179" s="38" t="n"/>
      <c r="D179" s="38" t="n"/>
      <c r="E179" s="42" t="n"/>
      <c r="F179" s="42" t="n"/>
      <c r="G179" s="38" t="n"/>
      <c r="H179" s="38" t="n"/>
      <c r="I179" s="38" t="n"/>
      <c r="J179" s="38" t="n"/>
      <c r="K179" s="38" t="n"/>
      <c r="L179" s="42" t="n"/>
      <c r="M179" s="38" t="n"/>
      <c r="N179" s="38" t="n"/>
      <c r="O179" s="38" t="n"/>
    </row>
    <row r="180" ht="21" customHeight="1">
      <c r="A180" s="38" t="n"/>
      <c r="B180" s="38" t="n"/>
      <c r="C180" s="38" t="n"/>
      <c r="D180" s="38" t="n"/>
      <c r="E180" s="42" t="n"/>
      <c r="F180" s="42" t="n"/>
      <c r="G180" s="38" t="n"/>
      <c r="H180" s="38" t="n"/>
      <c r="I180" s="38" t="n"/>
      <c r="J180" s="38" t="n"/>
      <c r="K180" s="38" t="n"/>
      <c r="L180" s="42" t="n"/>
      <c r="M180" s="38" t="n"/>
      <c r="N180" s="38" t="n"/>
      <c r="O180" s="38" t="n"/>
    </row>
    <row r="181" ht="21" customHeight="1">
      <c r="A181" s="38" t="n"/>
      <c r="B181" s="38" t="n"/>
      <c r="C181" s="38" t="n"/>
      <c r="D181" s="38" t="n"/>
      <c r="E181" s="42" t="n"/>
      <c r="F181" s="42" t="n"/>
      <c r="G181" s="38" t="n"/>
      <c r="H181" s="38" t="n"/>
      <c r="I181" s="38" t="n"/>
      <c r="J181" s="38" t="n"/>
      <c r="K181" s="38" t="n"/>
      <c r="L181" s="42" t="n"/>
      <c r="M181" s="38" t="n"/>
      <c r="N181" s="38" t="n"/>
      <c r="O181" s="38" t="n"/>
    </row>
    <row r="182" ht="21" customHeight="1">
      <c r="A182" s="38" t="n"/>
      <c r="B182" s="38" t="n"/>
      <c r="C182" s="38" t="n"/>
      <c r="D182" s="38" t="n"/>
      <c r="E182" s="42" t="n"/>
      <c r="F182" s="42" t="n"/>
      <c r="G182" s="38" t="n"/>
      <c r="H182" s="38" t="n"/>
      <c r="I182" s="38" t="n"/>
      <c r="J182" s="38" t="n"/>
      <c r="K182" s="38" t="n"/>
      <c r="L182" s="42" t="n"/>
      <c r="M182" s="38" t="n"/>
      <c r="N182" s="38" t="n"/>
      <c r="O182" s="38" t="n"/>
    </row>
    <row r="183" ht="21" customHeight="1">
      <c r="A183" s="38" t="n"/>
      <c r="B183" s="38" t="n"/>
      <c r="C183" s="38" t="n"/>
      <c r="D183" s="38" t="n"/>
      <c r="E183" s="42" t="n"/>
      <c r="F183" s="42" t="n"/>
      <c r="G183" s="38" t="n"/>
      <c r="H183" s="38" t="n"/>
      <c r="I183" s="38" t="n"/>
      <c r="J183" s="38" t="n"/>
      <c r="K183" s="38" t="n"/>
      <c r="L183" s="42" t="n"/>
      <c r="M183" s="38" t="n"/>
      <c r="N183" s="38" t="n"/>
      <c r="O183" s="38" t="n"/>
    </row>
    <row r="184" ht="21" customHeight="1">
      <c r="A184" s="38" t="n"/>
      <c r="B184" s="38" t="n"/>
      <c r="C184" s="38" t="n"/>
      <c r="D184" s="38" t="n"/>
      <c r="E184" s="42" t="n"/>
      <c r="F184" s="42" t="n"/>
      <c r="G184" s="38" t="n"/>
      <c r="H184" s="38" t="n"/>
      <c r="I184" s="38" t="n"/>
      <c r="J184" s="38" t="n"/>
      <c r="K184" s="38" t="n"/>
      <c r="L184" s="42" t="n"/>
      <c r="M184" s="38" t="n"/>
      <c r="N184" s="38" t="n"/>
      <c r="O184" s="38" t="n"/>
    </row>
    <row r="185" ht="21" customHeight="1">
      <c r="A185" s="38" t="n"/>
      <c r="B185" s="38" t="n"/>
      <c r="C185" s="38" t="n"/>
      <c r="D185" s="38" t="n"/>
      <c r="E185" s="42" t="n"/>
      <c r="F185" s="42" t="n"/>
      <c r="G185" s="38" t="n"/>
      <c r="H185" s="38" t="n"/>
      <c r="I185" s="38" t="n"/>
      <c r="J185" s="38" t="n"/>
      <c r="K185" s="38" t="n"/>
      <c r="L185" s="42" t="n"/>
      <c r="M185" s="38" t="n"/>
      <c r="N185" s="38" t="n"/>
      <c r="O185" s="38" t="n"/>
    </row>
    <row r="186" ht="21" customHeight="1">
      <c r="A186" s="38" t="n"/>
      <c r="B186" s="38" t="n"/>
      <c r="C186" s="38" t="n"/>
      <c r="D186" s="38" t="n"/>
      <c r="E186" s="42" t="n"/>
      <c r="F186" s="42" t="n"/>
      <c r="G186" s="38" t="n"/>
      <c r="H186" s="38" t="n"/>
      <c r="I186" s="38" t="n"/>
      <c r="J186" s="38" t="n"/>
      <c r="K186" s="38" t="n"/>
      <c r="L186" s="42" t="n"/>
      <c r="M186" s="38" t="n"/>
      <c r="N186" s="38" t="n"/>
      <c r="O186" s="38" t="n"/>
    </row>
    <row r="187" ht="21" customHeight="1">
      <c r="A187" s="38" t="n"/>
      <c r="B187" s="38" t="n"/>
      <c r="C187" s="38" t="n"/>
      <c r="D187" s="38" t="n"/>
      <c r="E187" s="42" t="n"/>
      <c r="F187" s="42" t="n"/>
      <c r="G187" s="38" t="n"/>
      <c r="H187" s="38" t="n"/>
      <c r="I187" s="38" t="n"/>
      <c r="J187" s="38" t="n"/>
      <c r="K187" s="38" t="n"/>
      <c r="L187" s="42" t="n"/>
      <c r="M187" s="38" t="n"/>
      <c r="N187" s="38" t="n"/>
      <c r="O187" s="38" t="n"/>
    </row>
    <row r="188" ht="21" customHeight="1">
      <c r="A188" s="38" t="n"/>
      <c r="B188" s="38" t="n"/>
      <c r="C188" s="38" t="n"/>
      <c r="D188" s="38" t="n"/>
      <c r="E188" s="42" t="n"/>
      <c r="F188" s="42" t="n"/>
      <c r="G188" s="38" t="n"/>
      <c r="H188" s="38" t="n"/>
      <c r="I188" s="38" t="n"/>
      <c r="J188" s="38" t="n"/>
      <c r="K188" s="38" t="n"/>
      <c r="L188" s="42" t="n"/>
      <c r="M188" s="38" t="n"/>
      <c r="N188" s="38" t="n"/>
      <c r="O188" s="38" t="n"/>
    </row>
    <row r="189" ht="21" customHeight="1">
      <c r="A189" s="38" t="n"/>
      <c r="B189" s="38" t="n"/>
      <c r="C189" s="38" t="n"/>
      <c r="D189" s="38" t="n"/>
      <c r="E189" s="42" t="n"/>
      <c r="F189" s="42" t="n"/>
      <c r="G189" s="38" t="n"/>
      <c r="H189" s="38" t="n"/>
      <c r="I189" s="38" t="n"/>
      <c r="J189" s="38" t="n"/>
      <c r="K189" s="38" t="n"/>
      <c r="L189" s="42" t="n"/>
      <c r="M189" s="38" t="n"/>
      <c r="N189" s="38" t="n"/>
      <c r="O189" s="38" t="n"/>
    </row>
    <row r="190" ht="21" customHeight="1">
      <c r="A190" s="38" t="n"/>
      <c r="B190" s="38" t="n"/>
      <c r="C190" s="38" t="n"/>
      <c r="D190" s="38" t="n"/>
      <c r="E190" s="42" t="n"/>
      <c r="F190" s="42" t="n"/>
      <c r="G190" s="38" t="n"/>
      <c r="H190" s="38" t="n"/>
      <c r="I190" s="38" t="n"/>
      <c r="J190" s="38" t="n"/>
      <c r="K190" s="38" t="n"/>
      <c r="L190" s="42" t="n"/>
      <c r="M190" s="38" t="n"/>
      <c r="N190" s="38" t="n"/>
      <c r="O190" s="38" t="n"/>
    </row>
    <row r="191" ht="21" customHeight="1">
      <c r="A191" s="38" t="n"/>
      <c r="B191" s="38" t="n"/>
      <c r="C191" s="38" t="n"/>
      <c r="D191" s="38" t="n"/>
      <c r="E191" s="42" t="n"/>
      <c r="F191" s="42" t="n"/>
      <c r="G191" s="38" t="n"/>
      <c r="H191" s="38" t="n"/>
      <c r="I191" s="38" t="n"/>
      <c r="J191" s="38" t="n"/>
      <c r="K191" s="38" t="n"/>
      <c r="L191" s="42" t="n"/>
      <c r="M191" s="38" t="n"/>
      <c r="N191" s="38" t="n"/>
      <c r="O191" s="38" t="n"/>
    </row>
    <row r="192" ht="21" customHeight="1">
      <c r="A192" s="38" t="n"/>
      <c r="B192" s="38" t="n"/>
      <c r="C192" s="38" t="n"/>
      <c r="D192" s="38" t="n"/>
      <c r="E192" s="42" t="n"/>
      <c r="F192" s="42" t="n"/>
      <c r="G192" s="38" t="n"/>
      <c r="H192" s="38" t="n"/>
      <c r="I192" s="38" t="n"/>
      <c r="J192" s="38" t="n"/>
      <c r="K192" s="38" t="n"/>
      <c r="L192" s="42" t="n"/>
      <c r="M192" s="38" t="n"/>
      <c r="N192" s="38" t="n"/>
      <c r="O192" s="38" t="n"/>
    </row>
    <row r="193" ht="21" customHeight="1">
      <c r="A193" s="38" t="n"/>
      <c r="B193" s="38" t="n"/>
      <c r="C193" s="38" t="n"/>
      <c r="D193" s="38" t="n"/>
      <c r="E193" s="42" t="n"/>
      <c r="F193" s="42" t="n"/>
      <c r="G193" s="38" t="n"/>
      <c r="H193" s="38" t="n"/>
      <c r="I193" s="38" t="n"/>
      <c r="J193" s="38" t="n"/>
      <c r="K193" s="38" t="n"/>
      <c r="L193" s="42" t="n"/>
      <c r="M193" s="38" t="n"/>
      <c r="N193" s="38" t="n"/>
      <c r="O193" s="38" t="n"/>
    </row>
    <row r="194" ht="21" customHeight="1">
      <c r="A194" s="38" t="n"/>
      <c r="B194" s="38" t="n"/>
      <c r="C194" s="38" t="n"/>
      <c r="D194" s="38" t="n"/>
      <c r="E194" s="42" t="n"/>
      <c r="F194" s="42" t="n"/>
      <c r="G194" s="38" t="n"/>
      <c r="H194" s="38" t="n"/>
      <c r="I194" s="38" t="n"/>
      <c r="J194" s="38" t="n"/>
      <c r="K194" s="38" t="n"/>
      <c r="L194" s="42" t="n"/>
      <c r="M194" s="38" t="n"/>
      <c r="N194" s="38" t="n"/>
      <c r="O194" s="38" t="n"/>
    </row>
    <row r="195" ht="21" customHeight="1">
      <c r="A195" s="38" t="n"/>
      <c r="B195" s="38" t="n"/>
      <c r="C195" s="38" t="n"/>
      <c r="D195" s="38" t="n"/>
      <c r="E195" s="42" t="n"/>
      <c r="F195" s="42" t="n"/>
      <c r="G195" s="38" t="n"/>
      <c r="H195" s="38" t="n"/>
      <c r="I195" s="38" t="n"/>
      <c r="J195" s="38" t="n"/>
      <c r="K195" s="38" t="n"/>
      <c r="L195" s="42" t="n"/>
      <c r="M195" s="38" t="n"/>
      <c r="N195" s="38" t="n"/>
      <c r="O195" s="38" t="n"/>
    </row>
    <row r="196" ht="21" customHeight="1">
      <c r="A196" s="38" t="n"/>
      <c r="B196" s="38" t="n"/>
      <c r="C196" s="38" t="n"/>
      <c r="D196" s="38" t="n"/>
      <c r="E196" s="42" t="n"/>
      <c r="F196" s="42" t="n"/>
      <c r="G196" s="38" t="n"/>
      <c r="H196" s="38" t="n"/>
      <c r="I196" s="38" t="n"/>
      <c r="J196" s="38" t="n"/>
      <c r="K196" s="38" t="n"/>
      <c r="L196" s="42" t="n"/>
      <c r="M196" s="38" t="n"/>
      <c r="N196" s="38" t="n"/>
      <c r="O196" s="38" t="n"/>
    </row>
    <row r="197" ht="21" customHeight="1">
      <c r="A197" s="38" t="n"/>
      <c r="B197" s="38" t="n"/>
      <c r="C197" s="38" t="n"/>
      <c r="D197" s="38" t="n"/>
      <c r="E197" s="42" t="n"/>
      <c r="F197" s="42" t="n"/>
      <c r="G197" s="38" t="n"/>
      <c r="H197" s="38" t="n"/>
      <c r="I197" s="38" t="n"/>
      <c r="J197" s="38" t="n"/>
      <c r="K197" s="38" t="n"/>
      <c r="L197" s="42" t="n"/>
      <c r="M197" s="38" t="n"/>
      <c r="N197" s="38" t="n"/>
      <c r="O197" s="38" t="n"/>
    </row>
    <row r="198" ht="21" customHeight="1">
      <c r="A198" s="38" t="n"/>
      <c r="B198" s="38" t="n"/>
      <c r="C198" s="38" t="n"/>
      <c r="D198" s="38" t="n"/>
      <c r="E198" s="42" t="n"/>
      <c r="F198" s="42" t="n"/>
      <c r="G198" s="38" t="n"/>
      <c r="H198" s="38" t="n"/>
      <c r="I198" s="38" t="n"/>
      <c r="J198" s="38" t="n"/>
      <c r="K198" s="38" t="n"/>
      <c r="L198" s="42" t="n"/>
      <c r="M198" s="38" t="n"/>
      <c r="N198" s="38" t="n"/>
      <c r="O198" s="38" t="n"/>
    </row>
    <row r="199" ht="21" customHeight="1">
      <c r="A199" s="38" t="n"/>
      <c r="B199" s="38" t="n"/>
      <c r="C199" s="38" t="n"/>
      <c r="D199" s="38" t="n"/>
      <c r="E199" s="42" t="n"/>
      <c r="F199" s="42" t="n"/>
      <c r="G199" s="38" t="n"/>
      <c r="H199" s="38" t="n"/>
      <c r="I199" s="38" t="n"/>
      <c r="J199" s="38" t="n"/>
      <c r="K199" s="38" t="n"/>
      <c r="L199" s="42" t="n"/>
      <c r="M199" s="38" t="n"/>
      <c r="N199" s="38" t="n"/>
      <c r="O199" s="38" t="n"/>
    </row>
    <row r="200" ht="21" customHeight="1">
      <c r="A200" s="38" t="n"/>
      <c r="B200" s="38" t="n"/>
      <c r="C200" s="38" t="n"/>
      <c r="D200" s="38" t="n"/>
      <c r="E200" s="42" t="n"/>
      <c r="F200" s="42" t="n"/>
      <c r="G200" s="38" t="n"/>
      <c r="H200" s="38" t="n"/>
      <c r="I200" s="38" t="n"/>
      <c r="J200" s="38" t="n"/>
      <c r="K200" s="38" t="n"/>
      <c r="L200" s="42" t="n"/>
      <c r="M200" s="38" t="n"/>
      <c r="N200" s="38" t="n"/>
      <c r="O200" s="38" t="n"/>
    </row>
    <row r="201" ht="21" customHeight="1">
      <c r="A201" s="38" t="n"/>
      <c r="B201" s="38" t="n"/>
      <c r="C201" s="38" t="n"/>
      <c r="D201" s="38" t="n"/>
      <c r="E201" s="42" t="n"/>
      <c r="F201" s="42" t="n"/>
      <c r="G201" s="38" t="n"/>
      <c r="H201" s="38" t="n"/>
      <c r="I201" s="38" t="n"/>
      <c r="J201" s="38" t="n"/>
      <c r="K201" s="38" t="n"/>
      <c r="L201" s="42" t="n"/>
      <c r="M201" s="38" t="n"/>
      <c r="N201" s="38" t="n"/>
      <c r="O201" s="38" t="n"/>
    </row>
    <row r="202" ht="21" customHeight="1">
      <c r="A202" s="38" t="n"/>
      <c r="B202" s="38" t="n"/>
      <c r="C202" s="38" t="n"/>
      <c r="D202" s="38" t="n"/>
      <c r="E202" s="42" t="n"/>
      <c r="F202" s="42" t="n"/>
      <c r="G202" s="38" t="n"/>
      <c r="H202" s="38" t="n"/>
      <c r="I202" s="38" t="n"/>
      <c r="J202" s="38" t="n"/>
      <c r="K202" s="38" t="n"/>
      <c r="L202" s="42" t="n"/>
      <c r="M202" s="38" t="n"/>
      <c r="N202" s="38" t="n"/>
      <c r="O202" s="38" t="n"/>
    </row>
    <row r="203" ht="21" customHeight="1">
      <c r="A203" s="38" t="n"/>
      <c r="B203" s="38" t="n"/>
      <c r="C203" s="38" t="n"/>
      <c r="D203" s="38" t="n"/>
      <c r="E203" s="42" t="n"/>
      <c r="F203" s="42" t="n"/>
      <c r="G203" s="38" t="n"/>
      <c r="H203" s="38" t="n"/>
      <c r="I203" s="38" t="n"/>
      <c r="J203" s="38" t="n"/>
      <c r="K203" s="38" t="n"/>
      <c r="L203" s="42" t="n"/>
      <c r="M203" s="38" t="n"/>
      <c r="N203" s="38" t="n"/>
      <c r="O203" s="38" t="n"/>
    </row>
    <row r="204" ht="21" customHeight="1">
      <c r="A204" s="38" t="n"/>
      <c r="B204" s="38" t="n"/>
      <c r="C204" s="38" t="n"/>
      <c r="D204" s="38" t="n"/>
      <c r="E204" s="42" t="n"/>
      <c r="F204" s="42" t="n"/>
      <c r="G204" s="38" t="n"/>
      <c r="H204" s="38" t="n"/>
      <c r="I204" s="38" t="n"/>
      <c r="J204" s="38" t="n"/>
      <c r="K204" s="38" t="n"/>
      <c r="L204" s="42" t="n"/>
      <c r="M204" s="38" t="n"/>
      <c r="N204" s="38" t="n"/>
      <c r="O204" s="38" t="n"/>
    </row>
    <row r="205" ht="21" customHeight="1">
      <c r="A205" s="38" t="n"/>
      <c r="B205" s="38" t="n"/>
      <c r="C205" s="38" t="n"/>
      <c r="D205" s="38" t="n"/>
      <c r="E205" s="42" t="n"/>
      <c r="F205" s="42" t="n"/>
      <c r="G205" s="38" t="n"/>
      <c r="H205" s="38" t="n"/>
      <c r="I205" s="38" t="n"/>
      <c r="J205" s="38" t="n"/>
      <c r="K205" s="38" t="n"/>
      <c r="L205" s="42" t="n"/>
      <c r="M205" s="38" t="n"/>
      <c r="N205" s="38" t="n"/>
      <c r="O205" s="38" t="n"/>
    </row>
    <row r="206" ht="21" customHeight="1">
      <c r="A206" s="38" t="n"/>
      <c r="B206" s="38" t="n"/>
      <c r="C206" s="38" t="n"/>
      <c r="D206" s="38" t="n"/>
      <c r="E206" s="42" t="n"/>
      <c r="F206" s="42" t="n"/>
      <c r="G206" s="38" t="n"/>
      <c r="H206" s="38" t="n"/>
      <c r="I206" s="38" t="n"/>
      <c r="J206" s="38" t="n"/>
      <c r="K206" s="38" t="n"/>
      <c r="L206" s="42" t="n"/>
      <c r="M206" s="38" t="n"/>
      <c r="N206" s="38" t="n"/>
      <c r="O206" s="38" t="n"/>
    </row>
    <row r="207" ht="21" customHeight="1">
      <c r="A207" s="38" t="n"/>
      <c r="B207" s="38" t="n"/>
      <c r="C207" s="38" t="n"/>
      <c r="D207" s="38" t="n"/>
      <c r="E207" s="42" t="n"/>
      <c r="F207" s="42" t="n"/>
      <c r="G207" s="38" t="n"/>
      <c r="H207" s="38" t="n"/>
      <c r="I207" s="38" t="n"/>
      <c r="J207" s="38" t="n"/>
      <c r="K207" s="38" t="n"/>
      <c r="L207" s="42" t="n"/>
      <c r="M207" s="38" t="n"/>
      <c r="N207" s="38" t="n"/>
      <c r="O207" s="38" t="n"/>
    </row>
    <row r="208" ht="21" customHeight="1">
      <c r="A208" s="38" t="n"/>
      <c r="B208" s="38" t="n"/>
      <c r="C208" s="38" t="n"/>
      <c r="D208" s="38" t="n"/>
      <c r="E208" s="42" t="n"/>
      <c r="F208" s="42" t="n"/>
      <c r="G208" s="38" t="n"/>
      <c r="H208" s="38" t="n"/>
      <c r="I208" s="38" t="n"/>
      <c r="J208" s="38" t="n"/>
      <c r="K208" s="38" t="n"/>
      <c r="L208" s="42" t="n"/>
      <c r="M208" s="38" t="n"/>
      <c r="N208" s="38" t="n"/>
      <c r="O208" s="38" t="n"/>
    </row>
    <row r="209" ht="21" customHeight="1">
      <c r="A209" s="38" t="n"/>
      <c r="B209" s="38" t="n"/>
      <c r="C209" s="38" t="n"/>
      <c r="D209" s="38" t="n"/>
      <c r="E209" s="42" t="n"/>
      <c r="F209" s="42" t="n"/>
      <c r="G209" s="38" t="n"/>
      <c r="H209" s="38" t="n"/>
      <c r="I209" s="38" t="n"/>
      <c r="J209" s="38" t="n"/>
      <c r="K209" s="38" t="n"/>
      <c r="L209" s="42" t="n"/>
      <c r="M209" s="38" t="n"/>
      <c r="N209" s="38" t="n"/>
      <c r="O209" s="38" t="n"/>
    </row>
    <row r="210" ht="21" customHeight="1">
      <c r="A210" s="38" t="n"/>
      <c r="B210" s="38" t="n"/>
      <c r="C210" s="38" t="n"/>
      <c r="D210" s="38" t="n"/>
      <c r="E210" s="42" t="n"/>
      <c r="F210" s="42" t="n"/>
      <c r="G210" s="38" t="n"/>
      <c r="H210" s="38" t="n"/>
      <c r="I210" s="38" t="n"/>
      <c r="J210" s="38" t="n"/>
      <c r="K210" s="38" t="n"/>
      <c r="L210" s="42" t="n"/>
      <c r="M210" s="38" t="n"/>
      <c r="N210" s="38" t="n"/>
      <c r="O210" s="38" t="n"/>
    </row>
    <row r="211" ht="21" customHeight="1">
      <c r="A211" s="38" t="n"/>
      <c r="B211" s="38" t="n"/>
      <c r="C211" s="38" t="n"/>
      <c r="D211" s="38" t="n"/>
      <c r="E211" s="42" t="n"/>
      <c r="F211" s="42" t="n"/>
      <c r="G211" s="38" t="n"/>
      <c r="H211" s="38" t="n"/>
      <c r="I211" s="38" t="n"/>
      <c r="J211" s="38" t="n"/>
      <c r="K211" s="38" t="n"/>
      <c r="L211" s="42" t="n"/>
      <c r="M211" s="38" t="n"/>
      <c r="N211" s="38" t="n"/>
      <c r="O211" s="38" t="n"/>
    </row>
    <row r="212" ht="21" customHeight="1">
      <c r="A212" s="38" t="n"/>
      <c r="B212" s="38" t="n"/>
      <c r="C212" s="38" t="n"/>
      <c r="D212" s="38" t="n"/>
      <c r="E212" s="42" t="n"/>
      <c r="F212" s="42" t="n"/>
      <c r="G212" s="38" t="n"/>
      <c r="H212" s="38" t="n"/>
      <c r="I212" s="38" t="n"/>
      <c r="J212" s="38" t="n"/>
      <c r="K212" s="38" t="n"/>
      <c r="L212" s="42" t="n"/>
      <c r="M212" s="38" t="n"/>
      <c r="N212" s="38" t="n"/>
      <c r="O212" s="38" t="n"/>
    </row>
    <row r="213" ht="21" customHeight="1">
      <c r="A213" s="38" t="n"/>
      <c r="B213" s="38" t="n"/>
      <c r="C213" s="38" t="n"/>
      <c r="D213" s="38" t="n"/>
      <c r="E213" s="42" t="n"/>
      <c r="F213" s="42" t="n"/>
      <c r="G213" s="38" t="n"/>
      <c r="H213" s="38" t="n"/>
      <c r="I213" s="38" t="n"/>
      <c r="J213" s="38" t="n"/>
      <c r="K213" s="38" t="n"/>
      <c r="L213" s="42" t="n"/>
      <c r="M213" s="38" t="n"/>
      <c r="N213" s="38" t="n"/>
      <c r="O213" s="38" t="n"/>
    </row>
    <row r="214" ht="21" customHeight="1">
      <c r="A214" s="38" t="n"/>
      <c r="B214" s="38" t="n"/>
      <c r="C214" s="38" t="n"/>
      <c r="D214" s="38" t="n"/>
      <c r="E214" s="42" t="n"/>
      <c r="F214" s="42" t="n"/>
      <c r="G214" s="38" t="n"/>
      <c r="H214" s="38" t="n"/>
      <c r="I214" s="38" t="n"/>
      <c r="J214" s="38" t="n"/>
      <c r="K214" s="38" t="n"/>
      <c r="L214" s="42" t="n"/>
      <c r="M214" s="38" t="n"/>
      <c r="N214" s="38" t="n"/>
      <c r="O214" s="38" t="n"/>
    </row>
    <row r="215" ht="21" customHeight="1">
      <c r="A215" s="38" t="n"/>
      <c r="B215" s="38" t="n"/>
      <c r="C215" s="38" t="n"/>
      <c r="D215" s="38" t="n"/>
      <c r="E215" s="42" t="n"/>
      <c r="F215" s="42" t="n"/>
      <c r="G215" s="38" t="n"/>
      <c r="H215" s="38" t="n"/>
      <c r="I215" s="38" t="n"/>
      <c r="J215" s="38" t="n"/>
      <c r="K215" s="38" t="n"/>
      <c r="L215" s="42" t="n"/>
      <c r="M215" s="38" t="n"/>
      <c r="N215" s="38" t="n"/>
      <c r="O215" s="38" t="n"/>
    </row>
    <row r="216" ht="21" customHeight="1">
      <c r="A216" s="38" t="n"/>
      <c r="B216" s="38" t="n"/>
      <c r="C216" s="38" t="n"/>
      <c r="D216" s="38" t="n"/>
      <c r="E216" s="42" t="n"/>
      <c r="F216" s="42" t="n"/>
      <c r="G216" s="38" t="n"/>
      <c r="H216" s="38" t="n"/>
      <c r="I216" s="38" t="n"/>
      <c r="J216" s="38" t="n"/>
      <c r="K216" s="38" t="n"/>
      <c r="L216" s="42" t="n"/>
      <c r="M216" s="38" t="n"/>
      <c r="N216" s="38" t="n"/>
      <c r="O216" s="38" t="n"/>
    </row>
    <row r="217" ht="21" customHeight="1">
      <c r="A217" s="38" t="n"/>
      <c r="B217" s="38" t="n"/>
      <c r="C217" s="38" t="n"/>
      <c r="D217" s="38" t="n"/>
      <c r="E217" s="42" t="n"/>
      <c r="F217" s="42" t="n"/>
      <c r="G217" s="38" t="n"/>
      <c r="H217" s="38" t="n"/>
      <c r="I217" s="38" t="n"/>
      <c r="J217" s="38" t="n"/>
      <c r="K217" s="38" t="n"/>
      <c r="L217" s="42" t="n"/>
      <c r="M217" s="38" t="n"/>
      <c r="N217" s="38" t="n"/>
      <c r="O217" s="38" t="n"/>
    </row>
    <row r="218" ht="21" customHeight="1">
      <c r="A218" s="38" t="n"/>
      <c r="B218" s="38" t="n"/>
      <c r="C218" s="38" t="n"/>
      <c r="D218" s="38" t="n"/>
      <c r="E218" s="42" t="n"/>
      <c r="F218" s="42" t="n"/>
      <c r="G218" s="38" t="n"/>
      <c r="H218" s="38" t="n"/>
      <c r="I218" s="38" t="n"/>
      <c r="J218" s="38" t="n"/>
      <c r="K218" s="38" t="n"/>
      <c r="L218" s="42" t="n"/>
      <c r="M218" s="38" t="n"/>
      <c r="N218" s="38" t="n"/>
      <c r="O218" s="38" t="n"/>
    </row>
    <row r="219" ht="21" customHeight="1">
      <c r="A219" s="38" t="n"/>
      <c r="B219" s="38" t="n"/>
      <c r="C219" s="38" t="n"/>
      <c r="D219" s="38" t="n"/>
      <c r="E219" s="42" t="n"/>
      <c r="F219" s="42" t="n"/>
      <c r="G219" s="38" t="n"/>
      <c r="H219" s="38" t="n"/>
      <c r="I219" s="38" t="n"/>
      <c r="J219" s="38" t="n"/>
      <c r="K219" s="38" t="n"/>
      <c r="L219" s="42" t="n"/>
      <c r="M219" s="38" t="n"/>
      <c r="N219" s="38" t="n"/>
      <c r="O219" s="38" t="n"/>
    </row>
    <row r="220" ht="21" customHeight="1">
      <c r="A220" s="38" t="n"/>
      <c r="B220" s="38" t="n"/>
      <c r="C220" s="38" t="n"/>
      <c r="D220" s="38" t="n"/>
      <c r="E220" s="42" t="n"/>
      <c r="F220" s="42" t="n"/>
      <c r="G220" s="38" t="n"/>
      <c r="H220" s="38" t="n"/>
      <c r="I220" s="38" t="n"/>
      <c r="J220" s="38" t="n"/>
      <c r="K220" s="38" t="n"/>
      <c r="L220" s="42" t="n"/>
      <c r="M220" s="38" t="n"/>
      <c r="N220" s="38" t="n"/>
      <c r="O220" s="38" t="n"/>
    </row>
    <row r="221" ht="21" customHeight="1">
      <c r="A221" s="38" t="n"/>
      <c r="B221" s="38" t="n"/>
      <c r="C221" s="38" t="n"/>
      <c r="D221" s="38" t="n"/>
      <c r="E221" s="42" t="n"/>
      <c r="F221" s="42" t="n"/>
      <c r="G221" s="38" t="n"/>
      <c r="H221" s="38" t="n"/>
      <c r="I221" s="38" t="n"/>
      <c r="J221" s="38" t="n"/>
      <c r="K221" s="38" t="n"/>
      <c r="L221" s="42" t="n"/>
      <c r="M221" s="38" t="n"/>
      <c r="N221" s="38" t="n"/>
      <c r="O221" s="38" t="n"/>
    </row>
    <row r="222" ht="21" customHeight="1">
      <c r="A222" s="38" t="n"/>
      <c r="B222" s="38" t="n"/>
      <c r="C222" s="38" t="n"/>
      <c r="D222" s="38" t="n"/>
      <c r="E222" s="42" t="n"/>
      <c r="F222" s="42" t="n"/>
      <c r="G222" s="38" t="n"/>
      <c r="H222" s="38" t="n"/>
      <c r="I222" s="38" t="n"/>
      <c r="J222" s="38" t="n"/>
      <c r="K222" s="38" t="n"/>
      <c r="L222" s="42" t="n"/>
      <c r="M222" s="38" t="n"/>
      <c r="N222" s="38" t="n"/>
      <c r="O222" s="38" t="n"/>
    </row>
    <row r="223" ht="21" customHeight="1">
      <c r="A223" s="38" t="n"/>
      <c r="B223" s="38" t="n"/>
      <c r="C223" s="38" t="n"/>
      <c r="D223" s="38" t="n"/>
      <c r="E223" s="42" t="n"/>
      <c r="F223" s="42" t="n"/>
      <c r="G223" s="38" t="n"/>
      <c r="H223" s="38" t="n"/>
      <c r="I223" s="38" t="n"/>
      <c r="J223" s="38" t="n"/>
      <c r="K223" s="38" t="n"/>
      <c r="L223" s="42" t="n"/>
      <c r="M223" s="38" t="n"/>
      <c r="N223" s="38" t="n"/>
      <c r="O223" s="38" t="n"/>
    </row>
    <row r="224" ht="21" customHeight="1">
      <c r="A224" s="38" t="n"/>
      <c r="B224" s="38" t="n"/>
      <c r="C224" s="38" t="n"/>
      <c r="D224" s="38" t="n"/>
      <c r="E224" s="42" t="n"/>
      <c r="F224" s="42" t="n"/>
      <c r="G224" s="38" t="n"/>
      <c r="H224" s="38" t="n"/>
      <c r="I224" s="38" t="n"/>
      <c r="J224" s="38" t="n"/>
      <c r="K224" s="38" t="n"/>
      <c r="L224" s="42" t="n"/>
      <c r="M224" s="38" t="n"/>
      <c r="N224" s="38" t="n"/>
      <c r="O224" s="38" t="n"/>
    </row>
    <row r="225" ht="21" customHeight="1">
      <c r="A225" s="38" t="n"/>
      <c r="B225" s="38" t="n"/>
      <c r="C225" s="38" t="n"/>
      <c r="D225" s="38" t="n"/>
      <c r="E225" s="42" t="n"/>
      <c r="F225" s="42" t="n"/>
      <c r="G225" s="38" t="n"/>
      <c r="H225" s="38" t="n"/>
      <c r="I225" s="38" t="n"/>
      <c r="J225" s="38" t="n"/>
      <c r="K225" s="38" t="n"/>
      <c r="L225" s="42" t="n"/>
      <c r="M225" s="38" t="n"/>
      <c r="N225" s="38" t="n"/>
      <c r="O225" s="38" t="n"/>
    </row>
    <row r="226" ht="21" customHeight="1">
      <c r="A226" s="38" t="n"/>
      <c r="B226" s="38" t="n"/>
      <c r="C226" s="38" t="n"/>
      <c r="D226" s="38" t="n"/>
      <c r="E226" s="42" t="n"/>
      <c r="F226" s="42" t="n"/>
      <c r="G226" s="38" t="n"/>
      <c r="H226" s="38" t="n"/>
      <c r="I226" s="38" t="n"/>
      <c r="J226" s="38" t="n"/>
      <c r="K226" s="38" t="n"/>
      <c r="L226" s="42" t="n"/>
      <c r="M226" s="38" t="n"/>
      <c r="N226" s="38" t="n"/>
      <c r="O226" s="38" t="n"/>
    </row>
    <row r="227" ht="21" customHeight="1">
      <c r="A227" s="38" t="n"/>
      <c r="B227" s="38" t="n"/>
      <c r="C227" s="38" t="n"/>
      <c r="D227" s="38" t="n"/>
      <c r="E227" s="42" t="n"/>
      <c r="F227" s="42" t="n"/>
      <c r="G227" s="38" t="n"/>
      <c r="H227" s="38" t="n"/>
      <c r="I227" s="38" t="n"/>
      <c r="J227" s="38" t="n"/>
      <c r="K227" s="38" t="n"/>
      <c r="L227" s="42" t="n"/>
      <c r="M227" s="38" t="n"/>
      <c r="N227" s="38" t="n"/>
      <c r="O227" s="38" t="n"/>
    </row>
    <row r="228" ht="21" customHeight="1">
      <c r="A228" s="38" t="n"/>
      <c r="B228" s="38" t="n"/>
      <c r="C228" s="38" t="n"/>
      <c r="D228" s="38" t="n"/>
      <c r="E228" s="42" t="n"/>
      <c r="F228" s="42" t="n"/>
      <c r="G228" s="38" t="n"/>
      <c r="H228" s="38" t="n"/>
      <c r="I228" s="38" t="n"/>
      <c r="J228" s="38" t="n"/>
      <c r="K228" s="38" t="n"/>
      <c r="L228" s="42" t="n"/>
      <c r="M228" s="38" t="n"/>
      <c r="N228" s="38" t="n"/>
      <c r="O228" s="38" t="n"/>
    </row>
    <row r="229" ht="21" customHeight="1">
      <c r="A229" s="38" t="n"/>
      <c r="B229" s="38" t="n"/>
      <c r="C229" s="38" t="n"/>
      <c r="D229" s="38" t="n"/>
      <c r="E229" s="42" t="n"/>
      <c r="F229" s="42" t="n"/>
      <c r="G229" s="38" t="n"/>
      <c r="H229" s="38" t="n"/>
      <c r="I229" s="38" t="n"/>
      <c r="J229" s="38" t="n"/>
      <c r="K229" s="38" t="n"/>
      <c r="L229" s="42" t="n"/>
      <c r="M229" s="38" t="n"/>
      <c r="N229" s="38" t="n"/>
      <c r="O229" s="38" t="n"/>
    </row>
    <row r="230" ht="21" customHeight="1">
      <c r="A230" s="38" t="n"/>
      <c r="B230" s="38" t="n"/>
      <c r="C230" s="38" t="n"/>
      <c r="D230" s="38" t="n"/>
      <c r="E230" s="42" t="n"/>
      <c r="F230" s="42" t="n"/>
      <c r="G230" s="38" t="n"/>
      <c r="H230" s="38" t="n"/>
      <c r="I230" s="38" t="n"/>
      <c r="J230" s="38" t="n"/>
      <c r="K230" s="38" t="n"/>
      <c r="L230" s="42" t="n"/>
      <c r="M230" s="38" t="n"/>
      <c r="N230" s="38" t="n"/>
      <c r="O230" s="38" t="n"/>
    </row>
    <row r="231" ht="21" customHeight="1">
      <c r="A231" s="38" t="n"/>
      <c r="B231" s="38" t="n"/>
      <c r="C231" s="38" t="n"/>
      <c r="D231" s="38" t="n"/>
      <c r="E231" s="42" t="n"/>
      <c r="F231" s="42" t="n"/>
      <c r="G231" s="38" t="n"/>
      <c r="H231" s="38" t="n"/>
      <c r="I231" s="38" t="n"/>
      <c r="J231" s="38" t="n"/>
      <c r="K231" s="38" t="n"/>
      <c r="L231" s="42" t="n"/>
      <c r="M231" s="38" t="n"/>
      <c r="N231" s="38" t="n"/>
      <c r="O231" s="38" t="n"/>
    </row>
    <row r="232" ht="21" customHeight="1">
      <c r="A232" s="38" t="n"/>
      <c r="B232" s="38" t="n"/>
      <c r="C232" s="38" t="n"/>
      <c r="D232" s="38" t="n"/>
      <c r="E232" s="42" t="n"/>
      <c r="F232" s="42" t="n"/>
      <c r="G232" s="38" t="n"/>
      <c r="H232" s="38" t="n"/>
      <c r="I232" s="38" t="n"/>
      <c r="J232" s="38" t="n"/>
      <c r="K232" s="38" t="n"/>
      <c r="L232" s="42" t="n"/>
      <c r="M232" s="38" t="n"/>
      <c r="N232" s="38" t="n"/>
      <c r="O232" s="38" t="n"/>
    </row>
    <row r="233" ht="21" customHeight="1">
      <c r="A233" s="38" t="n"/>
      <c r="B233" s="38" t="n"/>
      <c r="C233" s="38" t="n"/>
      <c r="D233" s="38" t="n"/>
      <c r="E233" s="42" t="n"/>
      <c r="F233" s="42" t="n"/>
      <c r="G233" s="38" t="n"/>
      <c r="H233" s="38" t="n"/>
      <c r="I233" s="38" t="n"/>
      <c r="J233" s="38" t="n"/>
      <c r="K233" s="38" t="n"/>
      <c r="L233" s="42" t="n"/>
      <c r="M233" s="38" t="n"/>
      <c r="N233" s="38" t="n"/>
      <c r="O233" s="38" t="n"/>
    </row>
    <row r="234" ht="21" customHeight="1">
      <c r="A234" s="38" t="n"/>
      <c r="B234" s="38" t="n"/>
      <c r="C234" s="38" t="n"/>
      <c r="D234" s="38" t="n"/>
      <c r="E234" s="42" t="n"/>
      <c r="F234" s="42" t="n"/>
      <c r="G234" s="38" t="n"/>
      <c r="H234" s="38" t="n"/>
      <c r="I234" s="38" t="n"/>
      <c r="J234" s="38" t="n"/>
      <c r="K234" s="38" t="n"/>
      <c r="L234" s="42" t="n"/>
      <c r="M234" s="38" t="n"/>
      <c r="N234" s="38" t="n"/>
      <c r="O234" s="38" t="n"/>
    </row>
    <row r="235" ht="21" customHeight="1">
      <c r="A235" s="38" t="n"/>
      <c r="B235" s="38" t="n"/>
      <c r="C235" s="38" t="n"/>
      <c r="D235" s="38" t="n"/>
      <c r="E235" s="42" t="n"/>
      <c r="F235" s="42" t="n"/>
      <c r="G235" s="38" t="n"/>
      <c r="H235" s="38" t="n"/>
      <c r="I235" s="38" t="n"/>
      <c r="J235" s="38" t="n"/>
      <c r="K235" s="38" t="n"/>
      <c r="L235" s="42" t="n"/>
      <c r="M235" s="38" t="n"/>
      <c r="N235" s="38" t="n"/>
      <c r="O235" s="38" t="n"/>
    </row>
    <row r="236" ht="21" customHeight="1">
      <c r="A236" s="38" t="n"/>
      <c r="B236" s="38" t="n"/>
      <c r="C236" s="38" t="n"/>
      <c r="D236" s="38" t="n"/>
      <c r="E236" s="42" t="n"/>
      <c r="F236" s="42" t="n"/>
      <c r="G236" s="38" t="n"/>
      <c r="H236" s="38" t="n"/>
      <c r="I236" s="38" t="n"/>
      <c r="J236" s="38" t="n"/>
      <c r="K236" s="38" t="n"/>
      <c r="L236" s="42" t="n"/>
      <c r="M236" s="38" t="n"/>
      <c r="N236" s="38" t="n"/>
      <c r="O236" s="38" t="n"/>
    </row>
    <row r="237" ht="21" customHeight="1">
      <c r="A237" s="38" t="n"/>
      <c r="B237" s="38" t="n"/>
      <c r="C237" s="38" t="n"/>
      <c r="D237" s="38" t="n"/>
      <c r="E237" s="42" t="n"/>
      <c r="F237" s="42" t="n"/>
      <c r="G237" s="38" t="n"/>
      <c r="H237" s="38" t="n"/>
      <c r="I237" s="38" t="n"/>
      <c r="J237" s="38" t="n"/>
      <c r="K237" s="38" t="n"/>
      <c r="L237" s="42" t="n"/>
      <c r="M237" s="38" t="n"/>
      <c r="N237" s="38" t="n"/>
      <c r="O237" s="38" t="n"/>
    </row>
    <row r="238" ht="21" customHeight="1">
      <c r="A238" s="38" t="n"/>
      <c r="B238" s="38" t="n"/>
      <c r="C238" s="38" t="n"/>
      <c r="D238" s="38" t="n"/>
      <c r="E238" s="42" t="n"/>
      <c r="F238" s="42" t="n"/>
      <c r="G238" s="38" t="n"/>
      <c r="H238" s="38" t="n"/>
      <c r="I238" s="38" t="n"/>
      <c r="J238" s="38" t="n"/>
      <c r="K238" s="38" t="n"/>
      <c r="L238" s="42" t="n"/>
      <c r="M238" s="38" t="n"/>
      <c r="N238" s="38" t="n"/>
      <c r="O238" s="38" t="n"/>
    </row>
    <row r="239" ht="21" customHeight="1">
      <c r="A239" s="38" t="n"/>
      <c r="B239" s="38" t="n"/>
      <c r="C239" s="38" t="n"/>
      <c r="D239" s="38" t="n"/>
      <c r="E239" s="42" t="n"/>
      <c r="F239" s="42" t="n"/>
      <c r="G239" s="38" t="n"/>
      <c r="H239" s="38" t="n"/>
      <c r="I239" s="38" t="n"/>
      <c r="J239" s="38" t="n"/>
      <c r="K239" s="38" t="n"/>
      <c r="L239" s="42" t="n"/>
      <c r="M239" s="38" t="n"/>
      <c r="N239" s="38" t="n"/>
      <c r="O239" s="38" t="n"/>
    </row>
    <row r="240" ht="21" customHeight="1">
      <c r="A240" s="38" t="n"/>
      <c r="B240" s="38" t="n"/>
      <c r="C240" s="38" t="n"/>
      <c r="D240" s="38" t="n"/>
      <c r="E240" s="42" t="n"/>
      <c r="F240" s="42" t="n"/>
      <c r="G240" s="38" t="n"/>
      <c r="H240" s="38" t="n"/>
      <c r="I240" s="38" t="n"/>
      <c r="J240" s="38" t="n"/>
      <c r="K240" s="38" t="n"/>
      <c r="L240" s="42" t="n"/>
      <c r="M240" s="38" t="n"/>
      <c r="N240" s="38" t="n"/>
      <c r="O240" s="38" t="n"/>
    </row>
    <row r="241" ht="21" customHeight="1">
      <c r="A241" s="38" t="n"/>
      <c r="B241" s="38" t="n"/>
      <c r="C241" s="38" t="n"/>
      <c r="D241" s="38" t="n"/>
      <c r="E241" s="42" t="n"/>
      <c r="F241" s="42" t="n"/>
      <c r="G241" s="38" t="n"/>
      <c r="H241" s="38" t="n"/>
      <c r="I241" s="38" t="n"/>
      <c r="J241" s="38" t="n"/>
      <c r="K241" s="38" t="n"/>
      <c r="L241" s="42" t="n"/>
      <c r="M241" s="38" t="n"/>
      <c r="N241" s="38" t="n"/>
      <c r="O241" s="38" t="n"/>
    </row>
    <row r="242" ht="21" customHeight="1">
      <c r="A242" s="38" t="n"/>
      <c r="B242" s="38" t="n"/>
      <c r="C242" s="38" t="n"/>
      <c r="D242" s="38" t="n"/>
      <c r="E242" s="42" t="n"/>
      <c r="F242" s="42" t="n"/>
      <c r="G242" s="38" t="n"/>
      <c r="H242" s="38" t="n"/>
      <c r="I242" s="38" t="n"/>
      <c r="J242" s="38" t="n"/>
      <c r="K242" s="38" t="n"/>
      <c r="L242" s="42" t="n"/>
      <c r="M242" s="38" t="n"/>
      <c r="N242" s="38" t="n"/>
      <c r="O242" s="38" t="n"/>
    </row>
    <row r="243" ht="21" customHeight="1">
      <c r="A243" s="38" t="n"/>
      <c r="B243" s="38" t="n"/>
      <c r="C243" s="38" t="n"/>
      <c r="D243" s="38" t="n"/>
      <c r="E243" s="42" t="n"/>
      <c r="F243" s="42" t="n"/>
      <c r="G243" s="38" t="n"/>
      <c r="H243" s="38" t="n"/>
      <c r="I243" s="38" t="n"/>
      <c r="J243" s="38" t="n"/>
      <c r="K243" s="38" t="n"/>
      <c r="L243" s="42" t="n"/>
      <c r="M243" s="38" t="n"/>
      <c r="N243" s="38" t="n"/>
      <c r="O243" s="38" t="n"/>
    </row>
    <row r="244" ht="21" customHeight="1">
      <c r="A244" s="38" t="n"/>
      <c r="B244" s="38" t="n"/>
      <c r="C244" s="38" t="n"/>
      <c r="D244" s="38" t="n"/>
      <c r="E244" s="42" t="n"/>
      <c r="F244" s="42" t="n"/>
      <c r="G244" s="38" t="n"/>
      <c r="H244" s="38" t="n"/>
      <c r="I244" s="38" t="n"/>
      <c r="J244" s="38" t="n"/>
      <c r="K244" s="38" t="n"/>
      <c r="L244" s="42" t="n"/>
      <c r="M244" s="38" t="n"/>
      <c r="N244" s="38" t="n"/>
      <c r="O244" s="38" t="n"/>
    </row>
    <row r="245" ht="21" customHeight="1">
      <c r="A245" s="38" t="n"/>
      <c r="B245" s="38" t="n"/>
      <c r="C245" s="38" t="n"/>
      <c r="D245" s="38" t="n"/>
      <c r="E245" s="42" t="n"/>
      <c r="F245" s="42" t="n"/>
      <c r="G245" s="38" t="n"/>
      <c r="H245" s="38" t="n"/>
      <c r="I245" s="38" t="n"/>
      <c r="J245" s="38" t="n"/>
      <c r="K245" s="38" t="n"/>
      <c r="L245" s="42" t="n"/>
      <c r="M245" s="38" t="n"/>
      <c r="N245" s="38" t="n"/>
      <c r="O245" s="38" t="n"/>
    </row>
    <row r="246" ht="21" customHeight="1">
      <c r="A246" s="38" t="n"/>
      <c r="B246" s="38" t="n"/>
      <c r="C246" s="38" t="n"/>
      <c r="D246" s="38" t="n"/>
      <c r="E246" s="42" t="n"/>
      <c r="F246" s="42" t="n"/>
      <c r="G246" s="38" t="n"/>
      <c r="H246" s="38" t="n"/>
      <c r="I246" s="38" t="n"/>
      <c r="J246" s="38" t="n"/>
      <c r="K246" s="38" t="n"/>
      <c r="L246" s="42" t="n"/>
      <c r="M246" s="38" t="n"/>
      <c r="N246" s="38" t="n"/>
      <c r="O246" s="38" t="n"/>
    </row>
    <row r="247" ht="21" customHeight="1">
      <c r="A247" s="38" t="n"/>
      <c r="B247" s="38" t="n"/>
      <c r="C247" s="38" t="n"/>
      <c r="D247" s="38" t="n"/>
      <c r="E247" s="42" t="n"/>
      <c r="F247" s="42" t="n"/>
      <c r="G247" s="38" t="n"/>
      <c r="H247" s="38" t="n"/>
      <c r="I247" s="38" t="n"/>
      <c r="J247" s="38" t="n"/>
      <c r="K247" s="38" t="n"/>
      <c r="L247" s="42" t="n"/>
      <c r="M247" s="38" t="n"/>
      <c r="N247" s="38" t="n"/>
      <c r="O247" s="38" t="n"/>
    </row>
    <row r="248" ht="21" customHeight="1">
      <c r="A248" s="38" t="n"/>
      <c r="B248" s="38" t="n"/>
      <c r="C248" s="38" t="n"/>
      <c r="D248" s="38" t="n"/>
      <c r="E248" s="42" t="n"/>
      <c r="F248" s="42" t="n"/>
      <c r="G248" s="38" t="n"/>
      <c r="H248" s="38" t="n"/>
      <c r="I248" s="38" t="n"/>
      <c r="J248" s="38" t="n"/>
      <c r="K248" s="38" t="n"/>
      <c r="L248" s="42" t="n"/>
      <c r="M248" s="38" t="n"/>
      <c r="N248" s="38" t="n"/>
      <c r="O248" s="38" t="n"/>
    </row>
    <row r="249" ht="21" customHeight="1">
      <c r="A249" s="38" t="n"/>
      <c r="B249" s="38" t="n"/>
      <c r="C249" s="38" t="n"/>
      <c r="D249" s="38" t="n"/>
      <c r="E249" s="42" t="n"/>
      <c r="F249" s="42" t="n"/>
      <c r="G249" s="38" t="n"/>
      <c r="H249" s="38" t="n"/>
      <c r="I249" s="38" t="n"/>
      <c r="J249" s="38" t="n"/>
      <c r="K249" s="38" t="n"/>
      <c r="L249" s="42" t="n"/>
      <c r="M249" s="38" t="n"/>
      <c r="N249" s="38" t="n"/>
      <c r="O249" s="38" t="n"/>
    </row>
    <row r="250" ht="21" customHeight="1">
      <c r="A250" s="38" t="n"/>
      <c r="B250" s="38" t="n"/>
      <c r="C250" s="38" t="n"/>
      <c r="D250" s="38" t="n"/>
      <c r="E250" s="42" t="n"/>
      <c r="F250" s="42" t="n"/>
      <c r="G250" s="38" t="n"/>
      <c r="H250" s="38" t="n"/>
      <c r="I250" s="38" t="n"/>
      <c r="J250" s="38" t="n"/>
      <c r="K250" s="38" t="n"/>
      <c r="L250" s="42" t="n"/>
      <c r="M250" s="38" t="n"/>
      <c r="N250" s="38" t="n"/>
      <c r="O250" s="38" t="n"/>
    </row>
    <row r="251" ht="21" customHeight="1">
      <c r="A251" s="38" t="n"/>
      <c r="B251" s="38" t="n"/>
      <c r="C251" s="38" t="n"/>
      <c r="D251" s="38" t="n"/>
      <c r="E251" s="42" t="n"/>
      <c r="F251" s="42" t="n"/>
      <c r="G251" s="38" t="n"/>
      <c r="H251" s="38" t="n"/>
      <c r="I251" s="38" t="n"/>
      <c r="J251" s="38" t="n"/>
      <c r="K251" s="38" t="n"/>
      <c r="L251" s="42" t="n"/>
      <c r="M251" s="38" t="n"/>
      <c r="N251" s="38" t="n"/>
      <c r="O251" s="38" t="n"/>
    </row>
    <row r="252" ht="21" customHeight="1">
      <c r="A252" s="38" t="n"/>
      <c r="B252" s="38" t="n"/>
      <c r="C252" s="38" t="n"/>
      <c r="D252" s="38" t="n"/>
      <c r="E252" s="42" t="n"/>
      <c r="F252" s="42" t="n"/>
      <c r="G252" s="38" t="n"/>
      <c r="H252" s="38" t="n"/>
      <c r="I252" s="38" t="n"/>
      <c r="J252" s="38" t="n"/>
      <c r="K252" s="38" t="n"/>
      <c r="L252" s="42" t="n"/>
      <c r="M252" s="38" t="n"/>
      <c r="N252" s="38" t="n"/>
      <c r="O252" s="38" t="n"/>
    </row>
    <row r="253" ht="21" customHeight="1">
      <c r="A253" s="38" t="n"/>
      <c r="B253" s="38" t="n"/>
      <c r="C253" s="38" t="n"/>
      <c r="D253" s="38" t="n"/>
      <c r="E253" s="42" t="n"/>
      <c r="F253" s="42" t="n"/>
      <c r="G253" s="38" t="n"/>
      <c r="H253" s="38" t="n"/>
      <c r="I253" s="38" t="n"/>
      <c r="J253" s="38" t="n"/>
      <c r="K253" s="38" t="n"/>
      <c r="L253" s="42" t="n"/>
      <c r="M253" s="38" t="n"/>
      <c r="N253" s="38" t="n"/>
      <c r="O253" s="38" t="n"/>
    </row>
    <row r="254" ht="21" customHeight="1">
      <c r="A254" s="38" t="n"/>
      <c r="B254" s="38" t="n"/>
      <c r="C254" s="38" t="n"/>
      <c r="D254" s="38" t="n"/>
      <c r="E254" s="42" t="n"/>
      <c r="F254" s="42" t="n"/>
      <c r="G254" s="38" t="n"/>
      <c r="H254" s="38" t="n"/>
      <c r="I254" s="38" t="n"/>
      <c r="J254" s="38" t="n"/>
      <c r="K254" s="38" t="n"/>
      <c r="L254" s="42" t="n"/>
      <c r="M254" s="38" t="n"/>
      <c r="N254" s="38" t="n"/>
      <c r="O254" s="38" t="n"/>
    </row>
    <row r="255" ht="21" customHeight="1">
      <c r="A255" s="38" t="n"/>
      <c r="B255" s="38" t="n"/>
      <c r="C255" s="38" t="n"/>
      <c r="D255" s="38" t="n"/>
      <c r="E255" s="42" t="n"/>
      <c r="F255" s="42" t="n"/>
      <c r="G255" s="38" t="n"/>
      <c r="H255" s="38" t="n"/>
      <c r="I255" s="38" t="n"/>
      <c r="J255" s="38" t="n"/>
      <c r="K255" s="38" t="n"/>
      <c r="L255" s="42" t="n"/>
      <c r="M255" s="38" t="n"/>
      <c r="N255" s="38" t="n"/>
      <c r="O255" s="38" t="n"/>
    </row>
    <row r="256" ht="21" customHeight="1">
      <c r="A256" s="38" t="n"/>
      <c r="B256" s="38" t="n"/>
      <c r="C256" s="38" t="n"/>
      <c r="D256" s="38" t="n"/>
      <c r="E256" s="42" t="n"/>
      <c r="F256" s="42" t="n"/>
      <c r="G256" s="38" t="n"/>
      <c r="H256" s="38" t="n"/>
      <c r="I256" s="38" t="n"/>
      <c r="J256" s="38" t="n"/>
      <c r="K256" s="38" t="n"/>
      <c r="L256" s="42" t="n"/>
      <c r="M256" s="38" t="n"/>
      <c r="N256" s="38" t="n"/>
      <c r="O256" s="38" t="n"/>
    </row>
    <row r="257" ht="21" customHeight="1">
      <c r="A257" s="38" t="n"/>
      <c r="B257" s="38" t="n"/>
      <c r="C257" s="38" t="n"/>
      <c r="D257" s="38" t="n"/>
      <c r="E257" s="42" t="n"/>
      <c r="F257" s="42" t="n"/>
      <c r="G257" s="38" t="n"/>
      <c r="H257" s="38" t="n"/>
      <c r="I257" s="38" t="n"/>
      <c r="J257" s="38" t="n"/>
      <c r="K257" s="38" t="n"/>
      <c r="L257" s="42" t="n"/>
      <c r="M257" s="38" t="n"/>
      <c r="N257" s="38" t="n"/>
      <c r="O257" s="38" t="n"/>
    </row>
    <row r="258" ht="21" customHeight="1">
      <c r="A258" s="38" t="n"/>
      <c r="B258" s="38" t="n"/>
      <c r="C258" s="38" t="n"/>
      <c r="D258" s="38" t="n"/>
      <c r="E258" s="42" t="n"/>
      <c r="F258" s="42" t="n"/>
      <c r="G258" s="38" t="n"/>
      <c r="H258" s="38" t="n"/>
      <c r="I258" s="38" t="n"/>
      <c r="J258" s="38" t="n"/>
      <c r="K258" s="38" t="n"/>
      <c r="L258" s="42" t="n"/>
      <c r="M258" s="38" t="n"/>
      <c r="N258" s="38" t="n"/>
      <c r="O258" s="38" t="n"/>
    </row>
    <row r="259" ht="21" customHeight="1">
      <c r="A259" s="38" t="n"/>
      <c r="B259" s="38" t="n"/>
      <c r="C259" s="38" t="n"/>
      <c r="D259" s="38" t="n"/>
      <c r="E259" s="42" t="n"/>
      <c r="F259" s="42" t="n"/>
      <c r="G259" s="38" t="n"/>
      <c r="H259" s="38" t="n"/>
      <c r="I259" s="38" t="n"/>
      <c r="J259" s="38" t="n"/>
      <c r="K259" s="38" t="n"/>
      <c r="L259" s="42" t="n"/>
      <c r="M259" s="38" t="n"/>
      <c r="N259" s="38" t="n"/>
      <c r="O259" s="38" t="n"/>
    </row>
    <row r="260" ht="21" customHeight="1">
      <c r="A260" s="38" t="n"/>
      <c r="B260" s="38" t="n"/>
      <c r="C260" s="38" t="n"/>
      <c r="D260" s="38" t="n"/>
      <c r="E260" s="42" t="n"/>
      <c r="F260" s="42" t="n"/>
      <c r="G260" s="38" t="n"/>
      <c r="H260" s="38" t="n"/>
      <c r="I260" s="38" t="n"/>
      <c r="J260" s="38" t="n"/>
      <c r="K260" s="38" t="n"/>
      <c r="L260" s="42" t="n"/>
      <c r="M260" s="38" t="n"/>
      <c r="N260" s="38" t="n"/>
      <c r="O260" s="38" t="n"/>
    </row>
    <row r="261" ht="21" customHeight="1">
      <c r="A261" s="38" t="n"/>
      <c r="B261" s="38" t="n"/>
      <c r="C261" s="38" t="n"/>
      <c r="D261" s="38" t="n"/>
      <c r="E261" s="42" t="n"/>
      <c r="F261" s="42" t="n"/>
      <c r="G261" s="38" t="n"/>
      <c r="H261" s="38" t="n"/>
      <c r="I261" s="38" t="n"/>
      <c r="J261" s="38" t="n"/>
      <c r="K261" s="38" t="n"/>
      <c r="L261" s="42" t="n"/>
      <c r="M261" s="38" t="n"/>
      <c r="N261" s="38" t="n"/>
      <c r="O261" s="38" t="n"/>
    </row>
    <row r="262" ht="21" customHeight="1">
      <c r="A262" s="38" t="n"/>
      <c r="B262" s="38" t="n"/>
      <c r="C262" s="38" t="n"/>
      <c r="D262" s="38" t="n"/>
      <c r="E262" s="42" t="n"/>
      <c r="F262" s="42" t="n"/>
      <c r="G262" s="38" t="n"/>
      <c r="H262" s="38" t="n"/>
      <c r="I262" s="38" t="n"/>
      <c r="J262" s="38" t="n"/>
      <c r="K262" s="38" t="n"/>
      <c r="L262" s="42" t="n"/>
      <c r="M262" s="38" t="n"/>
      <c r="N262" s="38" t="n"/>
      <c r="O262" s="38" t="n"/>
    </row>
    <row r="263" ht="21" customHeight="1">
      <c r="A263" s="38" t="n"/>
      <c r="B263" s="38" t="n"/>
      <c r="C263" s="38" t="n"/>
      <c r="D263" s="38" t="n"/>
      <c r="E263" s="42" t="n"/>
      <c r="F263" s="42" t="n"/>
      <c r="G263" s="38" t="n"/>
      <c r="H263" s="38" t="n"/>
      <c r="I263" s="38" t="n"/>
      <c r="J263" s="38" t="n"/>
      <c r="K263" s="38" t="n"/>
      <c r="L263" s="42" t="n"/>
      <c r="M263" s="38" t="n"/>
      <c r="N263" s="38" t="n"/>
      <c r="O263" s="38" t="n"/>
    </row>
    <row r="264" ht="21" customHeight="1">
      <c r="A264" s="38" t="n"/>
      <c r="B264" s="38" t="n"/>
      <c r="C264" s="38" t="n"/>
      <c r="D264" s="38" t="n"/>
      <c r="E264" s="42" t="n"/>
      <c r="F264" s="42" t="n"/>
      <c r="G264" s="38" t="n"/>
      <c r="H264" s="38" t="n"/>
      <c r="I264" s="38" t="n"/>
      <c r="J264" s="38" t="n"/>
      <c r="K264" s="38" t="n"/>
      <c r="L264" s="42" t="n"/>
      <c r="M264" s="38" t="n"/>
      <c r="N264" s="38" t="n"/>
      <c r="O264" s="38" t="n"/>
    </row>
    <row r="265" ht="21" customHeight="1">
      <c r="A265" s="38" t="n"/>
      <c r="B265" s="38" t="n"/>
      <c r="C265" s="38" t="n"/>
      <c r="D265" s="38" t="n"/>
      <c r="E265" s="42" t="n"/>
      <c r="F265" s="42" t="n"/>
      <c r="G265" s="38" t="n"/>
      <c r="H265" s="38" t="n"/>
      <c r="I265" s="38" t="n"/>
      <c r="J265" s="38" t="n"/>
      <c r="K265" s="38" t="n"/>
      <c r="L265" s="42" t="n"/>
      <c r="M265" s="38" t="n"/>
      <c r="N265" s="38" t="n"/>
      <c r="O265" s="38" t="n"/>
    </row>
    <row r="266" ht="21" customHeight="1">
      <c r="A266" s="38" t="n"/>
      <c r="B266" s="38" t="n"/>
      <c r="C266" s="38" t="n"/>
      <c r="D266" s="38" t="n"/>
      <c r="E266" s="42" t="n"/>
      <c r="F266" s="42" t="n"/>
      <c r="G266" s="38" t="n"/>
      <c r="H266" s="38" t="n"/>
      <c r="I266" s="38" t="n"/>
      <c r="J266" s="38" t="n"/>
      <c r="K266" s="38" t="n"/>
      <c r="L266" s="42" t="n"/>
      <c r="M266" s="38" t="n"/>
      <c r="N266" s="38" t="n"/>
      <c r="O266" s="38" t="n"/>
    </row>
    <row r="267" ht="21" customHeight="1">
      <c r="A267" s="38" t="n"/>
      <c r="B267" s="38" t="n"/>
      <c r="C267" s="38" t="n"/>
      <c r="D267" s="38" t="n"/>
      <c r="E267" s="42" t="n"/>
      <c r="F267" s="42" t="n"/>
      <c r="G267" s="38" t="n"/>
      <c r="H267" s="38" t="n"/>
      <c r="I267" s="38" t="n"/>
      <c r="J267" s="38" t="n"/>
      <c r="K267" s="38" t="n"/>
      <c r="L267" s="42" t="n"/>
      <c r="M267" s="38" t="n"/>
      <c r="N267" s="38" t="n"/>
      <c r="O267" s="38" t="n"/>
    </row>
    <row r="268" ht="21" customHeight="1">
      <c r="A268" s="38" t="n"/>
      <c r="B268" s="38" t="n"/>
      <c r="C268" s="38" t="n"/>
      <c r="D268" s="38" t="n"/>
      <c r="E268" s="42" t="n"/>
      <c r="F268" s="42" t="n"/>
      <c r="G268" s="38" t="n"/>
      <c r="H268" s="38" t="n"/>
      <c r="I268" s="38" t="n"/>
      <c r="J268" s="38" t="n"/>
      <c r="K268" s="38" t="n"/>
      <c r="L268" s="42" t="n"/>
      <c r="M268" s="38" t="n"/>
      <c r="N268" s="38" t="n"/>
      <c r="O268" s="38" t="n"/>
    </row>
    <row r="269" ht="21" customHeight="1">
      <c r="A269" s="38" t="n"/>
      <c r="B269" s="38" t="n"/>
      <c r="C269" s="38" t="n"/>
      <c r="D269" s="38" t="n"/>
      <c r="E269" s="42" t="n"/>
      <c r="F269" s="42" t="n"/>
      <c r="G269" s="38" t="n"/>
      <c r="H269" s="38" t="n"/>
      <c r="I269" s="38" t="n"/>
      <c r="J269" s="38" t="n"/>
      <c r="K269" s="38" t="n"/>
      <c r="L269" s="42" t="n"/>
      <c r="M269" s="38" t="n"/>
      <c r="N269" s="38" t="n"/>
      <c r="O269" s="38" t="n"/>
    </row>
    <row r="270" ht="21" customHeight="1">
      <c r="A270" s="38" t="n"/>
      <c r="B270" s="38" t="n"/>
      <c r="C270" s="38" t="n"/>
      <c r="D270" s="38" t="n"/>
      <c r="E270" s="42" t="n"/>
      <c r="F270" s="42" t="n"/>
      <c r="G270" s="38" t="n"/>
      <c r="H270" s="38" t="n"/>
      <c r="I270" s="38" t="n"/>
      <c r="J270" s="38" t="n"/>
      <c r="K270" s="38" t="n"/>
      <c r="L270" s="42" t="n"/>
      <c r="M270" s="38" t="n"/>
      <c r="N270" s="38" t="n"/>
      <c r="O270" s="38" t="n"/>
    </row>
    <row r="271" ht="21" customHeight="1">
      <c r="A271" s="38" t="n"/>
      <c r="B271" s="38" t="n"/>
      <c r="C271" s="38" t="n"/>
      <c r="D271" s="38" t="n"/>
      <c r="E271" s="42" t="n"/>
      <c r="F271" s="42" t="n"/>
      <c r="G271" s="38" t="n"/>
      <c r="H271" s="38" t="n"/>
      <c r="I271" s="38" t="n"/>
      <c r="J271" s="38" t="n"/>
      <c r="K271" s="38" t="n"/>
      <c r="L271" s="42" t="n"/>
      <c r="M271" s="38" t="n"/>
      <c r="N271" s="38" t="n"/>
      <c r="O271" s="38" t="n"/>
    </row>
    <row r="272" ht="21" customHeight="1">
      <c r="A272" s="38" t="n"/>
      <c r="B272" s="38" t="n"/>
      <c r="C272" s="38" t="n"/>
      <c r="D272" s="38" t="n"/>
      <c r="E272" s="42" t="n"/>
      <c r="F272" s="42" t="n"/>
      <c r="G272" s="38" t="n"/>
      <c r="H272" s="38" t="n"/>
      <c r="I272" s="38" t="n"/>
      <c r="J272" s="38" t="n"/>
      <c r="K272" s="38" t="n"/>
      <c r="L272" s="42" t="n"/>
      <c r="M272" s="38" t="n"/>
      <c r="N272" s="38" t="n"/>
      <c r="O272" s="38" t="n"/>
    </row>
    <row r="273" ht="21" customHeight="1">
      <c r="A273" s="38" t="n"/>
      <c r="B273" s="38" t="n"/>
      <c r="C273" s="38" t="n"/>
      <c r="D273" s="38" t="n"/>
      <c r="E273" s="42" t="n"/>
      <c r="F273" s="42" t="n"/>
      <c r="G273" s="38" t="n"/>
      <c r="H273" s="38" t="n"/>
      <c r="I273" s="38" t="n"/>
      <c r="J273" s="38" t="n"/>
      <c r="K273" s="38" t="n"/>
      <c r="L273" s="42" t="n"/>
      <c r="M273" s="38" t="n"/>
      <c r="N273" s="38" t="n"/>
      <c r="O273" s="38" t="n"/>
    </row>
    <row r="274" ht="21" customHeight="1">
      <c r="A274" s="38" t="n"/>
      <c r="B274" s="38" t="n"/>
      <c r="C274" s="38" t="n"/>
      <c r="D274" s="38" t="n"/>
      <c r="E274" s="42" t="n"/>
      <c r="F274" s="42" t="n"/>
      <c r="G274" s="38" t="n"/>
      <c r="H274" s="38" t="n"/>
      <c r="I274" s="38" t="n"/>
      <c r="J274" s="38" t="n"/>
      <c r="K274" s="38" t="n"/>
      <c r="L274" s="42" t="n"/>
      <c r="M274" s="38" t="n"/>
      <c r="N274" s="38" t="n"/>
      <c r="O274" s="38" t="n"/>
    </row>
    <row r="275" ht="21" customHeight="1">
      <c r="A275" s="38" t="n"/>
      <c r="B275" s="38" t="n"/>
      <c r="C275" s="38" t="n"/>
      <c r="D275" s="38" t="n"/>
      <c r="E275" s="42" t="n"/>
      <c r="F275" s="42" t="n"/>
      <c r="G275" s="38" t="n"/>
      <c r="H275" s="38" t="n"/>
      <c r="I275" s="38" t="n"/>
      <c r="J275" s="38" t="n"/>
      <c r="K275" s="38" t="n"/>
      <c r="L275" s="42" t="n"/>
      <c r="M275" s="38" t="n"/>
      <c r="N275" s="38" t="n"/>
      <c r="O275" s="38" t="n"/>
    </row>
    <row r="276" ht="21" customHeight="1">
      <c r="A276" s="38" t="n"/>
      <c r="B276" s="38" t="n"/>
      <c r="C276" s="38" t="n"/>
      <c r="D276" s="38" t="n"/>
      <c r="E276" s="42" t="n"/>
      <c r="F276" s="42" t="n"/>
      <c r="G276" s="38" t="n"/>
      <c r="H276" s="38" t="n"/>
      <c r="I276" s="38" t="n"/>
      <c r="J276" s="38" t="n"/>
      <c r="K276" s="38" t="n"/>
      <c r="L276" s="42" t="n"/>
      <c r="M276" s="38" t="n"/>
      <c r="N276" s="38" t="n"/>
      <c r="O276" s="38" t="n"/>
    </row>
    <row r="277" ht="21" customHeight="1">
      <c r="A277" s="38" t="n"/>
      <c r="B277" s="38" t="n"/>
      <c r="C277" s="38" t="n"/>
      <c r="D277" s="38" t="n"/>
      <c r="E277" s="42" t="n"/>
      <c r="F277" s="42" t="n"/>
      <c r="G277" s="38" t="n"/>
      <c r="H277" s="38" t="n"/>
      <c r="I277" s="38" t="n"/>
      <c r="J277" s="38" t="n"/>
      <c r="K277" s="38" t="n"/>
      <c r="L277" s="42" t="n"/>
      <c r="M277" s="38" t="n"/>
      <c r="N277" s="38" t="n"/>
      <c r="O277" s="38" t="n"/>
    </row>
    <row r="278" ht="21" customHeight="1">
      <c r="A278" s="38" t="n"/>
      <c r="B278" s="38" t="n"/>
      <c r="C278" s="38" t="n"/>
      <c r="D278" s="38" t="n"/>
      <c r="E278" s="42" t="n"/>
      <c r="F278" s="42" t="n"/>
      <c r="G278" s="38" t="n"/>
      <c r="H278" s="38" t="n"/>
      <c r="I278" s="38" t="n"/>
      <c r="J278" s="38" t="n"/>
      <c r="K278" s="38" t="n"/>
      <c r="L278" s="42" t="n"/>
      <c r="M278" s="38" t="n"/>
      <c r="N278" s="38" t="n"/>
      <c r="O278" s="38" t="n"/>
    </row>
    <row r="279" ht="21" customHeight="1">
      <c r="A279" s="38" t="n"/>
      <c r="B279" s="38" t="n"/>
      <c r="C279" s="38" t="n"/>
      <c r="D279" s="38" t="n"/>
      <c r="E279" s="42" t="n"/>
      <c r="F279" s="42" t="n"/>
      <c r="G279" s="38" t="n"/>
      <c r="H279" s="38" t="n"/>
      <c r="I279" s="38" t="n"/>
      <c r="J279" s="38" t="n"/>
      <c r="K279" s="38" t="n"/>
      <c r="L279" s="42" t="n"/>
      <c r="M279" s="38" t="n"/>
      <c r="N279" s="38" t="n"/>
      <c r="O279" s="38" t="n"/>
    </row>
    <row r="280" ht="21" customHeight="1">
      <c r="A280" s="38" t="n"/>
      <c r="B280" s="38" t="n"/>
      <c r="C280" s="38" t="n"/>
      <c r="D280" s="38" t="n"/>
      <c r="E280" s="42" t="n"/>
      <c r="F280" s="42" t="n"/>
      <c r="G280" s="38" t="n"/>
      <c r="H280" s="38" t="n"/>
      <c r="I280" s="38" t="n"/>
      <c r="J280" s="38" t="n"/>
      <c r="K280" s="38" t="n"/>
      <c r="L280" s="42" t="n"/>
      <c r="M280" s="38" t="n"/>
      <c r="N280" s="38" t="n"/>
      <c r="O280" s="38" t="n"/>
    </row>
    <row r="281" ht="21" customHeight="1">
      <c r="A281" s="38" t="n"/>
      <c r="B281" s="38" t="n"/>
      <c r="C281" s="38" t="n"/>
      <c r="D281" s="38" t="n"/>
      <c r="E281" s="42" t="n"/>
      <c r="F281" s="42" t="n"/>
      <c r="G281" s="38" t="n"/>
      <c r="H281" s="38" t="n"/>
      <c r="I281" s="38" t="n"/>
      <c r="J281" s="38" t="n"/>
      <c r="K281" s="38" t="n"/>
      <c r="L281" s="42" t="n"/>
      <c r="M281" s="38" t="n"/>
      <c r="N281" s="38" t="n"/>
      <c r="O281" s="38" t="n"/>
    </row>
    <row r="282" ht="21" customHeight="1">
      <c r="A282" s="38" t="n"/>
      <c r="B282" s="38" t="n"/>
      <c r="C282" s="38" t="n"/>
      <c r="D282" s="38" t="n"/>
      <c r="E282" s="42" t="n"/>
      <c r="F282" s="42" t="n"/>
      <c r="G282" s="38" t="n"/>
      <c r="H282" s="38" t="n"/>
      <c r="I282" s="38" t="n"/>
      <c r="J282" s="38" t="n"/>
      <c r="K282" s="38" t="n"/>
      <c r="L282" s="42" t="n"/>
      <c r="M282" s="38" t="n"/>
      <c r="N282" s="38" t="n"/>
      <c r="O282" s="38" t="n"/>
    </row>
    <row r="283" ht="21" customHeight="1">
      <c r="A283" s="38" t="n"/>
      <c r="B283" s="38" t="n"/>
      <c r="C283" s="38" t="n"/>
      <c r="D283" s="38" t="n"/>
      <c r="E283" s="42" t="n"/>
      <c r="F283" s="42" t="n"/>
      <c r="G283" s="38" t="n"/>
      <c r="H283" s="38" t="n"/>
      <c r="I283" s="38" t="n"/>
      <c r="J283" s="38" t="n"/>
      <c r="K283" s="38" t="n"/>
      <c r="L283" s="42" t="n"/>
      <c r="M283" s="38" t="n"/>
      <c r="N283" s="38" t="n"/>
      <c r="O283" s="38" t="n"/>
    </row>
    <row r="284" ht="21" customHeight="1">
      <c r="A284" s="38" t="n"/>
      <c r="B284" s="38" t="n"/>
      <c r="C284" s="38" t="n"/>
      <c r="D284" s="38" t="n"/>
      <c r="E284" s="42" t="n"/>
      <c r="F284" s="42" t="n"/>
      <c r="G284" s="38" t="n"/>
      <c r="H284" s="38" t="n"/>
      <c r="I284" s="38" t="n"/>
      <c r="J284" s="38" t="n"/>
      <c r="K284" s="38" t="n"/>
      <c r="L284" s="42" t="n"/>
      <c r="M284" s="38" t="n"/>
      <c r="N284" s="38" t="n"/>
      <c r="O284" s="38" t="n"/>
    </row>
    <row r="285" ht="21" customHeight="1">
      <c r="A285" s="38" t="n"/>
      <c r="B285" s="38" t="n"/>
      <c r="C285" s="38" t="n"/>
      <c r="D285" s="38" t="n"/>
      <c r="E285" s="42" t="n"/>
      <c r="F285" s="42" t="n"/>
      <c r="G285" s="38" t="n"/>
      <c r="H285" s="38" t="n"/>
      <c r="I285" s="38" t="n"/>
      <c r="J285" s="38" t="n"/>
      <c r="K285" s="38" t="n"/>
      <c r="L285" s="42" t="n"/>
      <c r="M285" s="38" t="n"/>
      <c r="N285" s="38" t="n"/>
      <c r="O285" s="38" t="n"/>
    </row>
    <row r="286" ht="21" customHeight="1">
      <c r="A286" s="38" t="n"/>
      <c r="B286" s="38" t="n"/>
      <c r="C286" s="38" t="n"/>
      <c r="D286" s="38" t="n"/>
      <c r="E286" s="42" t="n"/>
      <c r="F286" s="42" t="n"/>
      <c r="G286" s="38" t="n"/>
      <c r="H286" s="38" t="n"/>
      <c r="I286" s="38" t="n"/>
      <c r="J286" s="38" t="n"/>
      <c r="K286" s="38" t="n"/>
      <c r="L286" s="42" t="n"/>
      <c r="M286" s="38" t="n"/>
      <c r="N286" s="38" t="n"/>
      <c r="O286" s="38" t="n"/>
    </row>
    <row r="287" ht="21" customHeight="1">
      <c r="A287" s="38" t="n"/>
      <c r="B287" s="38" t="n"/>
      <c r="C287" s="38" t="n"/>
      <c r="D287" s="38" t="n"/>
      <c r="E287" s="42" t="n"/>
      <c r="F287" s="42" t="n"/>
      <c r="G287" s="38" t="n"/>
      <c r="H287" s="38" t="n"/>
      <c r="I287" s="38" t="n"/>
      <c r="J287" s="38" t="n"/>
      <c r="K287" s="38" t="n"/>
      <c r="L287" s="42" t="n"/>
      <c r="M287" s="38" t="n"/>
      <c r="N287" s="38" t="n"/>
      <c r="O287" s="38" t="n"/>
    </row>
    <row r="288" ht="21" customHeight="1">
      <c r="A288" s="38" t="n"/>
      <c r="B288" s="38" t="n"/>
      <c r="C288" s="38" t="n"/>
      <c r="D288" s="38" t="n"/>
      <c r="E288" s="42" t="n"/>
      <c r="F288" s="42" t="n"/>
      <c r="G288" s="38" t="n"/>
      <c r="H288" s="38" t="n"/>
      <c r="I288" s="38" t="n"/>
      <c r="J288" s="38" t="n"/>
      <c r="K288" s="38" t="n"/>
      <c r="L288" s="42" t="n"/>
      <c r="M288" s="38" t="n"/>
      <c r="N288" s="38" t="n"/>
      <c r="O288" s="38" t="n"/>
    </row>
    <row r="289" ht="21" customHeight="1">
      <c r="A289" s="38" t="n"/>
      <c r="B289" s="38" t="n"/>
      <c r="C289" s="38" t="n"/>
      <c r="D289" s="38" t="n"/>
      <c r="E289" s="42" t="n"/>
      <c r="F289" s="42" t="n"/>
      <c r="G289" s="38" t="n"/>
      <c r="H289" s="38" t="n"/>
      <c r="I289" s="38" t="n"/>
      <c r="J289" s="38" t="n"/>
      <c r="K289" s="38" t="n"/>
      <c r="L289" s="42" t="n"/>
      <c r="M289" s="38" t="n"/>
      <c r="N289" s="38" t="n"/>
      <c r="O289" s="38" t="n"/>
    </row>
    <row r="290" ht="21" customHeight="1">
      <c r="A290" s="38" t="n"/>
      <c r="B290" s="38" t="n"/>
      <c r="C290" s="38" t="n"/>
      <c r="D290" s="38" t="n"/>
      <c r="E290" s="42" t="n"/>
      <c r="F290" s="42" t="n"/>
      <c r="G290" s="38" t="n"/>
      <c r="H290" s="38" t="n"/>
      <c r="I290" s="38" t="n"/>
      <c r="J290" s="38" t="n"/>
      <c r="K290" s="38" t="n"/>
      <c r="L290" s="42" t="n"/>
      <c r="M290" s="38" t="n"/>
      <c r="N290" s="38" t="n"/>
      <c r="O290" s="38" t="n"/>
    </row>
    <row r="291" ht="21" customHeight="1">
      <c r="A291" s="38" t="n"/>
      <c r="B291" s="38" t="n"/>
      <c r="C291" s="38" t="n"/>
      <c r="D291" s="38" t="n"/>
      <c r="E291" s="42" t="n"/>
      <c r="F291" s="42" t="n"/>
      <c r="G291" s="38" t="n"/>
      <c r="H291" s="38" t="n"/>
      <c r="I291" s="38" t="n"/>
      <c r="J291" s="38" t="n"/>
      <c r="K291" s="38" t="n"/>
      <c r="L291" s="42" t="n"/>
      <c r="M291" s="38" t="n"/>
      <c r="N291" s="38" t="n"/>
      <c r="O291" s="38" t="n"/>
    </row>
    <row r="292" ht="21" customHeight="1">
      <c r="A292" s="38" t="n"/>
      <c r="B292" s="38" t="n"/>
      <c r="C292" s="38" t="n"/>
      <c r="D292" s="38" t="n"/>
      <c r="E292" s="42" t="n"/>
      <c r="F292" s="42" t="n"/>
      <c r="G292" s="38" t="n"/>
      <c r="H292" s="38" t="n"/>
      <c r="I292" s="38" t="n"/>
      <c r="J292" s="38" t="n"/>
      <c r="K292" s="38" t="n"/>
      <c r="L292" s="42" t="n"/>
      <c r="M292" s="38" t="n"/>
      <c r="N292" s="38" t="n"/>
      <c r="O292" s="38" t="n"/>
    </row>
    <row r="293" ht="21" customHeight="1">
      <c r="A293" s="38" t="n"/>
      <c r="B293" s="38" t="n"/>
      <c r="C293" s="38" t="n"/>
      <c r="D293" s="38" t="n"/>
      <c r="E293" s="42" t="n"/>
      <c r="F293" s="42" t="n"/>
      <c r="G293" s="38" t="n"/>
      <c r="H293" s="38" t="n"/>
      <c r="I293" s="38" t="n"/>
      <c r="J293" s="38" t="n"/>
      <c r="K293" s="38" t="n"/>
      <c r="L293" s="42" t="n"/>
      <c r="M293" s="38" t="n"/>
      <c r="N293" s="38" t="n"/>
      <c r="O293" s="38" t="n"/>
    </row>
    <row r="294" ht="21" customHeight="1">
      <c r="A294" s="38" t="n"/>
      <c r="B294" s="38" t="n"/>
      <c r="C294" s="38" t="n"/>
      <c r="D294" s="38" t="n"/>
      <c r="E294" s="42" t="n"/>
      <c r="F294" s="42" t="n"/>
      <c r="G294" s="38" t="n"/>
      <c r="H294" s="38" t="n"/>
      <c r="I294" s="38" t="n"/>
      <c r="J294" s="38" t="n"/>
      <c r="K294" s="38" t="n"/>
      <c r="L294" s="42" t="n"/>
      <c r="M294" s="38" t="n"/>
      <c r="N294" s="38" t="n"/>
      <c r="O294" s="38" t="n"/>
    </row>
    <row r="295" ht="21" customHeight="1">
      <c r="A295" s="38" t="n"/>
      <c r="B295" s="38" t="n"/>
      <c r="C295" s="38" t="n"/>
      <c r="D295" s="38" t="n"/>
      <c r="E295" s="42" t="n"/>
      <c r="F295" s="42" t="n"/>
      <c r="G295" s="38" t="n"/>
      <c r="H295" s="38" t="n"/>
      <c r="I295" s="38" t="n"/>
      <c r="J295" s="38" t="n"/>
      <c r="K295" s="38" t="n"/>
      <c r="L295" s="42" t="n"/>
      <c r="M295" s="38" t="n"/>
      <c r="N295" s="38" t="n"/>
      <c r="O295" s="38" t="n"/>
    </row>
    <row r="296" ht="21" customHeight="1">
      <c r="A296" s="38" t="n"/>
      <c r="B296" s="38" t="n"/>
      <c r="C296" s="38" t="n"/>
      <c r="D296" s="38" t="n"/>
      <c r="E296" s="42" t="n"/>
      <c r="F296" s="42" t="n"/>
      <c r="G296" s="38" t="n"/>
      <c r="H296" s="38" t="n"/>
      <c r="I296" s="38" t="n"/>
      <c r="J296" s="38" t="n"/>
      <c r="K296" s="38" t="n"/>
      <c r="L296" s="42" t="n"/>
      <c r="M296" s="38" t="n"/>
      <c r="N296" s="38" t="n"/>
      <c r="O296" s="38" t="n"/>
    </row>
    <row r="297" ht="21" customHeight="1">
      <c r="A297" s="38" t="n"/>
      <c r="B297" s="38" t="n"/>
      <c r="C297" s="38" t="n"/>
      <c r="D297" s="38" t="n"/>
      <c r="E297" s="42" t="n"/>
      <c r="F297" s="42" t="n"/>
      <c r="G297" s="38" t="n"/>
      <c r="H297" s="38" t="n"/>
      <c r="I297" s="38" t="n"/>
      <c r="J297" s="38" t="n"/>
      <c r="K297" s="38" t="n"/>
      <c r="L297" s="42" t="n"/>
      <c r="M297" s="38" t="n"/>
      <c r="N297" s="38" t="n"/>
      <c r="O297" s="38" t="n"/>
    </row>
    <row r="298" ht="21" customHeight="1">
      <c r="A298" s="38" t="n"/>
      <c r="B298" s="38" t="n"/>
      <c r="C298" s="38" t="n"/>
      <c r="D298" s="38" t="n"/>
      <c r="E298" s="42" t="n"/>
      <c r="F298" s="42" t="n"/>
      <c r="G298" s="38" t="n"/>
      <c r="H298" s="38" t="n"/>
      <c r="I298" s="38" t="n"/>
      <c r="J298" s="38" t="n"/>
      <c r="K298" s="38" t="n"/>
      <c r="L298" s="42" t="n"/>
      <c r="M298" s="38" t="n"/>
      <c r="N298" s="38" t="n"/>
      <c r="O298" s="38" t="n"/>
    </row>
    <row r="299" ht="21" customHeight="1">
      <c r="A299" s="38" t="n"/>
      <c r="B299" s="38" t="n"/>
      <c r="C299" s="38" t="n"/>
      <c r="D299" s="38" t="n"/>
      <c r="E299" s="42" t="n"/>
      <c r="F299" s="42" t="n"/>
      <c r="G299" s="38" t="n"/>
      <c r="H299" s="38" t="n"/>
      <c r="I299" s="38" t="n"/>
      <c r="J299" s="38" t="n"/>
      <c r="K299" s="38" t="n"/>
      <c r="L299" s="42" t="n"/>
      <c r="M299" s="38" t="n"/>
      <c r="N299" s="38" t="n"/>
      <c r="O299" s="38" t="n"/>
    </row>
    <row r="300" ht="21" customHeight="1">
      <c r="A300" s="38" t="n"/>
      <c r="B300" s="38" t="n"/>
      <c r="C300" s="38" t="n"/>
      <c r="D300" s="38" t="n"/>
      <c r="E300" s="42" t="n"/>
      <c r="F300" s="42" t="n"/>
      <c r="G300" s="38" t="n"/>
      <c r="H300" s="38" t="n"/>
      <c r="I300" s="38" t="n"/>
      <c r="J300" s="38" t="n"/>
      <c r="K300" s="38" t="n"/>
      <c r="L300" s="42" t="n"/>
      <c r="M300" s="38" t="n"/>
      <c r="N300" s="38" t="n"/>
      <c r="O300" s="38" t="n"/>
    </row>
    <row r="301" ht="21" customHeight="1">
      <c r="A301" s="38" t="n"/>
      <c r="B301" s="38" t="n"/>
      <c r="C301" s="38" t="n"/>
      <c r="D301" s="38" t="n"/>
      <c r="E301" s="42" t="n"/>
      <c r="F301" s="42" t="n"/>
      <c r="G301" s="38" t="n"/>
      <c r="H301" s="38" t="n"/>
      <c r="I301" s="38" t="n"/>
      <c r="J301" s="38" t="n"/>
      <c r="K301" s="38" t="n"/>
      <c r="L301" s="42" t="n"/>
      <c r="M301" s="38" t="n"/>
      <c r="N301" s="38" t="n"/>
      <c r="O301" s="38" t="n"/>
    </row>
    <row r="302" ht="21" customHeight="1">
      <c r="A302" s="38" t="n"/>
      <c r="B302" s="38" t="n"/>
      <c r="C302" s="38" t="n"/>
      <c r="D302" s="38" t="n"/>
      <c r="E302" s="42" t="n"/>
      <c r="F302" s="42" t="n"/>
      <c r="G302" s="38" t="n"/>
      <c r="H302" s="38" t="n"/>
      <c r="I302" s="38" t="n"/>
      <c r="J302" s="38" t="n"/>
      <c r="K302" s="38" t="n"/>
      <c r="L302" s="42" t="n"/>
      <c r="M302" s="38" t="n"/>
      <c r="N302" s="38" t="n"/>
      <c r="O302" s="38" t="n"/>
    </row>
    <row r="303" ht="21" customHeight="1">
      <c r="A303" s="38" t="n"/>
      <c r="B303" s="38" t="n"/>
      <c r="C303" s="38" t="n"/>
      <c r="D303" s="38" t="n"/>
      <c r="E303" s="42" t="n"/>
      <c r="F303" s="42" t="n"/>
      <c r="G303" s="38" t="n"/>
      <c r="H303" s="38" t="n"/>
      <c r="I303" s="38" t="n"/>
      <c r="J303" s="38" t="n"/>
      <c r="K303" s="38" t="n"/>
      <c r="L303" s="42" t="n"/>
      <c r="M303" s="38" t="n"/>
      <c r="N303" s="38" t="n"/>
      <c r="O303" s="38" t="n"/>
    </row>
    <row r="304" ht="21" customHeight="1">
      <c r="A304" s="38" t="n"/>
      <c r="B304" s="38" t="n"/>
      <c r="C304" s="38" t="n"/>
      <c r="D304" s="38" t="n"/>
      <c r="E304" s="42" t="n"/>
      <c r="F304" s="42" t="n"/>
      <c r="G304" s="38" t="n"/>
      <c r="H304" s="38" t="n"/>
      <c r="I304" s="38" t="n"/>
      <c r="J304" s="38" t="n"/>
      <c r="K304" s="38" t="n"/>
      <c r="L304" s="42" t="n"/>
      <c r="M304" s="38" t="n"/>
      <c r="N304" s="38" t="n"/>
      <c r="O304" s="38" t="n"/>
    </row>
    <row r="305" ht="21" customHeight="1">
      <c r="A305" s="38" t="n"/>
      <c r="B305" s="38" t="n"/>
      <c r="C305" s="38" t="n"/>
      <c r="D305" s="38" t="n"/>
      <c r="E305" s="42" t="n"/>
      <c r="F305" s="42" t="n"/>
      <c r="G305" s="38" t="n"/>
      <c r="H305" s="38" t="n"/>
      <c r="I305" s="38" t="n"/>
      <c r="J305" s="38" t="n"/>
      <c r="K305" s="38" t="n"/>
      <c r="L305" s="42" t="n"/>
      <c r="M305" s="38" t="n"/>
      <c r="N305" s="38" t="n"/>
      <c r="O305" s="38" t="n"/>
    </row>
    <row r="306" ht="21" customHeight="1">
      <c r="A306" s="38" t="n"/>
      <c r="B306" s="38" t="n"/>
      <c r="C306" s="38" t="n"/>
      <c r="D306" s="38" t="n"/>
      <c r="E306" s="42" t="n"/>
      <c r="F306" s="42" t="n"/>
      <c r="G306" s="38" t="n"/>
      <c r="H306" s="38" t="n"/>
      <c r="I306" s="38" t="n"/>
      <c r="J306" s="38" t="n"/>
      <c r="K306" s="38" t="n"/>
      <c r="L306" s="42" t="n"/>
      <c r="M306" s="38" t="n"/>
      <c r="N306" s="38" t="n"/>
      <c r="O306" s="38" t="n"/>
    </row>
  </sheetData>
  <autoFilter ref="A6:O306"/>
  <mergeCells count="3">
    <mergeCell ref="A1:O2"/>
    <mergeCell ref="A4:O4"/>
    <mergeCell ref="A3:O3"/>
  </mergeCells>
  <conditionalFormatting sqref="G7:G306">
    <cfRule type="expression" priority="1" dxfId="2">
      <formula>=OR(G7="Complete",G7="Approved",G7="Delivered",G7="Installed",G7="Good condition",G7="Paid",G7="On budget")</formula>
    </cfRule>
    <cfRule type="expression" priority="2" dxfId="1">
      <formula>=OR(G7="Pending",G7="In progress",G7="Sent",G7="Waiting on client",G7="Waiting on vendor",G7="On hold",G7="Partially paid",G7="Scheduled")</formula>
    </cfRule>
    <cfRule type="expression" priority="3" dxfId="0">
      <formula>=OR(G7="Overdue",G7="Delayed",G7="Damaged",G7="Missing item",G7="Rejected",G7="Revisions requested")</formula>
    </cfRule>
    <cfRule type="expression" priority="4" dxfId="3">
      <formula>=OR(G7="Cancelled",G7="On hold",G7="Returned")</formula>
    </cfRule>
  </conditionalFormatting>
  <conditionalFormatting sqref="I7:I306">
    <cfRule type="expression" priority="5" dxfId="2">
      <formula>=OR(I7="Complete",I7="Approved",I7="Delivered",I7="Installed",I7="Good condition",I7="Paid",I7="On budget")</formula>
    </cfRule>
    <cfRule type="expression" priority="6" dxfId="1">
      <formula>=OR(I7="Pending",I7="In progress",I7="Sent",I7="Waiting on client",I7="Waiting on vendor",I7="On hold",I7="Partially paid",I7="Scheduled")</formula>
    </cfRule>
    <cfRule type="expression" priority="7" dxfId="0">
      <formula>=OR(I7="Overdue",I7="Delayed",I7="Damaged",I7="Missing item",I7="Rejected",I7="Revisions requested")</formula>
    </cfRule>
    <cfRule type="expression" priority="8" dxfId="3">
      <formula>=OR(I7="Cancelled",I7="On hold",I7="Returned")</formula>
    </cfRule>
  </conditionalFormatting>
  <conditionalFormatting sqref="N7:N306">
    <cfRule type="expression" priority="9" dxfId="2">
      <formula>=OR(N7="Complete",N7="Approved",N7="Delivered",N7="Installed",N7="Good condition",N7="Paid",N7="On budget")</formula>
    </cfRule>
    <cfRule type="expression" priority="10" dxfId="1">
      <formula>=OR(N7="Pending",N7="In progress",N7="Sent",N7="Waiting on client",N7="Waiting on vendor",N7="On hold",N7="Partially paid",N7="Scheduled")</formula>
    </cfRule>
    <cfRule type="expression" priority="11" dxfId="0">
      <formula>=OR(N7="Overdue",N7="Delayed",N7="Damaged",N7="Missing item",N7="Rejected",N7="Revisions requested")</formula>
    </cfRule>
    <cfRule type="expression" priority="12" dxfId="3">
      <formula>=OR(N7="Cancelled",N7="On hold",N7="Returned")</formula>
    </cfRule>
  </conditionalFormatting>
  <dataValidations count="7">
    <dataValidation sqref="B7:B306" showDropDown="0" showInputMessage="1" showErrorMessage="1" allowBlank="1" errorTitle="Invalid entry" error="Please choose a value from the dropdown list." promptTitle="Choose from the dropdown" prompt="Select a value from the list." type="list">
      <formula1>=RoomNames</formula1>
    </dataValidation>
    <dataValidation sqref="C7:C306" showDropDown="0" showInputMessage="1" showErrorMessage="1" allowBlank="1" errorTitle="Invalid entry" error="Please choose a value from the dropdown list." promptTitle="Choose from the dropdown" prompt="Select a value from the list." type="list">
      <formula1>=VendorNames</formula1>
    </dataValidation>
    <dataValidation sqref="G7:G306" showDropDown="0" showInputMessage="1" showErrorMessage="1" allowBlank="1" errorTitle="Invalid entry" error="Please choose a value from the dropdown list." promptTitle="Choose from the dropdown" prompt="Select a value from the list." type="list">
      <formula1>=DeliveryStatuses</formula1>
    </dataValidation>
    <dataValidation sqref="I7:I306" showDropDown="0" showInputMessage="1" showErrorMessage="1" allowBlank="1" errorTitle="Invalid entry" error="Please choose a value from the dropdown list." promptTitle="Choose from the dropdown" prompt="Select a value from the list." type="list">
      <formula1>=DamageChecks</formula1>
    </dataValidation>
    <dataValidation sqref="N7:N306" showDropDown="0" showInputMessage="1" showErrorMessage="1" allowBlank="1" errorTitle="Invalid entry" error="Please choose a value from the dropdown list." promptTitle="Choose from the dropdown" prompt="Select a value from the list." type="list">
      <formula1>=InstallStatuses</formula1>
    </dataValidation>
    <dataValidation sqref="E7:F306" showDropDown="0" showInputMessage="1" showErrorMessage="1" allowBlank="1" errorTitle="Invalid date" error="Enter a valid date between 1/1/1900 and 12/31/2100." promptTitle="Enter a date" prompt="Use a date such as 6/30/2026." type="date" operator="between">
      <formula1>DATE(1900,1,1)</formula1>
      <formula2>DATE(2100,12,31)</formula2>
    </dataValidation>
    <dataValidation sqref="L7:L306" showDropDown="0" showInputMessage="1" showErrorMessage="1" allowBlank="1" errorTitle="Invalid date" error="Enter a valid date between 1/1/1900 and 12/31/2100." promptTitle="Enter a date" prompt="Use a date such as 6/30/2026." type="date" operator="between">
      <formula1>DATE(1900,1,1)</formula1>
      <formula2>DATE(2100,12,31)</formula2>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14.xml><?xml version="1.0" encoding="utf-8"?>
<worksheet xmlns="http://schemas.openxmlformats.org/spreadsheetml/2006/main">
  <sheetPr>
    <tabColor rgb="002F6F73"/>
    <outlinePr summaryBelow="1" summaryRight="1"/>
    <pageSetUpPr fitToPage="1"/>
  </sheetPr>
  <dimension ref="A1:J206"/>
  <sheetViews>
    <sheetView showGridLines="0" zoomScale="85" workbookViewId="0">
      <pane ySplit="6" topLeftCell="A7" activePane="bottomLeft" state="frozen"/>
      <selection pane="bottomLeft" activeCell="A7" sqref="A1"/>
    </sheetView>
  </sheetViews>
  <sheetFormatPr baseColWidth="8" defaultRowHeight="15"/>
  <cols>
    <col width="30" customWidth="1" min="1" max="1"/>
    <col width="20" customWidth="1" min="2" max="2"/>
    <col width="20" customWidth="1" min="3" max="3"/>
    <col width="20" customWidth="1" min="4" max="4"/>
    <col width="21" customWidth="1" min="5" max="5"/>
    <col width="19" customWidth="1" min="6" max="6"/>
    <col width="25" customWidth="1" min="7" max="7"/>
    <col width="34" customWidth="1" min="8" max="8"/>
    <col width="16" customWidth="1" min="9" max="9"/>
    <col width="20" customWidth="1" min="10" max="10"/>
  </cols>
  <sheetData>
    <row r="1" ht="26" customHeight="1">
      <c r="A1" s="1" t="inlineStr">
        <is>
          <t>Client Approval Tracker</t>
        </is>
      </c>
    </row>
    <row r="2" ht="26" customHeight="1"/>
    <row r="3" ht="26" customHeight="1">
      <c r="A3" s="24" t="inlineStr">
        <is>
          <t>Make client decisions visible: send, respond, revise, and record final approval dates.</t>
        </is>
      </c>
    </row>
    <row r="4">
      <c r="A4" s="36" t="inlineStr">
        <is>
          <t>Tip: enter data in the warm cream cells. Blue cells calculate automatically. Use the filter arrows in row 6 to focus the view.</t>
        </is>
      </c>
    </row>
    <row r="6" ht="34" customHeight="1">
      <c r="A6" s="37" t="inlineStr">
        <is>
          <t>Item/design decision</t>
        </is>
      </c>
      <c r="B6" s="37" t="inlineStr">
        <is>
          <t>Room</t>
        </is>
      </c>
      <c r="C6" s="37" t="inlineStr">
        <is>
          <t>Approval type</t>
        </is>
      </c>
      <c r="D6" s="37" t="inlineStr">
        <is>
          <t>Sent to client date</t>
        </is>
      </c>
      <c r="E6" s="37" t="inlineStr">
        <is>
          <t>Client response date</t>
        </is>
      </c>
      <c r="F6" s="37" t="inlineStr">
        <is>
          <t>Status</t>
        </is>
      </c>
      <c r="G6" s="37" t="inlineStr">
        <is>
          <t>Approved option</t>
        </is>
      </c>
      <c r="H6" s="37" t="inlineStr">
        <is>
          <t>Client comments</t>
        </is>
      </c>
      <c r="I6" s="37" t="inlineStr">
        <is>
          <t>Revision needed</t>
        </is>
      </c>
      <c r="J6" s="37" t="inlineStr">
        <is>
          <t>Final approval date</t>
        </is>
      </c>
    </row>
    <row r="7" ht="21" customHeight="1">
      <c r="A7" s="38" t="n"/>
      <c r="B7" s="38" t="n"/>
      <c r="C7" s="38" t="n"/>
      <c r="D7" s="42" t="n"/>
      <c r="E7" s="42" t="n"/>
      <c r="F7" s="38" t="n"/>
      <c r="G7" s="38" t="n"/>
      <c r="H7" s="38" t="n"/>
      <c r="I7" s="38" t="n"/>
      <c r="J7" s="42" t="n"/>
    </row>
    <row r="8" ht="21" customHeight="1">
      <c r="A8" s="38" t="n"/>
      <c r="B8" s="38" t="n"/>
      <c r="C8" s="38" t="n"/>
      <c r="D8" s="42" t="n"/>
      <c r="E8" s="42" t="n"/>
      <c r="F8" s="38" t="n"/>
      <c r="G8" s="38" t="n"/>
      <c r="H8" s="38" t="n"/>
      <c r="I8" s="38" t="n"/>
      <c r="J8" s="42" t="n"/>
    </row>
    <row r="9" ht="21" customHeight="1">
      <c r="A9" s="38" t="n"/>
      <c r="B9" s="38" t="n"/>
      <c r="C9" s="38" t="n"/>
      <c r="D9" s="42" t="n"/>
      <c r="E9" s="42" t="n"/>
      <c r="F9" s="38" t="n"/>
      <c r="G9" s="38" t="n"/>
      <c r="H9" s="38" t="n"/>
      <c r="I9" s="38" t="n"/>
      <c r="J9" s="42" t="n"/>
    </row>
    <row r="10" ht="21" customHeight="1">
      <c r="A10" s="38" t="n"/>
      <c r="B10" s="38" t="n"/>
      <c r="C10" s="38" t="n"/>
      <c r="D10" s="42" t="n"/>
      <c r="E10" s="42" t="n"/>
      <c r="F10" s="38" t="n"/>
      <c r="G10" s="38" t="n"/>
      <c r="H10" s="38" t="n"/>
      <c r="I10" s="38" t="n"/>
      <c r="J10" s="42" t="n"/>
    </row>
    <row r="11" ht="21" customHeight="1">
      <c r="A11" s="38" t="n"/>
      <c r="B11" s="38" t="n"/>
      <c r="C11" s="38" t="n"/>
      <c r="D11" s="42" t="n"/>
      <c r="E11" s="42" t="n"/>
      <c r="F11" s="38" t="n"/>
      <c r="G11" s="38" t="n"/>
      <c r="H11" s="38" t="n"/>
      <c r="I11" s="38" t="n"/>
      <c r="J11" s="42" t="n"/>
    </row>
    <row r="12" ht="21" customHeight="1">
      <c r="A12" s="38" t="n"/>
      <c r="B12" s="38" t="n"/>
      <c r="C12" s="38" t="n"/>
      <c r="D12" s="42" t="n"/>
      <c r="E12" s="42" t="n"/>
      <c r="F12" s="38" t="n"/>
      <c r="G12" s="38" t="n"/>
      <c r="H12" s="38" t="n"/>
      <c r="I12" s="38" t="n"/>
      <c r="J12" s="42" t="n"/>
    </row>
    <row r="13" ht="21" customHeight="1">
      <c r="A13" s="38" t="n"/>
      <c r="B13" s="38" t="n"/>
      <c r="C13" s="38" t="n"/>
      <c r="D13" s="42" t="n"/>
      <c r="E13" s="42" t="n"/>
      <c r="F13" s="38" t="n"/>
      <c r="G13" s="38" t="n"/>
      <c r="H13" s="38" t="n"/>
      <c r="I13" s="38" t="n"/>
      <c r="J13" s="42" t="n"/>
    </row>
    <row r="14" ht="21" customHeight="1">
      <c r="A14" s="38" t="n"/>
      <c r="B14" s="38" t="n"/>
      <c r="C14" s="38" t="n"/>
      <c r="D14" s="42" t="n"/>
      <c r="E14" s="42" t="n"/>
      <c r="F14" s="38" t="n"/>
      <c r="G14" s="38" t="n"/>
      <c r="H14" s="38" t="n"/>
      <c r="I14" s="38" t="n"/>
      <c r="J14" s="42" t="n"/>
    </row>
    <row r="15" ht="21" customHeight="1">
      <c r="A15" s="38" t="n"/>
      <c r="B15" s="38" t="n"/>
      <c r="C15" s="38" t="n"/>
      <c r="D15" s="42" t="n"/>
      <c r="E15" s="42" t="n"/>
      <c r="F15" s="38" t="n"/>
      <c r="G15" s="38" t="n"/>
      <c r="H15" s="38" t="n"/>
      <c r="I15" s="38" t="n"/>
      <c r="J15" s="42" t="n"/>
    </row>
    <row r="16" ht="21" customHeight="1">
      <c r="A16" s="38" t="n"/>
      <c r="B16" s="38" t="n"/>
      <c r="C16" s="38" t="n"/>
      <c r="D16" s="42" t="n"/>
      <c r="E16" s="42" t="n"/>
      <c r="F16" s="38" t="n"/>
      <c r="G16" s="38" t="n"/>
      <c r="H16" s="38" t="n"/>
      <c r="I16" s="38" t="n"/>
      <c r="J16" s="42" t="n"/>
    </row>
    <row r="17" ht="21" customHeight="1">
      <c r="A17" s="38" t="n"/>
      <c r="B17" s="38" t="n"/>
      <c r="C17" s="38" t="n"/>
      <c r="D17" s="42" t="n"/>
      <c r="E17" s="42" t="n"/>
      <c r="F17" s="38" t="n"/>
      <c r="G17" s="38" t="n"/>
      <c r="H17" s="38" t="n"/>
      <c r="I17" s="38" t="n"/>
      <c r="J17" s="42" t="n"/>
    </row>
    <row r="18" ht="21" customHeight="1">
      <c r="A18" s="38" t="n"/>
      <c r="B18" s="38" t="n"/>
      <c r="C18" s="38" t="n"/>
      <c r="D18" s="42" t="n"/>
      <c r="E18" s="42" t="n"/>
      <c r="F18" s="38" t="n"/>
      <c r="G18" s="38" t="n"/>
      <c r="H18" s="38" t="n"/>
      <c r="I18" s="38" t="n"/>
      <c r="J18" s="42" t="n"/>
    </row>
    <row r="19" ht="21" customHeight="1">
      <c r="A19" s="38" t="n"/>
      <c r="B19" s="38" t="n"/>
      <c r="C19" s="38" t="n"/>
      <c r="D19" s="42" t="n"/>
      <c r="E19" s="42" t="n"/>
      <c r="F19" s="38" t="n"/>
      <c r="G19" s="38" t="n"/>
      <c r="H19" s="38" t="n"/>
      <c r="I19" s="38" t="n"/>
      <c r="J19" s="42" t="n"/>
    </row>
    <row r="20" ht="21" customHeight="1">
      <c r="A20" s="38" t="n"/>
      <c r="B20" s="38" t="n"/>
      <c r="C20" s="38" t="n"/>
      <c r="D20" s="42" t="n"/>
      <c r="E20" s="42" t="n"/>
      <c r="F20" s="38" t="n"/>
      <c r="G20" s="38" t="n"/>
      <c r="H20" s="38" t="n"/>
      <c r="I20" s="38" t="n"/>
      <c r="J20" s="42" t="n"/>
    </row>
    <row r="21" ht="21" customHeight="1">
      <c r="A21" s="38" t="n"/>
      <c r="B21" s="38" t="n"/>
      <c r="C21" s="38" t="n"/>
      <c r="D21" s="42" t="n"/>
      <c r="E21" s="42" t="n"/>
      <c r="F21" s="38" t="n"/>
      <c r="G21" s="38" t="n"/>
      <c r="H21" s="38" t="n"/>
      <c r="I21" s="38" t="n"/>
      <c r="J21" s="42" t="n"/>
    </row>
    <row r="22" ht="21" customHeight="1">
      <c r="A22" s="38" t="n"/>
      <c r="B22" s="38" t="n"/>
      <c r="C22" s="38" t="n"/>
      <c r="D22" s="42" t="n"/>
      <c r="E22" s="42" t="n"/>
      <c r="F22" s="38" t="n"/>
      <c r="G22" s="38" t="n"/>
      <c r="H22" s="38" t="n"/>
      <c r="I22" s="38" t="n"/>
      <c r="J22" s="42" t="n"/>
    </row>
    <row r="23" ht="21" customHeight="1">
      <c r="A23" s="38" t="n"/>
      <c r="B23" s="38" t="n"/>
      <c r="C23" s="38" t="n"/>
      <c r="D23" s="42" t="n"/>
      <c r="E23" s="42" t="n"/>
      <c r="F23" s="38" t="n"/>
      <c r="G23" s="38" t="n"/>
      <c r="H23" s="38" t="n"/>
      <c r="I23" s="38" t="n"/>
      <c r="J23" s="42" t="n"/>
    </row>
    <row r="24" ht="21" customHeight="1">
      <c r="A24" s="38" t="n"/>
      <c r="B24" s="38" t="n"/>
      <c r="C24" s="38" t="n"/>
      <c r="D24" s="42" t="n"/>
      <c r="E24" s="42" t="n"/>
      <c r="F24" s="38" t="n"/>
      <c r="G24" s="38" t="n"/>
      <c r="H24" s="38" t="n"/>
      <c r="I24" s="38" t="n"/>
      <c r="J24" s="42" t="n"/>
    </row>
    <row r="25" ht="21" customHeight="1">
      <c r="A25" s="38" t="n"/>
      <c r="B25" s="38" t="n"/>
      <c r="C25" s="38" t="n"/>
      <c r="D25" s="42" t="n"/>
      <c r="E25" s="42" t="n"/>
      <c r="F25" s="38" t="n"/>
      <c r="G25" s="38" t="n"/>
      <c r="H25" s="38" t="n"/>
      <c r="I25" s="38" t="n"/>
      <c r="J25" s="42" t="n"/>
    </row>
    <row r="26" ht="21" customHeight="1">
      <c r="A26" s="38" t="n"/>
      <c r="B26" s="38" t="n"/>
      <c r="C26" s="38" t="n"/>
      <c r="D26" s="42" t="n"/>
      <c r="E26" s="42" t="n"/>
      <c r="F26" s="38" t="n"/>
      <c r="G26" s="38" t="n"/>
      <c r="H26" s="38" t="n"/>
      <c r="I26" s="38" t="n"/>
      <c r="J26" s="42" t="n"/>
    </row>
    <row r="27" ht="21" customHeight="1">
      <c r="A27" s="38" t="n"/>
      <c r="B27" s="38" t="n"/>
      <c r="C27" s="38" t="n"/>
      <c r="D27" s="42" t="n"/>
      <c r="E27" s="42" t="n"/>
      <c r="F27" s="38" t="n"/>
      <c r="G27" s="38" t="n"/>
      <c r="H27" s="38" t="n"/>
      <c r="I27" s="38" t="n"/>
      <c r="J27" s="42" t="n"/>
    </row>
    <row r="28" ht="21" customHeight="1">
      <c r="A28" s="38" t="n"/>
      <c r="B28" s="38" t="n"/>
      <c r="C28" s="38" t="n"/>
      <c r="D28" s="42" t="n"/>
      <c r="E28" s="42" t="n"/>
      <c r="F28" s="38" t="n"/>
      <c r="G28" s="38" t="n"/>
      <c r="H28" s="38" t="n"/>
      <c r="I28" s="38" t="n"/>
      <c r="J28" s="42" t="n"/>
    </row>
    <row r="29" ht="21" customHeight="1">
      <c r="A29" s="38" t="n"/>
      <c r="B29" s="38" t="n"/>
      <c r="C29" s="38" t="n"/>
      <c r="D29" s="42" t="n"/>
      <c r="E29" s="42" t="n"/>
      <c r="F29" s="38" t="n"/>
      <c r="G29" s="38" t="n"/>
      <c r="H29" s="38" t="n"/>
      <c r="I29" s="38" t="n"/>
      <c r="J29" s="42" t="n"/>
    </row>
    <row r="30" ht="21" customHeight="1">
      <c r="A30" s="38" t="n"/>
      <c r="B30" s="38" t="n"/>
      <c r="C30" s="38" t="n"/>
      <c r="D30" s="42" t="n"/>
      <c r="E30" s="42" t="n"/>
      <c r="F30" s="38" t="n"/>
      <c r="G30" s="38" t="n"/>
      <c r="H30" s="38" t="n"/>
      <c r="I30" s="38" t="n"/>
      <c r="J30" s="42" t="n"/>
    </row>
    <row r="31" ht="21" customHeight="1">
      <c r="A31" s="38" t="n"/>
      <c r="B31" s="38" t="n"/>
      <c r="C31" s="38" t="n"/>
      <c r="D31" s="42" t="n"/>
      <c r="E31" s="42" t="n"/>
      <c r="F31" s="38" t="n"/>
      <c r="G31" s="38" t="n"/>
      <c r="H31" s="38" t="n"/>
      <c r="I31" s="38" t="n"/>
      <c r="J31" s="42" t="n"/>
    </row>
    <row r="32" ht="21" customHeight="1">
      <c r="A32" s="38" t="n"/>
      <c r="B32" s="38" t="n"/>
      <c r="C32" s="38" t="n"/>
      <c r="D32" s="42" t="n"/>
      <c r="E32" s="42" t="n"/>
      <c r="F32" s="38" t="n"/>
      <c r="G32" s="38" t="n"/>
      <c r="H32" s="38" t="n"/>
      <c r="I32" s="38" t="n"/>
      <c r="J32" s="42" t="n"/>
    </row>
    <row r="33" ht="21" customHeight="1">
      <c r="A33" s="38" t="n"/>
      <c r="B33" s="38" t="n"/>
      <c r="C33" s="38" t="n"/>
      <c r="D33" s="42" t="n"/>
      <c r="E33" s="42" t="n"/>
      <c r="F33" s="38" t="n"/>
      <c r="G33" s="38" t="n"/>
      <c r="H33" s="38" t="n"/>
      <c r="I33" s="38" t="n"/>
      <c r="J33" s="42" t="n"/>
    </row>
    <row r="34" ht="21" customHeight="1">
      <c r="A34" s="38" t="n"/>
      <c r="B34" s="38" t="n"/>
      <c r="C34" s="38" t="n"/>
      <c r="D34" s="42" t="n"/>
      <c r="E34" s="42" t="n"/>
      <c r="F34" s="38" t="n"/>
      <c r="G34" s="38" t="n"/>
      <c r="H34" s="38" t="n"/>
      <c r="I34" s="38" t="n"/>
      <c r="J34" s="42" t="n"/>
    </row>
    <row r="35" ht="21" customHeight="1">
      <c r="A35" s="38" t="n"/>
      <c r="B35" s="38" t="n"/>
      <c r="C35" s="38" t="n"/>
      <c r="D35" s="42" t="n"/>
      <c r="E35" s="42" t="n"/>
      <c r="F35" s="38" t="n"/>
      <c r="G35" s="38" t="n"/>
      <c r="H35" s="38" t="n"/>
      <c r="I35" s="38" t="n"/>
      <c r="J35" s="42" t="n"/>
    </row>
    <row r="36" ht="21" customHeight="1">
      <c r="A36" s="38" t="n"/>
      <c r="B36" s="38" t="n"/>
      <c r="C36" s="38" t="n"/>
      <c r="D36" s="42" t="n"/>
      <c r="E36" s="42" t="n"/>
      <c r="F36" s="38" t="n"/>
      <c r="G36" s="38" t="n"/>
      <c r="H36" s="38" t="n"/>
      <c r="I36" s="38" t="n"/>
      <c r="J36" s="42" t="n"/>
    </row>
    <row r="37" ht="21" customHeight="1">
      <c r="A37" s="38" t="n"/>
      <c r="B37" s="38" t="n"/>
      <c r="C37" s="38" t="n"/>
      <c r="D37" s="42" t="n"/>
      <c r="E37" s="42" t="n"/>
      <c r="F37" s="38" t="n"/>
      <c r="G37" s="38" t="n"/>
      <c r="H37" s="38" t="n"/>
      <c r="I37" s="38" t="n"/>
      <c r="J37" s="42" t="n"/>
    </row>
    <row r="38" ht="21" customHeight="1">
      <c r="A38" s="38" t="n"/>
      <c r="B38" s="38" t="n"/>
      <c r="C38" s="38" t="n"/>
      <c r="D38" s="42" t="n"/>
      <c r="E38" s="42" t="n"/>
      <c r="F38" s="38" t="n"/>
      <c r="G38" s="38" t="n"/>
      <c r="H38" s="38" t="n"/>
      <c r="I38" s="38" t="n"/>
      <c r="J38" s="42" t="n"/>
    </row>
    <row r="39" ht="21" customHeight="1">
      <c r="A39" s="38" t="n"/>
      <c r="B39" s="38" t="n"/>
      <c r="C39" s="38" t="n"/>
      <c r="D39" s="42" t="n"/>
      <c r="E39" s="42" t="n"/>
      <c r="F39" s="38" t="n"/>
      <c r="G39" s="38" t="n"/>
      <c r="H39" s="38" t="n"/>
      <c r="I39" s="38" t="n"/>
      <c r="J39" s="42" t="n"/>
    </row>
    <row r="40" ht="21" customHeight="1">
      <c r="A40" s="38" t="n"/>
      <c r="B40" s="38" t="n"/>
      <c r="C40" s="38" t="n"/>
      <c r="D40" s="42" t="n"/>
      <c r="E40" s="42" t="n"/>
      <c r="F40" s="38" t="n"/>
      <c r="G40" s="38" t="n"/>
      <c r="H40" s="38" t="n"/>
      <c r="I40" s="38" t="n"/>
      <c r="J40" s="42" t="n"/>
    </row>
    <row r="41" ht="21" customHeight="1">
      <c r="A41" s="38" t="n"/>
      <c r="B41" s="38" t="n"/>
      <c r="C41" s="38" t="n"/>
      <c r="D41" s="42" t="n"/>
      <c r="E41" s="42" t="n"/>
      <c r="F41" s="38" t="n"/>
      <c r="G41" s="38" t="n"/>
      <c r="H41" s="38" t="n"/>
      <c r="I41" s="38" t="n"/>
      <c r="J41" s="42" t="n"/>
    </row>
    <row r="42" ht="21" customHeight="1">
      <c r="A42" s="38" t="n"/>
      <c r="B42" s="38" t="n"/>
      <c r="C42" s="38" t="n"/>
      <c r="D42" s="42" t="n"/>
      <c r="E42" s="42" t="n"/>
      <c r="F42" s="38" t="n"/>
      <c r="G42" s="38" t="n"/>
      <c r="H42" s="38" t="n"/>
      <c r="I42" s="38" t="n"/>
      <c r="J42" s="42" t="n"/>
    </row>
    <row r="43" ht="21" customHeight="1">
      <c r="A43" s="38" t="n"/>
      <c r="B43" s="38" t="n"/>
      <c r="C43" s="38" t="n"/>
      <c r="D43" s="42" t="n"/>
      <c r="E43" s="42" t="n"/>
      <c r="F43" s="38" t="n"/>
      <c r="G43" s="38" t="n"/>
      <c r="H43" s="38" t="n"/>
      <c r="I43" s="38" t="n"/>
      <c r="J43" s="42" t="n"/>
    </row>
    <row r="44" ht="21" customHeight="1">
      <c r="A44" s="38" t="n"/>
      <c r="B44" s="38" t="n"/>
      <c r="C44" s="38" t="n"/>
      <c r="D44" s="42" t="n"/>
      <c r="E44" s="42" t="n"/>
      <c r="F44" s="38" t="n"/>
      <c r="G44" s="38" t="n"/>
      <c r="H44" s="38" t="n"/>
      <c r="I44" s="38" t="n"/>
      <c r="J44" s="42" t="n"/>
    </row>
    <row r="45" ht="21" customHeight="1">
      <c r="A45" s="38" t="n"/>
      <c r="B45" s="38" t="n"/>
      <c r="C45" s="38" t="n"/>
      <c r="D45" s="42" t="n"/>
      <c r="E45" s="42" t="n"/>
      <c r="F45" s="38" t="n"/>
      <c r="G45" s="38" t="n"/>
      <c r="H45" s="38" t="n"/>
      <c r="I45" s="38" t="n"/>
      <c r="J45" s="42" t="n"/>
    </row>
    <row r="46" ht="21" customHeight="1">
      <c r="A46" s="38" t="n"/>
      <c r="B46" s="38" t="n"/>
      <c r="C46" s="38" t="n"/>
      <c r="D46" s="42" t="n"/>
      <c r="E46" s="42" t="n"/>
      <c r="F46" s="38" t="n"/>
      <c r="G46" s="38" t="n"/>
      <c r="H46" s="38" t="n"/>
      <c r="I46" s="38" t="n"/>
      <c r="J46" s="42" t="n"/>
    </row>
    <row r="47" ht="21" customHeight="1">
      <c r="A47" s="38" t="n"/>
      <c r="B47" s="38" t="n"/>
      <c r="C47" s="38" t="n"/>
      <c r="D47" s="42" t="n"/>
      <c r="E47" s="42" t="n"/>
      <c r="F47" s="38" t="n"/>
      <c r="G47" s="38" t="n"/>
      <c r="H47" s="38" t="n"/>
      <c r="I47" s="38" t="n"/>
      <c r="J47" s="42" t="n"/>
    </row>
    <row r="48" ht="21" customHeight="1">
      <c r="A48" s="38" t="n"/>
      <c r="B48" s="38" t="n"/>
      <c r="C48" s="38" t="n"/>
      <c r="D48" s="42" t="n"/>
      <c r="E48" s="42" t="n"/>
      <c r="F48" s="38" t="n"/>
      <c r="G48" s="38" t="n"/>
      <c r="H48" s="38" t="n"/>
      <c r="I48" s="38" t="n"/>
      <c r="J48" s="42" t="n"/>
    </row>
    <row r="49" ht="21" customHeight="1">
      <c r="A49" s="38" t="n"/>
      <c r="B49" s="38" t="n"/>
      <c r="C49" s="38" t="n"/>
      <c r="D49" s="42" t="n"/>
      <c r="E49" s="42" t="n"/>
      <c r="F49" s="38" t="n"/>
      <c r="G49" s="38" t="n"/>
      <c r="H49" s="38" t="n"/>
      <c r="I49" s="38" t="n"/>
      <c r="J49" s="42" t="n"/>
    </row>
    <row r="50" ht="21" customHeight="1">
      <c r="A50" s="38" t="n"/>
      <c r="B50" s="38" t="n"/>
      <c r="C50" s="38" t="n"/>
      <c r="D50" s="42" t="n"/>
      <c r="E50" s="42" t="n"/>
      <c r="F50" s="38" t="n"/>
      <c r="G50" s="38" t="n"/>
      <c r="H50" s="38" t="n"/>
      <c r="I50" s="38" t="n"/>
      <c r="J50" s="42" t="n"/>
    </row>
    <row r="51" ht="21" customHeight="1">
      <c r="A51" s="38" t="n"/>
      <c r="B51" s="38" t="n"/>
      <c r="C51" s="38" t="n"/>
      <c r="D51" s="42" t="n"/>
      <c r="E51" s="42" t="n"/>
      <c r="F51" s="38" t="n"/>
      <c r="G51" s="38" t="n"/>
      <c r="H51" s="38" t="n"/>
      <c r="I51" s="38" t="n"/>
      <c r="J51" s="42" t="n"/>
    </row>
    <row r="52" ht="21" customHeight="1">
      <c r="A52" s="38" t="n"/>
      <c r="B52" s="38" t="n"/>
      <c r="C52" s="38" t="n"/>
      <c r="D52" s="42" t="n"/>
      <c r="E52" s="42" t="n"/>
      <c r="F52" s="38" t="n"/>
      <c r="G52" s="38" t="n"/>
      <c r="H52" s="38" t="n"/>
      <c r="I52" s="38" t="n"/>
      <c r="J52" s="42" t="n"/>
    </row>
    <row r="53" ht="21" customHeight="1">
      <c r="A53" s="38" t="n"/>
      <c r="B53" s="38" t="n"/>
      <c r="C53" s="38" t="n"/>
      <c r="D53" s="42" t="n"/>
      <c r="E53" s="42" t="n"/>
      <c r="F53" s="38" t="n"/>
      <c r="G53" s="38" t="n"/>
      <c r="H53" s="38" t="n"/>
      <c r="I53" s="38" t="n"/>
      <c r="J53" s="42" t="n"/>
    </row>
    <row r="54" ht="21" customHeight="1">
      <c r="A54" s="38" t="n"/>
      <c r="B54" s="38" t="n"/>
      <c r="C54" s="38" t="n"/>
      <c r="D54" s="42" t="n"/>
      <c r="E54" s="42" t="n"/>
      <c r="F54" s="38" t="n"/>
      <c r="G54" s="38" t="n"/>
      <c r="H54" s="38" t="n"/>
      <c r="I54" s="38" t="n"/>
      <c r="J54" s="42" t="n"/>
    </row>
    <row r="55" ht="21" customHeight="1">
      <c r="A55" s="38" t="n"/>
      <c r="B55" s="38" t="n"/>
      <c r="C55" s="38" t="n"/>
      <c r="D55" s="42" t="n"/>
      <c r="E55" s="42" t="n"/>
      <c r="F55" s="38" t="n"/>
      <c r="G55" s="38" t="n"/>
      <c r="H55" s="38" t="n"/>
      <c r="I55" s="38" t="n"/>
      <c r="J55" s="42" t="n"/>
    </row>
    <row r="56" ht="21" customHeight="1">
      <c r="A56" s="38" t="n"/>
      <c r="B56" s="38" t="n"/>
      <c r="C56" s="38" t="n"/>
      <c r="D56" s="42" t="n"/>
      <c r="E56" s="42" t="n"/>
      <c r="F56" s="38" t="n"/>
      <c r="G56" s="38" t="n"/>
      <c r="H56" s="38" t="n"/>
      <c r="I56" s="38" t="n"/>
      <c r="J56" s="42" t="n"/>
    </row>
    <row r="57" ht="21" customHeight="1">
      <c r="A57" s="38" t="n"/>
      <c r="B57" s="38" t="n"/>
      <c r="C57" s="38" t="n"/>
      <c r="D57" s="42" t="n"/>
      <c r="E57" s="42" t="n"/>
      <c r="F57" s="38" t="n"/>
      <c r="G57" s="38" t="n"/>
      <c r="H57" s="38" t="n"/>
      <c r="I57" s="38" t="n"/>
      <c r="J57" s="42" t="n"/>
    </row>
    <row r="58" ht="21" customHeight="1">
      <c r="A58" s="38" t="n"/>
      <c r="B58" s="38" t="n"/>
      <c r="C58" s="38" t="n"/>
      <c r="D58" s="42" t="n"/>
      <c r="E58" s="42" t="n"/>
      <c r="F58" s="38" t="n"/>
      <c r="G58" s="38" t="n"/>
      <c r="H58" s="38" t="n"/>
      <c r="I58" s="38" t="n"/>
      <c r="J58" s="42" t="n"/>
    </row>
    <row r="59" ht="21" customHeight="1">
      <c r="A59" s="38" t="n"/>
      <c r="B59" s="38" t="n"/>
      <c r="C59" s="38" t="n"/>
      <c r="D59" s="42" t="n"/>
      <c r="E59" s="42" t="n"/>
      <c r="F59" s="38" t="n"/>
      <c r="G59" s="38" t="n"/>
      <c r="H59" s="38" t="n"/>
      <c r="I59" s="38" t="n"/>
      <c r="J59" s="42" t="n"/>
    </row>
    <row r="60" ht="21" customHeight="1">
      <c r="A60" s="38" t="n"/>
      <c r="B60" s="38" t="n"/>
      <c r="C60" s="38" t="n"/>
      <c r="D60" s="42" t="n"/>
      <c r="E60" s="42" t="n"/>
      <c r="F60" s="38" t="n"/>
      <c r="G60" s="38" t="n"/>
      <c r="H60" s="38" t="n"/>
      <c r="I60" s="38" t="n"/>
      <c r="J60" s="42" t="n"/>
    </row>
    <row r="61" ht="21" customHeight="1">
      <c r="A61" s="38" t="n"/>
      <c r="B61" s="38" t="n"/>
      <c r="C61" s="38" t="n"/>
      <c r="D61" s="42" t="n"/>
      <c r="E61" s="42" t="n"/>
      <c r="F61" s="38" t="n"/>
      <c r="G61" s="38" t="n"/>
      <c r="H61" s="38" t="n"/>
      <c r="I61" s="38" t="n"/>
      <c r="J61" s="42" t="n"/>
    </row>
    <row r="62" ht="21" customHeight="1">
      <c r="A62" s="38" t="n"/>
      <c r="B62" s="38" t="n"/>
      <c r="C62" s="38" t="n"/>
      <c r="D62" s="42" t="n"/>
      <c r="E62" s="42" t="n"/>
      <c r="F62" s="38" t="n"/>
      <c r="G62" s="38" t="n"/>
      <c r="H62" s="38" t="n"/>
      <c r="I62" s="38" t="n"/>
      <c r="J62" s="42" t="n"/>
    </row>
    <row r="63" ht="21" customHeight="1">
      <c r="A63" s="38" t="n"/>
      <c r="B63" s="38" t="n"/>
      <c r="C63" s="38" t="n"/>
      <c r="D63" s="42" t="n"/>
      <c r="E63" s="42" t="n"/>
      <c r="F63" s="38" t="n"/>
      <c r="G63" s="38" t="n"/>
      <c r="H63" s="38" t="n"/>
      <c r="I63" s="38" t="n"/>
      <c r="J63" s="42" t="n"/>
    </row>
    <row r="64" ht="21" customHeight="1">
      <c r="A64" s="38" t="n"/>
      <c r="B64" s="38" t="n"/>
      <c r="C64" s="38" t="n"/>
      <c r="D64" s="42" t="n"/>
      <c r="E64" s="42" t="n"/>
      <c r="F64" s="38" t="n"/>
      <c r="G64" s="38" t="n"/>
      <c r="H64" s="38" t="n"/>
      <c r="I64" s="38" t="n"/>
      <c r="J64" s="42" t="n"/>
    </row>
    <row r="65" ht="21" customHeight="1">
      <c r="A65" s="38" t="n"/>
      <c r="B65" s="38" t="n"/>
      <c r="C65" s="38" t="n"/>
      <c r="D65" s="42" t="n"/>
      <c r="E65" s="42" t="n"/>
      <c r="F65" s="38" t="n"/>
      <c r="G65" s="38" t="n"/>
      <c r="H65" s="38" t="n"/>
      <c r="I65" s="38" t="n"/>
      <c r="J65" s="42" t="n"/>
    </row>
    <row r="66" ht="21" customHeight="1">
      <c r="A66" s="38" t="n"/>
      <c r="B66" s="38" t="n"/>
      <c r="C66" s="38" t="n"/>
      <c r="D66" s="42" t="n"/>
      <c r="E66" s="42" t="n"/>
      <c r="F66" s="38" t="n"/>
      <c r="G66" s="38" t="n"/>
      <c r="H66" s="38" t="n"/>
      <c r="I66" s="38" t="n"/>
      <c r="J66" s="42" t="n"/>
    </row>
    <row r="67" ht="21" customHeight="1">
      <c r="A67" s="38" t="n"/>
      <c r="B67" s="38" t="n"/>
      <c r="C67" s="38" t="n"/>
      <c r="D67" s="42" t="n"/>
      <c r="E67" s="42" t="n"/>
      <c r="F67" s="38" t="n"/>
      <c r="G67" s="38" t="n"/>
      <c r="H67" s="38" t="n"/>
      <c r="I67" s="38" t="n"/>
      <c r="J67" s="42" t="n"/>
    </row>
    <row r="68" ht="21" customHeight="1">
      <c r="A68" s="38" t="n"/>
      <c r="B68" s="38" t="n"/>
      <c r="C68" s="38" t="n"/>
      <c r="D68" s="42" t="n"/>
      <c r="E68" s="42" t="n"/>
      <c r="F68" s="38" t="n"/>
      <c r="G68" s="38" t="n"/>
      <c r="H68" s="38" t="n"/>
      <c r="I68" s="38" t="n"/>
      <c r="J68" s="42" t="n"/>
    </row>
    <row r="69" ht="21" customHeight="1">
      <c r="A69" s="38" t="n"/>
      <c r="B69" s="38" t="n"/>
      <c r="C69" s="38" t="n"/>
      <c r="D69" s="42" t="n"/>
      <c r="E69" s="42" t="n"/>
      <c r="F69" s="38" t="n"/>
      <c r="G69" s="38" t="n"/>
      <c r="H69" s="38" t="n"/>
      <c r="I69" s="38" t="n"/>
      <c r="J69" s="42" t="n"/>
    </row>
    <row r="70" ht="21" customHeight="1">
      <c r="A70" s="38" t="n"/>
      <c r="B70" s="38" t="n"/>
      <c r="C70" s="38" t="n"/>
      <c r="D70" s="42" t="n"/>
      <c r="E70" s="42" t="n"/>
      <c r="F70" s="38" t="n"/>
      <c r="G70" s="38" t="n"/>
      <c r="H70" s="38" t="n"/>
      <c r="I70" s="38" t="n"/>
      <c r="J70" s="42" t="n"/>
    </row>
    <row r="71" ht="21" customHeight="1">
      <c r="A71" s="38" t="n"/>
      <c r="B71" s="38" t="n"/>
      <c r="C71" s="38" t="n"/>
      <c r="D71" s="42" t="n"/>
      <c r="E71" s="42" t="n"/>
      <c r="F71" s="38" t="n"/>
      <c r="G71" s="38" t="n"/>
      <c r="H71" s="38" t="n"/>
      <c r="I71" s="38" t="n"/>
      <c r="J71" s="42" t="n"/>
    </row>
    <row r="72" ht="21" customHeight="1">
      <c r="A72" s="38" t="n"/>
      <c r="B72" s="38" t="n"/>
      <c r="C72" s="38" t="n"/>
      <c r="D72" s="42" t="n"/>
      <c r="E72" s="42" t="n"/>
      <c r="F72" s="38" t="n"/>
      <c r="G72" s="38" t="n"/>
      <c r="H72" s="38" t="n"/>
      <c r="I72" s="38" t="n"/>
      <c r="J72" s="42" t="n"/>
    </row>
    <row r="73" ht="21" customHeight="1">
      <c r="A73" s="38" t="n"/>
      <c r="B73" s="38" t="n"/>
      <c r="C73" s="38" t="n"/>
      <c r="D73" s="42" t="n"/>
      <c r="E73" s="42" t="n"/>
      <c r="F73" s="38" t="n"/>
      <c r="G73" s="38" t="n"/>
      <c r="H73" s="38" t="n"/>
      <c r="I73" s="38" t="n"/>
      <c r="J73" s="42" t="n"/>
    </row>
    <row r="74" ht="21" customHeight="1">
      <c r="A74" s="38" t="n"/>
      <c r="B74" s="38" t="n"/>
      <c r="C74" s="38" t="n"/>
      <c r="D74" s="42" t="n"/>
      <c r="E74" s="42" t="n"/>
      <c r="F74" s="38" t="n"/>
      <c r="G74" s="38" t="n"/>
      <c r="H74" s="38" t="n"/>
      <c r="I74" s="38" t="n"/>
      <c r="J74" s="42" t="n"/>
    </row>
    <row r="75" ht="21" customHeight="1">
      <c r="A75" s="38" t="n"/>
      <c r="B75" s="38" t="n"/>
      <c r="C75" s="38" t="n"/>
      <c r="D75" s="42" t="n"/>
      <c r="E75" s="42" t="n"/>
      <c r="F75" s="38" t="n"/>
      <c r="G75" s="38" t="n"/>
      <c r="H75" s="38" t="n"/>
      <c r="I75" s="38" t="n"/>
      <c r="J75" s="42" t="n"/>
    </row>
    <row r="76" ht="21" customHeight="1">
      <c r="A76" s="38" t="n"/>
      <c r="B76" s="38" t="n"/>
      <c r="C76" s="38" t="n"/>
      <c r="D76" s="42" t="n"/>
      <c r="E76" s="42" t="n"/>
      <c r="F76" s="38" t="n"/>
      <c r="G76" s="38" t="n"/>
      <c r="H76" s="38" t="n"/>
      <c r="I76" s="38" t="n"/>
      <c r="J76" s="42" t="n"/>
    </row>
    <row r="77" ht="21" customHeight="1">
      <c r="A77" s="38" t="n"/>
      <c r="B77" s="38" t="n"/>
      <c r="C77" s="38" t="n"/>
      <c r="D77" s="42" t="n"/>
      <c r="E77" s="42" t="n"/>
      <c r="F77" s="38" t="n"/>
      <c r="G77" s="38" t="n"/>
      <c r="H77" s="38" t="n"/>
      <c r="I77" s="38" t="n"/>
      <c r="J77" s="42" t="n"/>
    </row>
    <row r="78" ht="21" customHeight="1">
      <c r="A78" s="38" t="n"/>
      <c r="B78" s="38" t="n"/>
      <c r="C78" s="38" t="n"/>
      <c r="D78" s="42" t="n"/>
      <c r="E78" s="42" t="n"/>
      <c r="F78" s="38" t="n"/>
      <c r="G78" s="38" t="n"/>
      <c r="H78" s="38" t="n"/>
      <c r="I78" s="38" t="n"/>
      <c r="J78" s="42" t="n"/>
    </row>
    <row r="79" ht="21" customHeight="1">
      <c r="A79" s="38" t="n"/>
      <c r="B79" s="38" t="n"/>
      <c r="C79" s="38" t="n"/>
      <c r="D79" s="42" t="n"/>
      <c r="E79" s="42" t="n"/>
      <c r="F79" s="38" t="n"/>
      <c r="G79" s="38" t="n"/>
      <c r="H79" s="38" t="n"/>
      <c r="I79" s="38" t="n"/>
      <c r="J79" s="42" t="n"/>
    </row>
    <row r="80" ht="21" customHeight="1">
      <c r="A80" s="38" t="n"/>
      <c r="B80" s="38" t="n"/>
      <c r="C80" s="38" t="n"/>
      <c r="D80" s="42" t="n"/>
      <c r="E80" s="42" t="n"/>
      <c r="F80" s="38" t="n"/>
      <c r="G80" s="38" t="n"/>
      <c r="H80" s="38" t="n"/>
      <c r="I80" s="38" t="n"/>
      <c r="J80" s="42" t="n"/>
    </row>
    <row r="81" ht="21" customHeight="1">
      <c r="A81" s="38" t="n"/>
      <c r="B81" s="38" t="n"/>
      <c r="C81" s="38" t="n"/>
      <c r="D81" s="42" t="n"/>
      <c r="E81" s="42" t="n"/>
      <c r="F81" s="38" t="n"/>
      <c r="G81" s="38" t="n"/>
      <c r="H81" s="38" t="n"/>
      <c r="I81" s="38" t="n"/>
      <c r="J81" s="42" t="n"/>
    </row>
    <row r="82" ht="21" customHeight="1">
      <c r="A82" s="38" t="n"/>
      <c r="B82" s="38" t="n"/>
      <c r="C82" s="38" t="n"/>
      <c r="D82" s="42" t="n"/>
      <c r="E82" s="42" t="n"/>
      <c r="F82" s="38" t="n"/>
      <c r="G82" s="38" t="n"/>
      <c r="H82" s="38" t="n"/>
      <c r="I82" s="38" t="n"/>
      <c r="J82" s="42" t="n"/>
    </row>
    <row r="83" ht="21" customHeight="1">
      <c r="A83" s="38" t="n"/>
      <c r="B83" s="38" t="n"/>
      <c r="C83" s="38" t="n"/>
      <c r="D83" s="42" t="n"/>
      <c r="E83" s="42" t="n"/>
      <c r="F83" s="38" t="n"/>
      <c r="G83" s="38" t="n"/>
      <c r="H83" s="38" t="n"/>
      <c r="I83" s="38" t="n"/>
      <c r="J83" s="42" t="n"/>
    </row>
    <row r="84" ht="21" customHeight="1">
      <c r="A84" s="38" t="n"/>
      <c r="B84" s="38" t="n"/>
      <c r="C84" s="38" t="n"/>
      <c r="D84" s="42" t="n"/>
      <c r="E84" s="42" t="n"/>
      <c r="F84" s="38" t="n"/>
      <c r="G84" s="38" t="n"/>
      <c r="H84" s="38" t="n"/>
      <c r="I84" s="38" t="n"/>
      <c r="J84" s="42" t="n"/>
    </row>
    <row r="85" ht="21" customHeight="1">
      <c r="A85" s="38" t="n"/>
      <c r="B85" s="38" t="n"/>
      <c r="C85" s="38" t="n"/>
      <c r="D85" s="42" t="n"/>
      <c r="E85" s="42" t="n"/>
      <c r="F85" s="38" t="n"/>
      <c r="G85" s="38" t="n"/>
      <c r="H85" s="38" t="n"/>
      <c r="I85" s="38" t="n"/>
      <c r="J85" s="42" t="n"/>
    </row>
    <row r="86" ht="21" customHeight="1">
      <c r="A86" s="38" t="n"/>
      <c r="B86" s="38" t="n"/>
      <c r="C86" s="38" t="n"/>
      <c r="D86" s="42" t="n"/>
      <c r="E86" s="42" t="n"/>
      <c r="F86" s="38" t="n"/>
      <c r="G86" s="38" t="n"/>
      <c r="H86" s="38" t="n"/>
      <c r="I86" s="38" t="n"/>
      <c r="J86" s="42" t="n"/>
    </row>
    <row r="87" ht="21" customHeight="1">
      <c r="A87" s="38" t="n"/>
      <c r="B87" s="38" t="n"/>
      <c r="C87" s="38" t="n"/>
      <c r="D87" s="42" t="n"/>
      <c r="E87" s="42" t="n"/>
      <c r="F87" s="38" t="n"/>
      <c r="G87" s="38" t="n"/>
      <c r="H87" s="38" t="n"/>
      <c r="I87" s="38" t="n"/>
      <c r="J87" s="42" t="n"/>
    </row>
    <row r="88" ht="21" customHeight="1">
      <c r="A88" s="38" t="n"/>
      <c r="B88" s="38" t="n"/>
      <c r="C88" s="38" t="n"/>
      <c r="D88" s="42" t="n"/>
      <c r="E88" s="42" t="n"/>
      <c r="F88" s="38" t="n"/>
      <c r="G88" s="38" t="n"/>
      <c r="H88" s="38" t="n"/>
      <c r="I88" s="38" t="n"/>
      <c r="J88" s="42" t="n"/>
    </row>
    <row r="89" ht="21" customHeight="1">
      <c r="A89" s="38" t="n"/>
      <c r="B89" s="38" t="n"/>
      <c r="C89" s="38" t="n"/>
      <c r="D89" s="42" t="n"/>
      <c r="E89" s="42" t="n"/>
      <c r="F89" s="38" t="n"/>
      <c r="G89" s="38" t="n"/>
      <c r="H89" s="38" t="n"/>
      <c r="I89" s="38" t="n"/>
      <c r="J89" s="42" t="n"/>
    </row>
    <row r="90" ht="21" customHeight="1">
      <c r="A90" s="38" t="n"/>
      <c r="B90" s="38" t="n"/>
      <c r="C90" s="38" t="n"/>
      <c r="D90" s="42" t="n"/>
      <c r="E90" s="42" t="n"/>
      <c r="F90" s="38" t="n"/>
      <c r="G90" s="38" t="n"/>
      <c r="H90" s="38" t="n"/>
      <c r="I90" s="38" t="n"/>
      <c r="J90" s="42" t="n"/>
    </row>
    <row r="91" ht="21" customHeight="1">
      <c r="A91" s="38" t="n"/>
      <c r="B91" s="38" t="n"/>
      <c r="C91" s="38" t="n"/>
      <c r="D91" s="42" t="n"/>
      <c r="E91" s="42" t="n"/>
      <c r="F91" s="38" t="n"/>
      <c r="G91" s="38" t="n"/>
      <c r="H91" s="38" t="n"/>
      <c r="I91" s="38" t="n"/>
      <c r="J91" s="42" t="n"/>
    </row>
    <row r="92" ht="21" customHeight="1">
      <c r="A92" s="38" t="n"/>
      <c r="B92" s="38" t="n"/>
      <c r="C92" s="38" t="n"/>
      <c r="D92" s="42" t="n"/>
      <c r="E92" s="42" t="n"/>
      <c r="F92" s="38" t="n"/>
      <c r="G92" s="38" t="n"/>
      <c r="H92" s="38" t="n"/>
      <c r="I92" s="38" t="n"/>
      <c r="J92" s="42" t="n"/>
    </row>
    <row r="93" ht="21" customHeight="1">
      <c r="A93" s="38" t="n"/>
      <c r="B93" s="38" t="n"/>
      <c r="C93" s="38" t="n"/>
      <c r="D93" s="42" t="n"/>
      <c r="E93" s="42" t="n"/>
      <c r="F93" s="38" t="n"/>
      <c r="G93" s="38" t="n"/>
      <c r="H93" s="38" t="n"/>
      <c r="I93" s="38" t="n"/>
      <c r="J93" s="42" t="n"/>
    </row>
    <row r="94" ht="21" customHeight="1">
      <c r="A94" s="38" t="n"/>
      <c r="B94" s="38" t="n"/>
      <c r="C94" s="38" t="n"/>
      <c r="D94" s="42" t="n"/>
      <c r="E94" s="42" t="n"/>
      <c r="F94" s="38" t="n"/>
      <c r="G94" s="38" t="n"/>
      <c r="H94" s="38" t="n"/>
      <c r="I94" s="38" t="n"/>
      <c r="J94" s="42" t="n"/>
    </row>
    <row r="95" ht="21" customHeight="1">
      <c r="A95" s="38" t="n"/>
      <c r="B95" s="38" t="n"/>
      <c r="C95" s="38" t="n"/>
      <c r="D95" s="42" t="n"/>
      <c r="E95" s="42" t="n"/>
      <c r="F95" s="38" t="n"/>
      <c r="G95" s="38" t="n"/>
      <c r="H95" s="38" t="n"/>
      <c r="I95" s="38" t="n"/>
      <c r="J95" s="42" t="n"/>
    </row>
    <row r="96" ht="21" customHeight="1">
      <c r="A96" s="38" t="n"/>
      <c r="B96" s="38" t="n"/>
      <c r="C96" s="38" t="n"/>
      <c r="D96" s="42" t="n"/>
      <c r="E96" s="42" t="n"/>
      <c r="F96" s="38" t="n"/>
      <c r="G96" s="38" t="n"/>
      <c r="H96" s="38" t="n"/>
      <c r="I96" s="38" t="n"/>
      <c r="J96" s="42" t="n"/>
    </row>
    <row r="97" ht="21" customHeight="1">
      <c r="A97" s="38" t="n"/>
      <c r="B97" s="38" t="n"/>
      <c r="C97" s="38" t="n"/>
      <c r="D97" s="42" t="n"/>
      <c r="E97" s="42" t="n"/>
      <c r="F97" s="38" t="n"/>
      <c r="G97" s="38" t="n"/>
      <c r="H97" s="38" t="n"/>
      <c r="I97" s="38" t="n"/>
      <c r="J97" s="42" t="n"/>
    </row>
    <row r="98" ht="21" customHeight="1">
      <c r="A98" s="38" t="n"/>
      <c r="B98" s="38" t="n"/>
      <c r="C98" s="38" t="n"/>
      <c r="D98" s="42" t="n"/>
      <c r="E98" s="42" t="n"/>
      <c r="F98" s="38" t="n"/>
      <c r="G98" s="38" t="n"/>
      <c r="H98" s="38" t="n"/>
      <c r="I98" s="38" t="n"/>
      <c r="J98" s="42" t="n"/>
    </row>
    <row r="99" ht="21" customHeight="1">
      <c r="A99" s="38" t="n"/>
      <c r="B99" s="38" t="n"/>
      <c r="C99" s="38" t="n"/>
      <c r="D99" s="42" t="n"/>
      <c r="E99" s="42" t="n"/>
      <c r="F99" s="38" t="n"/>
      <c r="G99" s="38" t="n"/>
      <c r="H99" s="38" t="n"/>
      <c r="I99" s="38" t="n"/>
      <c r="J99" s="42" t="n"/>
    </row>
    <row r="100" ht="21" customHeight="1">
      <c r="A100" s="38" t="n"/>
      <c r="B100" s="38" t="n"/>
      <c r="C100" s="38" t="n"/>
      <c r="D100" s="42" t="n"/>
      <c r="E100" s="42" t="n"/>
      <c r="F100" s="38" t="n"/>
      <c r="G100" s="38" t="n"/>
      <c r="H100" s="38" t="n"/>
      <c r="I100" s="38" t="n"/>
      <c r="J100" s="42" t="n"/>
    </row>
    <row r="101" ht="21" customHeight="1">
      <c r="A101" s="38" t="n"/>
      <c r="B101" s="38" t="n"/>
      <c r="C101" s="38" t="n"/>
      <c r="D101" s="42" t="n"/>
      <c r="E101" s="42" t="n"/>
      <c r="F101" s="38" t="n"/>
      <c r="G101" s="38" t="n"/>
      <c r="H101" s="38" t="n"/>
      <c r="I101" s="38" t="n"/>
      <c r="J101" s="42" t="n"/>
    </row>
    <row r="102" ht="21" customHeight="1">
      <c r="A102" s="38" t="n"/>
      <c r="B102" s="38" t="n"/>
      <c r="C102" s="38" t="n"/>
      <c r="D102" s="42" t="n"/>
      <c r="E102" s="42" t="n"/>
      <c r="F102" s="38" t="n"/>
      <c r="G102" s="38" t="n"/>
      <c r="H102" s="38" t="n"/>
      <c r="I102" s="38" t="n"/>
      <c r="J102" s="42" t="n"/>
    </row>
    <row r="103" ht="21" customHeight="1">
      <c r="A103" s="38" t="n"/>
      <c r="B103" s="38" t="n"/>
      <c r="C103" s="38" t="n"/>
      <c r="D103" s="42" t="n"/>
      <c r="E103" s="42" t="n"/>
      <c r="F103" s="38" t="n"/>
      <c r="G103" s="38" t="n"/>
      <c r="H103" s="38" t="n"/>
      <c r="I103" s="38" t="n"/>
      <c r="J103" s="42" t="n"/>
    </row>
    <row r="104" ht="21" customHeight="1">
      <c r="A104" s="38" t="n"/>
      <c r="B104" s="38" t="n"/>
      <c r="C104" s="38" t="n"/>
      <c r="D104" s="42" t="n"/>
      <c r="E104" s="42" t="n"/>
      <c r="F104" s="38" t="n"/>
      <c r="G104" s="38" t="n"/>
      <c r="H104" s="38" t="n"/>
      <c r="I104" s="38" t="n"/>
      <c r="J104" s="42" t="n"/>
    </row>
    <row r="105" ht="21" customHeight="1">
      <c r="A105" s="38" t="n"/>
      <c r="B105" s="38" t="n"/>
      <c r="C105" s="38" t="n"/>
      <c r="D105" s="42" t="n"/>
      <c r="E105" s="42" t="n"/>
      <c r="F105" s="38" t="n"/>
      <c r="G105" s="38" t="n"/>
      <c r="H105" s="38" t="n"/>
      <c r="I105" s="38" t="n"/>
      <c r="J105" s="42" t="n"/>
    </row>
    <row r="106" ht="21" customHeight="1">
      <c r="A106" s="38" t="n"/>
      <c r="B106" s="38" t="n"/>
      <c r="C106" s="38" t="n"/>
      <c r="D106" s="42" t="n"/>
      <c r="E106" s="42" t="n"/>
      <c r="F106" s="38" t="n"/>
      <c r="G106" s="38" t="n"/>
      <c r="H106" s="38" t="n"/>
      <c r="I106" s="38" t="n"/>
      <c r="J106" s="42" t="n"/>
    </row>
    <row r="107" ht="21" customHeight="1">
      <c r="A107" s="38" t="n"/>
      <c r="B107" s="38" t="n"/>
      <c r="C107" s="38" t="n"/>
      <c r="D107" s="42" t="n"/>
      <c r="E107" s="42" t="n"/>
      <c r="F107" s="38" t="n"/>
      <c r="G107" s="38" t="n"/>
      <c r="H107" s="38" t="n"/>
      <c r="I107" s="38" t="n"/>
      <c r="J107" s="42" t="n"/>
    </row>
    <row r="108" ht="21" customHeight="1">
      <c r="A108" s="38" t="n"/>
      <c r="B108" s="38" t="n"/>
      <c r="C108" s="38" t="n"/>
      <c r="D108" s="42" t="n"/>
      <c r="E108" s="42" t="n"/>
      <c r="F108" s="38" t="n"/>
      <c r="G108" s="38" t="n"/>
      <c r="H108" s="38" t="n"/>
      <c r="I108" s="38" t="n"/>
      <c r="J108" s="42" t="n"/>
    </row>
    <row r="109" ht="21" customHeight="1">
      <c r="A109" s="38" t="n"/>
      <c r="B109" s="38" t="n"/>
      <c r="C109" s="38" t="n"/>
      <c r="D109" s="42" t="n"/>
      <c r="E109" s="42" t="n"/>
      <c r="F109" s="38" t="n"/>
      <c r="G109" s="38" t="n"/>
      <c r="H109" s="38" t="n"/>
      <c r="I109" s="38" t="n"/>
      <c r="J109" s="42" t="n"/>
    </row>
    <row r="110" ht="21" customHeight="1">
      <c r="A110" s="38" t="n"/>
      <c r="B110" s="38" t="n"/>
      <c r="C110" s="38" t="n"/>
      <c r="D110" s="42" t="n"/>
      <c r="E110" s="42" t="n"/>
      <c r="F110" s="38" t="n"/>
      <c r="G110" s="38" t="n"/>
      <c r="H110" s="38" t="n"/>
      <c r="I110" s="38" t="n"/>
      <c r="J110" s="42" t="n"/>
    </row>
    <row r="111" ht="21" customHeight="1">
      <c r="A111" s="38" t="n"/>
      <c r="B111" s="38" t="n"/>
      <c r="C111" s="38" t="n"/>
      <c r="D111" s="42" t="n"/>
      <c r="E111" s="42" t="n"/>
      <c r="F111" s="38" t="n"/>
      <c r="G111" s="38" t="n"/>
      <c r="H111" s="38" t="n"/>
      <c r="I111" s="38" t="n"/>
      <c r="J111" s="42" t="n"/>
    </row>
    <row r="112" ht="21" customHeight="1">
      <c r="A112" s="38" t="n"/>
      <c r="B112" s="38" t="n"/>
      <c r="C112" s="38" t="n"/>
      <c r="D112" s="42" t="n"/>
      <c r="E112" s="42" t="n"/>
      <c r="F112" s="38" t="n"/>
      <c r="G112" s="38" t="n"/>
      <c r="H112" s="38" t="n"/>
      <c r="I112" s="38" t="n"/>
      <c r="J112" s="42" t="n"/>
    </row>
    <row r="113" ht="21" customHeight="1">
      <c r="A113" s="38" t="n"/>
      <c r="B113" s="38" t="n"/>
      <c r="C113" s="38" t="n"/>
      <c r="D113" s="42" t="n"/>
      <c r="E113" s="42" t="n"/>
      <c r="F113" s="38" t="n"/>
      <c r="G113" s="38" t="n"/>
      <c r="H113" s="38" t="n"/>
      <c r="I113" s="38" t="n"/>
      <c r="J113" s="42" t="n"/>
    </row>
    <row r="114" ht="21" customHeight="1">
      <c r="A114" s="38" t="n"/>
      <c r="B114" s="38" t="n"/>
      <c r="C114" s="38" t="n"/>
      <c r="D114" s="42" t="n"/>
      <c r="E114" s="42" t="n"/>
      <c r="F114" s="38" t="n"/>
      <c r="G114" s="38" t="n"/>
      <c r="H114" s="38" t="n"/>
      <c r="I114" s="38" t="n"/>
      <c r="J114" s="42" t="n"/>
    </row>
    <row r="115" ht="21" customHeight="1">
      <c r="A115" s="38" t="n"/>
      <c r="B115" s="38" t="n"/>
      <c r="C115" s="38" t="n"/>
      <c r="D115" s="42" t="n"/>
      <c r="E115" s="42" t="n"/>
      <c r="F115" s="38" t="n"/>
      <c r="G115" s="38" t="n"/>
      <c r="H115" s="38" t="n"/>
      <c r="I115" s="38" t="n"/>
      <c r="J115" s="42" t="n"/>
    </row>
    <row r="116" ht="21" customHeight="1">
      <c r="A116" s="38" t="n"/>
      <c r="B116" s="38" t="n"/>
      <c r="C116" s="38" t="n"/>
      <c r="D116" s="42" t="n"/>
      <c r="E116" s="42" t="n"/>
      <c r="F116" s="38" t="n"/>
      <c r="G116" s="38" t="n"/>
      <c r="H116" s="38" t="n"/>
      <c r="I116" s="38" t="n"/>
      <c r="J116" s="42" t="n"/>
    </row>
    <row r="117" ht="21" customHeight="1">
      <c r="A117" s="38" t="n"/>
      <c r="B117" s="38" t="n"/>
      <c r="C117" s="38" t="n"/>
      <c r="D117" s="42" t="n"/>
      <c r="E117" s="42" t="n"/>
      <c r="F117" s="38" t="n"/>
      <c r="G117" s="38" t="n"/>
      <c r="H117" s="38" t="n"/>
      <c r="I117" s="38" t="n"/>
      <c r="J117" s="42" t="n"/>
    </row>
    <row r="118" ht="21" customHeight="1">
      <c r="A118" s="38" t="n"/>
      <c r="B118" s="38" t="n"/>
      <c r="C118" s="38" t="n"/>
      <c r="D118" s="42" t="n"/>
      <c r="E118" s="42" t="n"/>
      <c r="F118" s="38" t="n"/>
      <c r="G118" s="38" t="n"/>
      <c r="H118" s="38" t="n"/>
      <c r="I118" s="38" t="n"/>
      <c r="J118" s="42" t="n"/>
    </row>
    <row r="119" ht="21" customHeight="1">
      <c r="A119" s="38" t="n"/>
      <c r="B119" s="38" t="n"/>
      <c r="C119" s="38" t="n"/>
      <c r="D119" s="42" t="n"/>
      <c r="E119" s="42" t="n"/>
      <c r="F119" s="38" t="n"/>
      <c r="G119" s="38" t="n"/>
      <c r="H119" s="38" t="n"/>
      <c r="I119" s="38" t="n"/>
      <c r="J119" s="42" t="n"/>
    </row>
    <row r="120" ht="21" customHeight="1">
      <c r="A120" s="38" t="n"/>
      <c r="B120" s="38" t="n"/>
      <c r="C120" s="38" t="n"/>
      <c r="D120" s="42" t="n"/>
      <c r="E120" s="42" t="n"/>
      <c r="F120" s="38" t="n"/>
      <c r="G120" s="38" t="n"/>
      <c r="H120" s="38" t="n"/>
      <c r="I120" s="38" t="n"/>
      <c r="J120" s="42" t="n"/>
    </row>
    <row r="121" ht="21" customHeight="1">
      <c r="A121" s="38" t="n"/>
      <c r="B121" s="38" t="n"/>
      <c r="C121" s="38" t="n"/>
      <c r="D121" s="42" t="n"/>
      <c r="E121" s="42" t="n"/>
      <c r="F121" s="38" t="n"/>
      <c r="G121" s="38" t="n"/>
      <c r="H121" s="38" t="n"/>
      <c r="I121" s="38" t="n"/>
      <c r="J121" s="42" t="n"/>
    </row>
    <row r="122" ht="21" customHeight="1">
      <c r="A122" s="38" t="n"/>
      <c r="B122" s="38" t="n"/>
      <c r="C122" s="38" t="n"/>
      <c r="D122" s="42" t="n"/>
      <c r="E122" s="42" t="n"/>
      <c r="F122" s="38" t="n"/>
      <c r="G122" s="38" t="n"/>
      <c r="H122" s="38" t="n"/>
      <c r="I122" s="38" t="n"/>
      <c r="J122" s="42" t="n"/>
    </row>
    <row r="123" ht="21" customHeight="1">
      <c r="A123" s="38" t="n"/>
      <c r="B123" s="38" t="n"/>
      <c r="C123" s="38" t="n"/>
      <c r="D123" s="42" t="n"/>
      <c r="E123" s="42" t="n"/>
      <c r="F123" s="38" t="n"/>
      <c r="G123" s="38" t="n"/>
      <c r="H123" s="38" t="n"/>
      <c r="I123" s="38" t="n"/>
      <c r="J123" s="42" t="n"/>
    </row>
    <row r="124" ht="21" customHeight="1">
      <c r="A124" s="38" t="n"/>
      <c r="B124" s="38" t="n"/>
      <c r="C124" s="38" t="n"/>
      <c r="D124" s="42" t="n"/>
      <c r="E124" s="42" t="n"/>
      <c r="F124" s="38" t="n"/>
      <c r="G124" s="38" t="n"/>
      <c r="H124" s="38" t="n"/>
      <c r="I124" s="38" t="n"/>
      <c r="J124" s="42" t="n"/>
    </row>
    <row r="125" ht="21" customHeight="1">
      <c r="A125" s="38" t="n"/>
      <c r="B125" s="38" t="n"/>
      <c r="C125" s="38" t="n"/>
      <c r="D125" s="42" t="n"/>
      <c r="E125" s="42" t="n"/>
      <c r="F125" s="38" t="n"/>
      <c r="G125" s="38" t="n"/>
      <c r="H125" s="38" t="n"/>
      <c r="I125" s="38" t="n"/>
      <c r="J125" s="42" t="n"/>
    </row>
    <row r="126" ht="21" customHeight="1">
      <c r="A126" s="38" t="n"/>
      <c r="B126" s="38" t="n"/>
      <c r="C126" s="38" t="n"/>
      <c r="D126" s="42" t="n"/>
      <c r="E126" s="42" t="n"/>
      <c r="F126" s="38" t="n"/>
      <c r="G126" s="38" t="n"/>
      <c r="H126" s="38" t="n"/>
      <c r="I126" s="38" t="n"/>
      <c r="J126" s="42" t="n"/>
    </row>
    <row r="127" ht="21" customHeight="1">
      <c r="A127" s="38" t="n"/>
      <c r="B127" s="38" t="n"/>
      <c r="C127" s="38" t="n"/>
      <c r="D127" s="42" t="n"/>
      <c r="E127" s="42" t="n"/>
      <c r="F127" s="38" t="n"/>
      <c r="G127" s="38" t="n"/>
      <c r="H127" s="38" t="n"/>
      <c r="I127" s="38" t="n"/>
      <c r="J127" s="42" t="n"/>
    </row>
    <row r="128" ht="21" customHeight="1">
      <c r="A128" s="38" t="n"/>
      <c r="B128" s="38" t="n"/>
      <c r="C128" s="38" t="n"/>
      <c r="D128" s="42" t="n"/>
      <c r="E128" s="42" t="n"/>
      <c r="F128" s="38" t="n"/>
      <c r="G128" s="38" t="n"/>
      <c r="H128" s="38" t="n"/>
      <c r="I128" s="38" t="n"/>
      <c r="J128" s="42" t="n"/>
    </row>
    <row r="129" ht="21" customHeight="1">
      <c r="A129" s="38" t="n"/>
      <c r="B129" s="38" t="n"/>
      <c r="C129" s="38" t="n"/>
      <c r="D129" s="42" t="n"/>
      <c r="E129" s="42" t="n"/>
      <c r="F129" s="38" t="n"/>
      <c r="G129" s="38" t="n"/>
      <c r="H129" s="38" t="n"/>
      <c r="I129" s="38" t="n"/>
      <c r="J129" s="42" t="n"/>
    </row>
    <row r="130" ht="21" customHeight="1">
      <c r="A130" s="38" t="n"/>
      <c r="B130" s="38" t="n"/>
      <c r="C130" s="38" t="n"/>
      <c r="D130" s="42" t="n"/>
      <c r="E130" s="42" t="n"/>
      <c r="F130" s="38" t="n"/>
      <c r="G130" s="38" t="n"/>
      <c r="H130" s="38" t="n"/>
      <c r="I130" s="38" t="n"/>
      <c r="J130" s="42" t="n"/>
    </row>
    <row r="131" ht="21" customHeight="1">
      <c r="A131" s="38" t="n"/>
      <c r="B131" s="38" t="n"/>
      <c r="C131" s="38" t="n"/>
      <c r="D131" s="42" t="n"/>
      <c r="E131" s="42" t="n"/>
      <c r="F131" s="38" t="n"/>
      <c r="G131" s="38" t="n"/>
      <c r="H131" s="38" t="n"/>
      <c r="I131" s="38" t="n"/>
      <c r="J131" s="42" t="n"/>
    </row>
    <row r="132" ht="21" customHeight="1">
      <c r="A132" s="38" t="n"/>
      <c r="B132" s="38" t="n"/>
      <c r="C132" s="38" t="n"/>
      <c r="D132" s="42" t="n"/>
      <c r="E132" s="42" t="n"/>
      <c r="F132" s="38" t="n"/>
      <c r="G132" s="38" t="n"/>
      <c r="H132" s="38" t="n"/>
      <c r="I132" s="38" t="n"/>
      <c r="J132" s="42" t="n"/>
    </row>
    <row r="133" ht="21" customHeight="1">
      <c r="A133" s="38" t="n"/>
      <c r="B133" s="38" t="n"/>
      <c r="C133" s="38" t="n"/>
      <c r="D133" s="42" t="n"/>
      <c r="E133" s="42" t="n"/>
      <c r="F133" s="38" t="n"/>
      <c r="G133" s="38" t="n"/>
      <c r="H133" s="38" t="n"/>
      <c r="I133" s="38" t="n"/>
      <c r="J133" s="42" t="n"/>
    </row>
    <row r="134" ht="21" customHeight="1">
      <c r="A134" s="38" t="n"/>
      <c r="B134" s="38" t="n"/>
      <c r="C134" s="38" t="n"/>
      <c r="D134" s="42" t="n"/>
      <c r="E134" s="42" t="n"/>
      <c r="F134" s="38" t="n"/>
      <c r="G134" s="38" t="n"/>
      <c r="H134" s="38" t="n"/>
      <c r="I134" s="38" t="n"/>
      <c r="J134" s="42" t="n"/>
    </row>
    <row r="135" ht="21" customHeight="1">
      <c r="A135" s="38" t="n"/>
      <c r="B135" s="38" t="n"/>
      <c r="C135" s="38" t="n"/>
      <c r="D135" s="42" t="n"/>
      <c r="E135" s="42" t="n"/>
      <c r="F135" s="38" t="n"/>
      <c r="G135" s="38" t="n"/>
      <c r="H135" s="38" t="n"/>
      <c r="I135" s="38" t="n"/>
      <c r="J135" s="42" t="n"/>
    </row>
    <row r="136" ht="21" customHeight="1">
      <c r="A136" s="38" t="n"/>
      <c r="B136" s="38" t="n"/>
      <c r="C136" s="38" t="n"/>
      <c r="D136" s="42" t="n"/>
      <c r="E136" s="42" t="n"/>
      <c r="F136" s="38" t="n"/>
      <c r="G136" s="38" t="n"/>
      <c r="H136" s="38" t="n"/>
      <c r="I136" s="38" t="n"/>
      <c r="J136" s="42" t="n"/>
    </row>
    <row r="137" ht="21" customHeight="1">
      <c r="A137" s="38" t="n"/>
      <c r="B137" s="38" t="n"/>
      <c r="C137" s="38" t="n"/>
      <c r="D137" s="42" t="n"/>
      <c r="E137" s="42" t="n"/>
      <c r="F137" s="38" t="n"/>
      <c r="G137" s="38" t="n"/>
      <c r="H137" s="38" t="n"/>
      <c r="I137" s="38" t="n"/>
      <c r="J137" s="42" t="n"/>
    </row>
    <row r="138" ht="21" customHeight="1">
      <c r="A138" s="38" t="n"/>
      <c r="B138" s="38" t="n"/>
      <c r="C138" s="38" t="n"/>
      <c r="D138" s="42" t="n"/>
      <c r="E138" s="42" t="n"/>
      <c r="F138" s="38" t="n"/>
      <c r="G138" s="38" t="n"/>
      <c r="H138" s="38" t="n"/>
      <c r="I138" s="38" t="n"/>
      <c r="J138" s="42" t="n"/>
    </row>
    <row r="139" ht="21" customHeight="1">
      <c r="A139" s="38" t="n"/>
      <c r="B139" s="38" t="n"/>
      <c r="C139" s="38" t="n"/>
      <c r="D139" s="42" t="n"/>
      <c r="E139" s="42" t="n"/>
      <c r="F139" s="38" t="n"/>
      <c r="G139" s="38" t="n"/>
      <c r="H139" s="38" t="n"/>
      <c r="I139" s="38" t="n"/>
      <c r="J139" s="42" t="n"/>
    </row>
    <row r="140" ht="21" customHeight="1">
      <c r="A140" s="38" t="n"/>
      <c r="B140" s="38" t="n"/>
      <c r="C140" s="38" t="n"/>
      <c r="D140" s="42" t="n"/>
      <c r="E140" s="42" t="n"/>
      <c r="F140" s="38" t="n"/>
      <c r="G140" s="38" t="n"/>
      <c r="H140" s="38" t="n"/>
      <c r="I140" s="38" t="n"/>
      <c r="J140" s="42" t="n"/>
    </row>
    <row r="141" ht="21" customHeight="1">
      <c r="A141" s="38" t="n"/>
      <c r="B141" s="38" t="n"/>
      <c r="C141" s="38" t="n"/>
      <c r="D141" s="42" t="n"/>
      <c r="E141" s="42" t="n"/>
      <c r="F141" s="38" t="n"/>
      <c r="G141" s="38" t="n"/>
      <c r="H141" s="38" t="n"/>
      <c r="I141" s="38" t="n"/>
      <c r="J141" s="42" t="n"/>
    </row>
    <row r="142" ht="21" customHeight="1">
      <c r="A142" s="38" t="n"/>
      <c r="B142" s="38" t="n"/>
      <c r="C142" s="38" t="n"/>
      <c r="D142" s="42" t="n"/>
      <c r="E142" s="42" t="n"/>
      <c r="F142" s="38" t="n"/>
      <c r="G142" s="38" t="n"/>
      <c r="H142" s="38" t="n"/>
      <c r="I142" s="38" t="n"/>
      <c r="J142" s="42" t="n"/>
    </row>
    <row r="143" ht="21" customHeight="1">
      <c r="A143" s="38" t="n"/>
      <c r="B143" s="38" t="n"/>
      <c r="C143" s="38" t="n"/>
      <c r="D143" s="42" t="n"/>
      <c r="E143" s="42" t="n"/>
      <c r="F143" s="38" t="n"/>
      <c r="G143" s="38" t="n"/>
      <c r="H143" s="38" t="n"/>
      <c r="I143" s="38" t="n"/>
      <c r="J143" s="42" t="n"/>
    </row>
    <row r="144" ht="21" customHeight="1">
      <c r="A144" s="38" t="n"/>
      <c r="B144" s="38" t="n"/>
      <c r="C144" s="38" t="n"/>
      <c r="D144" s="42" t="n"/>
      <c r="E144" s="42" t="n"/>
      <c r="F144" s="38" t="n"/>
      <c r="G144" s="38" t="n"/>
      <c r="H144" s="38" t="n"/>
      <c r="I144" s="38" t="n"/>
      <c r="J144" s="42" t="n"/>
    </row>
    <row r="145" ht="21" customHeight="1">
      <c r="A145" s="38" t="n"/>
      <c r="B145" s="38" t="n"/>
      <c r="C145" s="38" t="n"/>
      <c r="D145" s="42" t="n"/>
      <c r="E145" s="42" t="n"/>
      <c r="F145" s="38" t="n"/>
      <c r="G145" s="38" t="n"/>
      <c r="H145" s="38" t="n"/>
      <c r="I145" s="38" t="n"/>
      <c r="J145" s="42" t="n"/>
    </row>
    <row r="146" ht="21" customHeight="1">
      <c r="A146" s="38" t="n"/>
      <c r="B146" s="38" t="n"/>
      <c r="C146" s="38" t="n"/>
      <c r="D146" s="42" t="n"/>
      <c r="E146" s="42" t="n"/>
      <c r="F146" s="38" t="n"/>
      <c r="G146" s="38" t="n"/>
      <c r="H146" s="38" t="n"/>
      <c r="I146" s="38" t="n"/>
      <c r="J146" s="42" t="n"/>
    </row>
    <row r="147" ht="21" customHeight="1">
      <c r="A147" s="38" t="n"/>
      <c r="B147" s="38" t="n"/>
      <c r="C147" s="38" t="n"/>
      <c r="D147" s="42" t="n"/>
      <c r="E147" s="42" t="n"/>
      <c r="F147" s="38" t="n"/>
      <c r="G147" s="38" t="n"/>
      <c r="H147" s="38" t="n"/>
      <c r="I147" s="38" t="n"/>
      <c r="J147" s="42" t="n"/>
    </row>
    <row r="148" ht="21" customHeight="1">
      <c r="A148" s="38" t="n"/>
      <c r="B148" s="38" t="n"/>
      <c r="C148" s="38" t="n"/>
      <c r="D148" s="42" t="n"/>
      <c r="E148" s="42" t="n"/>
      <c r="F148" s="38" t="n"/>
      <c r="G148" s="38" t="n"/>
      <c r="H148" s="38" t="n"/>
      <c r="I148" s="38" t="n"/>
      <c r="J148" s="42" t="n"/>
    </row>
    <row r="149" ht="21" customHeight="1">
      <c r="A149" s="38" t="n"/>
      <c r="B149" s="38" t="n"/>
      <c r="C149" s="38" t="n"/>
      <c r="D149" s="42" t="n"/>
      <c r="E149" s="42" t="n"/>
      <c r="F149" s="38" t="n"/>
      <c r="G149" s="38" t="n"/>
      <c r="H149" s="38" t="n"/>
      <c r="I149" s="38" t="n"/>
      <c r="J149" s="42" t="n"/>
    </row>
    <row r="150" ht="21" customHeight="1">
      <c r="A150" s="38" t="n"/>
      <c r="B150" s="38" t="n"/>
      <c r="C150" s="38" t="n"/>
      <c r="D150" s="42" t="n"/>
      <c r="E150" s="42" t="n"/>
      <c r="F150" s="38" t="n"/>
      <c r="G150" s="38" t="n"/>
      <c r="H150" s="38" t="n"/>
      <c r="I150" s="38" t="n"/>
      <c r="J150" s="42" t="n"/>
    </row>
    <row r="151" ht="21" customHeight="1">
      <c r="A151" s="38" t="n"/>
      <c r="B151" s="38" t="n"/>
      <c r="C151" s="38" t="n"/>
      <c r="D151" s="42" t="n"/>
      <c r="E151" s="42" t="n"/>
      <c r="F151" s="38" t="n"/>
      <c r="G151" s="38" t="n"/>
      <c r="H151" s="38" t="n"/>
      <c r="I151" s="38" t="n"/>
      <c r="J151" s="42" t="n"/>
    </row>
    <row r="152" ht="21" customHeight="1">
      <c r="A152" s="38" t="n"/>
      <c r="B152" s="38" t="n"/>
      <c r="C152" s="38" t="n"/>
      <c r="D152" s="42" t="n"/>
      <c r="E152" s="42" t="n"/>
      <c r="F152" s="38" t="n"/>
      <c r="G152" s="38" t="n"/>
      <c r="H152" s="38" t="n"/>
      <c r="I152" s="38" t="n"/>
      <c r="J152" s="42" t="n"/>
    </row>
    <row r="153" ht="21" customHeight="1">
      <c r="A153" s="38" t="n"/>
      <c r="B153" s="38" t="n"/>
      <c r="C153" s="38" t="n"/>
      <c r="D153" s="42" t="n"/>
      <c r="E153" s="42" t="n"/>
      <c r="F153" s="38" t="n"/>
      <c r="G153" s="38" t="n"/>
      <c r="H153" s="38" t="n"/>
      <c r="I153" s="38" t="n"/>
      <c r="J153" s="42" t="n"/>
    </row>
    <row r="154" ht="21" customHeight="1">
      <c r="A154" s="38" t="n"/>
      <c r="B154" s="38" t="n"/>
      <c r="C154" s="38" t="n"/>
      <c r="D154" s="42" t="n"/>
      <c r="E154" s="42" t="n"/>
      <c r="F154" s="38" t="n"/>
      <c r="G154" s="38" t="n"/>
      <c r="H154" s="38" t="n"/>
      <c r="I154" s="38" t="n"/>
      <c r="J154" s="42" t="n"/>
    </row>
    <row r="155" ht="21" customHeight="1">
      <c r="A155" s="38" t="n"/>
      <c r="B155" s="38" t="n"/>
      <c r="C155" s="38" t="n"/>
      <c r="D155" s="42" t="n"/>
      <c r="E155" s="42" t="n"/>
      <c r="F155" s="38" t="n"/>
      <c r="G155" s="38" t="n"/>
      <c r="H155" s="38" t="n"/>
      <c r="I155" s="38" t="n"/>
      <c r="J155" s="42" t="n"/>
    </row>
    <row r="156" ht="21" customHeight="1">
      <c r="A156" s="38" t="n"/>
      <c r="B156" s="38" t="n"/>
      <c r="C156" s="38" t="n"/>
      <c r="D156" s="42" t="n"/>
      <c r="E156" s="42" t="n"/>
      <c r="F156" s="38" t="n"/>
      <c r="G156" s="38" t="n"/>
      <c r="H156" s="38" t="n"/>
      <c r="I156" s="38" t="n"/>
      <c r="J156" s="42" t="n"/>
    </row>
    <row r="157" ht="21" customHeight="1">
      <c r="A157" s="38" t="n"/>
      <c r="B157" s="38" t="n"/>
      <c r="C157" s="38" t="n"/>
      <c r="D157" s="42" t="n"/>
      <c r="E157" s="42" t="n"/>
      <c r="F157" s="38" t="n"/>
      <c r="G157" s="38" t="n"/>
      <c r="H157" s="38" t="n"/>
      <c r="I157" s="38" t="n"/>
      <c r="J157" s="42" t="n"/>
    </row>
    <row r="158" ht="21" customHeight="1">
      <c r="A158" s="38" t="n"/>
      <c r="B158" s="38" t="n"/>
      <c r="C158" s="38" t="n"/>
      <c r="D158" s="42" t="n"/>
      <c r="E158" s="42" t="n"/>
      <c r="F158" s="38" t="n"/>
      <c r="G158" s="38" t="n"/>
      <c r="H158" s="38" t="n"/>
      <c r="I158" s="38" t="n"/>
      <c r="J158" s="42" t="n"/>
    </row>
    <row r="159" ht="21" customHeight="1">
      <c r="A159" s="38" t="n"/>
      <c r="B159" s="38" t="n"/>
      <c r="C159" s="38" t="n"/>
      <c r="D159" s="42" t="n"/>
      <c r="E159" s="42" t="n"/>
      <c r="F159" s="38" t="n"/>
      <c r="G159" s="38" t="n"/>
      <c r="H159" s="38" t="n"/>
      <c r="I159" s="38" t="n"/>
      <c r="J159" s="42" t="n"/>
    </row>
    <row r="160" ht="21" customHeight="1">
      <c r="A160" s="38" t="n"/>
      <c r="B160" s="38" t="n"/>
      <c r="C160" s="38" t="n"/>
      <c r="D160" s="42" t="n"/>
      <c r="E160" s="42" t="n"/>
      <c r="F160" s="38" t="n"/>
      <c r="G160" s="38" t="n"/>
      <c r="H160" s="38" t="n"/>
      <c r="I160" s="38" t="n"/>
      <c r="J160" s="42" t="n"/>
    </row>
    <row r="161" ht="21" customHeight="1">
      <c r="A161" s="38" t="n"/>
      <c r="B161" s="38" t="n"/>
      <c r="C161" s="38" t="n"/>
      <c r="D161" s="42" t="n"/>
      <c r="E161" s="42" t="n"/>
      <c r="F161" s="38" t="n"/>
      <c r="G161" s="38" t="n"/>
      <c r="H161" s="38" t="n"/>
      <c r="I161" s="38" t="n"/>
      <c r="J161" s="42" t="n"/>
    </row>
    <row r="162" ht="21" customHeight="1">
      <c r="A162" s="38" t="n"/>
      <c r="B162" s="38" t="n"/>
      <c r="C162" s="38" t="n"/>
      <c r="D162" s="42" t="n"/>
      <c r="E162" s="42" t="n"/>
      <c r="F162" s="38" t="n"/>
      <c r="G162" s="38" t="n"/>
      <c r="H162" s="38" t="n"/>
      <c r="I162" s="38" t="n"/>
      <c r="J162" s="42" t="n"/>
    </row>
    <row r="163" ht="21" customHeight="1">
      <c r="A163" s="38" t="n"/>
      <c r="B163" s="38" t="n"/>
      <c r="C163" s="38" t="n"/>
      <c r="D163" s="42" t="n"/>
      <c r="E163" s="42" t="n"/>
      <c r="F163" s="38" t="n"/>
      <c r="G163" s="38" t="n"/>
      <c r="H163" s="38" t="n"/>
      <c r="I163" s="38" t="n"/>
      <c r="J163" s="42" t="n"/>
    </row>
    <row r="164" ht="21" customHeight="1">
      <c r="A164" s="38" t="n"/>
      <c r="B164" s="38" t="n"/>
      <c r="C164" s="38" t="n"/>
      <c r="D164" s="42" t="n"/>
      <c r="E164" s="42" t="n"/>
      <c r="F164" s="38" t="n"/>
      <c r="G164" s="38" t="n"/>
      <c r="H164" s="38" t="n"/>
      <c r="I164" s="38" t="n"/>
      <c r="J164" s="42" t="n"/>
    </row>
    <row r="165" ht="21" customHeight="1">
      <c r="A165" s="38" t="n"/>
      <c r="B165" s="38" t="n"/>
      <c r="C165" s="38" t="n"/>
      <c r="D165" s="42" t="n"/>
      <c r="E165" s="42" t="n"/>
      <c r="F165" s="38" t="n"/>
      <c r="G165" s="38" t="n"/>
      <c r="H165" s="38" t="n"/>
      <c r="I165" s="38" t="n"/>
      <c r="J165" s="42" t="n"/>
    </row>
    <row r="166" ht="21" customHeight="1">
      <c r="A166" s="38" t="n"/>
      <c r="B166" s="38" t="n"/>
      <c r="C166" s="38" t="n"/>
      <c r="D166" s="42" t="n"/>
      <c r="E166" s="42" t="n"/>
      <c r="F166" s="38" t="n"/>
      <c r="G166" s="38" t="n"/>
      <c r="H166" s="38" t="n"/>
      <c r="I166" s="38" t="n"/>
      <c r="J166" s="42" t="n"/>
    </row>
    <row r="167" ht="21" customHeight="1">
      <c r="A167" s="38" t="n"/>
      <c r="B167" s="38" t="n"/>
      <c r="C167" s="38" t="n"/>
      <c r="D167" s="42" t="n"/>
      <c r="E167" s="42" t="n"/>
      <c r="F167" s="38" t="n"/>
      <c r="G167" s="38" t="n"/>
      <c r="H167" s="38" t="n"/>
      <c r="I167" s="38" t="n"/>
      <c r="J167" s="42" t="n"/>
    </row>
    <row r="168" ht="21" customHeight="1">
      <c r="A168" s="38" t="n"/>
      <c r="B168" s="38" t="n"/>
      <c r="C168" s="38" t="n"/>
      <c r="D168" s="42" t="n"/>
      <c r="E168" s="42" t="n"/>
      <c r="F168" s="38" t="n"/>
      <c r="G168" s="38" t="n"/>
      <c r="H168" s="38" t="n"/>
      <c r="I168" s="38" t="n"/>
      <c r="J168" s="42" t="n"/>
    </row>
    <row r="169" ht="21" customHeight="1">
      <c r="A169" s="38" t="n"/>
      <c r="B169" s="38" t="n"/>
      <c r="C169" s="38" t="n"/>
      <c r="D169" s="42" t="n"/>
      <c r="E169" s="42" t="n"/>
      <c r="F169" s="38" t="n"/>
      <c r="G169" s="38" t="n"/>
      <c r="H169" s="38" t="n"/>
      <c r="I169" s="38" t="n"/>
      <c r="J169" s="42" t="n"/>
    </row>
    <row r="170" ht="21" customHeight="1">
      <c r="A170" s="38" t="n"/>
      <c r="B170" s="38" t="n"/>
      <c r="C170" s="38" t="n"/>
      <c r="D170" s="42" t="n"/>
      <c r="E170" s="42" t="n"/>
      <c r="F170" s="38" t="n"/>
      <c r="G170" s="38" t="n"/>
      <c r="H170" s="38" t="n"/>
      <c r="I170" s="38" t="n"/>
      <c r="J170" s="42" t="n"/>
    </row>
    <row r="171" ht="21" customHeight="1">
      <c r="A171" s="38" t="n"/>
      <c r="B171" s="38" t="n"/>
      <c r="C171" s="38" t="n"/>
      <c r="D171" s="42" t="n"/>
      <c r="E171" s="42" t="n"/>
      <c r="F171" s="38" t="n"/>
      <c r="G171" s="38" t="n"/>
      <c r="H171" s="38" t="n"/>
      <c r="I171" s="38" t="n"/>
      <c r="J171" s="42" t="n"/>
    </row>
    <row r="172" ht="21" customHeight="1">
      <c r="A172" s="38" t="n"/>
      <c r="B172" s="38" t="n"/>
      <c r="C172" s="38" t="n"/>
      <c r="D172" s="42" t="n"/>
      <c r="E172" s="42" t="n"/>
      <c r="F172" s="38" t="n"/>
      <c r="G172" s="38" t="n"/>
      <c r="H172" s="38" t="n"/>
      <c r="I172" s="38" t="n"/>
      <c r="J172" s="42" t="n"/>
    </row>
    <row r="173" ht="21" customHeight="1">
      <c r="A173" s="38" t="n"/>
      <c r="B173" s="38" t="n"/>
      <c r="C173" s="38" t="n"/>
      <c r="D173" s="42" t="n"/>
      <c r="E173" s="42" t="n"/>
      <c r="F173" s="38" t="n"/>
      <c r="G173" s="38" t="n"/>
      <c r="H173" s="38" t="n"/>
      <c r="I173" s="38" t="n"/>
      <c r="J173" s="42" t="n"/>
    </row>
    <row r="174" ht="21" customHeight="1">
      <c r="A174" s="38" t="n"/>
      <c r="B174" s="38" t="n"/>
      <c r="C174" s="38" t="n"/>
      <c r="D174" s="42" t="n"/>
      <c r="E174" s="42" t="n"/>
      <c r="F174" s="38" t="n"/>
      <c r="G174" s="38" t="n"/>
      <c r="H174" s="38" t="n"/>
      <c r="I174" s="38" t="n"/>
      <c r="J174" s="42" t="n"/>
    </row>
    <row r="175" ht="21" customHeight="1">
      <c r="A175" s="38" t="n"/>
      <c r="B175" s="38" t="n"/>
      <c r="C175" s="38" t="n"/>
      <c r="D175" s="42" t="n"/>
      <c r="E175" s="42" t="n"/>
      <c r="F175" s="38" t="n"/>
      <c r="G175" s="38" t="n"/>
      <c r="H175" s="38" t="n"/>
      <c r="I175" s="38" t="n"/>
      <c r="J175" s="42" t="n"/>
    </row>
    <row r="176" ht="21" customHeight="1">
      <c r="A176" s="38" t="n"/>
      <c r="B176" s="38" t="n"/>
      <c r="C176" s="38" t="n"/>
      <c r="D176" s="42" t="n"/>
      <c r="E176" s="42" t="n"/>
      <c r="F176" s="38" t="n"/>
      <c r="G176" s="38" t="n"/>
      <c r="H176" s="38" t="n"/>
      <c r="I176" s="38" t="n"/>
      <c r="J176" s="42" t="n"/>
    </row>
    <row r="177" ht="21" customHeight="1">
      <c r="A177" s="38" t="n"/>
      <c r="B177" s="38" t="n"/>
      <c r="C177" s="38" t="n"/>
      <c r="D177" s="42" t="n"/>
      <c r="E177" s="42" t="n"/>
      <c r="F177" s="38" t="n"/>
      <c r="G177" s="38" t="n"/>
      <c r="H177" s="38" t="n"/>
      <c r="I177" s="38" t="n"/>
      <c r="J177" s="42" t="n"/>
    </row>
    <row r="178" ht="21" customHeight="1">
      <c r="A178" s="38" t="n"/>
      <c r="B178" s="38" t="n"/>
      <c r="C178" s="38" t="n"/>
      <c r="D178" s="42" t="n"/>
      <c r="E178" s="42" t="n"/>
      <c r="F178" s="38" t="n"/>
      <c r="G178" s="38" t="n"/>
      <c r="H178" s="38" t="n"/>
      <c r="I178" s="38" t="n"/>
      <c r="J178" s="42" t="n"/>
    </row>
    <row r="179" ht="21" customHeight="1">
      <c r="A179" s="38" t="n"/>
      <c r="B179" s="38" t="n"/>
      <c r="C179" s="38" t="n"/>
      <c r="D179" s="42" t="n"/>
      <c r="E179" s="42" t="n"/>
      <c r="F179" s="38" t="n"/>
      <c r="G179" s="38" t="n"/>
      <c r="H179" s="38" t="n"/>
      <c r="I179" s="38" t="n"/>
      <c r="J179" s="42" t="n"/>
    </row>
    <row r="180" ht="21" customHeight="1">
      <c r="A180" s="38" t="n"/>
      <c r="B180" s="38" t="n"/>
      <c r="C180" s="38" t="n"/>
      <c r="D180" s="42" t="n"/>
      <c r="E180" s="42" t="n"/>
      <c r="F180" s="38" t="n"/>
      <c r="G180" s="38" t="n"/>
      <c r="H180" s="38" t="n"/>
      <c r="I180" s="38" t="n"/>
      <c r="J180" s="42" t="n"/>
    </row>
    <row r="181" ht="21" customHeight="1">
      <c r="A181" s="38" t="n"/>
      <c r="B181" s="38" t="n"/>
      <c r="C181" s="38" t="n"/>
      <c r="D181" s="42" t="n"/>
      <c r="E181" s="42" t="n"/>
      <c r="F181" s="38" t="n"/>
      <c r="G181" s="38" t="n"/>
      <c r="H181" s="38" t="n"/>
      <c r="I181" s="38" t="n"/>
      <c r="J181" s="42" t="n"/>
    </row>
    <row r="182" ht="21" customHeight="1">
      <c r="A182" s="38" t="n"/>
      <c r="B182" s="38" t="n"/>
      <c r="C182" s="38" t="n"/>
      <c r="D182" s="42" t="n"/>
      <c r="E182" s="42" t="n"/>
      <c r="F182" s="38" t="n"/>
      <c r="G182" s="38" t="n"/>
      <c r="H182" s="38" t="n"/>
      <c r="I182" s="38" t="n"/>
      <c r="J182" s="42" t="n"/>
    </row>
    <row r="183" ht="21" customHeight="1">
      <c r="A183" s="38" t="n"/>
      <c r="B183" s="38" t="n"/>
      <c r="C183" s="38" t="n"/>
      <c r="D183" s="42" t="n"/>
      <c r="E183" s="42" t="n"/>
      <c r="F183" s="38" t="n"/>
      <c r="G183" s="38" t="n"/>
      <c r="H183" s="38" t="n"/>
      <c r="I183" s="38" t="n"/>
      <c r="J183" s="42" t="n"/>
    </row>
    <row r="184" ht="21" customHeight="1">
      <c r="A184" s="38" t="n"/>
      <c r="B184" s="38" t="n"/>
      <c r="C184" s="38" t="n"/>
      <c r="D184" s="42" t="n"/>
      <c r="E184" s="42" t="n"/>
      <c r="F184" s="38" t="n"/>
      <c r="G184" s="38" t="n"/>
      <c r="H184" s="38" t="n"/>
      <c r="I184" s="38" t="n"/>
      <c r="J184" s="42" t="n"/>
    </row>
    <row r="185" ht="21" customHeight="1">
      <c r="A185" s="38" t="n"/>
      <c r="B185" s="38" t="n"/>
      <c r="C185" s="38" t="n"/>
      <c r="D185" s="42" t="n"/>
      <c r="E185" s="42" t="n"/>
      <c r="F185" s="38" t="n"/>
      <c r="G185" s="38" t="n"/>
      <c r="H185" s="38" t="n"/>
      <c r="I185" s="38" t="n"/>
      <c r="J185" s="42" t="n"/>
    </row>
    <row r="186" ht="21" customHeight="1">
      <c r="A186" s="38" t="n"/>
      <c r="B186" s="38" t="n"/>
      <c r="C186" s="38" t="n"/>
      <c r="D186" s="42" t="n"/>
      <c r="E186" s="42" t="n"/>
      <c r="F186" s="38" t="n"/>
      <c r="G186" s="38" t="n"/>
      <c r="H186" s="38" t="n"/>
      <c r="I186" s="38" t="n"/>
      <c r="J186" s="42" t="n"/>
    </row>
    <row r="187" ht="21" customHeight="1">
      <c r="A187" s="38" t="n"/>
      <c r="B187" s="38" t="n"/>
      <c r="C187" s="38" t="n"/>
      <c r="D187" s="42" t="n"/>
      <c r="E187" s="42" t="n"/>
      <c r="F187" s="38" t="n"/>
      <c r="G187" s="38" t="n"/>
      <c r="H187" s="38" t="n"/>
      <c r="I187" s="38" t="n"/>
      <c r="J187" s="42" t="n"/>
    </row>
    <row r="188" ht="21" customHeight="1">
      <c r="A188" s="38" t="n"/>
      <c r="B188" s="38" t="n"/>
      <c r="C188" s="38" t="n"/>
      <c r="D188" s="42" t="n"/>
      <c r="E188" s="42" t="n"/>
      <c r="F188" s="38" t="n"/>
      <c r="G188" s="38" t="n"/>
      <c r="H188" s="38" t="n"/>
      <c r="I188" s="38" t="n"/>
      <c r="J188" s="42" t="n"/>
    </row>
    <row r="189" ht="21" customHeight="1">
      <c r="A189" s="38" t="n"/>
      <c r="B189" s="38" t="n"/>
      <c r="C189" s="38" t="n"/>
      <c r="D189" s="42" t="n"/>
      <c r="E189" s="42" t="n"/>
      <c r="F189" s="38" t="n"/>
      <c r="G189" s="38" t="n"/>
      <c r="H189" s="38" t="n"/>
      <c r="I189" s="38" t="n"/>
      <c r="J189" s="42" t="n"/>
    </row>
    <row r="190" ht="21" customHeight="1">
      <c r="A190" s="38" t="n"/>
      <c r="B190" s="38" t="n"/>
      <c r="C190" s="38" t="n"/>
      <c r="D190" s="42" t="n"/>
      <c r="E190" s="42" t="n"/>
      <c r="F190" s="38" t="n"/>
      <c r="G190" s="38" t="n"/>
      <c r="H190" s="38" t="n"/>
      <c r="I190" s="38" t="n"/>
      <c r="J190" s="42" t="n"/>
    </row>
    <row r="191" ht="21" customHeight="1">
      <c r="A191" s="38" t="n"/>
      <c r="B191" s="38" t="n"/>
      <c r="C191" s="38" t="n"/>
      <c r="D191" s="42" t="n"/>
      <c r="E191" s="42" t="n"/>
      <c r="F191" s="38" t="n"/>
      <c r="G191" s="38" t="n"/>
      <c r="H191" s="38" t="n"/>
      <c r="I191" s="38" t="n"/>
      <c r="J191" s="42" t="n"/>
    </row>
    <row r="192" ht="21" customHeight="1">
      <c r="A192" s="38" t="n"/>
      <c r="B192" s="38" t="n"/>
      <c r="C192" s="38" t="n"/>
      <c r="D192" s="42" t="n"/>
      <c r="E192" s="42" t="n"/>
      <c r="F192" s="38" t="n"/>
      <c r="G192" s="38" t="n"/>
      <c r="H192" s="38" t="n"/>
      <c r="I192" s="38" t="n"/>
      <c r="J192" s="42" t="n"/>
    </row>
    <row r="193" ht="21" customHeight="1">
      <c r="A193" s="38" t="n"/>
      <c r="B193" s="38" t="n"/>
      <c r="C193" s="38" t="n"/>
      <c r="D193" s="42" t="n"/>
      <c r="E193" s="42" t="n"/>
      <c r="F193" s="38" t="n"/>
      <c r="G193" s="38" t="n"/>
      <c r="H193" s="38" t="n"/>
      <c r="I193" s="38" t="n"/>
      <c r="J193" s="42" t="n"/>
    </row>
    <row r="194" ht="21" customHeight="1">
      <c r="A194" s="38" t="n"/>
      <c r="B194" s="38" t="n"/>
      <c r="C194" s="38" t="n"/>
      <c r="D194" s="42" t="n"/>
      <c r="E194" s="42" t="n"/>
      <c r="F194" s="38" t="n"/>
      <c r="G194" s="38" t="n"/>
      <c r="H194" s="38" t="n"/>
      <c r="I194" s="38" t="n"/>
      <c r="J194" s="42" t="n"/>
    </row>
    <row r="195" ht="21" customHeight="1">
      <c r="A195" s="38" t="n"/>
      <c r="B195" s="38" t="n"/>
      <c r="C195" s="38" t="n"/>
      <c r="D195" s="42" t="n"/>
      <c r="E195" s="42" t="n"/>
      <c r="F195" s="38" t="n"/>
      <c r="G195" s="38" t="n"/>
      <c r="H195" s="38" t="n"/>
      <c r="I195" s="38" t="n"/>
      <c r="J195" s="42" t="n"/>
    </row>
    <row r="196" ht="21" customHeight="1">
      <c r="A196" s="38" t="n"/>
      <c r="B196" s="38" t="n"/>
      <c r="C196" s="38" t="n"/>
      <c r="D196" s="42" t="n"/>
      <c r="E196" s="42" t="n"/>
      <c r="F196" s="38" t="n"/>
      <c r="G196" s="38" t="n"/>
      <c r="H196" s="38" t="n"/>
      <c r="I196" s="38" t="n"/>
      <c r="J196" s="42" t="n"/>
    </row>
    <row r="197" ht="21" customHeight="1">
      <c r="A197" s="38" t="n"/>
      <c r="B197" s="38" t="n"/>
      <c r="C197" s="38" t="n"/>
      <c r="D197" s="42" t="n"/>
      <c r="E197" s="42" t="n"/>
      <c r="F197" s="38" t="n"/>
      <c r="G197" s="38" t="n"/>
      <c r="H197" s="38" t="n"/>
      <c r="I197" s="38" t="n"/>
      <c r="J197" s="42" t="n"/>
    </row>
    <row r="198" ht="21" customHeight="1">
      <c r="A198" s="38" t="n"/>
      <c r="B198" s="38" t="n"/>
      <c r="C198" s="38" t="n"/>
      <c r="D198" s="42" t="n"/>
      <c r="E198" s="42" t="n"/>
      <c r="F198" s="38" t="n"/>
      <c r="G198" s="38" t="n"/>
      <c r="H198" s="38" t="n"/>
      <c r="I198" s="38" t="n"/>
      <c r="J198" s="42" t="n"/>
    </row>
    <row r="199" ht="21" customHeight="1">
      <c r="A199" s="38" t="n"/>
      <c r="B199" s="38" t="n"/>
      <c r="C199" s="38" t="n"/>
      <c r="D199" s="42" t="n"/>
      <c r="E199" s="42" t="n"/>
      <c r="F199" s="38" t="n"/>
      <c r="G199" s="38" t="n"/>
      <c r="H199" s="38" t="n"/>
      <c r="I199" s="38" t="n"/>
      <c r="J199" s="42" t="n"/>
    </row>
    <row r="200" ht="21" customHeight="1">
      <c r="A200" s="38" t="n"/>
      <c r="B200" s="38" t="n"/>
      <c r="C200" s="38" t="n"/>
      <c r="D200" s="42" t="n"/>
      <c r="E200" s="42" t="n"/>
      <c r="F200" s="38" t="n"/>
      <c r="G200" s="38" t="n"/>
      <c r="H200" s="38" t="n"/>
      <c r="I200" s="38" t="n"/>
      <c r="J200" s="42" t="n"/>
    </row>
    <row r="201" ht="21" customHeight="1">
      <c r="A201" s="38" t="n"/>
      <c r="B201" s="38" t="n"/>
      <c r="C201" s="38" t="n"/>
      <c r="D201" s="42" t="n"/>
      <c r="E201" s="42" t="n"/>
      <c r="F201" s="38" t="n"/>
      <c r="G201" s="38" t="n"/>
      <c r="H201" s="38" t="n"/>
      <c r="I201" s="38" t="n"/>
      <c r="J201" s="42" t="n"/>
    </row>
    <row r="202" ht="21" customHeight="1">
      <c r="A202" s="38" t="n"/>
      <c r="B202" s="38" t="n"/>
      <c r="C202" s="38" t="n"/>
      <c r="D202" s="42" t="n"/>
      <c r="E202" s="42" t="n"/>
      <c r="F202" s="38" t="n"/>
      <c r="G202" s="38" t="n"/>
      <c r="H202" s="38" t="n"/>
      <c r="I202" s="38" t="n"/>
      <c r="J202" s="42" t="n"/>
    </row>
    <row r="203" ht="21" customHeight="1">
      <c r="A203" s="38" t="n"/>
      <c r="B203" s="38" t="n"/>
      <c r="C203" s="38" t="n"/>
      <c r="D203" s="42" t="n"/>
      <c r="E203" s="42" t="n"/>
      <c r="F203" s="38" t="n"/>
      <c r="G203" s="38" t="n"/>
      <c r="H203" s="38" t="n"/>
      <c r="I203" s="38" t="n"/>
      <c r="J203" s="42" t="n"/>
    </row>
    <row r="204" ht="21" customHeight="1">
      <c r="A204" s="38" t="n"/>
      <c r="B204" s="38" t="n"/>
      <c r="C204" s="38" t="n"/>
      <c r="D204" s="42" t="n"/>
      <c r="E204" s="42" t="n"/>
      <c r="F204" s="38" t="n"/>
      <c r="G204" s="38" t="n"/>
      <c r="H204" s="38" t="n"/>
      <c r="I204" s="38" t="n"/>
      <c r="J204" s="42" t="n"/>
    </row>
    <row r="205" ht="21" customHeight="1">
      <c r="A205" s="38" t="n"/>
      <c r="B205" s="38" t="n"/>
      <c r="C205" s="38" t="n"/>
      <c r="D205" s="42" t="n"/>
      <c r="E205" s="42" t="n"/>
      <c r="F205" s="38" t="n"/>
      <c r="G205" s="38" t="n"/>
      <c r="H205" s="38" t="n"/>
      <c r="I205" s="38" t="n"/>
      <c r="J205" s="42" t="n"/>
    </row>
    <row r="206" ht="21" customHeight="1">
      <c r="A206" s="38" t="n"/>
      <c r="B206" s="38" t="n"/>
      <c r="C206" s="38" t="n"/>
      <c r="D206" s="42" t="n"/>
      <c r="E206" s="42" t="n"/>
      <c r="F206" s="38" t="n"/>
      <c r="G206" s="38" t="n"/>
      <c r="H206" s="38" t="n"/>
      <c r="I206" s="38" t="n"/>
      <c r="J206" s="42" t="n"/>
    </row>
  </sheetData>
  <autoFilter ref="A6:J206"/>
  <mergeCells count="3">
    <mergeCell ref="A4:J4"/>
    <mergeCell ref="A1:J2"/>
    <mergeCell ref="A3:J3"/>
  </mergeCells>
  <conditionalFormatting sqref="F7:F206">
    <cfRule type="expression" priority="1" dxfId="2">
      <formula>=OR(F7="Complete",F7="Approved",F7="Delivered",F7="Installed",F7="Good condition",F7="Paid",F7="On budget")</formula>
    </cfRule>
    <cfRule type="expression" priority="2" dxfId="1">
      <formula>=OR(F7="Pending",F7="In progress",F7="Sent",F7="Waiting on client",F7="Waiting on vendor",F7="On hold",F7="Partially paid",F7="Scheduled")</formula>
    </cfRule>
    <cfRule type="expression" priority="3" dxfId="0">
      <formula>=OR(F7="Overdue",F7="Delayed",F7="Damaged",F7="Missing item",F7="Rejected",F7="Revisions requested")</formula>
    </cfRule>
    <cfRule type="expression" priority="4" dxfId="3">
      <formula>=OR(F7="Cancelled",F7="On hold",F7="Returned")</formula>
    </cfRule>
  </conditionalFormatting>
  <conditionalFormatting sqref="I7:I206">
    <cfRule type="expression" priority="5" dxfId="2">
      <formula>=OR(I7="Complete",I7="Approved",I7="Delivered",I7="Installed",I7="Good condition",I7="Paid",I7="On budget")</formula>
    </cfRule>
    <cfRule type="expression" priority="6" dxfId="1">
      <formula>=OR(I7="Pending",I7="In progress",I7="Sent",I7="Waiting on client",I7="Waiting on vendor",I7="On hold",I7="Partially paid",I7="Scheduled")</formula>
    </cfRule>
    <cfRule type="expression" priority="7" dxfId="0">
      <formula>=OR(I7="Overdue",I7="Delayed",I7="Damaged",I7="Missing item",I7="Rejected",I7="Revisions requested")</formula>
    </cfRule>
    <cfRule type="expression" priority="8" dxfId="3">
      <formula>=OR(I7="Cancelled",I7="On hold",I7="Returned")</formula>
    </cfRule>
  </conditionalFormatting>
  <dataValidations count="6">
    <dataValidation sqref="B7:B206" showDropDown="0" showInputMessage="1" showErrorMessage="1" allowBlank="1" errorTitle="Invalid entry" error="Please choose a value from the dropdown list." promptTitle="Choose from the dropdown" prompt="Select a value from the list." type="list">
      <formula1>=RoomNames</formula1>
    </dataValidation>
    <dataValidation sqref="F7:F206" showDropDown="0" showInputMessage="1" showErrorMessage="1" allowBlank="1" errorTitle="Invalid entry" error="Please choose a value from the dropdown list." promptTitle="Choose from the dropdown" prompt="Select a value from the list." type="list">
      <formula1>=ApprovalStatuses</formula1>
    </dataValidation>
    <dataValidation sqref="I7:I206" showDropDown="0" showInputMessage="1" showErrorMessage="1" allowBlank="1" errorTitle="Invalid entry" error="Please choose a value from the dropdown list." promptTitle="Choose from the dropdown" prompt="Select a value from the list." type="list">
      <formula1>=YesNo</formula1>
    </dataValidation>
    <dataValidation sqref="C7:C206" showDropDown="0" showInputMessage="1" showErrorMessage="1" allowBlank="1" errorTitle="Invalid entry" error="Please choose a value from the dropdown list." promptTitle="Choose from the dropdown" prompt="Select a value from the list." type="list">
      <formula1>=ApprovalTypes</formula1>
    </dataValidation>
    <dataValidation sqref="D7:E206" showDropDown="0" showInputMessage="1" showErrorMessage="1" allowBlank="1" errorTitle="Invalid date" error="Enter a valid date between 1/1/1900 and 12/31/2100." promptTitle="Enter a date" prompt="Use a date such as 6/30/2026." type="date" operator="between">
      <formula1>DATE(1900,1,1)</formula1>
      <formula2>DATE(2100,12,31)</formula2>
    </dataValidation>
    <dataValidation sqref="J7:J206" showDropDown="0" showInputMessage="1" showErrorMessage="1" allowBlank="1" errorTitle="Invalid date" error="Enter a valid date between 1/1/1900 and 12/31/2100." promptTitle="Enter a date" prompt="Use a date such as 6/30/2026." type="date" operator="between">
      <formula1>DATE(1900,1,1)</formula1>
      <formula2>DATE(2100,12,31)</formula2>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15.xml><?xml version="1.0" encoding="utf-8"?>
<worksheet xmlns="http://schemas.openxmlformats.org/spreadsheetml/2006/main">
  <sheetPr>
    <tabColor rgb="00D6A756"/>
    <outlinePr summaryBelow="1" summaryRight="1"/>
    <pageSetUpPr fitToPage="1"/>
  </sheetPr>
  <dimension ref="A1:J206"/>
  <sheetViews>
    <sheetView showGridLines="0" zoomScale="85" workbookViewId="0">
      <pane ySplit="6" topLeftCell="A7" activePane="bottomLeft" state="frozen"/>
      <selection pane="bottomLeft" activeCell="A7" sqref="A1"/>
    </sheetView>
  </sheetViews>
  <sheetFormatPr baseColWidth="8" defaultRowHeight="15"/>
  <cols>
    <col width="20" customWidth="1" min="1" max="1"/>
    <col width="30" customWidth="1" min="2" max="2"/>
    <col width="22" customWidth="1" min="3" max="3"/>
    <col width="15" customWidth="1" min="4" max="4"/>
    <col width="15" customWidth="1" min="5" max="5"/>
    <col width="20" customWidth="1" min="6" max="6"/>
    <col width="18" customWidth="1" min="7" max="7"/>
    <col width="14" customWidth="1" min="8" max="8"/>
    <col width="24" customWidth="1" min="9" max="9"/>
    <col width="34" customWidth="1" min="10" max="10"/>
  </cols>
  <sheetData>
    <row r="1" ht="26" customHeight="1">
      <c r="A1" s="1" t="inlineStr">
        <is>
          <t>Project Timeline - Gantt</t>
        </is>
      </c>
    </row>
    <row r="2" ht="26" customHeight="1"/>
    <row r="3" ht="26" customHeight="1">
      <c r="A3" s="24" t="inlineStr">
        <is>
          <t>Manage phases, tasks, owners, dependencies, dates, and priorities. Use the dates for a simple Gantt-style workflow.</t>
        </is>
      </c>
    </row>
    <row r="4">
      <c r="A4" s="36" t="inlineStr">
        <is>
          <t>Tip: enter data in the warm cream cells. Blue cells calculate automatically. Use the filter arrows in row 6 to focus the view.</t>
        </is>
      </c>
    </row>
    <row r="6" ht="34" customHeight="1">
      <c r="A6" s="37" t="inlineStr">
        <is>
          <t>Phase</t>
        </is>
      </c>
      <c r="B6" s="37" t="inlineStr">
        <is>
          <t>Task</t>
        </is>
      </c>
      <c r="C6" s="37" t="inlineStr">
        <is>
          <t>Assigned to</t>
        </is>
      </c>
      <c r="D6" s="37" t="inlineStr">
        <is>
          <t>Start date</t>
        </is>
      </c>
      <c r="E6" s="37" t="inlineStr">
        <is>
          <t>Due date</t>
        </is>
      </c>
      <c r="F6" s="37" t="inlineStr">
        <is>
          <t>Completion date</t>
        </is>
      </c>
      <c r="G6" s="37" t="inlineStr">
        <is>
          <t>Status</t>
        </is>
      </c>
      <c r="H6" s="37" t="inlineStr">
        <is>
          <t>Priority</t>
        </is>
      </c>
      <c r="I6" s="37" t="inlineStr">
        <is>
          <t>Dependencies</t>
        </is>
      </c>
      <c r="J6" s="37" t="inlineStr">
        <is>
          <t>Notes</t>
        </is>
      </c>
    </row>
    <row r="7" ht="21" customHeight="1">
      <c r="A7" s="38" t="n"/>
      <c r="B7" s="38" t="n"/>
      <c r="C7" s="38" t="n"/>
      <c r="D7" s="42" t="n"/>
      <c r="E7" s="42" t="n"/>
      <c r="F7" s="42" t="n"/>
      <c r="G7" s="38" t="n"/>
      <c r="H7" s="38" t="n"/>
      <c r="I7" s="38" t="n"/>
      <c r="J7" s="38" t="n"/>
    </row>
    <row r="8" ht="21" customHeight="1">
      <c r="A8" s="38" t="n"/>
      <c r="B8" s="38" t="n"/>
      <c r="C8" s="38" t="n"/>
      <c r="D8" s="42" t="n"/>
      <c r="E8" s="42" t="n"/>
      <c r="F8" s="42" t="n"/>
      <c r="G8" s="38" t="n"/>
      <c r="H8" s="38" t="n"/>
      <c r="I8" s="38" t="n"/>
      <c r="J8" s="38" t="n"/>
    </row>
    <row r="9" ht="21" customHeight="1">
      <c r="A9" s="38" t="n"/>
      <c r="B9" s="38" t="n"/>
      <c r="C9" s="38" t="n"/>
      <c r="D9" s="42" t="n"/>
      <c r="E9" s="42" t="n"/>
      <c r="F9" s="42" t="n"/>
      <c r="G9" s="38" t="n"/>
      <c r="H9" s="38" t="n"/>
      <c r="I9" s="38" t="n"/>
      <c r="J9" s="38" t="n"/>
    </row>
    <row r="10" ht="21" customHeight="1">
      <c r="A10" s="38" t="n"/>
      <c r="B10" s="38" t="n"/>
      <c r="C10" s="38" t="n"/>
      <c r="D10" s="42" t="n"/>
      <c r="E10" s="42" t="n"/>
      <c r="F10" s="42" t="n"/>
      <c r="G10" s="38" t="n"/>
      <c r="H10" s="38" t="n"/>
      <c r="I10" s="38" t="n"/>
      <c r="J10" s="38" t="n"/>
    </row>
    <row r="11" ht="21" customHeight="1">
      <c r="A11" s="38" t="n"/>
      <c r="B11" s="38" t="n"/>
      <c r="C11" s="38" t="n"/>
      <c r="D11" s="42" t="n"/>
      <c r="E11" s="42" t="n"/>
      <c r="F11" s="42" t="n"/>
      <c r="G11" s="38" t="n"/>
      <c r="H11" s="38" t="n"/>
      <c r="I11" s="38" t="n"/>
      <c r="J11" s="38" t="n"/>
    </row>
    <row r="12" ht="21" customHeight="1">
      <c r="A12" s="38" t="n"/>
      <c r="B12" s="38" t="n"/>
      <c r="C12" s="38" t="n"/>
      <c r="D12" s="42" t="n"/>
      <c r="E12" s="42" t="n"/>
      <c r="F12" s="42" t="n"/>
      <c r="G12" s="38" t="n"/>
      <c r="H12" s="38" t="n"/>
      <c r="I12" s="38" t="n"/>
      <c r="J12" s="38" t="n"/>
    </row>
    <row r="13" ht="21" customHeight="1">
      <c r="A13" s="38" t="n"/>
      <c r="B13" s="38" t="n"/>
      <c r="C13" s="38" t="n"/>
      <c r="D13" s="42" t="n"/>
      <c r="E13" s="42" t="n"/>
      <c r="F13" s="42" t="n"/>
      <c r="G13" s="38" t="n"/>
      <c r="H13" s="38" t="n"/>
      <c r="I13" s="38" t="n"/>
      <c r="J13" s="38" t="n"/>
    </row>
    <row r="14" ht="21" customHeight="1">
      <c r="A14" s="38" t="n"/>
      <c r="B14" s="38" t="n"/>
      <c r="C14" s="38" t="n"/>
      <c r="D14" s="42" t="n"/>
      <c r="E14" s="42" t="n"/>
      <c r="F14" s="42" t="n"/>
      <c r="G14" s="38" t="n"/>
      <c r="H14" s="38" t="n"/>
      <c r="I14" s="38" t="n"/>
      <c r="J14" s="38" t="n"/>
    </row>
    <row r="15" ht="21" customHeight="1">
      <c r="A15" s="38" t="n"/>
      <c r="B15" s="38" t="n"/>
      <c r="C15" s="38" t="n"/>
      <c r="D15" s="42" t="n"/>
      <c r="E15" s="42" t="n"/>
      <c r="F15" s="42" t="n"/>
      <c r="G15" s="38" t="n"/>
      <c r="H15" s="38" t="n"/>
      <c r="I15" s="38" t="n"/>
      <c r="J15" s="38" t="n"/>
    </row>
    <row r="16" ht="21" customHeight="1">
      <c r="A16" s="38" t="n"/>
      <c r="B16" s="38" t="n"/>
      <c r="C16" s="38" t="n"/>
      <c r="D16" s="42" t="n"/>
      <c r="E16" s="42" t="n"/>
      <c r="F16" s="42" t="n"/>
      <c r="G16" s="38" t="n"/>
      <c r="H16" s="38" t="n"/>
      <c r="I16" s="38" t="n"/>
      <c r="J16" s="38" t="n"/>
    </row>
    <row r="17" ht="21" customHeight="1">
      <c r="A17" s="38" t="n"/>
      <c r="B17" s="38" t="n"/>
      <c r="C17" s="38" t="n"/>
      <c r="D17" s="42" t="n"/>
      <c r="E17" s="42" t="n"/>
      <c r="F17" s="42" t="n"/>
      <c r="G17" s="38" t="n"/>
      <c r="H17" s="38" t="n"/>
      <c r="I17" s="38" t="n"/>
      <c r="J17" s="38" t="n"/>
    </row>
    <row r="18" ht="21" customHeight="1">
      <c r="A18" s="38" t="n"/>
      <c r="B18" s="38" t="n"/>
      <c r="C18" s="38" t="n"/>
      <c r="D18" s="42" t="n"/>
      <c r="E18" s="42" t="n"/>
      <c r="F18" s="42" t="n"/>
      <c r="G18" s="38" t="n"/>
      <c r="H18" s="38" t="n"/>
      <c r="I18" s="38" t="n"/>
      <c r="J18" s="38" t="n"/>
    </row>
    <row r="19" ht="21" customHeight="1">
      <c r="A19" s="38" t="n"/>
      <c r="B19" s="38" t="n"/>
      <c r="C19" s="38" t="n"/>
      <c r="D19" s="42" t="n"/>
      <c r="E19" s="42" t="n"/>
      <c r="F19" s="42" t="n"/>
      <c r="G19" s="38" t="n"/>
      <c r="H19" s="38" t="n"/>
      <c r="I19" s="38" t="n"/>
      <c r="J19" s="38" t="n"/>
    </row>
    <row r="20" ht="21" customHeight="1">
      <c r="A20" s="38" t="n"/>
      <c r="B20" s="38" t="n"/>
      <c r="C20" s="38" t="n"/>
      <c r="D20" s="42" t="n"/>
      <c r="E20" s="42" t="n"/>
      <c r="F20" s="42" t="n"/>
      <c r="G20" s="38" t="n"/>
      <c r="H20" s="38" t="n"/>
      <c r="I20" s="38" t="n"/>
      <c r="J20" s="38" t="n"/>
    </row>
    <row r="21" ht="21" customHeight="1">
      <c r="A21" s="38" t="n"/>
      <c r="B21" s="38" t="n"/>
      <c r="C21" s="38" t="n"/>
      <c r="D21" s="42" t="n"/>
      <c r="E21" s="42" t="n"/>
      <c r="F21" s="42" t="n"/>
      <c r="G21" s="38" t="n"/>
      <c r="H21" s="38" t="n"/>
      <c r="I21" s="38" t="n"/>
      <c r="J21" s="38" t="n"/>
    </row>
    <row r="22" ht="21" customHeight="1">
      <c r="A22" s="38" t="n"/>
      <c r="B22" s="38" t="n"/>
      <c r="C22" s="38" t="n"/>
      <c r="D22" s="42" t="n"/>
      <c r="E22" s="42" t="n"/>
      <c r="F22" s="42" t="n"/>
      <c r="G22" s="38" t="n"/>
      <c r="H22" s="38" t="n"/>
      <c r="I22" s="38" t="n"/>
      <c r="J22" s="38" t="n"/>
    </row>
    <row r="23" ht="21" customHeight="1">
      <c r="A23" s="38" t="n"/>
      <c r="B23" s="38" t="n"/>
      <c r="C23" s="38" t="n"/>
      <c r="D23" s="42" t="n"/>
      <c r="E23" s="42" t="n"/>
      <c r="F23" s="42" t="n"/>
      <c r="G23" s="38" t="n"/>
      <c r="H23" s="38" t="n"/>
      <c r="I23" s="38" t="n"/>
      <c r="J23" s="38" t="n"/>
    </row>
    <row r="24" ht="21" customHeight="1">
      <c r="A24" s="38" t="n"/>
      <c r="B24" s="38" t="n"/>
      <c r="C24" s="38" t="n"/>
      <c r="D24" s="42" t="n"/>
      <c r="E24" s="42" t="n"/>
      <c r="F24" s="42" t="n"/>
      <c r="G24" s="38" t="n"/>
      <c r="H24" s="38" t="n"/>
      <c r="I24" s="38" t="n"/>
      <c r="J24" s="38" t="n"/>
    </row>
    <row r="25" ht="21" customHeight="1">
      <c r="A25" s="38" t="n"/>
      <c r="B25" s="38" t="n"/>
      <c r="C25" s="38" t="n"/>
      <c r="D25" s="42" t="n"/>
      <c r="E25" s="42" t="n"/>
      <c r="F25" s="42" t="n"/>
      <c r="G25" s="38" t="n"/>
      <c r="H25" s="38" t="n"/>
      <c r="I25" s="38" t="n"/>
      <c r="J25" s="38" t="n"/>
    </row>
    <row r="26" ht="21" customHeight="1">
      <c r="A26" s="38" t="n"/>
      <c r="B26" s="38" t="n"/>
      <c r="C26" s="38" t="n"/>
      <c r="D26" s="42" t="n"/>
      <c r="E26" s="42" t="n"/>
      <c r="F26" s="42" t="n"/>
      <c r="G26" s="38" t="n"/>
      <c r="H26" s="38" t="n"/>
      <c r="I26" s="38" t="n"/>
      <c r="J26" s="38" t="n"/>
    </row>
    <row r="27" ht="21" customHeight="1">
      <c r="A27" s="38" t="n"/>
      <c r="B27" s="38" t="n"/>
      <c r="C27" s="38" t="n"/>
      <c r="D27" s="42" t="n"/>
      <c r="E27" s="42" t="n"/>
      <c r="F27" s="42" t="n"/>
      <c r="G27" s="38" t="n"/>
      <c r="H27" s="38" t="n"/>
      <c r="I27" s="38" t="n"/>
      <c r="J27" s="38" t="n"/>
    </row>
    <row r="28" ht="21" customHeight="1">
      <c r="A28" s="38" t="n"/>
      <c r="B28" s="38" t="n"/>
      <c r="C28" s="38" t="n"/>
      <c r="D28" s="42" t="n"/>
      <c r="E28" s="42" t="n"/>
      <c r="F28" s="42" t="n"/>
      <c r="G28" s="38" t="n"/>
      <c r="H28" s="38" t="n"/>
      <c r="I28" s="38" t="n"/>
      <c r="J28" s="38" t="n"/>
    </row>
    <row r="29" ht="21" customHeight="1">
      <c r="A29" s="38" t="n"/>
      <c r="B29" s="38" t="n"/>
      <c r="C29" s="38" t="n"/>
      <c r="D29" s="42" t="n"/>
      <c r="E29" s="42" t="n"/>
      <c r="F29" s="42" t="n"/>
      <c r="G29" s="38" t="n"/>
      <c r="H29" s="38" t="n"/>
      <c r="I29" s="38" t="n"/>
      <c r="J29" s="38" t="n"/>
    </row>
    <row r="30" ht="21" customHeight="1">
      <c r="A30" s="38" t="n"/>
      <c r="B30" s="38" t="n"/>
      <c r="C30" s="38" t="n"/>
      <c r="D30" s="42" t="n"/>
      <c r="E30" s="42" t="n"/>
      <c r="F30" s="42" t="n"/>
      <c r="G30" s="38" t="n"/>
      <c r="H30" s="38" t="n"/>
      <c r="I30" s="38" t="n"/>
      <c r="J30" s="38" t="n"/>
    </row>
    <row r="31" ht="21" customHeight="1">
      <c r="A31" s="38" t="n"/>
      <c r="B31" s="38" t="n"/>
      <c r="C31" s="38" t="n"/>
      <c r="D31" s="42" t="n"/>
      <c r="E31" s="42" t="n"/>
      <c r="F31" s="42" t="n"/>
      <c r="G31" s="38" t="n"/>
      <c r="H31" s="38" t="n"/>
      <c r="I31" s="38" t="n"/>
      <c r="J31" s="38" t="n"/>
    </row>
    <row r="32" ht="21" customHeight="1">
      <c r="A32" s="38" t="n"/>
      <c r="B32" s="38" t="n"/>
      <c r="C32" s="38" t="n"/>
      <c r="D32" s="42" t="n"/>
      <c r="E32" s="42" t="n"/>
      <c r="F32" s="42" t="n"/>
      <c r="G32" s="38" t="n"/>
      <c r="H32" s="38" t="n"/>
      <c r="I32" s="38" t="n"/>
      <c r="J32" s="38" t="n"/>
    </row>
    <row r="33" ht="21" customHeight="1">
      <c r="A33" s="38" t="n"/>
      <c r="B33" s="38" t="n"/>
      <c r="C33" s="38" t="n"/>
      <c r="D33" s="42" t="n"/>
      <c r="E33" s="42" t="n"/>
      <c r="F33" s="42" t="n"/>
      <c r="G33" s="38" t="n"/>
      <c r="H33" s="38" t="n"/>
      <c r="I33" s="38" t="n"/>
      <c r="J33" s="38" t="n"/>
    </row>
    <row r="34" ht="21" customHeight="1">
      <c r="A34" s="38" t="n"/>
      <c r="B34" s="38" t="n"/>
      <c r="C34" s="38" t="n"/>
      <c r="D34" s="42" t="n"/>
      <c r="E34" s="42" t="n"/>
      <c r="F34" s="42" t="n"/>
      <c r="G34" s="38" t="n"/>
      <c r="H34" s="38" t="n"/>
      <c r="I34" s="38" t="n"/>
      <c r="J34" s="38" t="n"/>
    </row>
    <row r="35" ht="21" customHeight="1">
      <c r="A35" s="38" t="n"/>
      <c r="B35" s="38" t="n"/>
      <c r="C35" s="38" t="n"/>
      <c r="D35" s="42" t="n"/>
      <c r="E35" s="42" t="n"/>
      <c r="F35" s="42" t="n"/>
      <c r="G35" s="38" t="n"/>
      <c r="H35" s="38" t="n"/>
      <c r="I35" s="38" t="n"/>
      <c r="J35" s="38" t="n"/>
    </row>
    <row r="36" ht="21" customHeight="1">
      <c r="A36" s="38" t="n"/>
      <c r="B36" s="38" t="n"/>
      <c r="C36" s="38" t="n"/>
      <c r="D36" s="42" t="n"/>
      <c r="E36" s="42" t="n"/>
      <c r="F36" s="42" t="n"/>
      <c r="G36" s="38" t="n"/>
      <c r="H36" s="38" t="n"/>
      <c r="I36" s="38" t="n"/>
      <c r="J36" s="38" t="n"/>
    </row>
    <row r="37" ht="21" customHeight="1">
      <c r="A37" s="38" t="n"/>
      <c r="B37" s="38" t="n"/>
      <c r="C37" s="38" t="n"/>
      <c r="D37" s="42" t="n"/>
      <c r="E37" s="42" t="n"/>
      <c r="F37" s="42" t="n"/>
      <c r="G37" s="38" t="n"/>
      <c r="H37" s="38" t="n"/>
      <c r="I37" s="38" t="n"/>
      <c r="J37" s="38" t="n"/>
    </row>
    <row r="38" ht="21" customHeight="1">
      <c r="A38" s="38" t="n"/>
      <c r="B38" s="38" t="n"/>
      <c r="C38" s="38" t="n"/>
      <c r="D38" s="42" t="n"/>
      <c r="E38" s="42" t="n"/>
      <c r="F38" s="42" t="n"/>
      <c r="G38" s="38" t="n"/>
      <c r="H38" s="38" t="n"/>
      <c r="I38" s="38" t="n"/>
      <c r="J38" s="38" t="n"/>
    </row>
    <row r="39" ht="21" customHeight="1">
      <c r="A39" s="38" t="n"/>
      <c r="B39" s="38" t="n"/>
      <c r="C39" s="38" t="n"/>
      <c r="D39" s="42" t="n"/>
      <c r="E39" s="42" t="n"/>
      <c r="F39" s="42" t="n"/>
      <c r="G39" s="38" t="n"/>
      <c r="H39" s="38" t="n"/>
      <c r="I39" s="38" t="n"/>
      <c r="J39" s="38" t="n"/>
    </row>
    <row r="40" ht="21" customHeight="1">
      <c r="A40" s="38" t="n"/>
      <c r="B40" s="38" t="n"/>
      <c r="C40" s="38" t="n"/>
      <c r="D40" s="42" t="n"/>
      <c r="E40" s="42" t="n"/>
      <c r="F40" s="42" t="n"/>
      <c r="G40" s="38" t="n"/>
      <c r="H40" s="38" t="n"/>
      <c r="I40" s="38" t="n"/>
      <c r="J40" s="38" t="n"/>
    </row>
    <row r="41" ht="21" customHeight="1">
      <c r="A41" s="38" t="n"/>
      <c r="B41" s="38" t="n"/>
      <c r="C41" s="38" t="n"/>
      <c r="D41" s="42" t="n"/>
      <c r="E41" s="42" t="n"/>
      <c r="F41" s="42" t="n"/>
      <c r="G41" s="38" t="n"/>
      <c r="H41" s="38" t="n"/>
      <c r="I41" s="38" t="n"/>
      <c r="J41" s="38" t="n"/>
    </row>
    <row r="42" ht="21" customHeight="1">
      <c r="A42" s="38" t="n"/>
      <c r="B42" s="38" t="n"/>
      <c r="C42" s="38" t="n"/>
      <c r="D42" s="42" t="n"/>
      <c r="E42" s="42" t="n"/>
      <c r="F42" s="42" t="n"/>
      <c r="G42" s="38" t="n"/>
      <c r="H42" s="38" t="n"/>
      <c r="I42" s="38" t="n"/>
      <c r="J42" s="38" t="n"/>
    </row>
    <row r="43" ht="21" customHeight="1">
      <c r="A43" s="38" t="n"/>
      <c r="B43" s="38" t="n"/>
      <c r="C43" s="38" t="n"/>
      <c r="D43" s="42" t="n"/>
      <c r="E43" s="42" t="n"/>
      <c r="F43" s="42" t="n"/>
      <c r="G43" s="38" t="n"/>
      <c r="H43" s="38" t="n"/>
      <c r="I43" s="38" t="n"/>
      <c r="J43" s="38" t="n"/>
    </row>
    <row r="44" ht="21" customHeight="1">
      <c r="A44" s="38" t="n"/>
      <c r="B44" s="38" t="n"/>
      <c r="C44" s="38" t="n"/>
      <c r="D44" s="42" t="n"/>
      <c r="E44" s="42" t="n"/>
      <c r="F44" s="42" t="n"/>
      <c r="G44" s="38" t="n"/>
      <c r="H44" s="38" t="n"/>
      <c r="I44" s="38" t="n"/>
      <c r="J44" s="38" t="n"/>
    </row>
    <row r="45" ht="21" customHeight="1">
      <c r="A45" s="38" t="n"/>
      <c r="B45" s="38" t="n"/>
      <c r="C45" s="38" t="n"/>
      <c r="D45" s="42" t="n"/>
      <c r="E45" s="42" t="n"/>
      <c r="F45" s="42" t="n"/>
      <c r="G45" s="38" t="n"/>
      <c r="H45" s="38" t="n"/>
      <c r="I45" s="38" t="n"/>
      <c r="J45" s="38" t="n"/>
    </row>
    <row r="46" ht="21" customHeight="1">
      <c r="A46" s="38" t="n"/>
      <c r="B46" s="38" t="n"/>
      <c r="C46" s="38" t="n"/>
      <c r="D46" s="42" t="n"/>
      <c r="E46" s="42" t="n"/>
      <c r="F46" s="42" t="n"/>
      <c r="G46" s="38" t="n"/>
      <c r="H46" s="38" t="n"/>
      <c r="I46" s="38" t="n"/>
      <c r="J46" s="38" t="n"/>
    </row>
    <row r="47" ht="21" customHeight="1">
      <c r="A47" s="38" t="n"/>
      <c r="B47" s="38" t="n"/>
      <c r="C47" s="38" t="n"/>
      <c r="D47" s="42" t="n"/>
      <c r="E47" s="42" t="n"/>
      <c r="F47" s="42" t="n"/>
      <c r="G47" s="38" t="n"/>
      <c r="H47" s="38" t="n"/>
      <c r="I47" s="38" t="n"/>
      <c r="J47" s="38" t="n"/>
    </row>
    <row r="48" ht="21" customHeight="1">
      <c r="A48" s="38" t="n"/>
      <c r="B48" s="38" t="n"/>
      <c r="C48" s="38" t="n"/>
      <c r="D48" s="42" t="n"/>
      <c r="E48" s="42" t="n"/>
      <c r="F48" s="42" t="n"/>
      <c r="G48" s="38" t="n"/>
      <c r="H48" s="38" t="n"/>
      <c r="I48" s="38" t="n"/>
      <c r="J48" s="38" t="n"/>
    </row>
    <row r="49" ht="21" customHeight="1">
      <c r="A49" s="38" t="n"/>
      <c r="B49" s="38" t="n"/>
      <c r="C49" s="38" t="n"/>
      <c r="D49" s="42" t="n"/>
      <c r="E49" s="42" t="n"/>
      <c r="F49" s="42" t="n"/>
      <c r="G49" s="38" t="n"/>
      <c r="H49" s="38" t="n"/>
      <c r="I49" s="38" t="n"/>
      <c r="J49" s="38" t="n"/>
    </row>
    <row r="50" ht="21" customHeight="1">
      <c r="A50" s="38" t="n"/>
      <c r="B50" s="38" t="n"/>
      <c r="C50" s="38" t="n"/>
      <c r="D50" s="42" t="n"/>
      <c r="E50" s="42" t="n"/>
      <c r="F50" s="42" t="n"/>
      <c r="G50" s="38" t="n"/>
      <c r="H50" s="38" t="n"/>
      <c r="I50" s="38" t="n"/>
      <c r="J50" s="38" t="n"/>
    </row>
    <row r="51" ht="21" customHeight="1">
      <c r="A51" s="38" t="n"/>
      <c r="B51" s="38" t="n"/>
      <c r="C51" s="38" t="n"/>
      <c r="D51" s="42" t="n"/>
      <c r="E51" s="42" t="n"/>
      <c r="F51" s="42" t="n"/>
      <c r="G51" s="38" t="n"/>
      <c r="H51" s="38" t="n"/>
      <c r="I51" s="38" t="n"/>
      <c r="J51" s="38" t="n"/>
    </row>
    <row r="52" ht="21" customHeight="1">
      <c r="A52" s="38" t="n"/>
      <c r="B52" s="38" t="n"/>
      <c r="C52" s="38" t="n"/>
      <c r="D52" s="42" t="n"/>
      <c r="E52" s="42" t="n"/>
      <c r="F52" s="42" t="n"/>
      <c r="G52" s="38" t="n"/>
      <c r="H52" s="38" t="n"/>
      <c r="I52" s="38" t="n"/>
      <c r="J52" s="38" t="n"/>
    </row>
    <row r="53" ht="21" customHeight="1">
      <c r="A53" s="38" t="n"/>
      <c r="B53" s="38" t="n"/>
      <c r="C53" s="38" t="n"/>
      <c r="D53" s="42" t="n"/>
      <c r="E53" s="42" t="n"/>
      <c r="F53" s="42" t="n"/>
      <c r="G53" s="38" t="n"/>
      <c r="H53" s="38" t="n"/>
      <c r="I53" s="38" t="n"/>
      <c r="J53" s="38" t="n"/>
    </row>
    <row r="54" ht="21" customHeight="1">
      <c r="A54" s="38" t="n"/>
      <c r="B54" s="38" t="n"/>
      <c r="C54" s="38" t="n"/>
      <c r="D54" s="42" t="n"/>
      <c r="E54" s="42" t="n"/>
      <c r="F54" s="42" t="n"/>
      <c r="G54" s="38" t="n"/>
      <c r="H54" s="38" t="n"/>
      <c r="I54" s="38" t="n"/>
      <c r="J54" s="38" t="n"/>
    </row>
    <row r="55" ht="21" customHeight="1">
      <c r="A55" s="38" t="n"/>
      <c r="B55" s="38" t="n"/>
      <c r="C55" s="38" t="n"/>
      <c r="D55" s="42" t="n"/>
      <c r="E55" s="42" t="n"/>
      <c r="F55" s="42" t="n"/>
      <c r="G55" s="38" t="n"/>
      <c r="H55" s="38" t="n"/>
      <c r="I55" s="38" t="n"/>
      <c r="J55" s="38" t="n"/>
    </row>
    <row r="56" ht="21" customHeight="1">
      <c r="A56" s="38" t="n"/>
      <c r="B56" s="38" t="n"/>
      <c r="C56" s="38" t="n"/>
      <c r="D56" s="42" t="n"/>
      <c r="E56" s="42" t="n"/>
      <c r="F56" s="42" t="n"/>
      <c r="G56" s="38" t="n"/>
      <c r="H56" s="38" t="n"/>
      <c r="I56" s="38" t="n"/>
      <c r="J56" s="38" t="n"/>
    </row>
    <row r="57" ht="21" customHeight="1">
      <c r="A57" s="38" t="n"/>
      <c r="B57" s="38" t="n"/>
      <c r="C57" s="38" t="n"/>
      <c r="D57" s="42" t="n"/>
      <c r="E57" s="42" t="n"/>
      <c r="F57" s="42" t="n"/>
      <c r="G57" s="38" t="n"/>
      <c r="H57" s="38" t="n"/>
      <c r="I57" s="38" t="n"/>
      <c r="J57" s="38" t="n"/>
    </row>
    <row r="58" ht="21" customHeight="1">
      <c r="A58" s="38" t="n"/>
      <c r="B58" s="38" t="n"/>
      <c r="C58" s="38" t="n"/>
      <c r="D58" s="42" t="n"/>
      <c r="E58" s="42" t="n"/>
      <c r="F58" s="42" t="n"/>
      <c r="G58" s="38" t="n"/>
      <c r="H58" s="38" t="n"/>
      <c r="I58" s="38" t="n"/>
      <c r="J58" s="38" t="n"/>
    </row>
    <row r="59" ht="21" customHeight="1">
      <c r="A59" s="38" t="n"/>
      <c r="B59" s="38" t="n"/>
      <c r="C59" s="38" t="n"/>
      <c r="D59" s="42" t="n"/>
      <c r="E59" s="42" t="n"/>
      <c r="F59" s="42" t="n"/>
      <c r="G59" s="38" t="n"/>
      <c r="H59" s="38" t="n"/>
      <c r="I59" s="38" t="n"/>
      <c r="J59" s="38" t="n"/>
    </row>
    <row r="60" ht="21" customHeight="1">
      <c r="A60" s="38" t="n"/>
      <c r="B60" s="38" t="n"/>
      <c r="C60" s="38" t="n"/>
      <c r="D60" s="42" t="n"/>
      <c r="E60" s="42" t="n"/>
      <c r="F60" s="42" t="n"/>
      <c r="G60" s="38" t="n"/>
      <c r="H60" s="38" t="n"/>
      <c r="I60" s="38" t="n"/>
      <c r="J60" s="38" t="n"/>
    </row>
    <row r="61" ht="21" customHeight="1">
      <c r="A61" s="38" t="n"/>
      <c r="B61" s="38" t="n"/>
      <c r="C61" s="38" t="n"/>
      <c r="D61" s="42" t="n"/>
      <c r="E61" s="42" t="n"/>
      <c r="F61" s="42" t="n"/>
      <c r="G61" s="38" t="n"/>
      <c r="H61" s="38" t="n"/>
      <c r="I61" s="38" t="n"/>
      <c r="J61" s="38" t="n"/>
    </row>
    <row r="62" ht="21" customHeight="1">
      <c r="A62" s="38" t="n"/>
      <c r="B62" s="38" t="n"/>
      <c r="C62" s="38" t="n"/>
      <c r="D62" s="42" t="n"/>
      <c r="E62" s="42" t="n"/>
      <c r="F62" s="42" t="n"/>
      <c r="G62" s="38" t="n"/>
      <c r="H62" s="38" t="n"/>
      <c r="I62" s="38" t="n"/>
      <c r="J62" s="38" t="n"/>
    </row>
    <row r="63" ht="21" customHeight="1">
      <c r="A63" s="38" t="n"/>
      <c r="B63" s="38" t="n"/>
      <c r="C63" s="38" t="n"/>
      <c r="D63" s="42" t="n"/>
      <c r="E63" s="42" t="n"/>
      <c r="F63" s="42" t="n"/>
      <c r="G63" s="38" t="n"/>
      <c r="H63" s="38" t="n"/>
      <c r="I63" s="38" t="n"/>
      <c r="J63" s="38" t="n"/>
    </row>
    <row r="64" ht="21" customHeight="1">
      <c r="A64" s="38" t="n"/>
      <c r="B64" s="38" t="n"/>
      <c r="C64" s="38" t="n"/>
      <c r="D64" s="42" t="n"/>
      <c r="E64" s="42" t="n"/>
      <c r="F64" s="42" t="n"/>
      <c r="G64" s="38" t="n"/>
      <c r="H64" s="38" t="n"/>
      <c r="I64" s="38" t="n"/>
      <c r="J64" s="38" t="n"/>
    </row>
    <row r="65" ht="21" customHeight="1">
      <c r="A65" s="38" t="n"/>
      <c r="B65" s="38" t="n"/>
      <c r="C65" s="38" t="n"/>
      <c r="D65" s="42" t="n"/>
      <c r="E65" s="42" t="n"/>
      <c r="F65" s="42" t="n"/>
      <c r="G65" s="38" t="n"/>
      <c r="H65" s="38" t="n"/>
      <c r="I65" s="38" t="n"/>
      <c r="J65" s="38" t="n"/>
    </row>
    <row r="66" ht="21" customHeight="1">
      <c r="A66" s="38" t="n"/>
      <c r="B66" s="38" t="n"/>
      <c r="C66" s="38" t="n"/>
      <c r="D66" s="42" t="n"/>
      <c r="E66" s="42" t="n"/>
      <c r="F66" s="42" t="n"/>
      <c r="G66" s="38" t="n"/>
      <c r="H66" s="38" t="n"/>
      <c r="I66" s="38" t="n"/>
      <c r="J66" s="38" t="n"/>
    </row>
    <row r="67" ht="21" customHeight="1">
      <c r="A67" s="38" t="n"/>
      <c r="B67" s="38" t="n"/>
      <c r="C67" s="38" t="n"/>
      <c r="D67" s="42" t="n"/>
      <c r="E67" s="42" t="n"/>
      <c r="F67" s="42" t="n"/>
      <c r="G67" s="38" t="n"/>
      <c r="H67" s="38" t="n"/>
      <c r="I67" s="38" t="n"/>
      <c r="J67" s="38" t="n"/>
    </row>
    <row r="68" ht="21" customHeight="1">
      <c r="A68" s="38" t="n"/>
      <c r="B68" s="38" t="n"/>
      <c r="C68" s="38" t="n"/>
      <c r="D68" s="42" t="n"/>
      <c r="E68" s="42" t="n"/>
      <c r="F68" s="42" t="n"/>
      <c r="G68" s="38" t="n"/>
      <c r="H68" s="38" t="n"/>
      <c r="I68" s="38" t="n"/>
      <c r="J68" s="38" t="n"/>
    </row>
    <row r="69" ht="21" customHeight="1">
      <c r="A69" s="38" t="n"/>
      <c r="B69" s="38" t="n"/>
      <c r="C69" s="38" t="n"/>
      <c r="D69" s="42" t="n"/>
      <c r="E69" s="42" t="n"/>
      <c r="F69" s="42" t="n"/>
      <c r="G69" s="38" t="n"/>
      <c r="H69" s="38" t="n"/>
      <c r="I69" s="38" t="n"/>
      <c r="J69" s="38" t="n"/>
    </row>
    <row r="70" ht="21" customHeight="1">
      <c r="A70" s="38" t="n"/>
      <c r="B70" s="38" t="n"/>
      <c r="C70" s="38" t="n"/>
      <c r="D70" s="42" t="n"/>
      <c r="E70" s="42" t="n"/>
      <c r="F70" s="42" t="n"/>
      <c r="G70" s="38" t="n"/>
      <c r="H70" s="38" t="n"/>
      <c r="I70" s="38" t="n"/>
      <c r="J70" s="38" t="n"/>
    </row>
    <row r="71" ht="21" customHeight="1">
      <c r="A71" s="38" t="n"/>
      <c r="B71" s="38" t="n"/>
      <c r="C71" s="38" t="n"/>
      <c r="D71" s="42" t="n"/>
      <c r="E71" s="42" t="n"/>
      <c r="F71" s="42" t="n"/>
      <c r="G71" s="38" t="n"/>
      <c r="H71" s="38" t="n"/>
      <c r="I71" s="38" t="n"/>
      <c r="J71" s="38" t="n"/>
    </row>
    <row r="72" ht="21" customHeight="1">
      <c r="A72" s="38" t="n"/>
      <c r="B72" s="38" t="n"/>
      <c r="C72" s="38" t="n"/>
      <c r="D72" s="42" t="n"/>
      <c r="E72" s="42" t="n"/>
      <c r="F72" s="42" t="n"/>
      <c r="G72" s="38" t="n"/>
      <c r="H72" s="38" t="n"/>
      <c r="I72" s="38" t="n"/>
      <c r="J72" s="38" t="n"/>
    </row>
    <row r="73" ht="21" customHeight="1">
      <c r="A73" s="38" t="n"/>
      <c r="B73" s="38" t="n"/>
      <c r="C73" s="38" t="n"/>
      <c r="D73" s="42" t="n"/>
      <c r="E73" s="42" t="n"/>
      <c r="F73" s="42" t="n"/>
      <c r="G73" s="38" t="n"/>
      <c r="H73" s="38" t="n"/>
      <c r="I73" s="38" t="n"/>
      <c r="J73" s="38" t="n"/>
    </row>
    <row r="74" ht="21" customHeight="1">
      <c r="A74" s="38" t="n"/>
      <c r="B74" s="38" t="n"/>
      <c r="C74" s="38" t="n"/>
      <c r="D74" s="42" t="n"/>
      <c r="E74" s="42" t="n"/>
      <c r="F74" s="42" t="n"/>
      <c r="G74" s="38" t="n"/>
      <c r="H74" s="38" t="n"/>
      <c r="I74" s="38" t="n"/>
      <c r="J74" s="38" t="n"/>
    </row>
    <row r="75" ht="21" customHeight="1">
      <c r="A75" s="38" t="n"/>
      <c r="B75" s="38" t="n"/>
      <c r="C75" s="38" t="n"/>
      <c r="D75" s="42" t="n"/>
      <c r="E75" s="42" t="n"/>
      <c r="F75" s="42" t="n"/>
      <c r="G75" s="38" t="n"/>
      <c r="H75" s="38" t="n"/>
      <c r="I75" s="38" t="n"/>
      <c r="J75" s="38" t="n"/>
    </row>
    <row r="76" ht="21" customHeight="1">
      <c r="A76" s="38" t="n"/>
      <c r="B76" s="38" t="n"/>
      <c r="C76" s="38" t="n"/>
      <c r="D76" s="42" t="n"/>
      <c r="E76" s="42" t="n"/>
      <c r="F76" s="42" t="n"/>
      <c r="G76" s="38" t="n"/>
      <c r="H76" s="38" t="n"/>
      <c r="I76" s="38" t="n"/>
      <c r="J76" s="38" t="n"/>
    </row>
    <row r="77" ht="21" customHeight="1">
      <c r="A77" s="38" t="n"/>
      <c r="B77" s="38" t="n"/>
      <c r="C77" s="38" t="n"/>
      <c r="D77" s="42" t="n"/>
      <c r="E77" s="42" t="n"/>
      <c r="F77" s="42" t="n"/>
      <c r="G77" s="38" t="n"/>
      <c r="H77" s="38" t="n"/>
      <c r="I77" s="38" t="n"/>
      <c r="J77" s="38" t="n"/>
    </row>
    <row r="78" ht="21" customHeight="1">
      <c r="A78" s="38" t="n"/>
      <c r="B78" s="38" t="n"/>
      <c r="C78" s="38" t="n"/>
      <c r="D78" s="42" t="n"/>
      <c r="E78" s="42" t="n"/>
      <c r="F78" s="42" t="n"/>
      <c r="G78" s="38" t="n"/>
      <c r="H78" s="38" t="n"/>
      <c r="I78" s="38" t="n"/>
      <c r="J78" s="38" t="n"/>
    </row>
    <row r="79" ht="21" customHeight="1">
      <c r="A79" s="38" t="n"/>
      <c r="B79" s="38" t="n"/>
      <c r="C79" s="38" t="n"/>
      <c r="D79" s="42" t="n"/>
      <c r="E79" s="42" t="n"/>
      <c r="F79" s="42" t="n"/>
      <c r="G79" s="38" t="n"/>
      <c r="H79" s="38" t="n"/>
      <c r="I79" s="38" t="n"/>
      <c r="J79" s="38" t="n"/>
    </row>
    <row r="80" ht="21" customHeight="1">
      <c r="A80" s="38" t="n"/>
      <c r="B80" s="38" t="n"/>
      <c r="C80" s="38" t="n"/>
      <c r="D80" s="42" t="n"/>
      <c r="E80" s="42" t="n"/>
      <c r="F80" s="42" t="n"/>
      <c r="G80" s="38" t="n"/>
      <c r="H80" s="38" t="n"/>
      <c r="I80" s="38" t="n"/>
      <c r="J80" s="38" t="n"/>
    </row>
    <row r="81" ht="21" customHeight="1">
      <c r="A81" s="38" t="n"/>
      <c r="B81" s="38" t="n"/>
      <c r="C81" s="38" t="n"/>
      <c r="D81" s="42" t="n"/>
      <c r="E81" s="42" t="n"/>
      <c r="F81" s="42" t="n"/>
      <c r="G81" s="38" t="n"/>
      <c r="H81" s="38" t="n"/>
      <c r="I81" s="38" t="n"/>
      <c r="J81" s="38" t="n"/>
    </row>
    <row r="82" ht="21" customHeight="1">
      <c r="A82" s="38" t="n"/>
      <c r="B82" s="38" t="n"/>
      <c r="C82" s="38" t="n"/>
      <c r="D82" s="42" t="n"/>
      <c r="E82" s="42" t="n"/>
      <c r="F82" s="42" t="n"/>
      <c r="G82" s="38" t="n"/>
      <c r="H82" s="38" t="n"/>
      <c r="I82" s="38" t="n"/>
      <c r="J82" s="38" t="n"/>
    </row>
    <row r="83" ht="21" customHeight="1">
      <c r="A83" s="38" t="n"/>
      <c r="B83" s="38" t="n"/>
      <c r="C83" s="38" t="n"/>
      <c r="D83" s="42" t="n"/>
      <c r="E83" s="42" t="n"/>
      <c r="F83" s="42" t="n"/>
      <c r="G83" s="38" t="n"/>
      <c r="H83" s="38" t="n"/>
      <c r="I83" s="38" t="n"/>
      <c r="J83" s="38" t="n"/>
    </row>
    <row r="84" ht="21" customHeight="1">
      <c r="A84" s="38" t="n"/>
      <c r="B84" s="38" t="n"/>
      <c r="C84" s="38" t="n"/>
      <c r="D84" s="42" t="n"/>
      <c r="E84" s="42" t="n"/>
      <c r="F84" s="42" t="n"/>
      <c r="G84" s="38" t="n"/>
      <c r="H84" s="38" t="n"/>
      <c r="I84" s="38" t="n"/>
      <c r="J84" s="38" t="n"/>
    </row>
    <row r="85" ht="21" customHeight="1">
      <c r="A85" s="38" t="n"/>
      <c r="B85" s="38" t="n"/>
      <c r="C85" s="38" t="n"/>
      <c r="D85" s="42" t="n"/>
      <c r="E85" s="42" t="n"/>
      <c r="F85" s="42" t="n"/>
      <c r="G85" s="38" t="n"/>
      <c r="H85" s="38" t="n"/>
      <c r="I85" s="38" t="n"/>
      <c r="J85" s="38" t="n"/>
    </row>
    <row r="86" ht="21" customHeight="1">
      <c r="A86" s="38" t="n"/>
      <c r="B86" s="38" t="n"/>
      <c r="C86" s="38" t="n"/>
      <c r="D86" s="42" t="n"/>
      <c r="E86" s="42" t="n"/>
      <c r="F86" s="42" t="n"/>
      <c r="G86" s="38" t="n"/>
      <c r="H86" s="38" t="n"/>
      <c r="I86" s="38" t="n"/>
      <c r="J86" s="38" t="n"/>
    </row>
    <row r="87" ht="21" customHeight="1">
      <c r="A87" s="38" t="n"/>
      <c r="B87" s="38" t="n"/>
      <c r="C87" s="38" t="n"/>
      <c r="D87" s="42" t="n"/>
      <c r="E87" s="42" t="n"/>
      <c r="F87" s="42" t="n"/>
      <c r="G87" s="38" t="n"/>
      <c r="H87" s="38" t="n"/>
      <c r="I87" s="38" t="n"/>
      <c r="J87" s="38" t="n"/>
    </row>
    <row r="88" ht="21" customHeight="1">
      <c r="A88" s="38" t="n"/>
      <c r="B88" s="38" t="n"/>
      <c r="C88" s="38" t="n"/>
      <c r="D88" s="42" t="n"/>
      <c r="E88" s="42" t="n"/>
      <c r="F88" s="42" t="n"/>
      <c r="G88" s="38" t="n"/>
      <c r="H88" s="38" t="n"/>
      <c r="I88" s="38" t="n"/>
      <c r="J88" s="38" t="n"/>
    </row>
    <row r="89" ht="21" customHeight="1">
      <c r="A89" s="38" t="n"/>
      <c r="B89" s="38" t="n"/>
      <c r="C89" s="38" t="n"/>
      <c r="D89" s="42" t="n"/>
      <c r="E89" s="42" t="n"/>
      <c r="F89" s="42" t="n"/>
      <c r="G89" s="38" t="n"/>
      <c r="H89" s="38" t="n"/>
      <c r="I89" s="38" t="n"/>
      <c r="J89" s="38" t="n"/>
    </row>
    <row r="90" ht="21" customHeight="1">
      <c r="A90" s="38" t="n"/>
      <c r="B90" s="38" t="n"/>
      <c r="C90" s="38" t="n"/>
      <c r="D90" s="42" t="n"/>
      <c r="E90" s="42" t="n"/>
      <c r="F90" s="42" t="n"/>
      <c r="G90" s="38" t="n"/>
      <c r="H90" s="38" t="n"/>
      <c r="I90" s="38" t="n"/>
      <c r="J90" s="38" t="n"/>
    </row>
    <row r="91" ht="21" customHeight="1">
      <c r="A91" s="38" t="n"/>
      <c r="B91" s="38" t="n"/>
      <c r="C91" s="38" t="n"/>
      <c r="D91" s="42" t="n"/>
      <c r="E91" s="42" t="n"/>
      <c r="F91" s="42" t="n"/>
      <c r="G91" s="38" t="n"/>
      <c r="H91" s="38" t="n"/>
      <c r="I91" s="38" t="n"/>
      <c r="J91" s="38" t="n"/>
    </row>
    <row r="92" ht="21" customHeight="1">
      <c r="A92" s="38" t="n"/>
      <c r="B92" s="38" t="n"/>
      <c r="C92" s="38" t="n"/>
      <c r="D92" s="42" t="n"/>
      <c r="E92" s="42" t="n"/>
      <c r="F92" s="42" t="n"/>
      <c r="G92" s="38" t="n"/>
      <c r="H92" s="38" t="n"/>
      <c r="I92" s="38" t="n"/>
      <c r="J92" s="38" t="n"/>
    </row>
    <row r="93" ht="21" customHeight="1">
      <c r="A93" s="38" t="n"/>
      <c r="B93" s="38" t="n"/>
      <c r="C93" s="38" t="n"/>
      <c r="D93" s="42" t="n"/>
      <c r="E93" s="42" t="n"/>
      <c r="F93" s="42" t="n"/>
      <c r="G93" s="38" t="n"/>
      <c r="H93" s="38" t="n"/>
      <c r="I93" s="38" t="n"/>
      <c r="J93" s="38" t="n"/>
    </row>
    <row r="94" ht="21" customHeight="1">
      <c r="A94" s="38" t="n"/>
      <c r="B94" s="38" t="n"/>
      <c r="C94" s="38" t="n"/>
      <c r="D94" s="42" t="n"/>
      <c r="E94" s="42" t="n"/>
      <c r="F94" s="42" t="n"/>
      <c r="G94" s="38" t="n"/>
      <c r="H94" s="38" t="n"/>
      <c r="I94" s="38" t="n"/>
      <c r="J94" s="38" t="n"/>
    </row>
    <row r="95" ht="21" customHeight="1">
      <c r="A95" s="38" t="n"/>
      <c r="B95" s="38" t="n"/>
      <c r="C95" s="38" t="n"/>
      <c r="D95" s="42" t="n"/>
      <c r="E95" s="42" t="n"/>
      <c r="F95" s="42" t="n"/>
      <c r="G95" s="38" t="n"/>
      <c r="H95" s="38" t="n"/>
      <c r="I95" s="38" t="n"/>
      <c r="J95" s="38" t="n"/>
    </row>
    <row r="96" ht="21" customHeight="1">
      <c r="A96" s="38" t="n"/>
      <c r="B96" s="38" t="n"/>
      <c r="C96" s="38" t="n"/>
      <c r="D96" s="42" t="n"/>
      <c r="E96" s="42" t="n"/>
      <c r="F96" s="42" t="n"/>
      <c r="G96" s="38" t="n"/>
      <c r="H96" s="38" t="n"/>
      <c r="I96" s="38" t="n"/>
      <c r="J96" s="38" t="n"/>
    </row>
    <row r="97" ht="21" customHeight="1">
      <c r="A97" s="38" t="n"/>
      <c r="B97" s="38" t="n"/>
      <c r="C97" s="38" t="n"/>
      <c r="D97" s="42" t="n"/>
      <c r="E97" s="42" t="n"/>
      <c r="F97" s="42" t="n"/>
      <c r="G97" s="38" t="n"/>
      <c r="H97" s="38" t="n"/>
      <c r="I97" s="38" t="n"/>
      <c r="J97" s="38" t="n"/>
    </row>
    <row r="98" ht="21" customHeight="1">
      <c r="A98" s="38" t="n"/>
      <c r="B98" s="38" t="n"/>
      <c r="C98" s="38" t="n"/>
      <c r="D98" s="42" t="n"/>
      <c r="E98" s="42" t="n"/>
      <c r="F98" s="42" t="n"/>
      <c r="G98" s="38" t="n"/>
      <c r="H98" s="38" t="n"/>
      <c r="I98" s="38" t="n"/>
      <c r="J98" s="38" t="n"/>
    </row>
    <row r="99" ht="21" customHeight="1">
      <c r="A99" s="38" t="n"/>
      <c r="B99" s="38" t="n"/>
      <c r="C99" s="38" t="n"/>
      <c r="D99" s="42" t="n"/>
      <c r="E99" s="42" t="n"/>
      <c r="F99" s="42" t="n"/>
      <c r="G99" s="38" t="n"/>
      <c r="H99" s="38" t="n"/>
      <c r="I99" s="38" t="n"/>
      <c r="J99" s="38" t="n"/>
    </row>
    <row r="100" ht="21" customHeight="1">
      <c r="A100" s="38" t="n"/>
      <c r="B100" s="38" t="n"/>
      <c r="C100" s="38" t="n"/>
      <c r="D100" s="42" t="n"/>
      <c r="E100" s="42" t="n"/>
      <c r="F100" s="42" t="n"/>
      <c r="G100" s="38" t="n"/>
      <c r="H100" s="38" t="n"/>
      <c r="I100" s="38" t="n"/>
      <c r="J100" s="38" t="n"/>
    </row>
    <row r="101" ht="21" customHeight="1">
      <c r="A101" s="38" t="n"/>
      <c r="B101" s="38" t="n"/>
      <c r="C101" s="38" t="n"/>
      <c r="D101" s="42" t="n"/>
      <c r="E101" s="42" t="n"/>
      <c r="F101" s="42" t="n"/>
      <c r="G101" s="38" t="n"/>
      <c r="H101" s="38" t="n"/>
      <c r="I101" s="38" t="n"/>
      <c r="J101" s="38" t="n"/>
    </row>
    <row r="102" ht="21" customHeight="1">
      <c r="A102" s="38" t="n"/>
      <c r="B102" s="38" t="n"/>
      <c r="C102" s="38" t="n"/>
      <c r="D102" s="42" t="n"/>
      <c r="E102" s="42" t="n"/>
      <c r="F102" s="42" t="n"/>
      <c r="G102" s="38" t="n"/>
      <c r="H102" s="38" t="n"/>
      <c r="I102" s="38" t="n"/>
      <c r="J102" s="38" t="n"/>
    </row>
    <row r="103" ht="21" customHeight="1">
      <c r="A103" s="38" t="n"/>
      <c r="B103" s="38" t="n"/>
      <c r="C103" s="38" t="n"/>
      <c r="D103" s="42" t="n"/>
      <c r="E103" s="42" t="n"/>
      <c r="F103" s="42" t="n"/>
      <c r="G103" s="38" t="n"/>
      <c r="H103" s="38" t="n"/>
      <c r="I103" s="38" t="n"/>
      <c r="J103" s="38" t="n"/>
    </row>
    <row r="104" ht="21" customHeight="1">
      <c r="A104" s="38" t="n"/>
      <c r="B104" s="38" t="n"/>
      <c r="C104" s="38" t="n"/>
      <c r="D104" s="42" t="n"/>
      <c r="E104" s="42" t="n"/>
      <c r="F104" s="42" t="n"/>
      <c r="G104" s="38" t="n"/>
      <c r="H104" s="38" t="n"/>
      <c r="I104" s="38" t="n"/>
      <c r="J104" s="38" t="n"/>
    </row>
    <row r="105" ht="21" customHeight="1">
      <c r="A105" s="38" t="n"/>
      <c r="B105" s="38" t="n"/>
      <c r="C105" s="38" t="n"/>
      <c r="D105" s="42" t="n"/>
      <c r="E105" s="42" t="n"/>
      <c r="F105" s="42" t="n"/>
      <c r="G105" s="38" t="n"/>
      <c r="H105" s="38" t="n"/>
      <c r="I105" s="38" t="n"/>
      <c r="J105" s="38" t="n"/>
    </row>
    <row r="106" ht="21" customHeight="1">
      <c r="A106" s="38" t="n"/>
      <c r="B106" s="38" t="n"/>
      <c r="C106" s="38" t="n"/>
      <c r="D106" s="42" t="n"/>
      <c r="E106" s="42" t="n"/>
      <c r="F106" s="42" t="n"/>
      <c r="G106" s="38" t="n"/>
      <c r="H106" s="38" t="n"/>
      <c r="I106" s="38" t="n"/>
      <c r="J106" s="38" t="n"/>
    </row>
    <row r="107" ht="21" customHeight="1">
      <c r="A107" s="38" t="n"/>
      <c r="B107" s="38" t="n"/>
      <c r="C107" s="38" t="n"/>
      <c r="D107" s="42" t="n"/>
      <c r="E107" s="42" t="n"/>
      <c r="F107" s="42" t="n"/>
      <c r="G107" s="38" t="n"/>
      <c r="H107" s="38" t="n"/>
      <c r="I107" s="38" t="n"/>
      <c r="J107" s="38" t="n"/>
    </row>
    <row r="108" ht="21" customHeight="1">
      <c r="A108" s="38" t="n"/>
      <c r="B108" s="38" t="n"/>
      <c r="C108" s="38" t="n"/>
      <c r="D108" s="42" t="n"/>
      <c r="E108" s="42" t="n"/>
      <c r="F108" s="42" t="n"/>
      <c r="G108" s="38" t="n"/>
      <c r="H108" s="38" t="n"/>
      <c r="I108" s="38" t="n"/>
      <c r="J108" s="38" t="n"/>
    </row>
    <row r="109" ht="21" customHeight="1">
      <c r="A109" s="38" t="n"/>
      <c r="B109" s="38" t="n"/>
      <c r="C109" s="38" t="n"/>
      <c r="D109" s="42" t="n"/>
      <c r="E109" s="42" t="n"/>
      <c r="F109" s="42" t="n"/>
      <c r="G109" s="38" t="n"/>
      <c r="H109" s="38" t="n"/>
      <c r="I109" s="38" t="n"/>
      <c r="J109" s="38" t="n"/>
    </row>
    <row r="110" ht="21" customHeight="1">
      <c r="A110" s="38" t="n"/>
      <c r="B110" s="38" t="n"/>
      <c r="C110" s="38" t="n"/>
      <c r="D110" s="42" t="n"/>
      <c r="E110" s="42" t="n"/>
      <c r="F110" s="42" t="n"/>
      <c r="G110" s="38" t="n"/>
      <c r="H110" s="38" t="n"/>
      <c r="I110" s="38" t="n"/>
      <c r="J110" s="38" t="n"/>
    </row>
    <row r="111" ht="21" customHeight="1">
      <c r="A111" s="38" t="n"/>
      <c r="B111" s="38" t="n"/>
      <c r="C111" s="38" t="n"/>
      <c r="D111" s="42" t="n"/>
      <c r="E111" s="42" t="n"/>
      <c r="F111" s="42" t="n"/>
      <c r="G111" s="38" t="n"/>
      <c r="H111" s="38" t="n"/>
      <c r="I111" s="38" t="n"/>
      <c r="J111" s="38" t="n"/>
    </row>
    <row r="112" ht="21" customHeight="1">
      <c r="A112" s="38" t="n"/>
      <c r="B112" s="38" t="n"/>
      <c r="C112" s="38" t="n"/>
      <c r="D112" s="42" t="n"/>
      <c r="E112" s="42" t="n"/>
      <c r="F112" s="42" t="n"/>
      <c r="G112" s="38" t="n"/>
      <c r="H112" s="38" t="n"/>
      <c r="I112" s="38" t="n"/>
      <c r="J112" s="38" t="n"/>
    </row>
    <row r="113" ht="21" customHeight="1">
      <c r="A113" s="38" t="n"/>
      <c r="B113" s="38" t="n"/>
      <c r="C113" s="38" t="n"/>
      <c r="D113" s="42" t="n"/>
      <c r="E113" s="42" t="n"/>
      <c r="F113" s="42" t="n"/>
      <c r="G113" s="38" t="n"/>
      <c r="H113" s="38" t="n"/>
      <c r="I113" s="38" t="n"/>
      <c r="J113" s="38" t="n"/>
    </row>
    <row r="114" ht="21" customHeight="1">
      <c r="A114" s="38" t="n"/>
      <c r="B114" s="38" t="n"/>
      <c r="C114" s="38" t="n"/>
      <c r="D114" s="42" t="n"/>
      <c r="E114" s="42" t="n"/>
      <c r="F114" s="42" t="n"/>
      <c r="G114" s="38" t="n"/>
      <c r="H114" s="38" t="n"/>
      <c r="I114" s="38" t="n"/>
      <c r="J114" s="38" t="n"/>
    </row>
    <row r="115" ht="21" customHeight="1">
      <c r="A115" s="38" t="n"/>
      <c r="B115" s="38" t="n"/>
      <c r="C115" s="38" t="n"/>
      <c r="D115" s="42" t="n"/>
      <c r="E115" s="42" t="n"/>
      <c r="F115" s="42" t="n"/>
      <c r="G115" s="38" t="n"/>
      <c r="H115" s="38" t="n"/>
      <c r="I115" s="38" t="n"/>
      <c r="J115" s="38" t="n"/>
    </row>
    <row r="116" ht="21" customHeight="1">
      <c r="A116" s="38" t="n"/>
      <c r="B116" s="38" t="n"/>
      <c r="C116" s="38" t="n"/>
      <c r="D116" s="42" t="n"/>
      <c r="E116" s="42" t="n"/>
      <c r="F116" s="42" t="n"/>
      <c r="G116" s="38" t="n"/>
      <c r="H116" s="38" t="n"/>
      <c r="I116" s="38" t="n"/>
      <c r="J116" s="38" t="n"/>
    </row>
    <row r="117" ht="21" customHeight="1">
      <c r="A117" s="38" t="n"/>
      <c r="B117" s="38" t="n"/>
      <c r="C117" s="38" t="n"/>
      <c r="D117" s="42" t="n"/>
      <c r="E117" s="42" t="n"/>
      <c r="F117" s="42" t="n"/>
      <c r="G117" s="38" t="n"/>
      <c r="H117" s="38" t="n"/>
      <c r="I117" s="38" t="n"/>
      <c r="J117" s="38" t="n"/>
    </row>
    <row r="118" ht="21" customHeight="1">
      <c r="A118" s="38" t="n"/>
      <c r="B118" s="38" t="n"/>
      <c r="C118" s="38" t="n"/>
      <c r="D118" s="42" t="n"/>
      <c r="E118" s="42" t="n"/>
      <c r="F118" s="42" t="n"/>
      <c r="G118" s="38" t="n"/>
      <c r="H118" s="38" t="n"/>
      <c r="I118" s="38" t="n"/>
      <c r="J118" s="38" t="n"/>
    </row>
    <row r="119" ht="21" customHeight="1">
      <c r="A119" s="38" t="n"/>
      <c r="B119" s="38" t="n"/>
      <c r="C119" s="38" t="n"/>
      <c r="D119" s="42" t="n"/>
      <c r="E119" s="42" t="n"/>
      <c r="F119" s="42" t="n"/>
      <c r="G119" s="38" t="n"/>
      <c r="H119" s="38" t="n"/>
      <c r="I119" s="38" t="n"/>
      <c r="J119" s="38" t="n"/>
    </row>
    <row r="120" ht="21" customHeight="1">
      <c r="A120" s="38" t="n"/>
      <c r="B120" s="38" t="n"/>
      <c r="C120" s="38" t="n"/>
      <c r="D120" s="42" t="n"/>
      <c r="E120" s="42" t="n"/>
      <c r="F120" s="42" t="n"/>
      <c r="G120" s="38" t="n"/>
      <c r="H120" s="38" t="n"/>
      <c r="I120" s="38" t="n"/>
      <c r="J120" s="38" t="n"/>
    </row>
    <row r="121" ht="21" customHeight="1">
      <c r="A121" s="38" t="n"/>
      <c r="B121" s="38" t="n"/>
      <c r="C121" s="38" t="n"/>
      <c r="D121" s="42" t="n"/>
      <c r="E121" s="42" t="n"/>
      <c r="F121" s="42" t="n"/>
      <c r="G121" s="38" t="n"/>
      <c r="H121" s="38" t="n"/>
      <c r="I121" s="38" t="n"/>
      <c r="J121" s="38" t="n"/>
    </row>
    <row r="122" ht="21" customHeight="1">
      <c r="A122" s="38" t="n"/>
      <c r="B122" s="38" t="n"/>
      <c r="C122" s="38" t="n"/>
      <c r="D122" s="42" t="n"/>
      <c r="E122" s="42" t="n"/>
      <c r="F122" s="42" t="n"/>
      <c r="G122" s="38" t="n"/>
      <c r="H122" s="38" t="n"/>
      <c r="I122" s="38" t="n"/>
      <c r="J122" s="38" t="n"/>
    </row>
    <row r="123" ht="21" customHeight="1">
      <c r="A123" s="38" t="n"/>
      <c r="B123" s="38" t="n"/>
      <c r="C123" s="38" t="n"/>
      <c r="D123" s="42" t="n"/>
      <c r="E123" s="42" t="n"/>
      <c r="F123" s="42" t="n"/>
      <c r="G123" s="38" t="n"/>
      <c r="H123" s="38" t="n"/>
      <c r="I123" s="38" t="n"/>
      <c r="J123" s="38" t="n"/>
    </row>
    <row r="124" ht="21" customHeight="1">
      <c r="A124" s="38" t="n"/>
      <c r="B124" s="38" t="n"/>
      <c r="C124" s="38" t="n"/>
      <c r="D124" s="42" t="n"/>
      <c r="E124" s="42" t="n"/>
      <c r="F124" s="42" t="n"/>
      <c r="G124" s="38" t="n"/>
      <c r="H124" s="38" t="n"/>
      <c r="I124" s="38" t="n"/>
      <c r="J124" s="38" t="n"/>
    </row>
    <row r="125" ht="21" customHeight="1">
      <c r="A125" s="38" t="n"/>
      <c r="B125" s="38" t="n"/>
      <c r="C125" s="38" t="n"/>
      <c r="D125" s="42" t="n"/>
      <c r="E125" s="42" t="n"/>
      <c r="F125" s="42" t="n"/>
      <c r="G125" s="38" t="n"/>
      <c r="H125" s="38" t="n"/>
      <c r="I125" s="38" t="n"/>
      <c r="J125" s="38" t="n"/>
    </row>
    <row r="126" ht="21" customHeight="1">
      <c r="A126" s="38" t="n"/>
      <c r="B126" s="38" t="n"/>
      <c r="C126" s="38" t="n"/>
      <c r="D126" s="42" t="n"/>
      <c r="E126" s="42" t="n"/>
      <c r="F126" s="42" t="n"/>
      <c r="G126" s="38" t="n"/>
      <c r="H126" s="38" t="n"/>
      <c r="I126" s="38" t="n"/>
      <c r="J126" s="38" t="n"/>
    </row>
    <row r="127" ht="21" customHeight="1">
      <c r="A127" s="38" t="n"/>
      <c r="B127" s="38" t="n"/>
      <c r="C127" s="38" t="n"/>
      <c r="D127" s="42" t="n"/>
      <c r="E127" s="42" t="n"/>
      <c r="F127" s="42" t="n"/>
      <c r="G127" s="38" t="n"/>
      <c r="H127" s="38" t="n"/>
      <c r="I127" s="38" t="n"/>
      <c r="J127" s="38" t="n"/>
    </row>
    <row r="128" ht="21" customHeight="1">
      <c r="A128" s="38" t="n"/>
      <c r="B128" s="38" t="n"/>
      <c r="C128" s="38" t="n"/>
      <c r="D128" s="42" t="n"/>
      <c r="E128" s="42" t="n"/>
      <c r="F128" s="42" t="n"/>
      <c r="G128" s="38" t="n"/>
      <c r="H128" s="38" t="n"/>
      <c r="I128" s="38" t="n"/>
      <c r="J128" s="38" t="n"/>
    </row>
    <row r="129" ht="21" customHeight="1">
      <c r="A129" s="38" t="n"/>
      <c r="B129" s="38" t="n"/>
      <c r="C129" s="38" t="n"/>
      <c r="D129" s="42" t="n"/>
      <c r="E129" s="42" t="n"/>
      <c r="F129" s="42" t="n"/>
      <c r="G129" s="38" t="n"/>
      <c r="H129" s="38" t="n"/>
      <c r="I129" s="38" t="n"/>
      <c r="J129" s="38" t="n"/>
    </row>
    <row r="130" ht="21" customHeight="1">
      <c r="A130" s="38" t="n"/>
      <c r="B130" s="38" t="n"/>
      <c r="C130" s="38" t="n"/>
      <c r="D130" s="42" t="n"/>
      <c r="E130" s="42" t="n"/>
      <c r="F130" s="42" t="n"/>
      <c r="G130" s="38" t="n"/>
      <c r="H130" s="38" t="n"/>
      <c r="I130" s="38" t="n"/>
      <c r="J130" s="38" t="n"/>
    </row>
    <row r="131" ht="21" customHeight="1">
      <c r="A131" s="38" t="n"/>
      <c r="B131" s="38" t="n"/>
      <c r="C131" s="38" t="n"/>
      <c r="D131" s="42" t="n"/>
      <c r="E131" s="42" t="n"/>
      <c r="F131" s="42" t="n"/>
      <c r="G131" s="38" t="n"/>
      <c r="H131" s="38" t="n"/>
      <c r="I131" s="38" t="n"/>
      <c r="J131" s="38" t="n"/>
    </row>
    <row r="132" ht="21" customHeight="1">
      <c r="A132" s="38" t="n"/>
      <c r="B132" s="38" t="n"/>
      <c r="C132" s="38" t="n"/>
      <c r="D132" s="42" t="n"/>
      <c r="E132" s="42" t="n"/>
      <c r="F132" s="42" t="n"/>
      <c r="G132" s="38" t="n"/>
      <c r="H132" s="38" t="n"/>
      <c r="I132" s="38" t="n"/>
      <c r="J132" s="38" t="n"/>
    </row>
    <row r="133" ht="21" customHeight="1">
      <c r="A133" s="38" t="n"/>
      <c r="B133" s="38" t="n"/>
      <c r="C133" s="38" t="n"/>
      <c r="D133" s="42" t="n"/>
      <c r="E133" s="42" t="n"/>
      <c r="F133" s="42" t="n"/>
      <c r="G133" s="38" t="n"/>
      <c r="H133" s="38" t="n"/>
      <c r="I133" s="38" t="n"/>
      <c r="J133" s="38" t="n"/>
    </row>
    <row r="134" ht="21" customHeight="1">
      <c r="A134" s="38" t="n"/>
      <c r="B134" s="38" t="n"/>
      <c r="C134" s="38" t="n"/>
      <c r="D134" s="42" t="n"/>
      <c r="E134" s="42" t="n"/>
      <c r="F134" s="42" t="n"/>
      <c r="G134" s="38" t="n"/>
      <c r="H134" s="38" t="n"/>
      <c r="I134" s="38" t="n"/>
      <c r="J134" s="38" t="n"/>
    </row>
    <row r="135" ht="21" customHeight="1">
      <c r="A135" s="38" t="n"/>
      <c r="B135" s="38" t="n"/>
      <c r="C135" s="38" t="n"/>
      <c r="D135" s="42" t="n"/>
      <c r="E135" s="42" t="n"/>
      <c r="F135" s="42" t="n"/>
      <c r="G135" s="38" t="n"/>
      <c r="H135" s="38" t="n"/>
      <c r="I135" s="38" t="n"/>
      <c r="J135" s="38" t="n"/>
    </row>
    <row r="136" ht="21" customHeight="1">
      <c r="A136" s="38" t="n"/>
      <c r="B136" s="38" t="n"/>
      <c r="C136" s="38" t="n"/>
      <c r="D136" s="42" t="n"/>
      <c r="E136" s="42" t="n"/>
      <c r="F136" s="42" t="n"/>
      <c r="G136" s="38" t="n"/>
      <c r="H136" s="38" t="n"/>
      <c r="I136" s="38" t="n"/>
      <c r="J136" s="38" t="n"/>
    </row>
    <row r="137" ht="21" customHeight="1">
      <c r="A137" s="38" t="n"/>
      <c r="B137" s="38" t="n"/>
      <c r="C137" s="38" t="n"/>
      <c r="D137" s="42" t="n"/>
      <c r="E137" s="42" t="n"/>
      <c r="F137" s="42" t="n"/>
      <c r="G137" s="38" t="n"/>
      <c r="H137" s="38" t="n"/>
      <c r="I137" s="38" t="n"/>
      <c r="J137" s="38" t="n"/>
    </row>
    <row r="138" ht="21" customHeight="1">
      <c r="A138" s="38" t="n"/>
      <c r="B138" s="38" t="n"/>
      <c r="C138" s="38" t="n"/>
      <c r="D138" s="42" t="n"/>
      <c r="E138" s="42" t="n"/>
      <c r="F138" s="42" t="n"/>
      <c r="G138" s="38" t="n"/>
      <c r="H138" s="38" t="n"/>
      <c r="I138" s="38" t="n"/>
      <c r="J138" s="38" t="n"/>
    </row>
    <row r="139" ht="21" customHeight="1">
      <c r="A139" s="38" t="n"/>
      <c r="B139" s="38" t="n"/>
      <c r="C139" s="38" t="n"/>
      <c r="D139" s="42" t="n"/>
      <c r="E139" s="42" t="n"/>
      <c r="F139" s="42" t="n"/>
      <c r="G139" s="38" t="n"/>
      <c r="H139" s="38" t="n"/>
      <c r="I139" s="38" t="n"/>
      <c r="J139" s="38" t="n"/>
    </row>
    <row r="140" ht="21" customHeight="1">
      <c r="A140" s="38" t="n"/>
      <c r="B140" s="38" t="n"/>
      <c r="C140" s="38" t="n"/>
      <c r="D140" s="42" t="n"/>
      <c r="E140" s="42" t="n"/>
      <c r="F140" s="42" t="n"/>
      <c r="G140" s="38" t="n"/>
      <c r="H140" s="38" t="n"/>
      <c r="I140" s="38" t="n"/>
      <c r="J140" s="38" t="n"/>
    </row>
    <row r="141" ht="21" customHeight="1">
      <c r="A141" s="38" t="n"/>
      <c r="B141" s="38" t="n"/>
      <c r="C141" s="38" t="n"/>
      <c r="D141" s="42" t="n"/>
      <c r="E141" s="42" t="n"/>
      <c r="F141" s="42" t="n"/>
      <c r="G141" s="38" t="n"/>
      <c r="H141" s="38" t="n"/>
      <c r="I141" s="38" t="n"/>
      <c r="J141" s="38" t="n"/>
    </row>
    <row r="142" ht="21" customHeight="1">
      <c r="A142" s="38" t="n"/>
      <c r="B142" s="38" t="n"/>
      <c r="C142" s="38" t="n"/>
      <c r="D142" s="42" t="n"/>
      <c r="E142" s="42" t="n"/>
      <c r="F142" s="42" t="n"/>
      <c r="G142" s="38" t="n"/>
      <c r="H142" s="38" t="n"/>
      <c r="I142" s="38" t="n"/>
      <c r="J142" s="38" t="n"/>
    </row>
    <row r="143" ht="21" customHeight="1">
      <c r="A143" s="38" t="n"/>
      <c r="B143" s="38" t="n"/>
      <c r="C143" s="38" t="n"/>
      <c r="D143" s="42" t="n"/>
      <c r="E143" s="42" t="n"/>
      <c r="F143" s="42" t="n"/>
      <c r="G143" s="38" t="n"/>
      <c r="H143" s="38" t="n"/>
      <c r="I143" s="38" t="n"/>
      <c r="J143" s="38" t="n"/>
    </row>
    <row r="144" ht="21" customHeight="1">
      <c r="A144" s="38" t="n"/>
      <c r="B144" s="38" t="n"/>
      <c r="C144" s="38" t="n"/>
      <c r="D144" s="42" t="n"/>
      <c r="E144" s="42" t="n"/>
      <c r="F144" s="42" t="n"/>
      <c r="G144" s="38" t="n"/>
      <c r="H144" s="38" t="n"/>
      <c r="I144" s="38" t="n"/>
      <c r="J144" s="38" t="n"/>
    </row>
    <row r="145" ht="21" customHeight="1">
      <c r="A145" s="38" t="n"/>
      <c r="B145" s="38" t="n"/>
      <c r="C145" s="38" t="n"/>
      <c r="D145" s="42" t="n"/>
      <c r="E145" s="42" t="n"/>
      <c r="F145" s="42" t="n"/>
      <c r="G145" s="38" t="n"/>
      <c r="H145" s="38" t="n"/>
      <c r="I145" s="38" t="n"/>
      <c r="J145" s="38" t="n"/>
    </row>
    <row r="146" ht="21" customHeight="1">
      <c r="A146" s="38" t="n"/>
      <c r="B146" s="38" t="n"/>
      <c r="C146" s="38" t="n"/>
      <c r="D146" s="42" t="n"/>
      <c r="E146" s="42" t="n"/>
      <c r="F146" s="42" t="n"/>
      <c r="G146" s="38" t="n"/>
      <c r="H146" s="38" t="n"/>
      <c r="I146" s="38" t="n"/>
      <c r="J146" s="38" t="n"/>
    </row>
    <row r="147" ht="21" customHeight="1">
      <c r="A147" s="38" t="n"/>
      <c r="B147" s="38" t="n"/>
      <c r="C147" s="38" t="n"/>
      <c r="D147" s="42" t="n"/>
      <c r="E147" s="42" t="n"/>
      <c r="F147" s="42" t="n"/>
      <c r="G147" s="38" t="n"/>
      <c r="H147" s="38" t="n"/>
      <c r="I147" s="38" t="n"/>
      <c r="J147" s="38" t="n"/>
    </row>
    <row r="148" ht="21" customHeight="1">
      <c r="A148" s="38" t="n"/>
      <c r="B148" s="38" t="n"/>
      <c r="C148" s="38" t="n"/>
      <c r="D148" s="42" t="n"/>
      <c r="E148" s="42" t="n"/>
      <c r="F148" s="42" t="n"/>
      <c r="G148" s="38" t="n"/>
      <c r="H148" s="38" t="n"/>
      <c r="I148" s="38" t="n"/>
      <c r="J148" s="38" t="n"/>
    </row>
    <row r="149" ht="21" customHeight="1">
      <c r="A149" s="38" t="n"/>
      <c r="B149" s="38" t="n"/>
      <c r="C149" s="38" t="n"/>
      <c r="D149" s="42" t="n"/>
      <c r="E149" s="42" t="n"/>
      <c r="F149" s="42" t="n"/>
      <c r="G149" s="38" t="n"/>
      <c r="H149" s="38" t="n"/>
      <c r="I149" s="38" t="n"/>
      <c r="J149" s="38" t="n"/>
    </row>
    <row r="150" ht="21" customHeight="1">
      <c r="A150" s="38" t="n"/>
      <c r="B150" s="38" t="n"/>
      <c r="C150" s="38" t="n"/>
      <c r="D150" s="42" t="n"/>
      <c r="E150" s="42" t="n"/>
      <c r="F150" s="42" t="n"/>
      <c r="G150" s="38" t="n"/>
      <c r="H150" s="38" t="n"/>
      <c r="I150" s="38" t="n"/>
      <c r="J150" s="38" t="n"/>
    </row>
    <row r="151" ht="21" customHeight="1">
      <c r="A151" s="38" t="n"/>
      <c r="B151" s="38" t="n"/>
      <c r="C151" s="38" t="n"/>
      <c r="D151" s="42" t="n"/>
      <c r="E151" s="42" t="n"/>
      <c r="F151" s="42" t="n"/>
      <c r="G151" s="38" t="n"/>
      <c r="H151" s="38" t="n"/>
      <c r="I151" s="38" t="n"/>
      <c r="J151" s="38" t="n"/>
    </row>
    <row r="152" ht="21" customHeight="1">
      <c r="A152" s="38" t="n"/>
      <c r="B152" s="38" t="n"/>
      <c r="C152" s="38" t="n"/>
      <c r="D152" s="42" t="n"/>
      <c r="E152" s="42" t="n"/>
      <c r="F152" s="42" t="n"/>
      <c r="G152" s="38" t="n"/>
      <c r="H152" s="38" t="n"/>
      <c r="I152" s="38" t="n"/>
      <c r="J152" s="38" t="n"/>
    </row>
    <row r="153" ht="21" customHeight="1">
      <c r="A153" s="38" t="n"/>
      <c r="B153" s="38" t="n"/>
      <c r="C153" s="38" t="n"/>
      <c r="D153" s="42" t="n"/>
      <c r="E153" s="42" t="n"/>
      <c r="F153" s="42" t="n"/>
      <c r="G153" s="38" t="n"/>
      <c r="H153" s="38" t="n"/>
      <c r="I153" s="38" t="n"/>
      <c r="J153" s="38" t="n"/>
    </row>
    <row r="154" ht="21" customHeight="1">
      <c r="A154" s="38" t="n"/>
      <c r="B154" s="38" t="n"/>
      <c r="C154" s="38" t="n"/>
      <c r="D154" s="42" t="n"/>
      <c r="E154" s="42" t="n"/>
      <c r="F154" s="42" t="n"/>
      <c r="G154" s="38" t="n"/>
      <c r="H154" s="38" t="n"/>
      <c r="I154" s="38" t="n"/>
      <c r="J154" s="38" t="n"/>
    </row>
    <row r="155" ht="21" customHeight="1">
      <c r="A155" s="38" t="n"/>
      <c r="B155" s="38" t="n"/>
      <c r="C155" s="38" t="n"/>
      <c r="D155" s="42" t="n"/>
      <c r="E155" s="42" t="n"/>
      <c r="F155" s="42" t="n"/>
      <c r="G155" s="38" t="n"/>
      <c r="H155" s="38" t="n"/>
      <c r="I155" s="38" t="n"/>
      <c r="J155" s="38" t="n"/>
    </row>
    <row r="156" ht="21" customHeight="1">
      <c r="A156" s="38" t="n"/>
      <c r="B156" s="38" t="n"/>
      <c r="C156" s="38" t="n"/>
      <c r="D156" s="42" t="n"/>
      <c r="E156" s="42" t="n"/>
      <c r="F156" s="42" t="n"/>
      <c r="G156" s="38" t="n"/>
      <c r="H156" s="38" t="n"/>
      <c r="I156" s="38" t="n"/>
      <c r="J156" s="38" t="n"/>
    </row>
    <row r="157" ht="21" customHeight="1">
      <c r="A157" s="38" t="n"/>
      <c r="B157" s="38" t="n"/>
      <c r="C157" s="38" t="n"/>
      <c r="D157" s="42" t="n"/>
      <c r="E157" s="42" t="n"/>
      <c r="F157" s="42" t="n"/>
      <c r="G157" s="38" t="n"/>
      <c r="H157" s="38" t="n"/>
      <c r="I157" s="38" t="n"/>
      <c r="J157" s="38" t="n"/>
    </row>
    <row r="158" ht="21" customHeight="1">
      <c r="A158" s="38" t="n"/>
      <c r="B158" s="38" t="n"/>
      <c r="C158" s="38" t="n"/>
      <c r="D158" s="42" t="n"/>
      <c r="E158" s="42" t="n"/>
      <c r="F158" s="42" t="n"/>
      <c r="G158" s="38" t="n"/>
      <c r="H158" s="38" t="n"/>
      <c r="I158" s="38" t="n"/>
      <c r="J158" s="38" t="n"/>
    </row>
    <row r="159" ht="21" customHeight="1">
      <c r="A159" s="38" t="n"/>
      <c r="B159" s="38" t="n"/>
      <c r="C159" s="38" t="n"/>
      <c r="D159" s="42" t="n"/>
      <c r="E159" s="42" t="n"/>
      <c r="F159" s="42" t="n"/>
      <c r="G159" s="38" t="n"/>
      <c r="H159" s="38" t="n"/>
      <c r="I159" s="38" t="n"/>
      <c r="J159" s="38" t="n"/>
    </row>
    <row r="160" ht="21" customHeight="1">
      <c r="A160" s="38" t="n"/>
      <c r="B160" s="38" t="n"/>
      <c r="C160" s="38" t="n"/>
      <c r="D160" s="42" t="n"/>
      <c r="E160" s="42" t="n"/>
      <c r="F160" s="42" t="n"/>
      <c r="G160" s="38" t="n"/>
      <c r="H160" s="38" t="n"/>
      <c r="I160" s="38" t="n"/>
      <c r="J160" s="38" t="n"/>
    </row>
    <row r="161" ht="21" customHeight="1">
      <c r="A161" s="38" t="n"/>
      <c r="B161" s="38" t="n"/>
      <c r="C161" s="38" t="n"/>
      <c r="D161" s="42" t="n"/>
      <c r="E161" s="42" t="n"/>
      <c r="F161" s="42" t="n"/>
      <c r="G161" s="38" t="n"/>
      <c r="H161" s="38" t="n"/>
      <c r="I161" s="38" t="n"/>
      <c r="J161" s="38" t="n"/>
    </row>
    <row r="162" ht="21" customHeight="1">
      <c r="A162" s="38" t="n"/>
      <c r="B162" s="38" t="n"/>
      <c r="C162" s="38" t="n"/>
      <c r="D162" s="42" t="n"/>
      <c r="E162" s="42" t="n"/>
      <c r="F162" s="42" t="n"/>
      <c r="G162" s="38" t="n"/>
      <c r="H162" s="38" t="n"/>
      <c r="I162" s="38" t="n"/>
      <c r="J162" s="38" t="n"/>
    </row>
    <row r="163" ht="21" customHeight="1">
      <c r="A163" s="38" t="n"/>
      <c r="B163" s="38" t="n"/>
      <c r="C163" s="38" t="n"/>
      <c r="D163" s="42" t="n"/>
      <c r="E163" s="42" t="n"/>
      <c r="F163" s="42" t="n"/>
      <c r="G163" s="38" t="n"/>
      <c r="H163" s="38" t="n"/>
      <c r="I163" s="38" t="n"/>
      <c r="J163" s="38" t="n"/>
    </row>
    <row r="164" ht="21" customHeight="1">
      <c r="A164" s="38" t="n"/>
      <c r="B164" s="38" t="n"/>
      <c r="C164" s="38" t="n"/>
      <c r="D164" s="42" t="n"/>
      <c r="E164" s="42" t="n"/>
      <c r="F164" s="42" t="n"/>
      <c r="G164" s="38" t="n"/>
      <c r="H164" s="38" t="n"/>
      <c r="I164" s="38" t="n"/>
      <c r="J164" s="38" t="n"/>
    </row>
    <row r="165" ht="21" customHeight="1">
      <c r="A165" s="38" t="n"/>
      <c r="B165" s="38" t="n"/>
      <c r="C165" s="38" t="n"/>
      <c r="D165" s="42" t="n"/>
      <c r="E165" s="42" t="n"/>
      <c r="F165" s="42" t="n"/>
      <c r="G165" s="38" t="n"/>
      <c r="H165" s="38" t="n"/>
      <c r="I165" s="38" t="n"/>
      <c r="J165" s="38" t="n"/>
    </row>
    <row r="166" ht="21" customHeight="1">
      <c r="A166" s="38" t="n"/>
      <c r="B166" s="38" t="n"/>
      <c r="C166" s="38" t="n"/>
      <c r="D166" s="42" t="n"/>
      <c r="E166" s="42" t="n"/>
      <c r="F166" s="42" t="n"/>
      <c r="G166" s="38" t="n"/>
      <c r="H166" s="38" t="n"/>
      <c r="I166" s="38" t="n"/>
      <c r="J166" s="38" t="n"/>
    </row>
    <row r="167" ht="21" customHeight="1">
      <c r="A167" s="38" t="n"/>
      <c r="B167" s="38" t="n"/>
      <c r="C167" s="38" t="n"/>
      <c r="D167" s="42" t="n"/>
      <c r="E167" s="42" t="n"/>
      <c r="F167" s="42" t="n"/>
      <c r="G167" s="38" t="n"/>
      <c r="H167" s="38" t="n"/>
      <c r="I167" s="38" t="n"/>
      <c r="J167" s="38" t="n"/>
    </row>
    <row r="168" ht="21" customHeight="1">
      <c r="A168" s="38" t="n"/>
      <c r="B168" s="38" t="n"/>
      <c r="C168" s="38" t="n"/>
      <c r="D168" s="42" t="n"/>
      <c r="E168" s="42" t="n"/>
      <c r="F168" s="42" t="n"/>
      <c r="G168" s="38" t="n"/>
      <c r="H168" s="38" t="n"/>
      <c r="I168" s="38" t="n"/>
      <c r="J168" s="38" t="n"/>
    </row>
    <row r="169" ht="21" customHeight="1">
      <c r="A169" s="38" t="n"/>
      <c r="B169" s="38" t="n"/>
      <c r="C169" s="38" t="n"/>
      <c r="D169" s="42" t="n"/>
      <c r="E169" s="42" t="n"/>
      <c r="F169" s="42" t="n"/>
      <c r="G169" s="38" t="n"/>
      <c r="H169" s="38" t="n"/>
      <c r="I169" s="38" t="n"/>
      <c r="J169" s="38" t="n"/>
    </row>
    <row r="170" ht="21" customHeight="1">
      <c r="A170" s="38" t="n"/>
      <c r="B170" s="38" t="n"/>
      <c r="C170" s="38" t="n"/>
      <c r="D170" s="42" t="n"/>
      <c r="E170" s="42" t="n"/>
      <c r="F170" s="42" t="n"/>
      <c r="G170" s="38" t="n"/>
      <c r="H170" s="38" t="n"/>
      <c r="I170" s="38" t="n"/>
      <c r="J170" s="38" t="n"/>
    </row>
    <row r="171" ht="21" customHeight="1">
      <c r="A171" s="38" t="n"/>
      <c r="B171" s="38" t="n"/>
      <c r="C171" s="38" t="n"/>
      <c r="D171" s="42" t="n"/>
      <c r="E171" s="42" t="n"/>
      <c r="F171" s="42" t="n"/>
      <c r="G171" s="38" t="n"/>
      <c r="H171" s="38" t="n"/>
      <c r="I171" s="38" t="n"/>
      <c r="J171" s="38" t="n"/>
    </row>
    <row r="172" ht="21" customHeight="1">
      <c r="A172" s="38" t="n"/>
      <c r="B172" s="38" t="n"/>
      <c r="C172" s="38" t="n"/>
      <c r="D172" s="42" t="n"/>
      <c r="E172" s="42" t="n"/>
      <c r="F172" s="42" t="n"/>
      <c r="G172" s="38" t="n"/>
      <c r="H172" s="38" t="n"/>
      <c r="I172" s="38" t="n"/>
      <c r="J172" s="38" t="n"/>
    </row>
    <row r="173" ht="21" customHeight="1">
      <c r="A173" s="38" t="n"/>
      <c r="B173" s="38" t="n"/>
      <c r="C173" s="38" t="n"/>
      <c r="D173" s="42" t="n"/>
      <c r="E173" s="42" t="n"/>
      <c r="F173" s="42" t="n"/>
      <c r="G173" s="38" t="n"/>
      <c r="H173" s="38" t="n"/>
      <c r="I173" s="38" t="n"/>
      <c r="J173" s="38" t="n"/>
    </row>
    <row r="174" ht="21" customHeight="1">
      <c r="A174" s="38" t="n"/>
      <c r="B174" s="38" t="n"/>
      <c r="C174" s="38" t="n"/>
      <c r="D174" s="42" t="n"/>
      <c r="E174" s="42" t="n"/>
      <c r="F174" s="42" t="n"/>
      <c r="G174" s="38" t="n"/>
      <c r="H174" s="38" t="n"/>
      <c r="I174" s="38" t="n"/>
      <c r="J174" s="38" t="n"/>
    </row>
    <row r="175" ht="21" customHeight="1">
      <c r="A175" s="38" t="n"/>
      <c r="B175" s="38" t="n"/>
      <c r="C175" s="38" t="n"/>
      <c r="D175" s="42" t="n"/>
      <c r="E175" s="42" t="n"/>
      <c r="F175" s="42" t="n"/>
      <c r="G175" s="38" t="n"/>
      <c r="H175" s="38" t="n"/>
      <c r="I175" s="38" t="n"/>
      <c r="J175" s="38" t="n"/>
    </row>
    <row r="176" ht="21" customHeight="1">
      <c r="A176" s="38" t="n"/>
      <c r="B176" s="38" t="n"/>
      <c r="C176" s="38" t="n"/>
      <c r="D176" s="42" t="n"/>
      <c r="E176" s="42" t="n"/>
      <c r="F176" s="42" t="n"/>
      <c r="G176" s="38" t="n"/>
      <c r="H176" s="38" t="n"/>
      <c r="I176" s="38" t="n"/>
      <c r="J176" s="38" t="n"/>
    </row>
    <row r="177" ht="21" customHeight="1">
      <c r="A177" s="38" t="n"/>
      <c r="B177" s="38" t="n"/>
      <c r="C177" s="38" t="n"/>
      <c r="D177" s="42" t="n"/>
      <c r="E177" s="42" t="n"/>
      <c r="F177" s="42" t="n"/>
      <c r="G177" s="38" t="n"/>
      <c r="H177" s="38" t="n"/>
      <c r="I177" s="38" t="n"/>
      <c r="J177" s="38" t="n"/>
    </row>
    <row r="178" ht="21" customHeight="1">
      <c r="A178" s="38" t="n"/>
      <c r="B178" s="38" t="n"/>
      <c r="C178" s="38" t="n"/>
      <c r="D178" s="42" t="n"/>
      <c r="E178" s="42" t="n"/>
      <c r="F178" s="42" t="n"/>
      <c r="G178" s="38" t="n"/>
      <c r="H178" s="38" t="n"/>
      <c r="I178" s="38" t="n"/>
      <c r="J178" s="38" t="n"/>
    </row>
    <row r="179" ht="21" customHeight="1">
      <c r="A179" s="38" t="n"/>
      <c r="B179" s="38" t="n"/>
      <c r="C179" s="38" t="n"/>
      <c r="D179" s="42" t="n"/>
      <c r="E179" s="42" t="n"/>
      <c r="F179" s="42" t="n"/>
      <c r="G179" s="38" t="n"/>
      <c r="H179" s="38" t="n"/>
      <c r="I179" s="38" t="n"/>
      <c r="J179" s="38" t="n"/>
    </row>
    <row r="180" ht="21" customHeight="1">
      <c r="A180" s="38" t="n"/>
      <c r="B180" s="38" t="n"/>
      <c r="C180" s="38" t="n"/>
      <c r="D180" s="42" t="n"/>
      <c r="E180" s="42" t="n"/>
      <c r="F180" s="42" t="n"/>
      <c r="G180" s="38" t="n"/>
      <c r="H180" s="38" t="n"/>
      <c r="I180" s="38" t="n"/>
      <c r="J180" s="38" t="n"/>
    </row>
    <row r="181" ht="21" customHeight="1">
      <c r="A181" s="38" t="n"/>
      <c r="B181" s="38" t="n"/>
      <c r="C181" s="38" t="n"/>
      <c r="D181" s="42" t="n"/>
      <c r="E181" s="42" t="n"/>
      <c r="F181" s="42" t="n"/>
      <c r="G181" s="38" t="n"/>
      <c r="H181" s="38" t="n"/>
      <c r="I181" s="38" t="n"/>
      <c r="J181" s="38" t="n"/>
    </row>
    <row r="182" ht="21" customHeight="1">
      <c r="A182" s="38" t="n"/>
      <c r="B182" s="38" t="n"/>
      <c r="C182" s="38" t="n"/>
      <c r="D182" s="42" t="n"/>
      <c r="E182" s="42" t="n"/>
      <c r="F182" s="42" t="n"/>
      <c r="G182" s="38" t="n"/>
      <c r="H182" s="38" t="n"/>
      <c r="I182" s="38" t="n"/>
      <c r="J182" s="38" t="n"/>
    </row>
    <row r="183" ht="21" customHeight="1">
      <c r="A183" s="38" t="n"/>
      <c r="B183" s="38" t="n"/>
      <c r="C183" s="38" t="n"/>
      <c r="D183" s="42" t="n"/>
      <c r="E183" s="42" t="n"/>
      <c r="F183" s="42" t="n"/>
      <c r="G183" s="38" t="n"/>
      <c r="H183" s="38" t="n"/>
      <c r="I183" s="38" t="n"/>
      <c r="J183" s="38" t="n"/>
    </row>
    <row r="184" ht="21" customHeight="1">
      <c r="A184" s="38" t="n"/>
      <c r="B184" s="38" t="n"/>
      <c r="C184" s="38" t="n"/>
      <c r="D184" s="42" t="n"/>
      <c r="E184" s="42" t="n"/>
      <c r="F184" s="42" t="n"/>
      <c r="G184" s="38" t="n"/>
      <c r="H184" s="38" t="n"/>
      <c r="I184" s="38" t="n"/>
      <c r="J184" s="38" t="n"/>
    </row>
    <row r="185" ht="21" customHeight="1">
      <c r="A185" s="38" t="n"/>
      <c r="B185" s="38" t="n"/>
      <c r="C185" s="38" t="n"/>
      <c r="D185" s="42" t="n"/>
      <c r="E185" s="42" t="n"/>
      <c r="F185" s="42" t="n"/>
      <c r="G185" s="38" t="n"/>
      <c r="H185" s="38" t="n"/>
      <c r="I185" s="38" t="n"/>
      <c r="J185" s="38" t="n"/>
    </row>
    <row r="186" ht="21" customHeight="1">
      <c r="A186" s="38" t="n"/>
      <c r="B186" s="38" t="n"/>
      <c r="C186" s="38" t="n"/>
      <c r="D186" s="42" t="n"/>
      <c r="E186" s="42" t="n"/>
      <c r="F186" s="42" t="n"/>
      <c r="G186" s="38" t="n"/>
      <c r="H186" s="38" t="n"/>
      <c r="I186" s="38" t="n"/>
      <c r="J186" s="38" t="n"/>
    </row>
    <row r="187" ht="21" customHeight="1">
      <c r="A187" s="38" t="n"/>
      <c r="B187" s="38" t="n"/>
      <c r="C187" s="38" t="n"/>
      <c r="D187" s="42" t="n"/>
      <c r="E187" s="42" t="n"/>
      <c r="F187" s="42" t="n"/>
      <c r="G187" s="38" t="n"/>
      <c r="H187" s="38" t="n"/>
      <c r="I187" s="38" t="n"/>
      <c r="J187" s="38" t="n"/>
    </row>
    <row r="188" ht="21" customHeight="1">
      <c r="A188" s="38" t="n"/>
      <c r="B188" s="38" t="n"/>
      <c r="C188" s="38" t="n"/>
      <c r="D188" s="42" t="n"/>
      <c r="E188" s="42" t="n"/>
      <c r="F188" s="42" t="n"/>
      <c r="G188" s="38" t="n"/>
      <c r="H188" s="38" t="n"/>
      <c r="I188" s="38" t="n"/>
      <c r="J188" s="38" t="n"/>
    </row>
    <row r="189" ht="21" customHeight="1">
      <c r="A189" s="38" t="n"/>
      <c r="B189" s="38" t="n"/>
      <c r="C189" s="38" t="n"/>
      <c r="D189" s="42" t="n"/>
      <c r="E189" s="42" t="n"/>
      <c r="F189" s="42" t="n"/>
      <c r="G189" s="38" t="n"/>
      <c r="H189" s="38" t="n"/>
      <c r="I189" s="38" t="n"/>
      <c r="J189" s="38" t="n"/>
    </row>
    <row r="190" ht="21" customHeight="1">
      <c r="A190" s="38" t="n"/>
      <c r="B190" s="38" t="n"/>
      <c r="C190" s="38" t="n"/>
      <c r="D190" s="42" t="n"/>
      <c r="E190" s="42" t="n"/>
      <c r="F190" s="42" t="n"/>
      <c r="G190" s="38" t="n"/>
      <c r="H190" s="38" t="n"/>
      <c r="I190" s="38" t="n"/>
      <c r="J190" s="38" t="n"/>
    </row>
    <row r="191" ht="21" customHeight="1">
      <c r="A191" s="38" t="n"/>
      <c r="B191" s="38" t="n"/>
      <c r="C191" s="38" t="n"/>
      <c r="D191" s="42" t="n"/>
      <c r="E191" s="42" t="n"/>
      <c r="F191" s="42" t="n"/>
      <c r="G191" s="38" t="n"/>
      <c r="H191" s="38" t="n"/>
      <c r="I191" s="38" t="n"/>
      <c r="J191" s="38" t="n"/>
    </row>
    <row r="192" ht="21" customHeight="1">
      <c r="A192" s="38" t="n"/>
      <c r="B192" s="38" t="n"/>
      <c r="C192" s="38" t="n"/>
      <c r="D192" s="42" t="n"/>
      <c r="E192" s="42" t="n"/>
      <c r="F192" s="42" t="n"/>
      <c r="G192" s="38" t="n"/>
      <c r="H192" s="38" t="n"/>
      <c r="I192" s="38" t="n"/>
      <c r="J192" s="38" t="n"/>
    </row>
    <row r="193" ht="21" customHeight="1">
      <c r="A193" s="38" t="n"/>
      <c r="B193" s="38" t="n"/>
      <c r="C193" s="38" t="n"/>
      <c r="D193" s="42" t="n"/>
      <c r="E193" s="42" t="n"/>
      <c r="F193" s="42" t="n"/>
      <c r="G193" s="38" t="n"/>
      <c r="H193" s="38" t="n"/>
      <c r="I193" s="38" t="n"/>
      <c r="J193" s="38" t="n"/>
    </row>
    <row r="194" ht="21" customHeight="1">
      <c r="A194" s="38" t="n"/>
      <c r="B194" s="38" t="n"/>
      <c r="C194" s="38" t="n"/>
      <c r="D194" s="42" t="n"/>
      <c r="E194" s="42" t="n"/>
      <c r="F194" s="42" t="n"/>
      <c r="G194" s="38" t="n"/>
      <c r="H194" s="38" t="n"/>
      <c r="I194" s="38" t="n"/>
      <c r="J194" s="38" t="n"/>
    </row>
    <row r="195" ht="21" customHeight="1">
      <c r="A195" s="38" t="n"/>
      <c r="B195" s="38" t="n"/>
      <c r="C195" s="38" t="n"/>
      <c r="D195" s="42" t="n"/>
      <c r="E195" s="42" t="n"/>
      <c r="F195" s="42" t="n"/>
      <c r="G195" s="38" t="n"/>
      <c r="H195" s="38" t="n"/>
      <c r="I195" s="38" t="n"/>
      <c r="J195" s="38" t="n"/>
    </row>
    <row r="196" ht="21" customHeight="1">
      <c r="A196" s="38" t="n"/>
      <c r="B196" s="38" t="n"/>
      <c r="C196" s="38" t="n"/>
      <c r="D196" s="42" t="n"/>
      <c r="E196" s="42" t="n"/>
      <c r="F196" s="42" t="n"/>
      <c r="G196" s="38" t="n"/>
      <c r="H196" s="38" t="n"/>
      <c r="I196" s="38" t="n"/>
      <c r="J196" s="38" t="n"/>
    </row>
    <row r="197" ht="21" customHeight="1">
      <c r="A197" s="38" t="n"/>
      <c r="B197" s="38" t="n"/>
      <c r="C197" s="38" t="n"/>
      <c r="D197" s="42" t="n"/>
      <c r="E197" s="42" t="n"/>
      <c r="F197" s="42" t="n"/>
      <c r="G197" s="38" t="n"/>
      <c r="H197" s="38" t="n"/>
      <c r="I197" s="38" t="n"/>
      <c r="J197" s="38" t="n"/>
    </row>
    <row r="198" ht="21" customHeight="1">
      <c r="A198" s="38" t="n"/>
      <c r="B198" s="38" t="n"/>
      <c r="C198" s="38" t="n"/>
      <c r="D198" s="42" t="n"/>
      <c r="E198" s="42" t="n"/>
      <c r="F198" s="42" t="n"/>
      <c r="G198" s="38" t="n"/>
      <c r="H198" s="38" t="n"/>
      <c r="I198" s="38" t="n"/>
      <c r="J198" s="38" t="n"/>
    </row>
    <row r="199" ht="21" customHeight="1">
      <c r="A199" s="38" t="n"/>
      <c r="B199" s="38" t="n"/>
      <c r="C199" s="38" t="n"/>
      <c r="D199" s="42" t="n"/>
      <c r="E199" s="42" t="n"/>
      <c r="F199" s="42" t="n"/>
      <c r="G199" s="38" t="n"/>
      <c r="H199" s="38" t="n"/>
      <c r="I199" s="38" t="n"/>
      <c r="J199" s="38" t="n"/>
    </row>
    <row r="200" ht="21" customHeight="1">
      <c r="A200" s="38" t="n"/>
      <c r="B200" s="38" t="n"/>
      <c r="C200" s="38" t="n"/>
      <c r="D200" s="42" t="n"/>
      <c r="E200" s="42" t="n"/>
      <c r="F200" s="42" t="n"/>
      <c r="G200" s="38" t="n"/>
      <c r="H200" s="38" t="n"/>
      <c r="I200" s="38" t="n"/>
      <c r="J200" s="38" t="n"/>
    </row>
    <row r="201" ht="21" customHeight="1">
      <c r="A201" s="38" t="n"/>
      <c r="B201" s="38" t="n"/>
      <c r="C201" s="38" t="n"/>
      <c r="D201" s="42" t="n"/>
      <c r="E201" s="42" t="n"/>
      <c r="F201" s="42" t="n"/>
      <c r="G201" s="38" t="n"/>
      <c r="H201" s="38" t="n"/>
      <c r="I201" s="38" t="n"/>
      <c r="J201" s="38" t="n"/>
    </row>
    <row r="202" ht="21" customHeight="1">
      <c r="A202" s="38" t="n"/>
      <c r="B202" s="38" t="n"/>
      <c r="C202" s="38" t="n"/>
      <c r="D202" s="42" t="n"/>
      <c r="E202" s="42" t="n"/>
      <c r="F202" s="42" t="n"/>
      <c r="G202" s="38" t="n"/>
      <c r="H202" s="38" t="n"/>
      <c r="I202" s="38" t="n"/>
      <c r="J202" s="38" t="n"/>
    </row>
    <row r="203" ht="21" customHeight="1">
      <c r="A203" s="38" t="n"/>
      <c r="B203" s="38" t="n"/>
      <c r="C203" s="38" t="n"/>
      <c r="D203" s="42" t="n"/>
      <c r="E203" s="42" t="n"/>
      <c r="F203" s="42" t="n"/>
      <c r="G203" s="38" t="n"/>
      <c r="H203" s="38" t="n"/>
      <c r="I203" s="38" t="n"/>
      <c r="J203" s="38" t="n"/>
    </row>
    <row r="204" ht="21" customHeight="1">
      <c r="A204" s="38" t="n"/>
      <c r="B204" s="38" t="n"/>
      <c r="C204" s="38" t="n"/>
      <c r="D204" s="42" t="n"/>
      <c r="E204" s="42" t="n"/>
      <c r="F204" s="42" t="n"/>
      <c r="G204" s="38" t="n"/>
      <c r="H204" s="38" t="n"/>
      <c r="I204" s="38" t="n"/>
      <c r="J204" s="38" t="n"/>
    </row>
    <row r="205" ht="21" customHeight="1">
      <c r="A205" s="38" t="n"/>
      <c r="B205" s="38" t="n"/>
      <c r="C205" s="38" t="n"/>
      <c r="D205" s="42" t="n"/>
      <c r="E205" s="42" t="n"/>
      <c r="F205" s="42" t="n"/>
      <c r="G205" s="38" t="n"/>
      <c r="H205" s="38" t="n"/>
      <c r="I205" s="38" t="n"/>
      <c r="J205" s="38" t="n"/>
    </row>
    <row r="206" ht="21" customHeight="1">
      <c r="A206" s="38" t="n"/>
      <c r="B206" s="38" t="n"/>
      <c r="C206" s="38" t="n"/>
      <c r="D206" s="42" t="n"/>
      <c r="E206" s="42" t="n"/>
      <c r="F206" s="42" t="n"/>
      <c r="G206" s="38" t="n"/>
      <c r="H206" s="38" t="n"/>
      <c r="I206" s="38" t="n"/>
      <c r="J206" s="38" t="n"/>
    </row>
  </sheetData>
  <autoFilter ref="A6:J206"/>
  <mergeCells count="3">
    <mergeCell ref="A4:J4"/>
    <mergeCell ref="A1:J2"/>
    <mergeCell ref="A3:J3"/>
  </mergeCells>
  <conditionalFormatting sqref="G7:G206">
    <cfRule type="expression" priority="1" dxfId="2">
      <formula>=OR(G7="Complete",G7="Approved",G7="Delivered",G7="Installed",G7="Good condition",G7="Paid",G7="On budget")</formula>
    </cfRule>
    <cfRule type="expression" priority="2" dxfId="1">
      <formula>=OR(G7="Pending",G7="In progress",G7="Sent",G7="Waiting on client",G7="Waiting on vendor",G7="On hold",G7="Partially paid",G7="Scheduled")</formula>
    </cfRule>
    <cfRule type="expression" priority="3" dxfId="0">
      <formula>=OR(G7="Overdue",G7="Delayed",G7="Damaged",G7="Missing item",G7="Rejected",G7="Revisions requested")</formula>
    </cfRule>
    <cfRule type="expression" priority="4" dxfId="3">
      <formula>=OR(G7="Cancelled",G7="On hold",G7="Returned")</formula>
    </cfRule>
  </conditionalFormatting>
  <conditionalFormatting sqref="H7:H206">
    <cfRule type="expression" priority="5" dxfId="2">
      <formula>=OR(H7="Complete",H7="Approved",H7="Delivered",H7="Installed",H7="Good condition",H7="Paid",H7="On budget")</formula>
    </cfRule>
    <cfRule type="expression" priority="6" dxfId="1">
      <formula>=OR(H7="Pending",H7="In progress",H7="Sent",H7="Waiting on client",H7="Waiting on vendor",H7="On hold",H7="Partially paid",H7="Scheduled")</formula>
    </cfRule>
    <cfRule type="expression" priority="7" dxfId="0">
      <formula>=OR(H7="Overdue",H7="Delayed",H7="Damaged",H7="Missing item",H7="Rejected",H7="Revisions requested")</formula>
    </cfRule>
    <cfRule type="expression" priority="8" dxfId="3">
      <formula>=OR(H7="Cancelled",H7="On hold",H7="Returned")</formula>
    </cfRule>
  </conditionalFormatting>
  <conditionalFormatting sqref="E7:E206">
    <cfRule type="expression" priority="9" dxfId="0">
      <formula>=AND($E7&lt;TODAY(),$E7&lt;&gt;"",$G7&lt;&gt;"Complete",$B7&lt;&gt;"")</formula>
    </cfRule>
  </conditionalFormatting>
  <dataValidations count="4">
    <dataValidation sqref="A7:A206" showDropDown="0" showInputMessage="1" showErrorMessage="1" allowBlank="1" errorTitle="Invalid entry" error="Please choose a value from the dropdown list." promptTitle="Choose from the dropdown" prompt="Select a value from the list." type="list">
      <formula1>=TimelinePhases</formula1>
    </dataValidation>
    <dataValidation sqref="G7:G206" showDropDown="0" showInputMessage="1" showErrorMessage="1" allowBlank="1" errorTitle="Invalid entry" error="Please choose a value from the dropdown list." promptTitle="Choose from the dropdown" prompt="Select a value from the list." type="list">
      <formula1>=TaskStatuses</formula1>
    </dataValidation>
    <dataValidation sqref="H7:H206" showDropDown="0" showInputMessage="1" showErrorMessage="1" allowBlank="1" errorTitle="Invalid entry" error="Please choose a value from the dropdown list." promptTitle="Choose from the dropdown" prompt="Select a value from the list." type="list">
      <formula1>=PriorityLevels</formula1>
    </dataValidation>
    <dataValidation sqref="D7:F206" showDropDown="0" showInputMessage="1" showErrorMessage="1" allowBlank="1" errorTitle="Invalid date" error="Enter a valid date between 1/1/1900 and 12/31/2100." promptTitle="Enter a date" prompt="Use a date such as 6/30/2026." type="date" operator="between">
      <formula1>DATE(1900,1,1)</formula1>
      <formula2>DATE(2100,12,31)</formula2>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16.xml><?xml version="1.0" encoding="utf-8"?>
<worksheet xmlns="http://schemas.openxmlformats.org/spreadsheetml/2006/main">
  <sheetPr>
    <tabColor rgb="002F6F73"/>
    <outlinePr summaryBelow="1" summaryRight="1"/>
    <pageSetUpPr fitToPage="1"/>
  </sheetPr>
  <dimension ref="A1:H306"/>
  <sheetViews>
    <sheetView showGridLines="0" zoomScale="85" workbookViewId="0">
      <pane ySplit="6" topLeftCell="A7" activePane="bottomLeft" state="frozen"/>
      <selection pane="bottomLeft" activeCell="A7" sqref="A1"/>
    </sheetView>
  </sheetViews>
  <sheetFormatPr baseColWidth="8" defaultRowHeight="15"/>
  <cols>
    <col width="32" customWidth="1" min="1" max="1"/>
    <col width="20" customWidth="1" min="2" max="2"/>
    <col width="19" customWidth="1" min="3" max="3"/>
    <col width="22" customWidth="1" min="4" max="4"/>
    <col width="14" customWidth="1" min="5" max="5"/>
    <col width="15" customWidth="1" min="6" max="6"/>
    <col width="20" customWidth="1" min="7" max="7"/>
    <col width="38" customWidth="1" min="8" max="8"/>
  </cols>
  <sheetData>
    <row r="1" ht="26" customHeight="1">
      <c r="A1" s="1" t="inlineStr">
        <is>
          <t>Task &amp; To-Do List</t>
        </is>
      </c>
    </row>
    <row r="2" ht="26" customHeight="1"/>
    <row r="3" ht="26" customHeight="1">
      <c r="A3" s="24" t="inlineStr">
        <is>
          <t>Use this as the daily action list. Overdue open tasks are counted on the dashboard.</t>
        </is>
      </c>
    </row>
    <row r="4">
      <c r="A4" s="36" t="inlineStr">
        <is>
          <t>Tip: enter data in the warm cream cells. Blue cells calculate automatically. Use the filter arrows in row 6 to focus the view.</t>
        </is>
      </c>
    </row>
    <row r="6" ht="34" customHeight="1">
      <c r="A6" s="37" t="inlineStr">
        <is>
          <t>Task</t>
        </is>
      </c>
      <c r="B6" s="37" t="inlineStr">
        <is>
          <t>Room</t>
        </is>
      </c>
      <c r="C6" s="37" t="inlineStr">
        <is>
          <t>Category</t>
        </is>
      </c>
      <c r="D6" s="37" t="inlineStr">
        <is>
          <t>Assigned to</t>
        </is>
      </c>
      <c r="E6" s="37" t="inlineStr">
        <is>
          <t>Priority</t>
        </is>
      </c>
      <c r="F6" s="37" t="inlineStr">
        <is>
          <t>Due date</t>
        </is>
      </c>
      <c r="G6" s="37" t="inlineStr">
        <is>
          <t>Status</t>
        </is>
      </c>
      <c r="H6" s="37" t="inlineStr">
        <is>
          <t>Notes</t>
        </is>
      </c>
    </row>
    <row r="7" ht="21" customHeight="1">
      <c r="A7" s="38" t="n"/>
      <c r="B7" s="38" t="n"/>
      <c r="C7" s="38" t="n"/>
      <c r="D7" s="38" t="n"/>
      <c r="E7" s="38" t="n"/>
      <c r="F7" s="42" t="n"/>
      <c r="G7" s="38" t="n"/>
      <c r="H7" s="38" t="n"/>
    </row>
    <row r="8" ht="21" customHeight="1">
      <c r="A8" s="38" t="n"/>
      <c r="B8" s="38" t="n"/>
      <c r="C8" s="38" t="n"/>
      <c r="D8" s="38" t="n"/>
      <c r="E8" s="38" t="n"/>
      <c r="F8" s="42" t="n"/>
      <c r="G8" s="38" t="n"/>
      <c r="H8" s="38" t="n"/>
    </row>
    <row r="9" ht="21" customHeight="1">
      <c r="A9" s="38" t="n"/>
      <c r="B9" s="38" t="n"/>
      <c r="C9" s="38" t="n"/>
      <c r="D9" s="38" t="n"/>
      <c r="E9" s="38" t="n"/>
      <c r="F9" s="42" t="n"/>
      <c r="G9" s="38" t="n"/>
      <c r="H9" s="38" t="n"/>
    </row>
    <row r="10" ht="21" customHeight="1">
      <c r="A10" s="38" t="n"/>
      <c r="B10" s="38" t="n"/>
      <c r="C10" s="38" t="n"/>
      <c r="D10" s="38" t="n"/>
      <c r="E10" s="38" t="n"/>
      <c r="F10" s="42" t="n"/>
      <c r="G10" s="38" t="n"/>
      <c r="H10" s="38" t="n"/>
    </row>
    <row r="11" ht="21" customHeight="1">
      <c r="A11" s="38" t="n"/>
      <c r="B11" s="38" t="n"/>
      <c r="C11" s="38" t="n"/>
      <c r="D11" s="38" t="n"/>
      <c r="E11" s="38" t="n"/>
      <c r="F11" s="42" t="n"/>
      <c r="G11" s="38" t="n"/>
      <c r="H11" s="38" t="n"/>
    </row>
    <row r="12" ht="21" customHeight="1">
      <c r="A12" s="38" t="n"/>
      <c r="B12" s="38" t="n"/>
      <c r="C12" s="38" t="n"/>
      <c r="D12" s="38" t="n"/>
      <c r="E12" s="38" t="n"/>
      <c r="F12" s="42" t="n"/>
      <c r="G12" s="38" t="n"/>
      <c r="H12" s="38" t="n"/>
    </row>
    <row r="13" ht="21" customHeight="1">
      <c r="A13" s="38" t="n"/>
      <c r="B13" s="38" t="n"/>
      <c r="C13" s="38" t="n"/>
      <c r="D13" s="38" t="n"/>
      <c r="E13" s="38" t="n"/>
      <c r="F13" s="42" t="n"/>
      <c r="G13" s="38" t="n"/>
      <c r="H13" s="38" t="n"/>
    </row>
    <row r="14" ht="21" customHeight="1">
      <c r="A14" s="38" t="n"/>
      <c r="B14" s="38" t="n"/>
      <c r="C14" s="38" t="n"/>
      <c r="D14" s="38" t="n"/>
      <c r="E14" s="38" t="n"/>
      <c r="F14" s="42" t="n"/>
      <c r="G14" s="38" t="n"/>
      <c r="H14" s="38" t="n"/>
    </row>
    <row r="15" ht="21" customHeight="1">
      <c r="A15" s="38" t="n"/>
      <c r="B15" s="38" t="n"/>
      <c r="C15" s="38" t="n"/>
      <c r="D15" s="38" t="n"/>
      <c r="E15" s="38" t="n"/>
      <c r="F15" s="42" t="n"/>
      <c r="G15" s="38" t="n"/>
      <c r="H15" s="38" t="n"/>
    </row>
    <row r="16" ht="21" customHeight="1">
      <c r="A16" s="38" t="n"/>
      <c r="B16" s="38" t="n"/>
      <c r="C16" s="38" t="n"/>
      <c r="D16" s="38" t="n"/>
      <c r="E16" s="38" t="n"/>
      <c r="F16" s="42" t="n"/>
      <c r="G16" s="38" t="n"/>
      <c r="H16" s="38" t="n"/>
    </row>
    <row r="17" ht="21" customHeight="1">
      <c r="A17" s="38" t="n"/>
      <c r="B17" s="38" t="n"/>
      <c r="C17" s="38" t="n"/>
      <c r="D17" s="38" t="n"/>
      <c r="E17" s="38" t="n"/>
      <c r="F17" s="42" t="n"/>
      <c r="G17" s="38" t="n"/>
      <c r="H17" s="38" t="n"/>
    </row>
    <row r="18" ht="21" customHeight="1">
      <c r="A18" s="38" t="n"/>
      <c r="B18" s="38" t="n"/>
      <c r="C18" s="38" t="n"/>
      <c r="D18" s="38" t="n"/>
      <c r="E18" s="38" t="n"/>
      <c r="F18" s="42" t="n"/>
      <c r="G18" s="38" t="n"/>
      <c r="H18" s="38" t="n"/>
    </row>
    <row r="19" ht="21" customHeight="1">
      <c r="A19" s="38" t="n"/>
      <c r="B19" s="38" t="n"/>
      <c r="C19" s="38" t="n"/>
      <c r="D19" s="38" t="n"/>
      <c r="E19" s="38" t="n"/>
      <c r="F19" s="42" t="n"/>
      <c r="G19" s="38" t="n"/>
      <c r="H19" s="38" t="n"/>
    </row>
    <row r="20" ht="21" customHeight="1">
      <c r="A20" s="38" t="n"/>
      <c r="B20" s="38" t="n"/>
      <c r="C20" s="38" t="n"/>
      <c r="D20" s="38" t="n"/>
      <c r="E20" s="38" t="n"/>
      <c r="F20" s="42" t="n"/>
      <c r="G20" s="38" t="n"/>
      <c r="H20" s="38" t="n"/>
    </row>
    <row r="21" ht="21" customHeight="1">
      <c r="A21" s="38" t="n"/>
      <c r="B21" s="38" t="n"/>
      <c r="C21" s="38" t="n"/>
      <c r="D21" s="38" t="n"/>
      <c r="E21" s="38" t="n"/>
      <c r="F21" s="42" t="n"/>
      <c r="G21" s="38" t="n"/>
      <c r="H21" s="38" t="n"/>
    </row>
    <row r="22" ht="21" customHeight="1">
      <c r="A22" s="38" t="n"/>
      <c r="B22" s="38" t="n"/>
      <c r="C22" s="38" t="n"/>
      <c r="D22" s="38" t="n"/>
      <c r="E22" s="38" t="n"/>
      <c r="F22" s="42" t="n"/>
      <c r="G22" s="38" t="n"/>
      <c r="H22" s="38" t="n"/>
    </row>
    <row r="23" ht="21" customHeight="1">
      <c r="A23" s="38" t="n"/>
      <c r="B23" s="38" t="n"/>
      <c r="C23" s="38" t="n"/>
      <c r="D23" s="38" t="n"/>
      <c r="E23" s="38" t="n"/>
      <c r="F23" s="42" t="n"/>
      <c r="G23" s="38" t="n"/>
      <c r="H23" s="38" t="n"/>
    </row>
    <row r="24" ht="21" customHeight="1">
      <c r="A24" s="38" t="n"/>
      <c r="B24" s="38" t="n"/>
      <c r="C24" s="38" t="n"/>
      <c r="D24" s="38" t="n"/>
      <c r="E24" s="38" t="n"/>
      <c r="F24" s="42" t="n"/>
      <c r="G24" s="38" t="n"/>
      <c r="H24" s="38" t="n"/>
    </row>
    <row r="25" ht="21" customHeight="1">
      <c r="A25" s="38" t="n"/>
      <c r="B25" s="38" t="n"/>
      <c r="C25" s="38" t="n"/>
      <c r="D25" s="38" t="n"/>
      <c r="E25" s="38" t="n"/>
      <c r="F25" s="42" t="n"/>
      <c r="G25" s="38" t="n"/>
      <c r="H25" s="38" t="n"/>
    </row>
    <row r="26" ht="21" customHeight="1">
      <c r="A26" s="38" t="n"/>
      <c r="B26" s="38" t="n"/>
      <c r="C26" s="38" t="n"/>
      <c r="D26" s="38" t="n"/>
      <c r="E26" s="38" t="n"/>
      <c r="F26" s="42" t="n"/>
      <c r="G26" s="38" t="n"/>
      <c r="H26" s="38" t="n"/>
    </row>
    <row r="27" ht="21" customHeight="1">
      <c r="A27" s="38" t="n"/>
      <c r="B27" s="38" t="n"/>
      <c r="C27" s="38" t="n"/>
      <c r="D27" s="38" t="n"/>
      <c r="E27" s="38" t="n"/>
      <c r="F27" s="42" t="n"/>
      <c r="G27" s="38" t="n"/>
      <c r="H27" s="38" t="n"/>
    </row>
    <row r="28" ht="21" customHeight="1">
      <c r="A28" s="38" t="n"/>
      <c r="B28" s="38" t="n"/>
      <c r="C28" s="38" t="n"/>
      <c r="D28" s="38" t="n"/>
      <c r="E28" s="38" t="n"/>
      <c r="F28" s="42" t="n"/>
      <c r="G28" s="38" t="n"/>
      <c r="H28" s="38" t="n"/>
    </row>
    <row r="29" ht="21" customHeight="1">
      <c r="A29" s="38" t="n"/>
      <c r="B29" s="38" t="n"/>
      <c r="C29" s="38" t="n"/>
      <c r="D29" s="38" t="n"/>
      <c r="E29" s="38" t="n"/>
      <c r="F29" s="42" t="n"/>
      <c r="G29" s="38" t="n"/>
      <c r="H29" s="38" t="n"/>
    </row>
    <row r="30" ht="21" customHeight="1">
      <c r="A30" s="38" t="n"/>
      <c r="B30" s="38" t="n"/>
      <c r="C30" s="38" t="n"/>
      <c r="D30" s="38" t="n"/>
      <c r="E30" s="38" t="n"/>
      <c r="F30" s="42" t="n"/>
      <c r="G30" s="38" t="n"/>
      <c r="H30" s="38" t="n"/>
    </row>
    <row r="31" ht="21" customHeight="1">
      <c r="A31" s="38" t="n"/>
      <c r="B31" s="38" t="n"/>
      <c r="C31" s="38" t="n"/>
      <c r="D31" s="38" t="n"/>
      <c r="E31" s="38" t="n"/>
      <c r="F31" s="42" t="n"/>
      <c r="G31" s="38" t="n"/>
      <c r="H31" s="38" t="n"/>
    </row>
    <row r="32" ht="21" customHeight="1">
      <c r="A32" s="38" t="n"/>
      <c r="B32" s="38" t="n"/>
      <c r="C32" s="38" t="n"/>
      <c r="D32" s="38" t="n"/>
      <c r="E32" s="38" t="n"/>
      <c r="F32" s="42" t="n"/>
      <c r="G32" s="38" t="n"/>
      <c r="H32" s="38" t="n"/>
    </row>
    <row r="33" ht="21" customHeight="1">
      <c r="A33" s="38" t="n"/>
      <c r="B33" s="38" t="n"/>
      <c r="C33" s="38" t="n"/>
      <c r="D33" s="38" t="n"/>
      <c r="E33" s="38" t="n"/>
      <c r="F33" s="42" t="n"/>
      <c r="G33" s="38" t="n"/>
      <c r="H33" s="38" t="n"/>
    </row>
    <row r="34" ht="21" customHeight="1">
      <c r="A34" s="38" t="n"/>
      <c r="B34" s="38" t="n"/>
      <c r="C34" s="38" t="n"/>
      <c r="D34" s="38" t="n"/>
      <c r="E34" s="38" t="n"/>
      <c r="F34" s="42" t="n"/>
      <c r="G34" s="38" t="n"/>
      <c r="H34" s="38" t="n"/>
    </row>
    <row r="35" ht="21" customHeight="1">
      <c r="A35" s="38" t="n"/>
      <c r="B35" s="38" t="n"/>
      <c r="C35" s="38" t="n"/>
      <c r="D35" s="38" t="n"/>
      <c r="E35" s="38" t="n"/>
      <c r="F35" s="42" t="n"/>
      <c r="G35" s="38" t="n"/>
      <c r="H35" s="38" t="n"/>
    </row>
    <row r="36" ht="21" customHeight="1">
      <c r="A36" s="38" t="n"/>
      <c r="B36" s="38" t="n"/>
      <c r="C36" s="38" t="n"/>
      <c r="D36" s="38" t="n"/>
      <c r="E36" s="38" t="n"/>
      <c r="F36" s="42" t="n"/>
      <c r="G36" s="38" t="n"/>
      <c r="H36" s="38" t="n"/>
    </row>
    <row r="37" ht="21" customHeight="1">
      <c r="A37" s="38" t="n"/>
      <c r="B37" s="38" t="n"/>
      <c r="C37" s="38" t="n"/>
      <c r="D37" s="38" t="n"/>
      <c r="E37" s="38" t="n"/>
      <c r="F37" s="42" t="n"/>
      <c r="G37" s="38" t="n"/>
      <c r="H37" s="38" t="n"/>
    </row>
    <row r="38" ht="21" customHeight="1">
      <c r="A38" s="38" t="n"/>
      <c r="B38" s="38" t="n"/>
      <c r="C38" s="38" t="n"/>
      <c r="D38" s="38" t="n"/>
      <c r="E38" s="38" t="n"/>
      <c r="F38" s="42" t="n"/>
      <c r="G38" s="38" t="n"/>
      <c r="H38" s="38" t="n"/>
    </row>
    <row r="39" ht="21" customHeight="1">
      <c r="A39" s="38" t="n"/>
      <c r="B39" s="38" t="n"/>
      <c r="C39" s="38" t="n"/>
      <c r="D39" s="38" t="n"/>
      <c r="E39" s="38" t="n"/>
      <c r="F39" s="42" t="n"/>
      <c r="G39" s="38" t="n"/>
      <c r="H39" s="38" t="n"/>
    </row>
    <row r="40" ht="21" customHeight="1">
      <c r="A40" s="38" t="n"/>
      <c r="B40" s="38" t="n"/>
      <c r="C40" s="38" t="n"/>
      <c r="D40" s="38" t="n"/>
      <c r="E40" s="38" t="n"/>
      <c r="F40" s="42" t="n"/>
      <c r="G40" s="38" t="n"/>
      <c r="H40" s="38" t="n"/>
    </row>
    <row r="41" ht="21" customHeight="1">
      <c r="A41" s="38" t="n"/>
      <c r="B41" s="38" t="n"/>
      <c r="C41" s="38" t="n"/>
      <c r="D41" s="38" t="n"/>
      <c r="E41" s="38" t="n"/>
      <c r="F41" s="42" t="n"/>
      <c r="G41" s="38" t="n"/>
      <c r="H41" s="38" t="n"/>
    </row>
    <row r="42" ht="21" customHeight="1">
      <c r="A42" s="38" t="n"/>
      <c r="B42" s="38" t="n"/>
      <c r="C42" s="38" t="n"/>
      <c r="D42" s="38" t="n"/>
      <c r="E42" s="38" t="n"/>
      <c r="F42" s="42" t="n"/>
      <c r="G42" s="38" t="n"/>
      <c r="H42" s="38" t="n"/>
    </row>
    <row r="43" ht="21" customHeight="1">
      <c r="A43" s="38" t="n"/>
      <c r="B43" s="38" t="n"/>
      <c r="C43" s="38" t="n"/>
      <c r="D43" s="38" t="n"/>
      <c r="E43" s="38" t="n"/>
      <c r="F43" s="42" t="n"/>
      <c r="G43" s="38" t="n"/>
      <c r="H43" s="38" t="n"/>
    </row>
    <row r="44" ht="21" customHeight="1">
      <c r="A44" s="38" t="n"/>
      <c r="B44" s="38" t="n"/>
      <c r="C44" s="38" t="n"/>
      <c r="D44" s="38" t="n"/>
      <c r="E44" s="38" t="n"/>
      <c r="F44" s="42" t="n"/>
      <c r="G44" s="38" t="n"/>
      <c r="H44" s="38" t="n"/>
    </row>
    <row r="45" ht="21" customHeight="1">
      <c r="A45" s="38" t="n"/>
      <c r="B45" s="38" t="n"/>
      <c r="C45" s="38" t="n"/>
      <c r="D45" s="38" t="n"/>
      <c r="E45" s="38" t="n"/>
      <c r="F45" s="42" t="n"/>
      <c r="G45" s="38" t="n"/>
      <c r="H45" s="38" t="n"/>
    </row>
    <row r="46" ht="21" customHeight="1">
      <c r="A46" s="38" t="n"/>
      <c r="B46" s="38" t="n"/>
      <c r="C46" s="38" t="n"/>
      <c r="D46" s="38" t="n"/>
      <c r="E46" s="38" t="n"/>
      <c r="F46" s="42" t="n"/>
      <c r="G46" s="38" t="n"/>
      <c r="H46" s="38" t="n"/>
    </row>
    <row r="47" ht="21" customHeight="1">
      <c r="A47" s="38" t="n"/>
      <c r="B47" s="38" t="n"/>
      <c r="C47" s="38" t="n"/>
      <c r="D47" s="38" t="n"/>
      <c r="E47" s="38" t="n"/>
      <c r="F47" s="42" t="n"/>
      <c r="G47" s="38" t="n"/>
      <c r="H47" s="38" t="n"/>
    </row>
    <row r="48" ht="21" customHeight="1">
      <c r="A48" s="38" t="n"/>
      <c r="B48" s="38" t="n"/>
      <c r="C48" s="38" t="n"/>
      <c r="D48" s="38" t="n"/>
      <c r="E48" s="38" t="n"/>
      <c r="F48" s="42" t="n"/>
      <c r="G48" s="38" t="n"/>
      <c r="H48" s="38" t="n"/>
    </row>
    <row r="49" ht="21" customHeight="1">
      <c r="A49" s="38" t="n"/>
      <c r="B49" s="38" t="n"/>
      <c r="C49" s="38" t="n"/>
      <c r="D49" s="38" t="n"/>
      <c r="E49" s="38" t="n"/>
      <c r="F49" s="42" t="n"/>
      <c r="G49" s="38" t="n"/>
      <c r="H49" s="38" t="n"/>
    </row>
    <row r="50" ht="21" customHeight="1">
      <c r="A50" s="38" t="n"/>
      <c r="B50" s="38" t="n"/>
      <c r="C50" s="38" t="n"/>
      <c r="D50" s="38" t="n"/>
      <c r="E50" s="38" t="n"/>
      <c r="F50" s="42" t="n"/>
      <c r="G50" s="38" t="n"/>
      <c r="H50" s="38" t="n"/>
    </row>
    <row r="51" ht="21" customHeight="1">
      <c r="A51" s="38" t="n"/>
      <c r="B51" s="38" t="n"/>
      <c r="C51" s="38" t="n"/>
      <c r="D51" s="38" t="n"/>
      <c r="E51" s="38" t="n"/>
      <c r="F51" s="42" t="n"/>
      <c r="G51" s="38" t="n"/>
      <c r="H51" s="38" t="n"/>
    </row>
    <row r="52" ht="21" customHeight="1">
      <c r="A52" s="38" t="n"/>
      <c r="B52" s="38" t="n"/>
      <c r="C52" s="38" t="n"/>
      <c r="D52" s="38" t="n"/>
      <c r="E52" s="38" t="n"/>
      <c r="F52" s="42" t="n"/>
      <c r="G52" s="38" t="n"/>
      <c r="H52" s="38" t="n"/>
    </row>
    <row r="53" ht="21" customHeight="1">
      <c r="A53" s="38" t="n"/>
      <c r="B53" s="38" t="n"/>
      <c r="C53" s="38" t="n"/>
      <c r="D53" s="38" t="n"/>
      <c r="E53" s="38" t="n"/>
      <c r="F53" s="42" t="n"/>
      <c r="G53" s="38" t="n"/>
      <c r="H53" s="38" t="n"/>
    </row>
    <row r="54" ht="21" customHeight="1">
      <c r="A54" s="38" t="n"/>
      <c r="B54" s="38" t="n"/>
      <c r="C54" s="38" t="n"/>
      <c r="D54" s="38" t="n"/>
      <c r="E54" s="38" t="n"/>
      <c r="F54" s="42" t="n"/>
      <c r="G54" s="38" t="n"/>
      <c r="H54" s="38" t="n"/>
    </row>
    <row r="55" ht="21" customHeight="1">
      <c r="A55" s="38" t="n"/>
      <c r="B55" s="38" t="n"/>
      <c r="C55" s="38" t="n"/>
      <c r="D55" s="38" t="n"/>
      <c r="E55" s="38" t="n"/>
      <c r="F55" s="42" t="n"/>
      <c r="G55" s="38" t="n"/>
      <c r="H55" s="38" t="n"/>
    </row>
    <row r="56" ht="21" customHeight="1">
      <c r="A56" s="38" t="n"/>
      <c r="B56" s="38" t="n"/>
      <c r="C56" s="38" t="n"/>
      <c r="D56" s="38" t="n"/>
      <c r="E56" s="38" t="n"/>
      <c r="F56" s="42" t="n"/>
      <c r="G56" s="38" t="n"/>
      <c r="H56" s="38" t="n"/>
    </row>
    <row r="57" ht="21" customHeight="1">
      <c r="A57" s="38" t="n"/>
      <c r="B57" s="38" t="n"/>
      <c r="C57" s="38" t="n"/>
      <c r="D57" s="38" t="n"/>
      <c r="E57" s="38" t="n"/>
      <c r="F57" s="42" t="n"/>
      <c r="G57" s="38" t="n"/>
      <c r="H57" s="38" t="n"/>
    </row>
    <row r="58" ht="21" customHeight="1">
      <c r="A58" s="38" t="n"/>
      <c r="B58" s="38" t="n"/>
      <c r="C58" s="38" t="n"/>
      <c r="D58" s="38" t="n"/>
      <c r="E58" s="38" t="n"/>
      <c r="F58" s="42" t="n"/>
      <c r="G58" s="38" t="n"/>
      <c r="H58" s="38" t="n"/>
    </row>
    <row r="59" ht="21" customHeight="1">
      <c r="A59" s="38" t="n"/>
      <c r="B59" s="38" t="n"/>
      <c r="C59" s="38" t="n"/>
      <c r="D59" s="38" t="n"/>
      <c r="E59" s="38" t="n"/>
      <c r="F59" s="42" t="n"/>
      <c r="G59" s="38" t="n"/>
      <c r="H59" s="38" t="n"/>
    </row>
    <row r="60" ht="21" customHeight="1">
      <c r="A60" s="38" t="n"/>
      <c r="B60" s="38" t="n"/>
      <c r="C60" s="38" t="n"/>
      <c r="D60" s="38" t="n"/>
      <c r="E60" s="38" t="n"/>
      <c r="F60" s="42" t="n"/>
      <c r="G60" s="38" t="n"/>
      <c r="H60" s="38" t="n"/>
    </row>
    <row r="61" ht="21" customHeight="1">
      <c r="A61" s="38" t="n"/>
      <c r="B61" s="38" t="n"/>
      <c r="C61" s="38" t="n"/>
      <c r="D61" s="38" t="n"/>
      <c r="E61" s="38" t="n"/>
      <c r="F61" s="42" t="n"/>
      <c r="G61" s="38" t="n"/>
      <c r="H61" s="38" t="n"/>
    </row>
    <row r="62" ht="21" customHeight="1">
      <c r="A62" s="38" t="n"/>
      <c r="B62" s="38" t="n"/>
      <c r="C62" s="38" t="n"/>
      <c r="D62" s="38" t="n"/>
      <c r="E62" s="38" t="n"/>
      <c r="F62" s="42" t="n"/>
      <c r="G62" s="38" t="n"/>
      <c r="H62" s="38" t="n"/>
    </row>
    <row r="63" ht="21" customHeight="1">
      <c r="A63" s="38" t="n"/>
      <c r="B63" s="38" t="n"/>
      <c r="C63" s="38" t="n"/>
      <c r="D63" s="38" t="n"/>
      <c r="E63" s="38" t="n"/>
      <c r="F63" s="42" t="n"/>
      <c r="G63" s="38" t="n"/>
      <c r="H63" s="38" t="n"/>
    </row>
    <row r="64" ht="21" customHeight="1">
      <c r="A64" s="38" t="n"/>
      <c r="B64" s="38" t="n"/>
      <c r="C64" s="38" t="n"/>
      <c r="D64" s="38" t="n"/>
      <c r="E64" s="38" t="n"/>
      <c r="F64" s="42" t="n"/>
      <c r="G64" s="38" t="n"/>
      <c r="H64" s="38" t="n"/>
    </row>
    <row r="65" ht="21" customHeight="1">
      <c r="A65" s="38" t="n"/>
      <c r="B65" s="38" t="n"/>
      <c r="C65" s="38" t="n"/>
      <c r="D65" s="38" t="n"/>
      <c r="E65" s="38" t="n"/>
      <c r="F65" s="42" t="n"/>
      <c r="G65" s="38" t="n"/>
      <c r="H65" s="38" t="n"/>
    </row>
    <row r="66" ht="21" customHeight="1">
      <c r="A66" s="38" t="n"/>
      <c r="B66" s="38" t="n"/>
      <c r="C66" s="38" t="n"/>
      <c r="D66" s="38" t="n"/>
      <c r="E66" s="38" t="n"/>
      <c r="F66" s="42" t="n"/>
      <c r="G66" s="38" t="n"/>
      <c r="H66" s="38" t="n"/>
    </row>
    <row r="67" ht="21" customHeight="1">
      <c r="A67" s="38" t="n"/>
      <c r="B67" s="38" t="n"/>
      <c r="C67" s="38" t="n"/>
      <c r="D67" s="38" t="n"/>
      <c r="E67" s="38" t="n"/>
      <c r="F67" s="42" t="n"/>
      <c r="G67" s="38" t="n"/>
      <c r="H67" s="38" t="n"/>
    </row>
    <row r="68" ht="21" customHeight="1">
      <c r="A68" s="38" t="n"/>
      <c r="B68" s="38" t="n"/>
      <c r="C68" s="38" t="n"/>
      <c r="D68" s="38" t="n"/>
      <c r="E68" s="38" t="n"/>
      <c r="F68" s="42" t="n"/>
      <c r="G68" s="38" t="n"/>
      <c r="H68" s="38" t="n"/>
    </row>
    <row r="69" ht="21" customHeight="1">
      <c r="A69" s="38" t="n"/>
      <c r="B69" s="38" t="n"/>
      <c r="C69" s="38" t="n"/>
      <c r="D69" s="38" t="n"/>
      <c r="E69" s="38" t="n"/>
      <c r="F69" s="42" t="n"/>
      <c r="G69" s="38" t="n"/>
      <c r="H69" s="38" t="n"/>
    </row>
    <row r="70" ht="21" customHeight="1">
      <c r="A70" s="38" t="n"/>
      <c r="B70" s="38" t="n"/>
      <c r="C70" s="38" t="n"/>
      <c r="D70" s="38" t="n"/>
      <c r="E70" s="38" t="n"/>
      <c r="F70" s="42" t="n"/>
      <c r="G70" s="38" t="n"/>
      <c r="H70" s="38" t="n"/>
    </row>
    <row r="71" ht="21" customHeight="1">
      <c r="A71" s="38" t="n"/>
      <c r="B71" s="38" t="n"/>
      <c r="C71" s="38" t="n"/>
      <c r="D71" s="38" t="n"/>
      <c r="E71" s="38" t="n"/>
      <c r="F71" s="42" t="n"/>
      <c r="G71" s="38" t="n"/>
      <c r="H71" s="38" t="n"/>
    </row>
    <row r="72" ht="21" customHeight="1">
      <c r="A72" s="38" t="n"/>
      <c r="B72" s="38" t="n"/>
      <c r="C72" s="38" t="n"/>
      <c r="D72" s="38" t="n"/>
      <c r="E72" s="38" t="n"/>
      <c r="F72" s="42" t="n"/>
      <c r="G72" s="38" t="n"/>
      <c r="H72" s="38" t="n"/>
    </row>
    <row r="73" ht="21" customHeight="1">
      <c r="A73" s="38" t="n"/>
      <c r="B73" s="38" t="n"/>
      <c r="C73" s="38" t="n"/>
      <c r="D73" s="38" t="n"/>
      <c r="E73" s="38" t="n"/>
      <c r="F73" s="42" t="n"/>
      <c r="G73" s="38" t="n"/>
      <c r="H73" s="38" t="n"/>
    </row>
    <row r="74" ht="21" customHeight="1">
      <c r="A74" s="38" t="n"/>
      <c r="B74" s="38" t="n"/>
      <c r="C74" s="38" t="n"/>
      <c r="D74" s="38" t="n"/>
      <c r="E74" s="38" t="n"/>
      <c r="F74" s="42" t="n"/>
      <c r="G74" s="38" t="n"/>
      <c r="H74" s="38" t="n"/>
    </row>
    <row r="75" ht="21" customHeight="1">
      <c r="A75" s="38" t="n"/>
      <c r="B75" s="38" t="n"/>
      <c r="C75" s="38" t="n"/>
      <c r="D75" s="38" t="n"/>
      <c r="E75" s="38" t="n"/>
      <c r="F75" s="42" t="n"/>
      <c r="G75" s="38" t="n"/>
      <c r="H75" s="38" t="n"/>
    </row>
    <row r="76" ht="21" customHeight="1">
      <c r="A76" s="38" t="n"/>
      <c r="B76" s="38" t="n"/>
      <c r="C76" s="38" t="n"/>
      <c r="D76" s="38" t="n"/>
      <c r="E76" s="38" t="n"/>
      <c r="F76" s="42" t="n"/>
      <c r="G76" s="38" t="n"/>
      <c r="H76" s="38" t="n"/>
    </row>
    <row r="77" ht="21" customHeight="1">
      <c r="A77" s="38" t="n"/>
      <c r="B77" s="38" t="n"/>
      <c r="C77" s="38" t="n"/>
      <c r="D77" s="38" t="n"/>
      <c r="E77" s="38" t="n"/>
      <c r="F77" s="42" t="n"/>
      <c r="G77" s="38" t="n"/>
      <c r="H77" s="38" t="n"/>
    </row>
    <row r="78" ht="21" customHeight="1">
      <c r="A78" s="38" t="n"/>
      <c r="B78" s="38" t="n"/>
      <c r="C78" s="38" t="n"/>
      <c r="D78" s="38" t="n"/>
      <c r="E78" s="38" t="n"/>
      <c r="F78" s="42" t="n"/>
      <c r="G78" s="38" t="n"/>
      <c r="H78" s="38" t="n"/>
    </row>
    <row r="79" ht="21" customHeight="1">
      <c r="A79" s="38" t="n"/>
      <c r="B79" s="38" t="n"/>
      <c r="C79" s="38" t="n"/>
      <c r="D79" s="38" t="n"/>
      <c r="E79" s="38" t="n"/>
      <c r="F79" s="42" t="n"/>
      <c r="G79" s="38" t="n"/>
      <c r="H79" s="38" t="n"/>
    </row>
    <row r="80" ht="21" customHeight="1">
      <c r="A80" s="38" t="n"/>
      <c r="B80" s="38" t="n"/>
      <c r="C80" s="38" t="n"/>
      <c r="D80" s="38" t="n"/>
      <c r="E80" s="38" t="n"/>
      <c r="F80" s="42" t="n"/>
      <c r="G80" s="38" t="n"/>
      <c r="H80" s="38" t="n"/>
    </row>
    <row r="81" ht="21" customHeight="1">
      <c r="A81" s="38" t="n"/>
      <c r="B81" s="38" t="n"/>
      <c r="C81" s="38" t="n"/>
      <c r="D81" s="38" t="n"/>
      <c r="E81" s="38" t="n"/>
      <c r="F81" s="42" t="n"/>
      <c r="G81" s="38" t="n"/>
      <c r="H81" s="38" t="n"/>
    </row>
    <row r="82" ht="21" customHeight="1">
      <c r="A82" s="38" t="n"/>
      <c r="B82" s="38" t="n"/>
      <c r="C82" s="38" t="n"/>
      <c r="D82" s="38" t="n"/>
      <c r="E82" s="38" t="n"/>
      <c r="F82" s="42" t="n"/>
      <c r="G82" s="38" t="n"/>
      <c r="H82" s="38" t="n"/>
    </row>
    <row r="83" ht="21" customHeight="1">
      <c r="A83" s="38" t="n"/>
      <c r="B83" s="38" t="n"/>
      <c r="C83" s="38" t="n"/>
      <c r="D83" s="38" t="n"/>
      <c r="E83" s="38" t="n"/>
      <c r="F83" s="42" t="n"/>
      <c r="G83" s="38" t="n"/>
      <c r="H83" s="38" t="n"/>
    </row>
    <row r="84" ht="21" customHeight="1">
      <c r="A84" s="38" t="n"/>
      <c r="B84" s="38" t="n"/>
      <c r="C84" s="38" t="n"/>
      <c r="D84" s="38" t="n"/>
      <c r="E84" s="38" t="n"/>
      <c r="F84" s="42" t="n"/>
      <c r="G84" s="38" t="n"/>
      <c r="H84" s="38" t="n"/>
    </row>
    <row r="85" ht="21" customHeight="1">
      <c r="A85" s="38" t="n"/>
      <c r="B85" s="38" t="n"/>
      <c r="C85" s="38" t="n"/>
      <c r="D85" s="38" t="n"/>
      <c r="E85" s="38" t="n"/>
      <c r="F85" s="42" t="n"/>
      <c r="G85" s="38" t="n"/>
      <c r="H85" s="38" t="n"/>
    </row>
    <row r="86" ht="21" customHeight="1">
      <c r="A86" s="38" t="n"/>
      <c r="B86" s="38" t="n"/>
      <c r="C86" s="38" t="n"/>
      <c r="D86" s="38" t="n"/>
      <c r="E86" s="38" t="n"/>
      <c r="F86" s="42" t="n"/>
      <c r="G86" s="38" t="n"/>
      <c r="H86" s="38" t="n"/>
    </row>
    <row r="87" ht="21" customHeight="1">
      <c r="A87" s="38" t="n"/>
      <c r="B87" s="38" t="n"/>
      <c r="C87" s="38" t="n"/>
      <c r="D87" s="38" t="n"/>
      <c r="E87" s="38" t="n"/>
      <c r="F87" s="42" t="n"/>
      <c r="G87" s="38" t="n"/>
      <c r="H87" s="38" t="n"/>
    </row>
    <row r="88" ht="21" customHeight="1">
      <c r="A88" s="38" t="n"/>
      <c r="B88" s="38" t="n"/>
      <c r="C88" s="38" t="n"/>
      <c r="D88" s="38" t="n"/>
      <c r="E88" s="38" t="n"/>
      <c r="F88" s="42" t="n"/>
      <c r="G88" s="38" t="n"/>
      <c r="H88" s="38" t="n"/>
    </row>
    <row r="89" ht="21" customHeight="1">
      <c r="A89" s="38" t="n"/>
      <c r="B89" s="38" t="n"/>
      <c r="C89" s="38" t="n"/>
      <c r="D89" s="38" t="n"/>
      <c r="E89" s="38" t="n"/>
      <c r="F89" s="42" t="n"/>
      <c r="G89" s="38" t="n"/>
      <c r="H89" s="38" t="n"/>
    </row>
    <row r="90" ht="21" customHeight="1">
      <c r="A90" s="38" t="n"/>
      <c r="B90" s="38" t="n"/>
      <c r="C90" s="38" t="n"/>
      <c r="D90" s="38" t="n"/>
      <c r="E90" s="38" t="n"/>
      <c r="F90" s="42" t="n"/>
      <c r="G90" s="38" t="n"/>
      <c r="H90" s="38" t="n"/>
    </row>
    <row r="91" ht="21" customHeight="1">
      <c r="A91" s="38" t="n"/>
      <c r="B91" s="38" t="n"/>
      <c r="C91" s="38" t="n"/>
      <c r="D91" s="38" t="n"/>
      <c r="E91" s="38" t="n"/>
      <c r="F91" s="42" t="n"/>
      <c r="G91" s="38" t="n"/>
      <c r="H91" s="38" t="n"/>
    </row>
    <row r="92" ht="21" customHeight="1">
      <c r="A92" s="38" t="n"/>
      <c r="B92" s="38" t="n"/>
      <c r="C92" s="38" t="n"/>
      <c r="D92" s="38" t="n"/>
      <c r="E92" s="38" t="n"/>
      <c r="F92" s="42" t="n"/>
      <c r="G92" s="38" t="n"/>
      <c r="H92" s="38" t="n"/>
    </row>
    <row r="93" ht="21" customHeight="1">
      <c r="A93" s="38" t="n"/>
      <c r="B93" s="38" t="n"/>
      <c r="C93" s="38" t="n"/>
      <c r="D93" s="38" t="n"/>
      <c r="E93" s="38" t="n"/>
      <c r="F93" s="42" t="n"/>
      <c r="G93" s="38" t="n"/>
      <c r="H93" s="38" t="n"/>
    </row>
    <row r="94" ht="21" customHeight="1">
      <c r="A94" s="38" t="n"/>
      <c r="B94" s="38" t="n"/>
      <c r="C94" s="38" t="n"/>
      <c r="D94" s="38" t="n"/>
      <c r="E94" s="38" t="n"/>
      <c r="F94" s="42" t="n"/>
      <c r="G94" s="38" t="n"/>
      <c r="H94" s="38" t="n"/>
    </row>
    <row r="95" ht="21" customHeight="1">
      <c r="A95" s="38" t="n"/>
      <c r="B95" s="38" t="n"/>
      <c r="C95" s="38" t="n"/>
      <c r="D95" s="38" t="n"/>
      <c r="E95" s="38" t="n"/>
      <c r="F95" s="42" t="n"/>
      <c r="G95" s="38" t="n"/>
      <c r="H95" s="38" t="n"/>
    </row>
    <row r="96" ht="21" customHeight="1">
      <c r="A96" s="38" t="n"/>
      <c r="B96" s="38" t="n"/>
      <c r="C96" s="38" t="n"/>
      <c r="D96" s="38" t="n"/>
      <c r="E96" s="38" t="n"/>
      <c r="F96" s="42" t="n"/>
      <c r="G96" s="38" t="n"/>
      <c r="H96" s="38" t="n"/>
    </row>
    <row r="97" ht="21" customHeight="1">
      <c r="A97" s="38" t="n"/>
      <c r="B97" s="38" t="n"/>
      <c r="C97" s="38" t="n"/>
      <c r="D97" s="38" t="n"/>
      <c r="E97" s="38" t="n"/>
      <c r="F97" s="42" t="n"/>
      <c r="G97" s="38" t="n"/>
      <c r="H97" s="38" t="n"/>
    </row>
    <row r="98" ht="21" customHeight="1">
      <c r="A98" s="38" t="n"/>
      <c r="B98" s="38" t="n"/>
      <c r="C98" s="38" t="n"/>
      <c r="D98" s="38" t="n"/>
      <c r="E98" s="38" t="n"/>
      <c r="F98" s="42" t="n"/>
      <c r="G98" s="38" t="n"/>
      <c r="H98" s="38" t="n"/>
    </row>
    <row r="99" ht="21" customHeight="1">
      <c r="A99" s="38" t="n"/>
      <c r="B99" s="38" t="n"/>
      <c r="C99" s="38" t="n"/>
      <c r="D99" s="38" t="n"/>
      <c r="E99" s="38" t="n"/>
      <c r="F99" s="42" t="n"/>
      <c r="G99" s="38" t="n"/>
      <c r="H99" s="38" t="n"/>
    </row>
    <row r="100" ht="21" customHeight="1">
      <c r="A100" s="38" t="n"/>
      <c r="B100" s="38" t="n"/>
      <c r="C100" s="38" t="n"/>
      <c r="D100" s="38" t="n"/>
      <c r="E100" s="38" t="n"/>
      <c r="F100" s="42" t="n"/>
      <c r="G100" s="38" t="n"/>
      <c r="H100" s="38" t="n"/>
    </row>
    <row r="101" ht="21" customHeight="1">
      <c r="A101" s="38" t="n"/>
      <c r="B101" s="38" t="n"/>
      <c r="C101" s="38" t="n"/>
      <c r="D101" s="38" t="n"/>
      <c r="E101" s="38" t="n"/>
      <c r="F101" s="42" t="n"/>
      <c r="G101" s="38" t="n"/>
      <c r="H101" s="38" t="n"/>
    </row>
    <row r="102" ht="21" customHeight="1">
      <c r="A102" s="38" t="n"/>
      <c r="B102" s="38" t="n"/>
      <c r="C102" s="38" t="n"/>
      <c r="D102" s="38" t="n"/>
      <c r="E102" s="38" t="n"/>
      <c r="F102" s="42" t="n"/>
      <c r="G102" s="38" t="n"/>
      <c r="H102" s="38" t="n"/>
    </row>
    <row r="103" ht="21" customHeight="1">
      <c r="A103" s="38" t="n"/>
      <c r="B103" s="38" t="n"/>
      <c r="C103" s="38" t="n"/>
      <c r="D103" s="38" t="n"/>
      <c r="E103" s="38" t="n"/>
      <c r="F103" s="42" t="n"/>
      <c r="G103" s="38" t="n"/>
      <c r="H103" s="38" t="n"/>
    </row>
    <row r="104" ht="21" customHeight="1">
      <c r="A104" s="38" t="n"/>
      <c r="B104" s="38" t="n"/>
      <c r="C104" s="38" t="n"/>
      <c r="D104" s="38" t="n"/>
      <c r="E104" s="38" t="n"/>
      <c r="F104" s="42" t="n"/>
      <c r="G104" s="38" t="n"/>
      <c r="H104" s="38" t="n"/>
    </row>
    <row r="105" ht="21" customHeight="1">
      <c r="A105" s="38" t="n"/>
      <c r="B105" s="38" t="n"/>
      <c r="C105" s="38" t="n"/>
      <c r="D105" s="38" t="n"/>
      <c r="E105" s="38" t="n"/>
      <c r="F105" s="42" t="n"/>
      <c r="G105" s="38" t="n"/>
      <c r="H105" s="38" t="n"/>
    </row>
    <row r="106" ht="21" customHeight="1">
      <c r="A106" s="38" t="n"/>
      <c r="B106" s="38" t="n"/>
      <c r="C106" s="38" t="n"/>
      <c r="D106" s="38" t="n"/>
      <c r="E106" s="38" t="n"/>
      <c r="F106" s="42" t="n"/>
      <c r="G106" s="38" t="n"/>
      <c r="H106" s="38" t="n"/>
    </row>
    <row r="107" ht="21" customHeight="1">
      <c r="A107" s="38" t="n"/>
      <c r="B107" s="38" t="n"/>
      <c r="C107" s="38" t="n"/>
      <c r="D107" s="38" t="n"/>
      <c r="E107" s="38" t="n"/>
      <c r="F107" s="42" t="n"/>
      <c r="G107" s="38" t="n"/>
      <c r="H107" s="38" t="n"/>
    </row>
    <row r="108" ht="21" customHeight="1">
      <c r="A108" s="38" t="n"/>
      <c r="B108" s="38" t="n"/>
      <c r="C108" s="38" t="n"/>
      <c r="D108" s="38" t="n"/>
      <c r="E108" s="38" t="n"/>
      <c r="F108" s="42" t="n"/>
      <c r="G108" s="38" t="n"/>
      <c r="H108" s="38" t="n"/>
    </row>
    <row r="109" ht="21" customHeight="1">
      <c r="A109" s="38" t="n"/>
      <c r="B109" s="38" t="n"/>
      <c r="C109" s="38" t="n"/>
      <c r="D109" s="38" t="n"/>
      <c r="E109" s="38" t="n"/>
      <c r="F109" s="42" t="n"/>
      <c r="G109" s="38" t="n"/>
      <c r="H109" s="38" t="n"/>
    </row>
    <row r="110" ht="21" customHeight="1">
      <c r="A110" s="38" t="n"/>
      <c r="B110" s="38" t="n"/>
      <c r="C110" s="38" t="n"/>
      <c r="D110" s="38" t="n"/>
      <c r="E110" s="38" t="n"/>
      <c r="F110" s="42" t="n"/>
      <c r="G110" s="38" t="n"/>
      <c r="H110" s="38" t="n"/>
    </row>
    <row r="111" ht="21" customHeight="1">
      <c r="A111" s="38" t="n"/>
      <c r="B111" s="38" t="n"/>
      <c r="C111" s="38" t="n"/>
      <c r="D111" s="38" t="n"/>
      <c r="E111" s="38" t="n"/>
      <c r="F111" s="42" t="n"/>
      <c r="G111" s="38" t="n"/>
      <c r="H111" s="38" t="n"/>
    </row>
    <row r="112" ht="21" customHeight="1">
      <c r="A112" s="38" t="n"/>
      <c r="B112" s="38" t="n"/>
      <c r="C112" s="38" t="n"/>
      <c r="D112" s="38" t="n"/>
      <c r="E112" s="38" t="n"/>
      <c r="F112" s="42" t="n"/>
      <c r="G112" s="38" t="n"/>
      <c r="H112" s="38" t="n"/>
    </row>
    <row r="113" ht="21" customHeight="1">
      <c r="A113" s="38" t="n"/>
      <c r="B113" s="38" t="n"/>
      <c r="C113" s="38" t="n"/>
      <c r="D113" s="38" t="n"/>
      <c r="E113" s="38" t="n"/>
      <c r="F113" s="42" t="n"/>
      <c r="G113" s="38" t="n"/>
      <c r="H113" s="38" t="n"/>
    </row>
    <row r="114" ht="21" customHeight="1">
      <c r="A114" s="38" t="n"/>
      <c r="B114" s="38" t="n"/>
      <c r="C114" s="38" t="n"/>
      <c r="D114" s="38" t="n"/>
      <c r="E114" s="38" t="n"/>
      <c r="F114" s="42" t="n"/>
      <c r="G114" s="38" t="n"/>
      <c r="H114" s="38" t="n"/>
    </row>
    <row r="115" ht="21" customHeight="1">
      <c r="A115" s="38" t="n"/>
      <c r="B115" s="38" t="n"/>
      <c r="C115" s="38" t="n"/>
      <c r="D115" s="38" t="n"/>
      <c r="E115" s="38" t="n"/>
      <c r="F115" s="42" t="n"/>
      <c r="G115" s="38" t="n"/>
      <c r="H115" s="38" t="n"/>
    </row>
    <row r="116" ht="21" customHeight="1">
      <c r="A116" s="38" t="n"/>
      <c r="B116" s="38" t="n"/>
      <c r="C116" s="38" t="n"/>
      <c r="D116" s="38" t="n"/>
      <c r="E116" s="38" t="n"/>
      <c r="F116" s="42" t="n"/>
      <c r="G116" s="38" t="n"/>
      <c r="H116" s="38" t="n"/>
    </row>
    <row r="117" ht="21" customHeight="1">
      <c r="A117" s="38" t="n"/>
      <c r="B117" s="38" t="n"/>
      <c r="C117" s="38" t="n"/>
      <c r="D117" s="38" t="n"/>
      <c r="E117" s="38" t="n"/>
      <c r="F117" s="42" t="n"/>
      <c r="G117" s="38" t="n"/>
      <c r="H117" s="38" t="n"/>
    </row>
    <row r="118" ht="21" customHeight="1">
      <c r="A118" s="38" t="n"/>
      <c r="B118" s="38" t="n"/>
      <c r="C118" s="38" t="n"/>
      <c r="D118" s="38" t="n"/>
      <c r="E118" s="38" t="n"/>
      <c r="F118" s="42" t="n"/>
      <c r="G118" s="38" t="n"/>
      <c r="H118" s="38" t="n"/>
    </row>
    <row r="119" ht="21" customHeight="1">
      <c r="A119" s="38" t="n"/>
      <c r="B119" s="38" t="n"/>
      <c r="C119" s="38" t="n"/>
      <c r="D119" s="38" t="n"/>
      <c r="E119" s="38" t="n"/>
      <c r="F119" s="42" t="n"/>
      <c r="G119" s="38" t="n"/>
      <c r="H119" s="38" t="n"/>
    </row>
    <row r="120" ht="21" customHeight="1">
      <c r="A120" s="38" t="n"/>
      <c r="B120" s="38" t="n"/>
      <c r="C120" s="38" t="n"/>
      <c r="D120" s="38" t="n"/>
      <c r="E120" s="38" t="n"/>
      <c r="F120" s="42" t="n"/>
      <c r="G120" s="38" t="n"/>
      <c r="H120" s="38" t="n"/>
    </row>
    <row r="121" ht="21" customHeight="1">
      <c r="A121" s="38" t="n"/>
      <c r="B121" s="38" t="n"/>
      <c r="C121" s="38" t="n"/>
      <c r="D121" s="38" t="n"/>
      <c r="E121" s="38" t="n"/>
      <c r="F121" s="42" t="n"/>
      <c r="G121" s="38" t="n"/>
      <c r="H121" s="38" t="n"/>
    </row>
    <row r="122" ht="21" customHeight="1">
      <c r="A122" s="38" t="n"/>
      <c r="B122" s="38" t="n"/>
      <c r="C122" s="38" t="n"/>
      <c r="D122" s="38" t="n"/>
      <c r="E122" s="38" t="n"/>
      <c r="F122" s="42" t="n"/>
      <c r="G122" s="38" t="n"/>
      <c r="H122" s="38" t="n"/>
    </row>
    <row r="123" ht="21" customHeight="1">
      <c r="A123" s="38" t="n"/>
      <c r="B123" s="38" t="n"/>
      <c r="C123" s="38" t="n"/>
      <c r="D123" s="38" t="n"/>
      <c r="E123" s="38" t="n"/>
      <c r="F123" s="42" t="n"/>
      <c r="G123" s="38" t="n"/>
      <c r="H123" s="38" t="n"/>
    </row>
    <row r="124" ht="21" customHeight="1">
      <c r="A124" s="38" t="n"/>
      <c r="B124" s="38" t="n"/>
      <c r="C124" s="38" t="n"/>
      <c r="D124" s="38" t="n"/>
      <c r="E124" s="38" t="n"/>
      <c r="F124" s="42" t="n"/>
      <c r="G124" s="38" t="n"/>
      <c r="H124" s="38" t="n"/>
    </row>
    <row r="125" ht="21" customHeight="1">
      <c r="A125" s="38" t="n"/>
      <c r="B125" s="38" t="n"/>
      <c r="C125" s="38" t="n"/>
      <c r="D125" s="38" t="n"/>
      <c r="E125" s="38" t="n"/>
      <c r="F125" s="42" t="n"/>
      <c r="G125" s="38" t="n"/>
      <c r="H125" s="38" t="n"/>
    </row>
    <row r="126" ht="21" customHeight="1">
      <c r="A126" s="38" t="n"/>
      <c r="B126" s="38" t="n"/>
      <c r="C126" s="38" t="n"/>
      <c r="D126" s="38" t="n"/>
      <c r="E126" s="38" t="n"/>
      <c r="F126" s="42" t="n"/>
      <c r="G126" s="38" t="n"/>
      <c r="H126" s="38" t="n"/>
    </row>
    <row r="127" ht="21" customHeight="1">
      <c r="A127" s="38" t="n"/>
      <c r="B127" s="38" t="n"/>
      <c r="C127" s="38" t="n"/>
      <c r="D127" s="38" t="n"/>
      <c r="E127" s="38" t="n"/>
      <c r="F127" s="42" t="n"/>
      <c r="G127" s="38" t="n"/>
      <c r="H127" s="38" t="n"/>
    </row>
    <row r="128" ht="21" customHeight="1">
      <c r="A128" s="38" t="n"/>
      <c r="B128" s="38" t="n"/>
      <c r="C128" s="38" t="n"/>
      <c r="D128" s="38" t="n"/>
      <c r="E128" s="38" t="n"/>
      <c r="F128" s="42" t="n"/>
      <c r="G128" s="38" t="n"/>
      <c r="H128" s="38" t="n"/>
    </row>
    <row r="129" ht="21" customHeight="1">
      <c r="A129" s="38" t="n"/>
      <c r="B129" s="38" t="n"/>
      <c r="C129" s="38" t="n"/>
      <c r="D129" s="38" t="n"/>
      <c r="E129" s="38" t="n"/>
      <c r="F129" s="42" t="n"/>
      <c r="G129" s="38" t="n"/>
      <c r="H129" s="38" t="n"/>
    </row>
    <row r="130" ht="21" customHeight="1">
      <c r="A130" s="38" t="n"/>
      <c r="B130" s="38" t="n"/>
      <c r="C130" s="38" t="n"/>
      <c r="D130" s="38" t="n"/>
      <c r="E130" s="38" t="n"/>
      <c r="F130" s="42" t="n"/>
      <c r="G130" s="38" t="n"/>
      <c r="H130" s="38" t="n"/>
    </row>
    <row r="131" ht="21" customHeight="1">
      <c r="A131" s="38" t="n"/>
      <c r="B131" s="38" t="n"/>
      <c r="C131" s="38" t="n"/>
      <c r="D131" s="38" t="n"/>
      <c r="E131" s="38" t="n"/>
      <c r="F131" s="42" t="n"/>
      <c r="G131" s="38" t="n"/>
      <c r="H131" s="38" t="n"/>
    </row>
    <row r="132" ht="21" customHeight="1">
      <c r="A132" s="38" t="n"/>
      <c r="B132" s="38" t="n"/>
      <c r="C132" s="38" t="n"/>
      <c r="D132" s="38" t="n"/>
      <c r="E132" s="38" t="n"/>
      <c r="F132" s="42" t="n"/>
      <c r="G132" s="38" t="n"/>
      <c r="H132" s="38" t="n"/>
    </row>
    <row r="133" ht="21" customHeight="1">
      <c r="A133" s="38" t="n"/>
      <c r="B133" s="38" t="n"/>
      <c r="C133" s="38" t="n"/>
      <c r="D133" s="38" t="n"/>
      <c r="E133" s="38" t="n"/>
      <c r="F133" s="42" t="n"/>
      <c r="G133" s="38" t="n"/>
      <c r="H133" s="38" t="n"/>
    </row>
    <row r="134" ht="21" customHeight="1">
      <c r="A134" s="38" t="n"/>
      <c r="B134" s="38" t="n"/>
      <c r="C134" s="38" t="n"/>
      <c r="D134" s="38" t="n"/>
      <c r="E134" s="38" t="n"/>
      <c r="F134" s="42" t="n"/>
      <c r="G134" s="38" t="n"/>
      <c r="H134" s="38" t="n"/>
    </row>
    <row r="135" ht="21" customHeight="1">
      <c r="A135" s="38" t="n"/>
      <c r="B135" s="38" t="n"/>
      <c r="C135" s="38" t="n"/>
      <c r="D135" s="38" t="n"/>
      <c r="E135" s="38" t="n"/>
      <c r="F135" s="42" t="n"/>
      <c r="G135" s="38" t="n"/>
      <c r="H135" s="38" t="n"/>
    </row>
    <row r="136" ht="21" customHeight="1">
      <c r="A136" s="38" t="n"/>
      <c r="B136" s="38" t="n"/>
      <c r="C136" s="38" t="n"/>
      <c r="D136" s="38" t="n"/>
      <c r="E136" s="38" t="n"/>
      <c r="F136" s="42" t="n"/>
      <c r="G136" s="38" t="n"/>
      <c r="H136" s="38" t="n"/>
    </row>
    <row r="137" ht="21" customHeight="1">
      <c r="A137" s="38" t="n"/>
      <c r="B137" s="38" t="n"/>
      <c r="C137" s="38" t="n"/>
      <c r="D137" s="38" t="n"/>
      <c r="E137" s="38" t="n"/>
      <c r="F137" s="42" t="n"/>
      <c r="G137" s="38" t="n"/>
      <c r="H137" s="38" t="n"/>
    </row>
    <row r="138" ht="21" customHeight="1">
      <c r="A138" s="38" t="n"/>
      <c r="B138" s="38" t="n"/>
      <c r="C138" s="38" t="n"/>
      <c r="D138" s="38" t="n"/>
      <c r="E138" s="38" t="n"/>
      <c r="F138" s="42" t="n"/>
      <c r="G138" s="38" t="n"/>
      <c r="H138" s="38" t="n"/>
    </row>
    <row r="139" ht="21" customHeight="1">
      <c r="A139" s="38" t="n"/>
      <c r="B139" s="38" t="n"/>
      <c r="C139" s="38" t="n"/>
      <c r="D139" s="38" t="n"/>
      <c r="E139" s="38" t="n"/>
      <c r="F139" s="42" t="n"/>
      <c r="G139" s="38" t="n"/>
      <c r="H139" s="38" t="n"/>
    </row>
    <row r="140" ht="21" customHeight="1">
      <c r="A140" s="38" t="n"/>
      <c r="B140" s="38" t="n"/>
      <c r="C140" s="38" t="n"/>
      <c r="D140" s="38" t="n"/>
      <c r="E140" s="38" t="n"/>
      <c r="F140" s="42" t="n"/>
      <c r="G140" s="38" t="n"/>
      <c r="H140" s="38" t="n"/>
    </row>
    <row r="141" ht="21" customHeight="1">
      <c r="A141" s="38" t="n"/>
      <c r="B141" s="38" t="n"/>
      <c r="C141" s="38" t="n"/>
      <c r="D141" s="38" t="n"/>
      <c r="E141" s="38" t="n"/>
      <c r="F141" s="42" t="n"/>
      <c r="G141" s="38" t="n"/>
      <c r="H141" s="38" t="n"/>
    </row>
    <row r="142" ht="21" customHeight="1">
      <c r="A142" s="38" t="n"/>
      <c r="B142" s="38" t="n"/>
      <c r="C142" s="38" t="n"/>
      <c r="D142" s="38" t="n"/>
      <c r="E142" s="38" t="n"/>
      <c r="F142" s="42" t="n"/>
      <c r="G142" s="38" t="n"/>
      <c r="H142" s="38" t="n"/>
    </row>
    <row r="143" ht="21" customHeight="1">
      <c r="A143" s="38" t="n"/>
      <c r="B143" s="38" t="n"/>
      <c r="C143" s="38" t="n"/>
      <c r="D143" s="38" t="n"/>
      <c r="E143" s="38" t="n"/>
      <c r="F143" s="42" t="n"/>
      <c r="G143" s="38" t="n"/>
      <c r="H143" s="38" t="n"/>
    </row>
    <row r="144" ht="21" customHeight="1">
      <c r="A144" s="38" t="n"/>
      <c r="B144" s="38" t="n"/>
      <c r="C144" s="38" t="n"/>
      <c r="D144" s="38" t="n"/>
      <c r="E144" s="38" t="n"/>
      <c r="F144" s="42" t="n"/>
      <c r="G144" s="38" t="n"/>
      <c r="H144" s="38" t="n"/>
    </row>
    <row r="145" ht="21" customHeight="1">
      <c r="A145" s="38" t="n"/>
      <c r="B145" s="38" t="n"/>
      <c r="C145" s="38" t="n"/>
      <c r="D145" s="38" t="n"/>
      <c r="E145" s="38" t="n"/>
      <c r="F145" s="42" t="n"/>
      <c r="G145" s="38" t="n"/>
      <c r="H145" s="38" t="n"/>
    </row>
    <row r="146" ht="21" customHeight="1">
      <c r="A146" s="38" t="n"/>
      <c r="B146" s="38" t="n"/>
      <c r="C146" s="38" t="n"/>
      <c r="D146" s="38" t="n"/>
      <c r="E146" s="38" t="n"/>
      <c r="F146" s="42" t="n"/>
      <c r="G146" s="38" t="n"/>
      <c r="H146" s="38" t="n"/>
    </row>
    <row r="147" ht="21" customHeight="1">
      <c r="A147" s="38" t="n"/>
      <c r="B147" s="38" t="n"/>
      <c r="C147" s="38" t="n"/>
      <c r="D147" s="38" t="n"/>
      <c r="E147" s="38" t="n"/>
      <c r="F147" s="42" t="n"/>
      <c r="G147" s="38" t="n"/>
      <c r="H147" s="38" t="n"/>
    </row>
    <row r="148" ht="21" customHeight="1">
      <c r="A148" s="38" t="n"/>
      <c r="B148" s="38" t="n"/>
      <c r="C148" s="38" t="n"/>
      <c r="D148" s="38" t="n"/>
      <c r="E148" s="38" t="n"/>
      <c r="F148" s="42" t="n"/>
      <c r="G148" s="38" t="n"/>
      <c r="H148" s="38" t="n"/>
    </row>
    <row r="149" ht="21" customHeight="1">
      <c r="A149" s="38" t="n"/>
      <c r="B149" s="38" t="n"/>
      <c r="C149" s="38" t="n"/>
      <c r="D149" s="38" t="n"/>
      <c r="E149" s="38" t="n"/>
      <c r="F149" s="42" t="n"/>
      <c r="G149" s="38" t="n"/>
      <c r="H149" s="38" t="n"/>
    </row>
    <row r="150" ht="21" customHeight="1">
      <c r="A150" s="38" t="n"/>
      <c r="B150" s="38" t="n"/>
      <c r="C150" s="38" t="n"/>
      <c r="D150" s="38" t="n"/>
      <c r="E150" s="38" t="n"/>
      <c r="F150" s="42" t="n"/>
      <c r="G150" s="38" t="n"/>
      <c r="H150" s="38" t="n"/>
    </row>
    <row r="151" ht="21" customHeight="1">
      <c r="A151" s="38" t="n"/>
      <c r="B151" s="38" t="n"/>
      <c r="C151" s="38" t="n"/>
      <c r="D151" s="38" t="n"/>
      <c r="E151" s="38" t="n"/>
      <c r="F151" s="42" t="n"/>
      <c r="G151" s="38" t="n"/>
      <c r="H151" s="38" t="n"/>
    </row>
    <row r="152" ht="21" customHeight="1">
      <c r="A152" s="38" t="n"/>
      <c r="B152" s="38" t="n"/>
      <c r="C152" s="38" t="n"/>
      <c r="D152" s="38" t="n"/>
      <c r="E152" s="38" t="n"/>
      <c r="F152" s="42" t="n"/>
      <c r="G152" s="38" t="n"/>
      <c r="H152" s="38" t="n"/>
    </row>
    <row r="153" ht="21" customHeight="1">
      <c r="A153" s="38" t="n"/>
      <c r="B153" s="38" t="n"/>
      <c r="C153" s="38" t="n"/>
      <c r="D153" s="38" t="n"/>
      <c r="E153" s="38" t="n"/>
      <c r="F153" s="42" t="n"/>
      <c r="G153" s="38" t="n"/>
      <c r="H153" s="38" t="n"/>
    </row>
    <row r="154" ht="21" customHeight="1">
      <c r="A154" s="38" t="n"/>
      <c r="B154" s="38" t="n"/>
      <c r="C154" s="38" t="n"/>
      <c r="D154" s="38" t="n"/>
      <c r="E154" s="38" t="n"/>
      <c r="F154" s="42" t="n"/>
      <c r="G154" s="38" t="n"/>
      <c r="H154" s="38" t="n"/>
    </row>
    <row r="155" ht="21" customHeight="1">
      <c r="A155" s="38" t="n"/>
      <c r="B155" s="38" t="n"/>
      <c r="C155" s="38" t="n"/>
      <c r="D155" s="38" t="n"/>
      <c r="E155" s="38" t="n"/>
      <c r="F155" s="42" t="n"/>
      <c r="G155" s="38" t="n"/>
      <c r="H155" s="38" t="n"/>
    </row>
    <row r="156" ht="21" customHeight="1">
      <c r="A156" s="38" t="n"/>
      <c r="B156" s="38" t="n"/>
      <c r="C156" s="38" t="n"/>
      <c r="D156" s="38" t="n"/>
      <c r="E156" s="38" t="n"/>
      <c r="F156" s="42" t="n"/>
      <c r="G156" s="38" t="n"/>
      <c r="H156" s="38" t="n"/>
    </row>
    <row r="157" ht="21" customHeight="1">
      <c r="A157" s="38" t="n"/>
      <c r="B157" s="38" t="n"/>
      <c r="C157" s="38" t="n"/>
      <c r="D157" s="38" t="n"/>
      <c r="E157" s="38" t="n"/>
      <c r="F157" s="42" t="n"/>
      <c r="G157" s="38" t="n"/>
      <c r="H157" s="38" t="n"/>
    </row>
    <row r="158" ht="21" customHeight="1">
      <c r="A158" s="38" t="n"/>
      <c r="B158" s="38" t="n"/>
      <c r="C158" s="38" t="n"/>
      <c r="D158" s="38" t="n"/>
      <c r="E158" s="38" t="n"/>
      <c r="F158" s="42" t="n"/>
      <c r="G158" s="38" t="n"/>
      <c r="H158" s="38" t="n"/>
    </row>
    <row r="159" ht="21" customHeight="1">
      <c r="A159" s="38" t="n"/>
      <c r="B159" s="38" t="n"/>
      <c r="C159" s="38" t="n"/>
      <c r="D159" s="38" t="n"/>
      <c r="E159" s="38" t="n"/>
      <c r="F159" s="42" t="n"/>
      <c r="G159" s="38" t="n"/>
      <c r="H159" s="38" t="n"/>
    </row>
    <row r="160" ht="21" customHeight="1">
      <c r="A160" s="38" t="n"/>
      <c r="B160" s="38" t="n"/>
      <c r="C160" s="38" t="n"/>
      <c r="D160" s="38" t="n"/>
      <c r="E160" s="38" t="n"/>
      <c r="F160" s="42" t="n"/>
      <c r="G160" s="38" t="n"/>
      <c r="H160" s="38" t="n"/>
    </row>
    <row r="161" ht="21" customHeight="1">
      <c r="A161" s="38" t="n"/>
      <c r="B161" s="38" t="n"/>
      <c r="C161" s="38" t="n"/>
      <c r="D161" s="38" t="n"/>
      <c r="E161" s="38" t="n"/>
      <c r="F161" s="42" t="n"/>
      <c r="G161" s="38" t="n"/>
      <c r="H161" s="38" t="n"/>
    </row>
    <row r="162" ht="21" customHeight="1">
      <c r="A162" s="38" t="n"/>
      <c r="B162" s="38" t="n"/>
      <c r="C162" s="38" t="n"/>
      <c r="D162" s="38" t="n"/>
      <c r="E162" s="38" t="n"/>
      <c r="F162" s="42" t="n"/>
      <c r="G162" s="38" t="n"/>
      <c r="H162" s="38" t="n"/>
    </row>
    <row r="163" ht="21" customHeight="1">
      <c r="A163" s="38" t="n"/>
      <c r="B163" s="38" t="n"/>
      <c r="C163" s="38" t="n"/>
      <c r="D163" s="38" t="n"/>
      <c r="E163" s="38" t="n"/>
      <c r="F163" s="42" t="n"/>
      <c r="G163" s="38" t="n"/>
      <c r="H163" s="38" t="n"/>
    </row>
    <row r="164" ht="21" customHeight="1">
      <c r="A164" s="38" t="n"/>
      <c r="B164" s="38" t="n"/>
      <c r="C164" s="38" t="n"/>
      <c r="D164" s="38" t="n"/>
      <c r="E164" s="38" t="n"/>
      <c r="F164" s="42" t="n"/>
      <c r="G164" s="38" t="n"/>
      <c r="H164" s="38" t="n"/>
    </row>
    <row r="165" ht="21" customHeight="1">
      <c r="A165" s="38" t="n"/>
      <c r="B165" s="38" t="n"/>
      <c r="C165" s="38" t="n"/>
      <c r="D165" s="38" t="n"/>
      <c r="E165" s="38" t="n"/>
      <c r="F165" s="42" t="n"/>
      <c r="G165" s="38" t="n"/>
      <c r="H165" s="38" t="n"/>
    </row>
    <row r="166" ht="21" customHeight="1">
      <c r="A166" s="38" t="n"/>
      <c r="B166" s="38" t="n"/>
      <c r="C166" s="38" t="n"/>
      <c r="D166" s="38" t="n"/>
      <c r="E166" s="38" t="n"/>
      <c r="F166" s="42" t="n"/>
      <c r="G166" s="38" t="n"/>
      <c r="H166" s="38" t="n"/>
    </row>
    <row r="167" ht="21" customHeight="1">
      <c r="A167" s="38" t="n"/>
      <c r="B167" s="38" t="n"/>
      <c r="C167" s="38" t="n"/>
      <c r="D167" s="38" t="n"/>
      <c r="E167" s="38" t="n"/>
      <c r="F167" s="42" t="n"/>
      <c r="G167" s="38" t="n"/>
      <c r="H167" s="38" t="n"/>
    </row>
    <row r="168" ht="21" customHeight="1">
      <c r="A168" s="38" t="n"/>
      <c r="B168" s="38" t="n"/>
      <c r="C168" s="38" t="n"/>
      <c r="D168" s="38" t="n"/>
      <c r="E168" s="38" t="n"/>
      <c r="F168" s="42" t="n"/>
      <c r="G168" s="38" t="n"/>
      <c r="H168" s="38" t="n"/>
    </row>
    <row r="169" ht="21" customHeight="1">
      <c r="A169" s="38" t="n"/>
      <c r="B169" s="38" t="n"/>
      <c r="C169" s="38" t="n"/>
      <c r="D169" s="38" t="n"/>
      <c r="E169" s="38" t="n"/>
      <c r="F169" s="42" t="n"/>
      <c r="G169" s="38" t="n"/>
      <c r="H169" s="38" t="n"/>
    </row>
    <row r="170" ht="21" customHeight="1">
      <c r="A170" s="38" t="n"/>
      <c r="B170" s="38" t="n"/>
      <c r="C170" s="38" t="n"/>
      <c r="D170" s="38" t="n"/>
      <c r="E170" s="38" t="n"/>
      <c r="F170" s="42" t="n"/>
      <c r="G170" s="38" t="n"/>
      <c r="H170" s="38" t="n"/>
    </row>
    <row r="171" ht="21" customHeight="1">
      <c r="A171" s="38" t="n"/>
      <c r="B171" s="38" t="n"/>
      <c r="C171" s="38" t="n"/>
      <c r="D171" s="38" t="n"/>
      <c r="E171" s="38" t="n"/>
      <c r="F171" s="42" t="n"/>
      <c r="G171" s="38" t="n"/>
      <c r="H171" s="38" t="n"/>
    </row>
    <row r="172" ht="21" customHeight="1">
      <c r="A172" s="38" t="n"/>
      <c r="B172" s="38" t="n"/>
      <c r="C172" s="38" t="n"/>
      <c r="D172" s="38" t="n"/>
      <c r="E172" s="38" t="n"/>
      <c r="F172" s="42" t="n"/>
      <c r="G172" s="38" t="n"/>
      <c r="H172" s="38" t="n"/>
    </row>
    <row r="173" ht="21" customHeight="1">
      <c r="A173" s="38" t="n"/>
      <c r="B173" s="38" t="n"/>
      <c r="C173" s="38" t="n"/>
      <c r="D173" s="38" t="n"/>
      <c r="E173" s="38" t="n"/>
      <c r="F173" s="42" t="n"/>
      <c r="G173" s="38" t="n"/>
      <c r="H173" s="38" t="n"/>
    </row>
    <row r="174" ht="21" customHeight="1">
      <c r="A174" s="38" t="n"/>
      <c r="B174" s="38" t="n"/>
      <c r="C174" s="38" t="n"/>
      <c r="D174" s="38" t="n"/>
      <c r="E174" s="38" t="n"/>
      <c r="F174" s="42" t="n"/>
      <c r="G174" s="38" t="n"/>
      <c r="H174" s="38" t="n"/>
    </row>
    <row r="175" ht="21" customHeight="1">
      <c r="A175" s="38" t="n"/>
      <c r="B175" s="38" t="n"/>
      <c r="C175" s="38" t="n"/>
      <c r="D175" s="38" t="n"/>
      <c r="E175" s="38" t="n"/>
      <c r="F175" s="42" t="n"/>
      <c r="G175" s="38" t="n"/>
      <c r="H175" s="38" t="n"/>
    </row>
    <row r="176" ht="21" customHeight="1">
      <c r="A176" s="38" t="n"/>
      <c r="B176" s="38" t="n"/>
      <c r="C176" s="38" t="n"/>
      <c r="D176" s="38" t="n"/>
      <c r="E176" s="38" t="n"/>
      <c r="F176" s="42" t="n"/>
      <c r="G176" s="38" t="n"/>
      <c r="H176" s="38" t="n"/>
    </row>
    <row r="177" ht="21" customHeight="1">
      <c r="A177" s="38" t="n"/>
      <c r="B177" s="38" t="n"/>
      <c r="C177" s="38" t="n"/>
      <c r="D177" s="38" t="n"/>
      <c r="E177" s="38" t="n"/>
      <c r="F177" s="42" t="n"/>
      <c r="G177" s="38" t="n"/>
      <c r="H177" s="38" t="n"/>
    </row>
    <row r="178" ht="21" customHeight="1">
      <c r="A178" s="38" t="n"/>
      <c r="B178" s="38" t="n"/>
      <c r="C178" s="38" t="n"/>
      <c r="D178" s="38" t="n"/>
      <c r="E178" s="38" t="n"/>
      <c r="F178" s="42" t="n"/>
      <c r="G178" s="38" t="n"/>
      <c r="H178" s="38" t="n"/>
    </row>
    <row r="179" ht="21" customHeight="1">
      <c r="A179" s="38" t="n"/>
      <c r="B179" s="38" t="n"/>
      <c r="C179" s="38" t="n"/>
      <c r="D179" s="38" t="n"/>
      <c r="E179" s="38" t="n"/>
      <c r="F179" s="42" t="n"/>
      <c r="G179" s="38" t="n"/>
      <c r="H179" s="38" t="n"/>
    </row>
    <row r="180" ht="21" customHeight="1">
      <c r="A180" s="38" t="n"/>
      <c r="B180" s="38" t="n"/>
      <c r="C180" s="38" t="n"/>
      <c r="D180" s="38" t="n"/>
      <c r="E180" s="38" t="n"/>
      <c r="F180" s="42" t="n"/>
      <c r="G180" s="38" t="n"/>
      <c r="H180" s="38" t="n"/>
    </row>
    <row r="181" ht="21" customHeight="1">
      <c r="A181" s="38" t="n"/>
      <c r="B181" s="38" t="n"/>
      <c r="C181" s="38" t="n"/>
      <c r="D181" s="38" t="n"/>
      <c r="E181" s="38" t="n"/>
      <c r="F181" s="42" t="n"/>
      <c r="G181" s="38" t="n"/>
      <c r="H181" s="38" t="n"/>
    </row>
    <row r="182" ht="21" customHeight="1">
      <c r="A182" s="38" t="n"/>
      <c r="B182" s="38" t="n"/>
      <c r="C182" s="38" t="n"/>
      <c r="D182" s="38" t="n"/>
      <c r="E182" s="38" t="n"/>
      <c r="F182" s="42" t="n"/>
      <c r="G182" s="38" t="n"/>
      <c r="H182" s="38" t="n"/>
    </row>
    <row r="183" ht="21" customHeight="1">
      <c r="A183" s="38" t="n"/>
      <c r="B183" s="38" t="n"/>
      <c r="C183" s="38" t="n"/>
      <c r="D183" s="38" t="n"/>
      <c r="E183" s="38" t="n"/>
      <c r="F183" s="42" t="n"/>
      <c r="G183" s="38" t="n"/>
      <c r="H183" s="38" t="n"/>
    </row>
    <row r="184" ht="21" customHeight="1">
      <c r="A184" s="38" t="n"/>
      <c r="B184" s="38" t="n"/>
      <c r="C184" s="38" t="n"/>
      <c r="D184" s="38" t="n"/>
      <c r="E184" s="38" t="n"/>
      <c r="F184" s="42" t="n"/>
      <c r="G184" s="38" t="n"/>
      <c r="H184" s="38" t="n"/>
    </row>
    <row r="185" ht="21" customHeight="1">
      <c r="A185" s="38" t="n"/>
      <c r="B185" s="38" t="n"/>
      <c r="C185" s="38" t="n"/>
      <c r="D185" s="38" t="n"/>
      <c r="E185" s="38" t="n"/>
      <c r="F185" s="42" t="n"/>
      <c r="G185" s="38" t="n"/>
      <c r="H185" s="38" t="n"/>
    </row>
    <row r="186" ht="21" customHeight="1">
      <c r="A186" s="38" t="n"/>
      <c r="B186" s="38" t="n"/>
      <c r="C186" s="38" t="n"/>
      <c r="D186" s="38" t="n"/>
      <c r="E186" s="38" t="n"/>
      <c r="F186" s="42" t="n"/>
      <c r="G186" s="38" t="n"/>
      <c r="H186" s="38" t="n"/>
    </row>
    <row r="187" ht="21" customHeight="1">
      <c r="A187" s="38" t="n"/>
      <c r="B187" s="38" t="n"/>
      <c r="C187" s="38" t="n"/>
      <c r="D187" s="38" t="n"/>
      <c r="E187" s="38" t="n"/>
      <c r="F187" s="42" t="n"/>
      <c r="G187" s="38" t="n"/>
      <c r="H187" s="38" t="n"/>
    </row>
    <row r="188" ht="21" customHeight="1">
      <c r="A188" s="38" t="n"/>
      <c r="B188" s="38" t="n"/>
      <c r="C188" s="38" t="n"/>
      <c r="D188" s="38" t="n"/>
      <c r="E188" s="38" t="n"/>
      <c r="F188" s="42" t="n"/>
      <c r="G188" s="38" t="n"/>
      <c r="H188" s="38" t="n"/>
    </row>
    <row r="189" ht="21" customHeight="1">
      <c r="A189" s="38" t="n"/>
      <c r="B189" s="38" t="n"/>
      <c r="C189" s="38" t="n"/>
      <c r="D189" s="38" t="n"/>
      <c r="E189" s="38" t="n"/>
      <c r="F189" s="42" t="n"/>
      <c r="G189" s="38" t="n"/>
      <c r="H189" s="38" t="n"/>
    </row>
    <row r="190" ht="21" customHeight="1">
      <c r="A190" s="38" t="n"/>
      <c r="B190" s="38" t="n"/>
      <c r="C190" s="38" t="n"/>
      <c r="D190" s="38" t="n"/>
      <c r="E190" s="38" t="n"/>
      <c r="F190" s="42" t="n"/>
      <c r="G190" s="38" t="n"/>
      <c r="H190" s="38" t="n"/>
    </row>
    <row r="191" ht="21" customHeight="1">
      <c r="A191" s="38" t="n"/>
      <c r="B191" s="38" t="n"/>
      <c r="C191" s="38" t="n"/>
      <c r="D191" s="38" t="n"/>
      <c r="E191" s="38" t="n"/>
      <c r="F191" s="42" t="n"/>
      <c r="G191" s="38" t="n"/>
      <c r="H191" s="38" t="n"/>
    </row>
    <row r="192" ht="21" customHeight="1">
      <c r="A192" s="38" t="n"/>
      <c r="B192" s="38" t="n"/>
      <c r="C192" s="38" t="n"/>
      <c r="D192" s="38" t="n"/>
      <c r="E192" s="38" t="n"/>
      <c r="F192" s="42" t="n"/>
      <c r="G192" s="38" t="n"/>
      <c r="H192" s="38" t="n"/>
    </row>
    <row r="193" ht="21" customHeight="1">
      <c r="A193" s="38" t="n"/>
      <c r="B193" s="38" t="n"/>
      <c r="C193" s="38" t="n"/>
      <c r="D193" s="38" t="n"/>
      <c r="E193" s="38" t="n"/>
      <c r="F193" s="42" t="n"/>
      <c r="G193" s="38" t="n"/>
      <c r="H193" s="38" t="n"/>
    </row>
    <row r="194" ht="21" customHeight="1">
      <c r="A194" s="38" t="n"/>
      <c r="B194" s="38" t="n"/>
      <c r="C194" s="38" t="n"/>
      <c r="D194" s="38" t="n"/>
      <c r="E194" s="38" t="n"/>
      <c r="F194" s="42" t="n"/>
      <c r="G194" s="38" t="n"/>
      <c r="H194" s="38" t="n"/>
    </row>
    <row r="195" ht="21" customHeight="1">
      <c r="A195" s="38" t="n"/>
      <c r="B195" s="38" t="n"/>
      <c r="C195" s="38" t="n"/>
      <c r="D195" s="38" t="n"/>
      <c r="E195" s="38" t="n"/>
      <c r="F195" s="42" t="n"/>
      <c r="G195" s="38" t="n"/>
      <c r="H195" s="38" t="n"/>
    </row>
    <row r="196" ht="21" customHeight="1">
      <c r="A196" s="38" t="n"/>
      <c r="B196" s="38" t="n"/>
      <c r="C196" s="38" t="n"/>
      <c r="D196" s="38" t="n"/>
      <c r="E196" s="38" t="n"/>
      <c r="F196" s="42" t="n"/>
      <c r="G196" s="38" t="n"/>
      <c r="H196" s="38" t="n"/>
    </row>
    <row r="197" ht="21" customHeight="1">
      <c r="A197" s="38" t="n"/>
      <c r="B197" s="38" t="n"/>
      <c r="C197" s="38" t="n"/>
      <c r="D197" s="38" t="n"/>
      <c r="E197" s="38" t="n"/>
      <c r="F197" s="42" t="n"/>
      <c r="G197" s="38" t="n"/>
      <c r="H197" s="38" t="n"/>
    </row>
    <row r="198" ht="21" customHeight="1">
      <c r="A198" s="38" t="n"/>
      <c r="B198" s="38" t="n"/>
      <c r="C198" s="38" t="n"/>
      <c r="D198" s="38" t="n"/>
      <c r="E198" s="38" t="n"/>
      <c r="F198" s="42" t="n"/>
      <c r="G198" s="38" t="n"/>
      <c r="H198" s="38" t="n"/>
    </row>
    <row r="199" ht="21" customHeight="1">
      <c r="A199" s="38" t="n"/>
      <c r="B199" s="38" t="n"/>
      <c r="C199" s="38" t="n"/>
      <c r="D199" s="38" t="n"/>
      <c r="E199" s="38" t="n"/>
      <c r="F199" s="42" t="n"/>
      <c r="G199" s="38" t="n"/>
      <c r="H199" s="38" t="n"/>
    </row>
    <row r="200" ht="21" customHeight="1">
      <c r="A200" s="38" t="n"/>
      <c r="B200" s="38" t="n"/>
      <c r="C200" s="38" t="n"/>
      <c r="D200" s="38" t="n"/>
      <c r="E200" s="38" t="n"/>
      <c r="F200" s="42" t="n"/>
      <c r="G200" s="38" t="n"/>
      <c r="H200" s="38" t="n"/>
    </row>
    <row r="201" ht="21" customHeight="1">
      <c r="A201" s="38" t="n"/>
      <c r="B201" s="38" t="n"/>
      <c r="C201" s="38" t="n"/>
      <c r="D201" s="38" t="n"/>
      <c r="E201" s="38" t="n"/>
      <c r="F201" s="42" t="n"/>
      <c r="G201" s="38" t="n"/>
      <c r="H201" s="38" t="n"/>
    </row>
    <row r="202" ht="21" customHeight="1">
      <c r="A202" s="38" t="n"/>
      <c r="B202" s="38" t="n"/>
      <c r="C202" s="38" t="n"/>
      <c r="D202" s="38" t="n"/>
      <c r="E202" s="38" t="n"/>
      <c r="F202" s="42" t="n"/>
      <c r="G202" s="38" t="n"/>
      <c r="H202" s="38" t="n"/>
    </row>
    <row r="203" ht="21" customHeight="1">
      <c r="A203" s="38" t="n"/>
      <c r="B203" s="38" t="n"/>
      <c r="C203" s="38" t="n"/>
      <c r="D203" s="38" t="n"/>
      <c r="E203" s="38" t="n"/>
      <c r="F203" s="42" t="n"/>
      <c r="G203" s="38" t="n"/>
      <c r="H203" s="38" t="n"/>
    </row>
    <row r="204" ht="21" customHeight="1">
      <c r="A204" s="38" t="n"/>
      <c r="B204" s="38" t="n"/>
      <c r="C204" s="38" t="n"/>
      <c r="D204" s="38" t="n"/>
      <c r="E204" s="38" t="n"/>
      <c r="F204" s="42" t="n"/>
      <c r="G204" s="38" t="n"/>
      <c r="H204" s="38" t="n"/>
    </row>
    <row r="205" ht="21" customHeight="1">
      <c r="A205" s="38" t="n"/>
      <c r="B205" s="38" t="n"/>
      <c r="C205" s="38" t="n"/>
      <c r="D205" s="38" t="n"/>
      <c r="E205" s="38" t="n"/>
      <c r="F205" s="42" t="n"/>
      <c r="G205" s="38" t="n"/>
      <c r="H205" s="38" t="n"/>
    </row>
    <row r="206" ht="21" customHeight="1">
      <c r="A206" s="38" t="n"/>
      <c r="B206" s="38" t="n"/>
      <c r="C206" s="38" t="n"/>
      <c r="D206" s="38" t="n"/>
      <c r="E206" s="38" t="n"/>
      <c r="F206" s="42" t="n"/>
      <c r="G206" s="38" t="n"/>
      <c r="H206" s="38" t="n"/>
    </row>
    <row r="207" ht="21" customHeight="1">
      <c r="A207" s="38" t="n"/>
      <c r="B207" s="38" t="n"/>
      <c r="C207" s="38" t="n"/>
      <c r="D207" s="38" t="n"/>
      <c r="E207" s="38" t="n"/>
      <c r="F207" s="42" t="n"/>
      <c r="G207" s="38" t="n"/>
      <c r="H207" s="38" t="n"/>
    </row>
    <row r="208" ht="21" customHeight="1">
      <c r="A208" s="38" t="n"/>
      <c r="B208" s="38" t="n"/>
      <c r="C208" s="38" t="n"/>
      <c r="D208" s="38" t="n"/>
      <c r="E208" s="38" t="n"/>
      <c r="F208" s="42" t="n"/>
      <c r="G208" s="38" t="n"/>
      <c r="H208" s="38" t="n"/>
    </row>
    <row r="209" ht="21" customHeight="1">
      <c r="A209" s="38" t="n"/>
      <c r="B209" s="38" t="n"/>
      <c r="C209" s="38" t="n"/>
      <c r="D209" s="38" t="n"/>
      <c r="E209" s="38" t="n"/>
      <c r="F209" s="42" t="n"/>
      <c r="G209" s="38" t="n"/>
      <c r="H209" s="38" t="n"/>
    </row>
    <row r="210" ht="21" customHeight="1">
      <c r="A210" s="38" t="n"/>
      <c r="B210" s="38" t="n"/>
      <c r="C210" s="38" t="n"/>
      <c r="D210" s="38" t="n"/>
      <c r="E210" s="38" t="n"/>
      <c r="F210" s="42" t="n"/>
      <c r="G210" s="38" t="n"/>
      <c r="H210" s="38" t="n"/>
    </row>
    <row r="211" ht="21" customHeight="1">
      <c r="A211" s="38" t="n"/>
      <c r="B211" s="38" t="n"/>
      <c r="C211" s="38" t="n"/>
      <c r="D211" s="38" t="n"/>
      <c r="E211" s="38" t="n"/>
      <c r="F211" s="42" t="n"/>
      <c r="G211" s="38" t="n"/>
      <c r="H211" s="38" t="n"/>
    </row>
    <row r="212" ht="21" customHeight="1">
      <c r="A212" s="38" t="n"/>
      <c r="B212" s="38" t="n"/>
      <c r="C212" s="38" t="n"/>
      <c r="D212" s="38" t="n"/>
      <c r="E212" s="38" t="n"/>
      <c r="F212" s="42" t="n"/>
      <c r="G212" s="38" t="n"/>
      <c r="H212" s="38" t="n"/>
    </row>
    <row r="213" ht="21" customHeight="1">
      <c r="A213" s="38" t="n"/>
      <c r="B213" s="38" t="n"/>
      <c r="C213" s="38" t="n"/>
      <c r="D213" s="38" t="n"/>
      <c r="E213" s="38" t="n"/>
      <c r="F213" s="42" t="n"/>
      <c r="G213" s="38" t="n"/>
      <c r="H213" s="38" t="n"/>
    </row>
    <row r="214" ht="21" customHeight="1">
      <c r="A214" s="38" t="n"/>
      <c r="B214" s="38" t="n"/>
      <c r="C214" s="38" t="n"/>
      <c r="D214" s="38" t="n"/>
      <c r="E214" s="38" t="n"/>
      <c r="F214" s="42" t="n"/>
      <c r="G214" s="38" t="n"/>
      <c r="H214" s="38" t="n"/>
    </row>
    <row r="215" ht="21" customHeight="1">
      <c r="A215" s="38" t="n"/>
      <c r="B215" s="38" t="n"/>
      <c r="C215" s="38" t="n"/>
      <c r="D215" s="38" t="n"/>
      <c r="E215" s="38" t="n"/>
      <c r="F215" s="42" t="n"/>
      <c r="G215" s="38" t="n"/>
      <c r="H215" s="38" t="n"/>
    </row>
    <row r="216" ht="21" customHeight="1">
      <c r="A216" s="38" t="n"/>
      <c r="B216" s="38" t="n"/>
      <c r="C216" s="38" t="n"/>
      <c r="D216" s="38" t="n"/>
      <c r="E216" s="38" t="n"/>
      <c r="F216" s="42" t="n"/>
      <c r="G216" s="38" t="n"/>
      <c r="H216" s="38" t="n"/>
    </row>
    <row r="217" ht="21" customHeight="1">
      <c r="A217" s="38" t="n"/>
      <c r="B217" s="38" t="n"/>
      <c r="C217" s="38" t="n"/>
      <c r="D217" s="38" t="n"/>
      <c r="E217" s="38" t="n"/>
      <c r="F217" s="42" t="n"/>
      <c r="G217" s="38" t="n"/>
      <c r="H217" s="38" t="n"/>
    </row>
    <row r="218" ht="21" customHeight="1">
      <c r="A218" s="38" t="n"/>
      <c r="B218" s="38" t="n"/>
      <c r="C218" s="38" t="n"/>
      <c r="D218" s="38" t="n"/>
      <c r="E218" s="38" t="n"/>
      <c r="F218" s="42" t="n"/>
      <c r="G218" s="38" t="n"/>
      <c r="H218" s="38" t="n"/>
    </row>
    <row r="219" ht="21" customHeight="1">
      <c r="A219" s="38" t="n"/>
      <c r="B219" s="38" t="n"/>
      <c r="C219" s="38" t="n"/>
      <c r="D219" s="38" t="n"/>
      <c r="E219" s="38" t="n"/>
      <c r="F219" s="42" t="n"/>
      <c r="G219" s="38" t="n"/>
      <c r="H219" s="38" t="n"/>
    </row>
    <row r="220" ht="21" customHeight="1">
      <c r="A220" s="38" t="n"/>
      <c r="B220" s="38" t="n"/>
      <c r="C220" s="38" t="n"/>
      <c r="D220" s="38" t="n"/>
      <c r="E220" s="38" t="n"/>
      <c r="F220" s="42" t="n"/>
      <c r="G220" s="38" t="n"/>
      <c r="H220" s="38" t="n"/>
    </row>
    <row r="221" ht="21" customHeight="1">
      <c r="A221" s="38" t="n"/>
      <c r="B221" s="38" t="n"/>
      <c r="C221" s="38" t="n"/>
      <c r="D221" s="38" t="n"/>
      <c r="E221" s="38" t="n"/>
      <c r="F221" s="42" t="n"/>
      <c r="G221" s="38" t="n"/>
      <c r="H221" s="38" t="n"/>
    </row>
    <row r="222" ht="21" customHeight="1">
      <c r="A222" s="38" t="n"/>
      <c r="B222" s="38" t="n"/>
      <c r="C222" s="38" t="n"/>
      <c r="D222" s="38" t="n"/>
      <c r="E222" s="38" t="n"/>
      <c r="F222" s="42" t="n"/>
      <c r="G222" s="38" t="n"/>
      <c r="H222" s="38" t="n"/>
    </row>
    <row r="223" ht="21" customHeight="1">
      <c r="A223" s="38" t="n"/>
      <c r="B223" s="38" t="n"/>
      <c r="C223" s="38" t="n"/>
      <c r="D223" s="38" t="n"/>
      <c r="E223" s="38" t="n"/>
      <c r="F223" s="42" t="n"/>
      <c r="G223" s="38" t="n"/>
      <c r="H223" s="38" t="n"/>
    </row>
    <row r="224" ht="21" customHeight="1">
      <c r="A224" s="38" t="n"/>
      <c r="B224" s="38" t="n"/>
      <c r="C224" s="38" t="n"/>
      <c r="D224" s="38" t="n"/>
      <c r="E224" s="38" t="n"/>
      <c r="F224" s="42" t="n"/>
      <c r="G224" s="38" t="n"/>
      <c r="H224" s="38" t="n"/>
    </row>
    <row r="225" ht="21" customHeight="1">
      <c r="A225" s="38" t="n"/>
      <c r="B225" s="38" t="n"/>
      <c r="C225" s="38" t="n"/>
      <c r="D225" s="38" t="n"/>
      <c r="E225" s="38" t="n"/>
      <c r="F225" s="42" t="n"/>
      <c r="G225" s="38" t="n"/>
      <c r="H225" s="38" t="n"/>
    </row>
    <row r="226" ht="21" customHeight="1">
      <c r="A226" s="38" t="n"/>
      <c r="B226" s="38" t="n"/>
      <c r="C226" s="38" t="n"/>
      <c r="D226" s="38" t="n"/>
      <c r="E226" s="38" t="n"/>
      <c r="F226" s="42" t="n"/>
      <c r="G226" s="38" t="n"/>
      <c r="H226" s="38" t="n"/>
    </row>
    <row r="227" ht="21" customHeight="1">
      <c r="A227" s="38" t="n"/>
      <c r="B227" s="38" t="n"/>
      <c r="C227" s="38" t="n"/>
      <c r="D227" s="38" t="n"/>
      <c r="E227" s="38" t="n"/>
      <c r="F227" s="42" t="n"/>
      <c r="G227" s="38" t="n"/>
      <c r="H227" s="38" t="n"/>
    </row>
    <row r="228" ht="21" customHeight="1">
      <c r="A228" s="38" t="n"/>
      <c r="B228" s="38" t="n"/>
      <c r="C228" s="38" t="n"/>
      <c r="D228" s="38" t="n"/>
      <c r="E228" s="38" t="n"/>
      <c r="F228" s="42" t="n"/>
      <c r="G228" s="38" t="n"/>
      <c r="H228" s="38" t="n"/>
    </row>
    <row r="229" ht="21" customHeight="1">
      <c r="A229" s="38" t="n"/>
      <c r="B229" s="38" t="n"/>
      <c r="C229" s="38" t="n"/>
      <c r="D229" s="38" t="n"/>
      <c r="E229" s="38" t="n"/>
      <c r="F229" s="42" t="n"/>
      <c r="G229" s="38" t="n"/>
      <c r="H229" s="38" t="n"/>
    </row>
    <row r="230" ht="21" customHeight="1">
      <c r="A230" s="38" t="n"/>
      <c r="B230" s="38" t="n"/>
      <c r="C230" s="38" t="n"/>
      <c r="D230" s="38" t="n"/>
      <c r="E230" s="38" t="n"/>
      <c r="F230" s="42" t="n"/>
      <c r="G230" s="38" t="n"/>
      <c r="H230" s="38" t="n"/>
    </row>
    <row r="231" ht="21" customHeight="1">
      <c r="A231" s="38" t="n"/>
      <c r="B231" s="38" t="n"/>
      <c r="C231" s="38" t="n"/>
      <c r="D231" s="38" t="n"/>
      <c r="E231" s="38" t="n"/>
      <c r="F231" s="42" t="n"/>
      <c r="G231" s="38" t="n"/>
      <c r="H231" s="38" t="n"/>
    </row>
    <row r="232" ht="21" customHeight="1">
      <c r="A232" s="38" t="n"/>
      <c r="B232" s="38" t="n"/>
      <c r="C232" s="38" t="n"/>
      <c r="D232" s="38" t="n"/>
      <c r="E232" s="38" t="n"/>
      <c r="F232" s="42" t="n"/>
      <c r="G232" s="38" t="n"/>
      <c r="H232" s="38" t="n"/>
    </row>
    <row r="233" ht="21" customHeight="1">
      <c r="A233" s="38" t="n"/>
      <c r="B233" s="38" t="n"/>
      <c r="C233" s="38" t="n"/>
      <c r="D233" s="38" t="n"/>
      <c r="E233" s="38" t="n"/>
      <c r="F233" s="42" t="n"/>
      <c r="G233" s="38" t="n"/>
      <c r="H233" s="38" t="n"/>
    </row>
    <row r="234" ht="21" customHeight="1">
      <c r="A234" s="38" t="n"/>
      <c r="B234" s="38" t="n"/>
      <c r="C234" s="38" t="n"/>
      <c r="D234" s="38" t="n"/>
      <c r="E234" s="38" t="n"/>
      <c r="F234" s="42" t="n"/>
      <c r="G234" s="38" t="n"/>
      <c r="H234" s="38" t="n"/>
    </row>
    <row r="235" ht="21" customHeight="1">
      <c r="A235" s="38" t="n"/>
      <c r="B235" s="38" t="n"/>
      <c r="C235" s="38" t="n"/>
      <c r="D235" s="38" t="n"/>
      <c r="E235" s="38" t="n"/>
      <c r="F235" s="42" t="n"/>
      <c r="G235" s="38" t="n"/>
      <c r="H235" s="38" t="n"/>
    </row>
    <row r="236" ht="21" customHeight="1">
      <c r="A236" s="38" t="n"/>
      <c r="B236" s="38" t="n"/>
      <c r="C236" s="38" t="n"/>
      <c r="D236" s="38" t="n"/>
      <c r="E236" s="38" t="n"/>
      <c r="F236" s="42" t="n"/>
      <c r="G236" s="38" t="n"/>
      <c r="H236" s="38" t="n"/>
    </row>
    <row r="237" ht="21" customHeight="1">
      <c r="A237" s="38" t="n"/>
      <c r="B237" s="38" t="n"/>
      <c r="C237" s="38" t="n"/>
      <c r="D237" s="38" t="n"/>
      <c r="E237" s="38" t="n"/>
      <c r="F237" s="42" t="n"/>
      <c r="G237" s="38" t="n"/>
      <c r="H237" s="38" t="n"/>
    </row>
    <row r="238" ht="21" customHeight="1">
      <c r="A238" s="38" t="n"/>
      <c r="B238" s="38" t="n"/>
      <c r="C238" s="38" t="n"/>
      <c r="D238" s="38" t="n"/>
      <c r="E238" s="38" t="n"/>
      <c r="F238" s="42" t="n"/>
      <c r="G238" s="38" t="n"/>
      <c r="H238" s="38" t="n"/>
    </row>
    <row r="239" ht="21" customHeight="1">
      <c r="A239" s="38" t="n"/>
      <c r="B239" s="38" t="n"/>
      <c r="C239" s="38" t="n"/>
      <c r="D239" s="38" t="n"/>
      <c r="E239" s="38" t="n"/>
      <c r="F239" s="42" t="n"/>
      <c r="G239" s="38" t="n"/>
      <c r="H239" s="38" t="n"/>
    </row>
    <row r="240" ht="21" customHeight="1">
      <c r="A240" s="38" t="n"/>
      <c r="B240" s="38" t="n"/>
      <c r="C240" s="38" t="n"/>
      <c r="D240" s="38" t="n"/>
      <c r="E240" s="38" t="n"/>
      <c r="F240" s="42" t="n"/>
      <c r="G240" s="38" t="n"/>
      <c r="H240" s="38" t="n"/>
    </row>
    <row r="241" ht="21" customHeight="1">
      <c r="A241" s="38" t="n"/>
      <c r="B241" s="38" t="n"/>
      <c r="C241" s="38" t="n"/>
      <c r="D241" s="38" t="n"/>
      <c r="E241" s="38" t="n"/>
      <c r="F241" s="42" t="n"/>
      <c r="G241" s="38" t="n"/>
      <c r="H241" s="38" t="n"/>
    </row>
    <row r="242" ht="21" customHeight="1">
      <c r="A242" s="38" t="n"/>
      <c r="B242" s="38" t="n"/>
      <c r="C242" s="38" t="n"/>
      <c r="D242" s="38" t="n"/>
      <c r="E242" s="38" t="n"/>
      <c r="F242" s="42" t="n"/>
      <c r="G242" s="38" t="n"/>
      <c r="H242" s="38" t="n"/>
    </row>
    <row r="243" ht="21" customHeight="1">
      <c r="A243" s="38" t="n"/>
      <c r="B243" s="38" t="n"/>
      <c r="C243" s="38" t="n"/>
      <c r="D243" s="38" t="n"/>
      <c r="E243" s="38" t="n"/>
      <c r="F243" s="42" t="n"/>
      <c r="G243" s="38" t="n"/>
      <c r="H243" s="38" t="n"/>
    </row>
    <row r="244" ht="21" customHeight="1">
      <c r="A244" s="38" t="n"/>
      <c r="B244" s="38" t="n"/>
      <c r="C244" s="38" t="n"/>
      <c r="D244" s="38" t="n"/>
      <c r="E244" s="38" t="n"/>
      <c r="F244" s="42" t="n"/>
      <c r="G244" s="38" t="n"/>
      <c r="H244" s="38" t="n"/>
    </row>
    <row r="245" ht="21" customHeight="1">
      <c r="A245" s="38" t="n"/>
      <c r="B245" s="38" t="n"/>
      <c r="C245" s="38" t="n"/>
      <c r="D245" s="38" t="n"/>
      <c r="E245" s="38" t="n"/>
      <c r="F245" s="42" t="n"/>
      <c r="G245" s="38" t="n"/>
      <c r="H245" s="38" t="n"/>
    </row>
    <row r="246" ht="21" customHeight="1">
      <c r="A246" s="38" t="n"/>
      <c r="B246" s="38" t="n"/>
      <c r="C246" s="38" t="n"/>
      <c r="D246" s="38" t="n"/>
      <c r="E246" s="38" t="n"/>
      <c r="F246" s="42" t="n"/>
      <c r="G246" s="38" t="n"/>
      <c r="H246" s="38" t="n"/>
    </row>
    <row r="247" ht="21" customHeight="1">
      <c r="A247" s="38" t="n"/>
      <c r="B247" s="38" t="n"/>
      <c r="C247" s="38" t="n"/>
      <c r="D247" s="38" t="n"/>
      <c r="E247" s="38" t="n"/>
      <c r="F247" s="42" t="n"/>
      <c r="G247" s="38" t="n"/>
      <c r="H247" s="38" t="n"/>
    </row>
    <row r="248" ht="21" customHeight="1">
      <c r="A248" s="38" t="n"/>
      <c r="B248" s="38" t="n"/>
      <c r="C248" s="38" t="n"/>
      <c r="D248" s="38" t="n"/>
      <c r="E248" s="38" t="n"/>
      <c r="F248" s="42" t="n"/>
      <c r="G248" s="38" t="n"/>
      <c r="H248" s="38" t="n"/>
    </row>
    <row r="249" ht="21" customHeight="1">
      <c r="A249" s="38" t="n"/>
      <c r="B249" s="38" t="n"/>
      <c r="C249" s="38" t="n"/>
      <c r="D249" s="38" t="n"/>
      <c r="E249" s="38" t="n"/>
      <c r="F249" s="42" t="n"/>
      <c r="G249" s="38" t="n"/>
      <c r="H249" s="38" t="n"/>
    </row>
    <row r="250" ht="21" customHeight="1">
      <c r="A250" s="38" t="n"/>
      <c r="B250" s="38" t="n"/>
      <c r="C250" s="38" t="n"/>
      <c r="D250" s="38" t="n"/>
      <c r="E250" s="38" t="n"/>
      <c r="F250" s="42" t="n"/>
      <c r="G250" s="38" t="n"/>
      <c r="H250" s="38" t="n"/>
    </row>
    <row r="251" ht="21" customHeight="1">
      <c r="A251" s="38" t="n"/>
      <c r="B251" s="38" t="n"/>
      <c r="C251" s="38" t="n"/>
      <c r="D251" s="38" t="n"/>
      <c r="E251" s="38" t="n"/>
      <c r="F251" s="42" t="n"/>
      <c r="G251" s="38" t="n"/>
      <c r="H251" s="38" t="n"/>
    </row>
    <row r="252" ht="21" customHeight="1">
      <c r="A252" s="38" t="n"/>
      <c r="B252" s="38" t="n"/>
      <c r="C252" s="38" t="n"/>
      <c r="D252" s="38" t="n"/>
      <c r="E252" s="38" t="n"/>
      <c r="F252" s="42" t="n"/>
      <c r="G252" s="38" t="n"/>
      <c r="H252" s="38" t="n"/>
    </row>
    <row r="253" ht="21" customHeight="1">
      <c r="A253" s="38" t="n"/>
      <c r="B253" s="38" t="n"/>
      <c r="C253" s="38" t="n"/>
      <c r="D253" s="38" t="n"/>
      <c r="E253" s="38" t="n"/>
      <c r="F253" s="42" t="n"/>
      <c r="G253" s="38" t="n"/>
      <c r="H253" s="38" t="n"/>
    </row>
    <row r="254" ht="21" customHeight="1">
      <c r="A254" s="38" t="n"/>
      <c r="B254" s="38" t="n"/>
      <c r="C254" s="38" t="n"/>
      <c r="D254" s="38" t="n"/>
      <c r="E254" s="38" t="n"/>
      <c r="F254" s="42" t="n"/>
      <c r="G254" s="38" t="n"/>
      <c r="H254" s="38" t="n"/>
    </row>
    <row r="255" ht="21" customHeight="1">
      <c r="A255" s="38" t="n"/>
      <c r="B255" s="38" t="n"/>
      <c r="C255" s="38" t="n"/>
      <c r="D255" s="38" t="n"/>
      <c r="E255" s="38" t="n"/>
      <c r="F255" s="42" t="n"/>
      <c r="G255" s="38" t="n"/>
      <c r="H255" s="38" t="n"/>
    </row>
    <row r="256" ht="21" customHeight="1">
      <c r="A256" s="38" t="n"/>
      <c r="B256" s="38" t="n"/>
      <c r="C256" s="38" t="n"/>
      <c r="D256" s="38" t="n"/>
      <c r="E256" s="38" t="n"/>
      <c r="F256" s="42" t="n"/>
      <c r="G256" s="38" t="n"/>
      <c r="H256" s="38" t="n"/>
    </row>
    <row r="257" ht="21" customHeight="1">
      <c r="A257" s="38" t="n"/>
      <c r="B257" s="38" t="n"/>
      <c r="C257" s="38" t="n"/>
      <c r="D257" s="38" t="n"/>
      <c r="E257" s="38" t="n"/>
      <c r="F257" s="42" t="n"/>
      <c r="G257" s="38" t="n"/>
      <c r="H257" s="38" t="n"/>
    </row>
    <row r="258" ht="21" customHeight="1">
      <c r="A258" s="38" t="n"/>
      <c r="B258" s="38" t="n"/>
      <c r="C258" s="38" t="n"/>
      <c r="D258" s="38" t="n"/>
      <c r="E258" s="38" t="n"/>
      <c r="F258" s="42" t="n"/>
      <c r="G258" s="38" t="n"/>
      <c r="H258" s="38" t="n"/>
    </row>
    <row r="259" ht="21" customHeight="1">
      <c r="A259" s="38" t="n"/>
      <c r="B259" s="38" t="n"/>
      <c r="C259" s="38" t="n"/>
      <c r="D259" s="38" t="n"/>
      <c r="E259" s="38" t="n"/>
      <c r="F259" s="42" t="n"/>
      <c r="G259" s="38" t="n"/>
      <c r="H259" s="38" t="n"/>
    </row>
    <row r="260" ht="21" customHeight="1">
      <c r="A260" s="38" t="n"/>
      <c r="B260" s="38" t="n"/>
      <c r="C260" s="38" t="n"/>
      <c r="D260" s="38" t="n"/>
      <c r="E260" s="38" t="n"/>
      <c r="F260" s="42" t="n"/>
      <c r="G260" s="38" t="n"/>
      <c r="H260" s="38" t="n"/>
    </row>
    <row r="261" ht="21" customHeight="1">
      <c r="A261" s="38" t="n"/>
      <c r="B261" s="38" t="n"/>
      <c r="C261" s="38" t="n"/>
      <c r="D261" s="38" t="n"/>
      <c r="E261" s="38" t="n"/>
      <c r="F261" s="42" t="n"/>
      <c r="G261" s="38" t="n"/>
      <c r="H261" s="38" t="n"/>
    </row>
    <row r="262" ht="21" customHeight="1">
      <c r="A262" s="38" t="n"/>
      <c r="B262" s="38" t="n"/>
      <c r="C262" s="38" t="n"/>
      <c r="D262" s="38" t="n"/>
      <c r="E262" s="38" t="n"/>
      <c r="F262" s="42" t="n"/>
      <c r="G262" s="38" t="n"/>
      <c r="H262" s="38" t="n"/>
    </row>
    <row r="263" ht="21" customHeight="1">
      <c r="A263" s="38" t="n"/>
      <c r="B263" s="38" t="n"/>
      <c r="C263" s="38" t="n"/>
      <c r="D263" s="38" t="n"/>
      <c r="E263" s="38" t="n"/>
      <c r="F263" s="42" t="n"/>
      <c r="G263" s="38" t="n"/>
      <c r="H263" s="38" t="n"/>
    </row>
    <row r="264" ht="21" customHeight="1">
      <c r="A264" s="38" t="n"/>
      <c r="B264" s="38" t="n"/>
      <c r="C264" s="38" t="n"/>
      <c r="D264" s="38" t="n"/>
      <c r="E264" s="38" t="n"/>
      <c r="F264" s="42" t="n"/>
      <c r="G264" s="38" t="n"/>
      <c r="H264" s="38" t="n"/>
    </row>
    <row r="265" ht="21" customHeight="1">
      <c r="A265" s="38" t="n"/>
      <c r="B265" s="38" t="n"/>
      <c r="C265" s="38" t="n"/>
      <c r="D265" s="38" t="n"/>
      <c r="E265" s="38" t="n"/>
      <c r="F265" s="42" t="n"/>
      <c r="G265" s="38" t="n"/>
      <c r="H265" s="38" t="n"/>
    </row>
    <row r="266" ht="21" customHeight="1">
      <c r="A266" s="38" t="n"/>
      <c r="B266" s="38" t="n"/>
      <c r="C266" s="38" t="n"/>
      <c r="D266" s="38" t="n"/>
      <c r="E266" s="38" t="n"/>
      <c r="F266" s="42" t="n"/>
      <c r="G266" s="38" t="n"/>
      <c r="H266" s="38" t="n"/>
    </row>
    <row r="267" ht="21" customHeight="1">
      <c r="A267" s="38" t="n"/>
      <c r="B267" s="38" t="n"/>
      <c r="C267" s="38" t="n"/>
      <c r="D267" s="38" t="n"/>
      <c r="E267" s="38" t="n"/>
      <c r="F267" s="42" t="n"/>
      <c r="G267" s="38" t="n"/>
      <c r="H267" s="38" t="n"/>
    </row>
    <row r="268" ht="21" customHeight="1">
      <c r="A268" s="38" t="n"/>
      <c r="B268" s="38" t="n"/>
      <c r="C268" s="38" t="n"/>
      <c r="D268" s="38" t="n"/>
      <c r="E268" s="38" t="n"/>
      <c r="F268" s="42" t="n"/>
      <c r="G268" s="38" t="n"/>
      <c r="H268" s="38" t="n"/>
    </row>
    <row r="269" ht="21" customHeight="1">
      <c r="A269" s="38" t="n"/>
      <c r="B269" s="38" t="n"/>
      <c r="C269" s="38" t="n"/>
      <c r="D269" s="38" t="n"/>
      <c r="E269" s="38" t="n"/>
      <c r="F269" s="42" t="n"/>
      <c r="G269" s="38" t="n"/>
      <c r="H269" s="38" t="n"/>
    </row>
    <row r="270" ht="21" customHeight="1">
      <c r="A270" s="38" t="n"/>
      <c r="B270" s="38" t="n"/>
      <c r="C270" s="38" t="n"/>
      <c r="D270" s="38" t="n"/>
      <c r="E270" s="38" t="n"/>
      <c r="F270" s="42" t="n"/>
      <c r="G270" s="38" t="n"/>
      <c r="H270" s="38" t="n"/>
    </row>
    <row r="271" ht="21" customHeight="1">
      <c r="A271" s="38" t="n"/>
      <c r="B271" s="38" t="n"/>
      <c r="C271" s="38" t="n"/>
      <c r="D271" s="38" t="n"/>
      <c r="E271" s="38" t="n"/>
      <c r="F271" s="42" t="n"/>
      <c r="G271" s="38" t="n"/>
      <c r="H271" s="38" t="n"/>
    </row>
    <row r="272" ht="21" customHeight="1">
      <c r="A272" s="38" t="n"/>
      <c r="B272" s="38" t="n"/>
      <c r="C272" s="38" t="n"/>
      <c r="D272" s="38" t="n"/>
      <c r="E272" s="38" t="n"/>
      <c r="F272" s="42" t="n"/>
      <c r="G272" s="38" t="n"/>
      <c r="H272" s="38" t="n"/>
    </row>
    <row r="273" ht="21" customHeight="1">
      <c r="A273" s="38" t="n"/>
      <c r="B273" s="38" t="n"/>
      <c r="C273" s="38" t="n"/>
      <c r="D273" s="38" t="n"/>
      <c r="E273" s="38" t="n"/>
      <c r="F273" s="42" t="n"/>
      <c r="G273" s="38" t="n"/>
      <c r="H273" s="38" t="n"/>
    </row>
    <row r="274" ht="21" customHeight="1">
      <c r="A274" s="38" t="n"/>
      <c r="B274" s="38" t="n"/>
      <c r="C274" s="38" t="n"/>
      <c r="D274" s="38" t="n"/>
      <c r="E274" s="38" t="n"/>
      <c r="F274" s="42" t="n"/>
      <c r="G274" s="38" t="n"/>
      <c r="H274" s="38" t="n"/>
    </row>
    <row r="275" ht="21" customHeight="1">
      <c r="A275" s="38" t="n"/>
      <c r="B275" s="38" t="n"/>
      <c r="C275" s="38" t="n"/>
      <c r="D275" s="38" t="n"/>
      <c r="E275" s="38" t="n"/>
      <c r="F275" s="42" t="n"/>
      <c r="G275" s="38" t="n"/>
      <c r="H275" s="38" t="n"/>
    </row>
    <row r="276" ht="21" customHeight="1">
      <c r="A276" s="38" t="n"/>
      <c r="B276" s="38" t="n"/>
      <c r="C276" s="38" t="n"/>
      <c r="D276" s="38" t="n"/>
      <c r="E276" s="38" t="n"/>
      <c r="F276" s="42" t="n"/>
      <c r="G276" s="38" t="n"/>
      <c r="H276" s="38" t="n"/>
    </row>
    <row r="277" ht="21" customHeight="1">
      <c r="A277" s="38" t="n"/>
      <c r="B277" s="38" t="n"/>
      <c r="C277" s="38" t="n"/>
      <c r="D277" s="38" t="n"/>
      <c r="E277" s="38" t="n"/>
      <c r="F277" s="42" t="n"/>
      <c r="G277" s="38" t="n"/>
      <c r="H277" s="38" t="n"/>
    </row>
    <row r="278" ht="21" customHeight="1">
      <c r="A278" s="38" t="n"/>
      <c r="B278" s="38" t="n"/>
      <c r="C278" s="38" t="n"/>
      <c r="D278" s="38" t="n"/>
      <c r="E278" s="38" t="n"/>
      <c r="F278" s="42" t="n"/>
      <c r="G278" s="38" t="n"/>
      <c r="H278" s="38" t="n"/>
    </row>
    <row r="279" ht="21" customHeight="1">
      <c r="A279" s="38" t="n"/>
      <c r="B279" s="38" t="n"/>
      <c r="C279" s="38" t="n"/>
      <c r="D279" s="38" t="n"/>
      <c r="E279" s="38" t="n"/>
      <c r="F279" s="42" t="n"/>
      <c r="G279" s="38" t="n"/>
      <c r="H279" s="38" t="n"/>
    </row>
    <row r="280" ht="21" customHeight="1">
      <c r="A280" s="38" t="n"/>
      <c r="B280" s="38" t="n"/>
      <c r="C280" s="38" t="n"/>
      <c r="D280" s="38" t="n"/>
      <c r="E280" s="38" t="n"/>
      <c r="F280" s="42" t="n"/>
      <c r="G280" s="38" t="n"/>
      <c r="H280" s="38" t="n"/>
    </row>
    <row r="281" ht="21" customHeight="1">
      <c r="A281" s="38" t="n"/>
      <c r="B281" s="38" t="n"/>
      <c r="C281" s="38" t="n"/>
      <c r="D281" s="38" t="n"/>
      <c r="E281" s="38" t="n"/>
      <c r="F281" s="42" t="n"/>
      <c r="G281" s="38" t="n"/>
      <c r="H281" s="38" t="n"/>
    </row>
    <row r="282" ht="21" customHeight="1">
      <c r="A282" s="38" t="n"/>
      <c r="B282" s="38" t="n"/>
      <c r="C282" s="38" t="n"/>
      <c r="D282" s="38" t="n"/>
      <c r="E282" s="38" t="n"/>
      <c r="F282" s="42" t="n"/>
      <c r="G282" s="38" t="n"/>
      <c r="H282" s="38" t="n"/>
    </row>
    <row r="283" ht="21" customHeight="1">
      <c r="A283" s="38" t="n"/>
      <c r="B283" s="38" t="n"/>
      <c r="C283" s="38" t="n"/>
      <c r="D283" s="38" t="n"/>
      <c r="E283" s="38" t="n"/>
      <c r="F283" s="42" t="n"/>
      <c r="G283" s="38" t="n"/>
      <c r="H283" s="38" t="n"/>
    </row>
    <row r="284" ht="21" customHeight="1">
      <c r="A284" s="38" t="n"/>
      <c r="B284" s="38" t="n"/>
      <c r="C284" s="38" t="n"/>
      <c r="D284" s="38" t="n"/>
      <c r="E284" s="38" t="n"/>
      <c r="F284" s="42" t="n"/>
      <c r="G284" s="38" t="n"/>
      <c r="H284" s="38" t="n"/>
    </row>
    <row r="285" ht="21" customHeight="1">
      <c r="A285" s="38" t="n"/>
      <c r="B285" s="38" t="n"/>
      <c r="C285" s="38" t="n"/>
      <c r="D285" s="38" t="n"/>
      <c r="E285" s="38" t="n"/>
      <c r="F285" s="42" t="n"/>
      <c r="G285" s="38" t="n"/>
      <c r="H285" s="38" t="n"/>
    </row>
    <row r="286" ht="21" customHeight="1">
      <c r="A286" s="38" t="n"/>
      <c r="B286" s="38" t="n"/>
      <c r="C286" s="38" t="n"/>
      <c r="D286" s="38" t="n"/>
      <c r="E286" s="38" t="n"/>
      <c r="F286" s="42" t="n"/>
      <c r="G286" s="38" t="n"/>
      <c r="H286" s="38" t="n"/>
    </row>
    <row r="287" ht="21" customHeight="1">
      <c r="A287" s="38" t="n"/>
      <c r="B287" s="38" t="n"/>
      <c r="C287" s="38" t="n"/>
      <c r="D287" s="38" t="n"/>
      <c r="E287" s="38" t="n"/>
      <c r="F287" s="42" t="n"/>
      <c r="G287" s="38" t="n"/>
      <c r="H287" s="38" t="n"/>
    </row>
    <row r="288" ht="21" customHeight="1">
      <c r="A288" s="38" t="n"/>
      <c r="B288" s="38" t="n"/>
      <c r="C288" s="38" t="n"/>
      <c r="D288" s="38" t="n"/>
      <c r="E288" s="38" t="n"/>
      <c r="F288" s="42" t="n"/>
      <c r="G288" s="38" t="n"/>
      <c r="H288" s="38" t="n"/>
    </row>
    <row r="289" ht="21" customHeight="1">
      <c r="A289" s="38" t="n"/>
      <c r="B289" s="38" t="n"/>
      <c r="C289" s="38" t="n"/>
      <c r="D289" s="38" t="n"/>
      <c r="E289" s="38" t="n"/>
      <c r="F289" s="42" t="n"/>
      <c r="G289" s="38" t="n"/>
      <c r="H289" s="38" t="n"/>
    </row>
    <row r="290" ht="21" customHeight="1">
      <c r="A290" s="38" t="n"/>
      <c r="B290" s="38" t="n"/>
      <c r="C290" s="38" t="n"/>
      <c r="D290" s="38" t="n"/>
      <c r="E290" s="38" t="n"/>
      <c r="F290" s="42" t="n"/>
      <c r="G290" s="38" t="n"/>
      <c r="H290" s="38" t="n"/>
    </row>
    <row r="291" ht="21" customHeight="1">
      <c r="A291" s="38" t="n"/>
      <c r="B291" s="38" t="n"/>
      <c r="C291" s="38" t="n"/>
      <c r="D291" s="38" t="n"/>
      <c r="E291" s="38" t="n"/>
      <c r="F291" s="42" t="n"/>
      <c r="G291" s="38" t="n"/>
      <c r="H291" s="38" t="n"/>
    </row>
    <row r="292" ht="21" customHeight="1">
      <c r="A292" s="38" t="n"/>
      <c r="B292" s="38" t="n"/>
      <c r="C292" s="38" t="n"/>
      <c r="D292" s="38" t="n"/>
      <c r="E292" s="38" t="n"/>
      <c r="F292" s="42" t="n"/>
      <c r="G292" s="38" t="n"/>
      <c r="H292" s="38" t="n"/>
    </row>
    <row r="293" ht="21" customHeight="1">
      <c r="A293" s="38" t="n"/>
      <c r="B293" s="38" t="n"/>
      <c r="C293" s="38" t="n"/>
      <c r="D293" s="38" t="n"/>
      <c r="E293" s="38" t="n"/>
      <c r="F293" s="42" t="n"/>
      <c r="G293" s="38" t="n"/>
      <c r="H293" s="38" t="n"/>
    </row>
    <row r="294" ht="21" customHeight="1">
      <c r="A294" s="38" t="n"/>
      <c r="B294" s="38" t="n"/>
      <c r="C294" s="38" t="n"/>
      <c r="D294" s="38" t="n"/>
      <c r="E294" s="38" t="n"/>
      <c r="F294" s="42" t="n"/>
      <c r="G294" s="38" t="n"/>
      <c r="H294" s="38" t="n"/>
    </row>
    <row r="295" ht="21" customHeight="1">
      <c r="A295" s="38" t="n"/>
      <c r="B295" s="38" t="n"/>
      <c r="C295" s="38" t="n"/>
      <c r="D295" s="38" t="n"/>
      <c r="E295" s="38" t="n"/>
      <c r="F295" s="42" t="n"/>
      <c r="G295" s="38" t="n"/>
      <c r="H295" s="38" t="n"/>
    </row>
    <row r="296" ht="21" customHeight="1">
      <c r="A296" s="38" t="n"/>
      <c r="B296" s="38" t="n"/>
      <c r="C296" s="38" t="n"/>
      <c r="D296" s="38" t="n"/>
      <c r="E296" s="38" t="n"/>
      <c r="F296" s="42" t="n"/>
      <c r="G296" s="38" t="n"/>
      <c r="H296" s="38" t="n"/>
    </row>
    <row r="297" ht="21" customHeight="1">
      <c r="A297" s="38" t="n"/>
      <c r="B297" s="38" t="n"/>
      <c r="C297" s="38" t="n"/>
      <c r="D297" s="38" t="n"/>
      <c r="E297" s="38" t="n"/>
      <c r="F297" s="42" t="n"/>
      <c r="G297" s="38" t="n"/>
      <c r="H297" s="38" t="n"/>
    </row>
    <row r="298" ht="21" customHeight="1">
      <c r="A298" s="38" t="n"/>
      <c r="B298" s="38" t="n"/>
      <c r="C298" s="38" t="n"/>
      <c r="D298" s="38" t="n"/>
      <c r="E298" s="38" t="n"/>
      <c r="F298" s="42" t="n"/>
      <c r="G298" s="38" t="n"/>
      <c r="H298" s="38" t="n"/>
    </row>
    <row r="299" ht="21" customHeight="1">
      <c r="A299" s="38" t="n"/>
      <c r="B299" s="38" t="n"/>
      <c r="C299" s="38" t="n"/>
      <c r="D299" s="38" t="n"/>
      <c r="E299" s="38" t="n"/>
      <c r="F299" s="42" t="n"/>
      <c r="G299" s="38" t="n"/>
      <c r="H299" s="38" t="n"/>
    </row>
    <row r="300" ht="21" customHeight="1">
      <c r="A300" s="38" t="n"/>
      <c r="B300" s="38" t="n"/>
      <c r="C300" s="38" t="n"/>
      <c r="D300" s="38" t="n"/>
      <c r="E300" s="38" t="n"/>
      <c r="F300" s="42" t="n"/>
      <c r="G300" s="38" t="n"/>
      <c r="H300" s="38" t="n"/>
    </row>
    <row r="301" ht="21" customHeight="1">
      <c r="A301" s="38" t="n"/>
      <c r="B301" s="38" t="n"/>
      <c r="C301" s="38" t="n"/>
      <c r="D301" s="38" t="n"/>
      <c r="E301" s="38" t="n"/>
      <c r="F301" s="42" t="n"/>
      <c r="G301" s="38" t="n"/>
      <c r="H301" s="38" t="n"/>
    </row>
    <row r="302" ht="21" customHeight="1">
      <c r="A302" s="38" t="n"/>
      <c r="B302" s="38" t="n"/>
      <c r="C302" s="38" t="n"/>
      <c r="D302" s="38" t="n"/>
      <c r="E302" s="38" t="n"/>
      <c r="F302" s="42" t="n"/>
      <c r="G302" s="38" t="n"/>
      <c r="H302" s="38" t="n"/>
    </row>
    <row r="303" ht="21" customHeight="1">
      <c r="A303" s="38" t="n"/>
      <c r="B303" s="38" t="n"/>
      <c r="C303" s="38" t="n"/>
      <c r="D303" s="38" t="n"/>
      <c r="E303" s="38" t="n"/>
      <c r="F303" s="42" t="n"/>
      <c r="G303" s="38" t="n"/>
      <c r="H303" s="38" t="n"/>
    </row>
    <row r="304" ht="21" customHeight="1">
      <c r="A304" s="38" t="n"/>
      <c r="B304" s="38" t="n"/>
      <c r="C304" s="38" t="n"/>
      <c r="D304" s="38" t="n"/>
      <c r="E304" s="38" t="n"/>
      <c r="F304" s="42" t="n"/>
      <c r="G304" s="38" t="n"/>
      <c r="H304" s="38" t="n"/>
    </row>
    <row r="305" ht="21" customHeight="1">
      <c r="A305" s="38" t="n"/>
      <c r="B305" s="38" t="n"/>
      <c r="C305" s="38" t="n"/>
      <c r="D305" s="38" t="n"/>
      <c r="E305" s="38" t="n"/>
      <c r="F305" s="42" t="n"/>
      <c r="G305" s="38" t="n"/>
      <c r="H305" s="38" t="n"/>
    </row>
    <row r="306" ht="21" customHeight="1">
      <c r="A306" s="38" t="n"/>
      <c r="B306" s="38" t="n"/>
      <c r="C306" s="38" t="n"/>
      <c r="D306" s="38" t="n"/>
      <c r="E306" s="38" t="n"/>
      <c r="F306" s="42" t="n"/>
      <c r="G306" s="38" t="n"/>
      <c r="H306" s="38" t="n"/>
    </row>
  </sheetData>
  <autoFilter ref="A6:H306"/>
  <mergeCells count="3">
    <mergeCell ref="A1:H2"/>
    <mergeCell ref="A3:H3"/>
    <mergeCell ref="A4:H4"/>
  </mergeCells>
  <conditionalFormatting sqref="E7:E306">
    <cfRule type="expression" priority="1" dxfId="2">
      <formula>=OR(E7="Complete",E7="Approved",E7="Delivered",E7="Installed",E7="Good condition",E7="Paid",E7="On budget")</formula>
    </cfRule>
    <cfRule type="expression" priority="2" dxfId="1">
      <formula>=OR(E7="Pending",E7="In progress",E7="Sent",E7="Waiting on client",E7="Waiting on vendor",E7="On hold",E7="Partially paid",E7="Scheduled")</formula>
    </cfRule>
    <cfRule type="expression" priority="3" dxfId="0">
      <formula>=OR(E7="Overdue",E7="Delayed",E7="Damaged",E7="Missing item",E7="Rejected",E7="Revisions requested")</formula>
    </cfRule>
    <cfRule type="expression" priority="4" dxfId="3">
      <formula>=OR(E7="Cancelled",E7="On hold",E7="Returned")</formula>
    </cfRule>
  </conditionalFormatting>
  <conditionalFormatting sqref="G7:G306">
    <cfRule type="expression" priority="5" dxfId="2">
      <formula>=OR(G7="Complete",G7="Approved",G7="Delivered",G7="Installed",G7="Good condition",G7="Paid",G7="On budget")</formula>
    </cfRule>
    <cfRule type="expression" priority="6" dxfId="1">
      <formula>=OR(G7="Pending",G7="In progress",G7="Sent",G7="Waiting on client",G7="Waiting on vendor",G7="On hold",G7="Partially paid",G7="Scheduled")</formula>
    </cfRule>
    <cfRule type="expression" priority="7" dxfId="0">
      <formula>=OR(G7="Overdue",G7="Delayed",G7="Damaged",G7="Missing item",G7="Rejected",G7="Revisions requested")</formula>
    </cfRule>
    <cfRule type="expression" priority="8" dxfId="3">
      <formula>=OR(G7="Cancelled",G7="On hold",G7="Returned")</formula>
    </cfRule>
  </conditionalFormatting>
  <conditionalFormatting sqref="F7:F306">
    <cfRule type="expression" priority="9" dxfId="0">
      <formula>=AND($F7&lt;TODAY(),$F7&lt;&gt;"",$G7&lt;&gt;"Complete",$A7&lt;&gt;"")</formula>
    </cfRule>
  </conditionalFormatting>
  <dataValidations count="5">
    <dataValidation sqref="B7:B306" showDropDown="0" showInputMessage="1" showErrorMessage="1" allowBlank="1" errorTitle="Invalid entry" error="Please choose a value from the dropdown list." promptTitle="Choose from the dropdown" prompt="Select a value from the list." type="list">
      <formula1>=RoomNames</formula1>
    </dataValidation>
    <dataValidation sqref="C7:C306" showDropDown="0" showInputMessage="1" showErrorMessage="1" allowBlank="1" errorTitle="Invalid entry" error="Please choose a value from the dropdown list." promptTitle="Choose from the dropdown" prompt="Select a value from the list." type="list">
      <formula1>=TaskCategories</formula1>
    </dataValidation>
    <dataValidation sqref="E7:E306" showDropDown="0" showInputMessage="1" showErrorMessage="1" allowBlank="1" errorTitle="Invalid entry" error="Please choose a value from the dropdown list." promptTitle="Choose from the dropdown" prompt="Select a value from the list." type="list">
      <formula1>=PriorityLevels</formula1>
    </dataValidation>
    <dataValidation sqref="G7:G306" showDropDown="0" showInputMessage="1" showErrorMessage="1" allowBlank="1" errorTitle="Invalid entry" error="Please choose a value from the dropdown list." promptTitle="Choose from the dropdown" prompt="Select a value from the list." type="list">
      <formula1>=TaskStatuses</formula1>
    </dataValidation>
    <dataValidation sqref="F7:F306" showDropDown="0" showInputMessage="1" showErrorMessage="1" allowBlank="1" errorTitle="Invalid date" error="Enter a valid date between 1/1/1900 and 12/31/2100." promptTitle="Enter a date" prompt="Use a date such as 6/30/2026." type="date" operator="between">
      <formula1>DATE(1900,1,1)</formula1>
      <formula2>DATE(2100,12,31)</formula2>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17.xml><?xml version="1.0" encoding="utf-8"?>
<worksheet xmlns="http://schemas.openxmlformats.org/spreadsheetml/2006/main">
  <sheetPr>
    <tabColor rgb="007F9E9F"/>
    <outlinePr summaryBelow="1" summaryRight="1"/>
    <pageSetUpPr fitToPage="1"/>
  </sheetPr>
  <dimension ref="A1:K206"/>
  <sheetViews>
    <sheetView showGridLines="0" zoomScale="85" workbookViewId="0">
      <pane ySplit="6" topLeftCell="A7" activePane="bottomLeft" state="frozen"/>
      <selection pane="bottomLeft" activeCell="A7" sqref="A1"/>
    </sheetView>
  </sheetViews>
  <sheetFormatPr baseColWidth="8" defaultRowHeight="15"/>
  <cols>
    <col width="20" customWidth="1" min="1" max="1"/>
    <col width="22" customWidth="1" min="2" max="2"/>
    <col width="14" customWidth="1" min="3" max="3"/>
    <col width="14" customWidth="1" min="4" max="4"/>
    <col width="14" customWidth="1" min="5" max="5"/>
    <col width="14" customWidth="1" min="6" max="6"/>
    <col width="17" customWidth="1" min="7" max="7"/>
    <col width="18" customWidth="1" min="8" max="8"/>
    <col width="17" customWidth="1" min="9" max="9"/>
    <col width="17" customWidth="1" min="10" max="10"/>
    <col width="36" customWidth="1" min="11" max="11"/>
  </cols>
  <sheetData>
    <row r="1" ht="26" customHeight="1">
      <c r="A1" s="1" t="inlineStr">
        <is>
          <t>Measurement Log</t>
        </is>
      </c>
    </row>
    <row r="2" ht="26" customHeight="1"/>
    <row r="3" ht="26" customHeight="1">
      <c r="A3" s="24" t="inlineStr">
        <is>
          <t>Record dimensions for rooms, walls, openings, furniture spaces, rugs, and lighting locations.</t>
        </is>
      </c>
    </row>
    <row r="4">
      <c r="A4" s="36" t="inlineStr">
        <is>
          <t>Tip: enter data in the warm cream cells. Blue cells calculate automatically. Use the filter arrows in row 6 to focus the view.</t>
        </is>
      </c>
    </row>
    <row r="6" ht="34" customHeight="1">
      <c r="A6" s="37" t="inlineStr">
        <is>
          <t>Room</t>
        </is>
      </c>
      <c r="B6" s="37" t="inlineStr">
        <is>
          <t>Measurement type</t>
        </is>
      </c>
      <c r="C6" s="37" t="inlineStr">
        <is>
          <t>Width</t>
        </is>
      </c>
      <c r="D6" s="37" t="inlineStr">
        <is>
          <t>Height</t>
        </is>
      </c>
      <c r="E6" s="37" t="inlineStr">
        <is>
          <t>Depth</t>
        </is>
      </c>
      <c r="F6" s="37" t="inlineStr">
        <is>
          <t>Length</t>
        </is>
      </c>
      <c r="G6" s="37" t="inlineStr">
        <is>
          <t>Ceiling height</t>
        </is>
      </c>
      <c r="H6" s="37" t="inlineStr">
        <is>
          <t>Window size</t>
        </is>
      </c>
      <c r="I6" s="37" t="inlineStr">
        <is>
          <t>Door size</t>
        </is>
      </c>
      <c r="J6" s="37" t="inlineStr">
        <is>
          <t>Wall length</t>
        </is>
      </c>
      <c r="K6" s="37" t="inlineStr">
        <is>
          <t>Notes</t>
        </is>
      </c>
    </row>
    <row r="7" ht="21" customHeight="1">
      <c r="A7" s="38" t="n"/>
      <c r="B7" s="38" t="n"/>
      <c r="C7" s="39" t="n"/>
      <c r="D7" s="39" t="n"/>
      <c r="E7" s="39" t="n"/>
      <c r="F7" s="39" t="n"/>
      <c r="G7" s="39" t="n"/>
      <c r="H7" s="38" t="n"/>
      <c r="I7" s="38" t="n"/>
      <c r="J7" s="39" t="n"/>
      <c r="K7" s="38" t="n"/>
    </row>
    <row r="8" ht="21" customHeight="1">
      <c r="A8" s="38" t="n"/>
      <c r="B8" s="38" t="n"/>
      <c r="C8" s="39" t="n"/>
      <c r="D8" s="39" t="n"/>
      <c r="E8" s="39" t="n"/>
      <c r="F8" s="39" t="n"/>
      <c r="G8" s="39" t="n"/>
      <c r="H8" s="38" t="n"/>
      <c r="I8" s="38" t="n"/>
      <c r="J8" s="39" t="n"/>
      <c r="K8" s="38" t="n"/>
    </row>
    <row r="9" ht="21" customHeight="1">
      <c r="A9" s="38" t="n"/>
      <c r="B9" s="38" t="n"/>
      <c r="C9" s="39" t="n"/>
      <c r="D9" s="39" t="n"/>
      <c r="E9" s="39" t="n"/>
      <c r="F9" s="39" t="n"/>
      <c r="G9" s="39" t="n"/>
      <c r="H9" s="38" t="n"/>
      <c r="I9" s="38" t="n"/>
      <c r="J9" s="39" t="n"/>
      <c r="K9" s="38" t="n"/>
    </row>
    <row r="10" ht="21" customHeight="1">
      <c r="A10" s="38" t="n"/>
      <c r="B10" s="38" t="n"/>
      <c r="C10" s="39" t="n"/>
      <c r="D10" s="39" t="n"/>
      <c r="E10" s="39" t="n"/>
      <c r="F10" s="39" t="n"/>
      <c r="G10" s="39" t="n"/>
      <c r="H10" s="38" t="n"/>
      <c r="I10" s="38" t="n"/>
      <c r="J10" s="39" t="n"/>
      <c r="K10" s="38" t="n"/>
    </row>
    <row r="11" ht="21" customHeight="1">
      <c r="A11" s="38" t="n"/>
      <c r="B11" s="38" t="n"/>
      <c r="C11" s="39" t="n"/>
      <c r="D11" s="39" t="n"/>
      <c r="E11" s="39" t="n"/>
      <c r="F11" s="39" t="n"/>
      <c r="G11" s="39" t="n"/>
      <c r="H11" s="38" t="n"/>
      <c r="I11" s="38" t="n"/>
      <c r="J11" s="39" t="n"/>
      <c r="K11" s="38" t="n"/>
    </row>
    <row r="12" ht="21" customHeight="1">
      <c r="A12" s="38" t="n"/>
      <c r="B12" s="38" t="n"/>
      <c r="C12" s="39" t="n"/>
      <c r="D12" s="39" t="n"/>
      <c r="E12" s="39" t="n"/>
      <c r="F12" s="39" t="n"/>
      <c r="G12" s="39" t="n"/>
      <c r="H12" s="38" t="n"/>
      <c r="I12" s="38" t="n"/>
      <c r="J12" s="39" t="n"/>
      <c r="K12" s="38" t="n"/>
    </row>
    <row r="13" ht="21" customHeight="1">
      <c r="A13" s="38" t="n"/>
      <c r="B13" s="38" t="n"/>
      <c r="C13" s="39" t="n"/>
      <c r="D13" s="39" t="n"/>
      <c r="E13" s="39" t="n"/>
      <c r="F13" s="39" t="n"/>
      <c r="G13" s="39" t="n"/>
      <c r="H13" s="38" t="n"/>
      <c r="I13" s="38" t="n"/>
      <c r="J13" s="39" t="n"/>
      <c r="K13" s="38" t="n"/>
    </row>
    <row r="14" ht="21" customHeight="1">
      <c r="A14" s="38" t="n"/>
      <c r="B14" s="38" t="n"/>
      <c r="C14" s="39" t="n"/>
      <c r="D14" s="39" t="n"/>
      <c r="E14" s="39" t="n"/>
      <c r="F14" s="39" t="n"/>
      <c r="G14" s="39" t="n"/>
      <c r="H14" s="38" t="n"/>
      <c r="I14" s="38" t="n"/>
      <c r="J14" s="39" t="n"/>
      <c r="K14" s="38" t="n"/>
    </row>
    <row r="15" ht="21" customHeight="1">
      <c r="A15" s="38" t="n"/>
      <c r="B15" s="38" t="n"/>
      <c r="C15" s="39" t="n"/>
      <c r="D15" s="39" t="n"/>
      <c r="E15" s="39" t="n"/>
      <c r="F15" s="39" t="n"/>
      <c r="G15" s="39" t="n"/>
      <c r="H15" s="38" t="n"/>
      <c r="I15" s="38" t="n"/>
      <c r="J15" s="39" t="n"/>
      <c r="K15" s="38" t="n"/>
    </row>
    <row r="16" ht="21" customHeight="1">
      <c r="A16" s="38" t="n"/>
      <c r="B16" s="38" t="n"/>
      <c r="C16" s="39" t="n"/>
      <c r="D16" s="39" t="n"/>
      <c r="E16" s="39" t="n"/>
      <c r="F16" s="39" t="n"/>
      <c r="G16" s="39" t="n"/>
      <c r="H16" s="38" t="n"/>
      <c r="I16" s="38" t="n"/>
      <c r="J16" s="39" t="n"/>
      <c r="K16" s="38" t="n"/>
    </row>
    <row r="17" ht="21" customHeight="1">
      <c r="A17" s="38" t="n"/>
      <c r="B17" s="38" t="n"/>
      <c r="C17" s="39" t="n"/>
      <c r="D17" s="39" t="n"/>
      <c r="E17" s="39" t="n"/>
      <c r="F17" s="39" t="n"/>
      <c r="G17" s="39" t="n"/>
      <c r="H17" s="38" t="n"/>
      <c r="I17" s="38" t="n"/>
      <c r="J17" s="39" t="n"/>
      <c r="K17" s="38" t="n"/>
    </row>
    <row r="18" ht="21" customHeight="1">
      <c r="A18" s="38" t="n"/>
      <c r="B18" s="38" t="n"/>
      <c r="C18" s="39" t="n"/>
      <c r="D18" s="39" t="n"/>
      <c r="E18" s="39" t="n"/>
      <c r="F18" s="39" t="n"/>
      <c r="G18" s="39" t="n"/>
      <c r="H18" s="38" t="n"/>
      <c r="I18" s="38" t="n"/>
      <c r="J18" s="39" t="n"/>
      <c r="K18" s="38" t="n"/>
    </row>
    <row r="19" ht="21" customHeight="1">
      <c r="A19" s="38" t="n"/>
      <c r="B19" s="38" t="n"/>
      <c r="C19" s="39" t="n"/>
      <c r="D19" s="39" t="n"/>
      <c r="E19" s="39" t="n"/>
      <c r="F19" s="39" t="n"/>
      <c r="G19" s="39" t="n"/>
      <c r="H19" s="38" t="n"/>
      <c r="I19" s="38" t="n"/>
      <c r="J19" s="39" t="n"/>
      <c r="K19" s="38" t="n"/>
    </row>
    <row r="20" ht="21" customHeight="1">
      <c r="A20" s="38" t="n"/>
      <c r="B20" s="38" t="n"/>
      <c r="C20" s="39" t="n"/>
      <c r="D20" s="39" t="n"/>
      <c r="E20" s="39" t="n"/>
      <c r="F20" s="39" t="n"/>
      <c r="G20" s="39" t="n"/>
      <c r="H20" s="38" t="n"/>
      <c r="I20" s="38" t="n"/>
      <c r="J20" s="39" t="n"/>
      <c r="K20" s="38" t="n"/>
    </row>
    <row r="21" ht="21" customHeight="1">
      <c r="A21" s="38" t="n"/>
      <c r="B21" s="38" t="n"/>
      <c r="C21" s="39" t="n"/>
      <c r="D21" s="39" t="n"/>
      <c r="E21" s="39" t="n"/>
      <c r="F21" s="39" t="n"/>
      <c r="G21" s="39" t="n"/>
      <c r="H21" s="38" t="n"/>
      <c r="I21" s="38" t="n"/>
      <c r="J21" s="39" t="n"/>
      <c r="K21" s="38" t="n"/>
    </row>
    <row r="22" ht="21" customHeight="1">
      <c r="A22" s="38" t="n"/>
      <c r="B22" s="38" t="n"/>
      <c r="C22" s="39" t="n"/>
      <c r="D22" s="39" t="n"/>
      <c r="E22" s="39" t="n"/>
      <c r="F22" s="39" t="n"/>
      <c r="G22" s="39" t="n"/>
      <c r="H22" s="38" t="n"/>
      <c r="I22" s="38" t="n"/>
      <c r="J22" s="39" t="n"/>
      <c r="K22" s="38" t="n"/>
    </row>
    <row r="23" ht="21" customHeight="1">
      <c r="A23" s="38" t="n"/>
      <c r="B23" s="38" t="n"/>
      <c r="C23" s="39" t="n"/>
      <c r="D23" s="39" t="n"/>
      <c r="E23" s="39" t="n"/>
      <c r="F23" s="39" t="n"/>
      <c r="G23" s="39" t="n"/>
      <c r="H23" s="38" t="n"/>
      <c r="I23" s="38" t="n"/>
      <c r="J23" s="39" t="n"/>
      <c r="K23" s="38" t="n"/>
    </row>
    <row r="24" ht="21" customHeight="1">
      <c r="A24" s="38" t="n"/>
      <c r="B24" s="38" t="n"/>
      <c r="C24" s="39" t="n"/>
      <c r="D24" s="39" t="n"/>
      <c r="E24" s="39" t="n"/>
      <c r="F24" s="39" t="n"/>
      <c r="G24" s="39" t="n"/>
      <c r="H24" s="38" t="n"/>
      <c r="I24" s="38" t="n"/>
      <c r="J24" s="39" t="n"/>
      <c r="K24" s="38" t="n"/>
    </row>
    <row r="25" ht="21" customHeight="1">
      <c r="A25" s="38" t="n"/>
      <c r="B25" s="38" t="n"/>
      <c r="C25" s="39" t="n"/>
      <c r="D25" s="39" t="n"/>
      <c r="E25" s="39" t="n"/>
      <c r="F25" s="39" t="n"/>
      <c r="G25" s="39" t="n"/>
      <c r="H25" s="38" t="n"/>
      <c r="I25" s="38" t="n"/>
      <c r="J25" s="39" t="n"/>
      <c r="K25" s="38" t="n"/>
    </row>
    <row r="26" ht="21" customHeight="1">
      <c r="A26" s="38" t="n"/>
      <c r="B26" s="38" t="n"/>
      <c r="C26" s="39" t="n"/>
      <c r="D26" s="39" t="n"/>
      <c r="E26" s="39" t="n"/>
      <c r="F26" s="39" t="n"/>
      <c r="G26" s="39" t="n"/>
      <c r="H26" s="38" t="n"/>
      <c r="I26" s="38" t="n"/>
      <c r="J26" s="39" t="n"/>
      <c r="K26" s="38" t="n"/>
    </row>
    <row r="27" ht="21" customHeight="1">
      <c r="A27" s="38" t="n"/>
      <c r="B27" s="38" t="n"/>
      <c r="C27" s="39" t="n"/>
      <c r="D27" s="39" t="n"/>
      <c r="E27" s="39" t="n"/>
      <c r="F27" s="39" t="n"/>
      <c r="G27" s="39" t="n"/>
      <c r="H27" s="38" t="n"/>
      <c r="I27" s="38" t="n"/>
      <c r="J27" s="39" t="n"/>
      <c r="K27" s="38" t="n"/>
    </row>
    <row r="28" ht="21" customHeight="1">
      <c r="A28" s="38" t="n"/>
      <c r="B28" s="38" t="n"/>
      <c r="C28" s="39" t="n"/>
      <c r="D28" s="39" t="n"/>
      <c r="E28" s="39" t="n"/>
      <c r="F28" s="39" t="n"/>
      <c r="G28" s="39" t="n"/>
      <c r="H28" s="38" t="n"/>
      <c r="I28" s="38" t="n"/>
      <c r="J28" s="39" t="n"/>
      <c r="K28" s="38" t="n"/>
    </row>
    <row r="29" ht="21" customHeight="1">
      <c r="A29" s="38" t="n"/>
      <c r="B29" s="38" t="n"/>
      <c r="C29" s="39" t="n"/>
      <c r="D29" s="39" t="n"/>
      <c r="E29" s="39" t="n"/>
      <c r="F29" s="39" t="n"/>
      <c r="G29" s="39" t="n"/>
      <c r="H29" s="38" t="n"/>
      <c r="I29" s="38" t="n"/>
      <c r="J29" s="39" t="n"/>
      <c r="K29" s="38" t="n"/>
    </row>
    <row r="30" ht="21" customHeight="1">
      <c r="A30" s="38" t="n"/>
      <c r="B30" s="38" t="n"/>
      <c r="C30" s="39" t="n"/>
      <c r="D30" s="39" t="n"/>
      <c r="E30" s="39" t="n"/>
      <c r="F30" s="39" t="n"/>
      <c r="G30" s="39" t="n"/>
      <c r="H30" s="38" t="n"/>
      <c r="I30" s="38" t="n"/>
      <c r="J30" s="39" t="n"/>
      <c r="K30" s="38" t="n"/>
    </row>
    <row r="31" ht="21" customHeight="1">
      <c r="A31" s="38" t="n"/>
      <c r="B31" s="38" t="n"/>
      <c r="C31" s="39" t="n"/>
      <c r="D31" s="39" t="n"/>
      <c r="E31" s="39" t="n"/>
      <c r="F31" s="39" t="n"/>
      <c r="G31" s="39" t="n"/>
      <c r="H31" s="38" t="n"/>
      <c r="I31" s="38" t="n"/>
      <c r="J31" s="39" t="n"/>
      <c r="K31" s="38" t="n"/>
    </row>
    <row r="32" ht="21" customHeight="1">
      <c r="A32" s="38" t="n"/>
      <c r="B32" s="38" t="n"/>
      <c r="C32" s="39" t="n"/>
      <c r="D32" s="39" t="n"/>
      <c r="E32" s="39" t="n"/>
      <c r="F32" s="39" t="n"/>
      <c r="G32" s="39" t="n"/>
      <c r="H32" s="38" t="n"/>
      <c r="I32" s="38" t="n"/>
      <c r="J32" s="39" t="n"/>
      <c r="K32" s="38" t="n"/>
    </row>
    <row r="33" ht="21" customHeight="1">
      <c r="A33" s="38" t="n"/>
      <c r="B33" s="38" t="n"/>
      <c r="C33" s="39" t="n"/>
      <c r="D33" s="39" t="n"/>
      <c r="E33" s="39" t="n"/>
      <c r="F33" s="39" t="n"/>
      <c r="G33" s="39" t="n"/>
      <c r="H33" s="38" t="n"/>
      <c r="I33" s="38" t="n"/>
      <c r="J33" s="39" t="n"/>
      <c r="K33" s="38" t="n"/>
    </row>
    <row r="34" ht="21" customHeight="1">
      <c r="A34" s="38" t="n"/>
      <c r="B34" s="38" t="n"/>
      <c r="C34" s="39" t="n"/>
      <c r="D34" s="39" t="n"/>
      <c r="E34" s="39" t="n"/>
      <c r="F34" s="39" t="n"/>
      <c r="G34" s="39" t="n"/>
      <c r="H34" s="38" t="n"/>
      <c r="I34" s="38" t="n"/>
      <c r="J34" s="39" t="n"/>
      <c r="K34" s="38" t="n"/>
    </row>
    <row r="35" ht="21" customHeight="1">
      <c r="A35" s="38" t="n"/>
      <c r="B35" s="38" t="n"/>
      <c r="C35" s="39" t="n"/>
      <c r="D35" s="39" t="n"/>
      <c r="E35" s="39" t="n"/>
      <c r="F35" s="39" t="n"/>
      <c r="G35" s="39" t="n"/>
      <c r="H35" s="38" t="n"/>
      <c r="I35" s="38" t="n"/>
      <c r="J35" s="39" t="n"/>
      <c r="K35" s="38" t="n"/>
    </row>
    <row r="36" ht="21" customHeight="1">
      <c r="A36" s="38" t="n"/>
      <c r="B36" s="38" t="n"/>
      <c r="C36" s="39" t="n"/>
      <c r="D36" s="39" t="n"/>
      <c r="E36" s="39" t="n"/>
      <c r="F36" s="39" t="n"/>
      <c r="G36" s="39" t="n"/>
      <c r="H36" s="38" t="n"/>
      <c r="I36" s="38" t="n"/>
      <c r="J36" s="39" t="n"/>
      <c r="K36" s="38" t="n"/>
    </row>
    <row r="37" ht="21" customHeight="1">
      <c r="A37" s="38" t="n"/>
      <c r="B37" s="38" t="n"/>
      <c r="C37" s="39" t="n"/>
      <c r="D37" s="39" t="n"/>
      <c r="E37" s="39" t="n"/>
      <c r="F37" s="39" t="n"/>
      <c r="G37" s="39" t="n"/>
      <c r="H37" s="38" t="n"/>
      <c r="I37" s="38" t="n"/>
      <c r="J37" s="39" t="n"/>
      <c r="K37" s="38" t="n"/>
    </row>
    <row r="38" ht="21" customHeight="1">
      <c r="A38" s="38" t="n"/>
      <c r="B38" s="38" t="n"/>
      <c r="C38" s="39" t="n"/>
      <c r="D38" s="39" t="n"/>
      <c r="E38" s="39" t="n"/>
      <c r="F38" s="39" t="n"/>
      <c r="G38" s="39" t="n"/>
      <c r="H38" s="38" t="n"/>
      <c r="I38" s="38" t="n"/>
      <c r="J38" s="39" t="n"/>
      <c r="K38" s="38" t="n"/>
    </row>
    <row r="39" ht="21" customHeight="1">
      <c r="A39" s="38" t="n"/>
      <c r="B39" s="38" t="n"/>
      <c r="C39" s="39" t="n"/>
      <c r="D39" s="39" t="n"/>
      <c r="E39" s="39" t="n"/>
      <c r="F39" s="39" t="n"/>
      <c r="G39" s="39" t="n"/>
      <c r="H39" s="38" t="n"/>
      <c r="I39" s="38" t="n"/>
      <c r="J39" s="39" t="n"/>
      <c r="K39" s="38" t="n"/>
    </row>
    <row r="40" ht="21" customHeight="1">
      <c r="A40" s="38" t="n"/>
      <c r="B40" s="38" t="n"/>
      <c r="C40" s="39" t="n"/>
      <c r="D40" s="39" t="n"/>
      <c r="E40" s="39" t="n"/>
      <c r="F40" s="39" t="n"/>
      <c r="G40" s="39" t="n"/>
      <c r="H40" s="38" t="n"/>
      <c r="I40" s="38" t="n"/>
      <c r="J40" s="39" t="n"/>
      <c r="K40" s="38" t="n"/>
    </row>
    <row r="41" ht="21" customHeight="1">
      <c r="A41" s="38" t="n"/>
      <c r="B41" s="38" t="n"/>
      <c r="C41" s="39" t="n"/>
      <c r="D41" s="39" t="n"/>
      <c r="E41" s="39" t="n"/>
      <c r="F41" s="39" t="n"/>
      <c r="G41" s="39" t="n"/>
      <c r="H41" s="38" t="n"/>
      <c r="I41" s="38" t="n"/>
      <c r="J41" s="39" t="n"/>
      <c r="K41" s="38" t="n"/>
    </row>
    <row r="42" ht="21" customHeight="1">
      <c r="A42" s="38" t="n"/>
      <c r="B42" s="38" t="n"/>
      <c r="C42" s="39" t="n"/>
      <c r="D42" s="39" t="n"/>
      <c r="E42" s="39" t="n"/>
      <c r="F42" s="39" t="n"/>
      <c r="G42" s="39" t="n"/>
      <c r="H42" s="38" t="n"/>
      <c r="I42" s="38" t="n"/>
      <c r="J42" s="39" t="n"/>
      <c r="K42" s="38" t="n"/>
    </row>
    <row r="43" ht="21" customHeight="1">
      <c r="A43" s="38" t="n"/>
      <c r="B43" s="38" t="n"/>
      <c r="C43" s="39" t="n"/>
      <c r="D43" s="39" t="n"/>
      <c r="E43" s="39" t="n"/>
      <c r="F43" s="39" t="n"/>
      <c r="G43" s="39" t="n"/>
      <c r="H43" s="38" t="n"/>
      <c r="I43" s="38" t="n"/>
      <c r="J43" s="39" t="n"/>
      <c r="K43" s="38" t="n"/>
    </row>
    <row r="44" ht="21" customHeight="1">
      <c r="A44" s="38" t="n"/>
      <c r="B44" s="38" t="n"/>
      <c r="C44" s="39" t="n"/>
      <c r="D44" s="39" t="n"/>
      <c r="E44" s="39" t="n"/>
      <c r="F44" s="39" t="n"/>
      <c r="G44" s="39" t="n"/>
      <c r="H44" s="38" t="n"/>
      <c r="I44" s="38" t="n"/>
      <c r="J44" s="39" t="n"/>
      <c r="K44" s="38" t="n"/>
    </row>
    <row r="45" ht="21" customHeight="1">
      <c r="A45" s="38" t="n"/>
      <c r="B45" s="38" t="n"/>
      <c r="C45" s="39" t="n"/>
      <c r="D45" s="39" t="n"/>
      <c r="E45" s="39" t="n"/>
      <c r="F45" s="39" t="n"/>
      <c r="G45" s="39" t="n"/>
      <c r="H45" s="38" t="n"/>
      <c r="I45" s="38" t="n"/>
      <c r="J45" s="39" t="n"/>
      <c r="K45" s="38" t="n"/>
    </row>
    <row r="46" ht="21" customHeight="1">
      <c r="A46" s="38" t="n"/>
      <c r="B46" s="38" t="n"/>
      <c r="C46" s="39" t="n"/>
      <c r="D46" s="39" t="n"/>
      <c r="E46" s="39" t="n"/>
      <c r="F46" s="39" t="n"/>
      <c r="G46" s="39" t="n"/>
      <c r="H46" s="38" t="n"/>
      <c r="I46" s="38" t="n"/>
      <c r="J46" s="39" t="n"/>
      <c r="K46" s="38" t="n"/>
    </row>
    <row r="47" ht="21" customHeight="1">
      <c r="A47" s="38" t="n"/>
      <c r="B47" s="38" t="n"/>
      <c r="C47" s="39" t="n"/>
      <c r="D47" s="39" t="n"/>
      <c r="E47" s="39" t="n"/>
      <c r="F47" s="39" t="n"/>
      <c r="G47" s="39" t="n"/>
      <c r="H47" s="38" t="n"/>
      <c r="I47" s="38" t="n"/>
      <c r="J47" s="39" t="n"/>
      <c r="K47" s="38" t="n"/>
    </row>
    <row r="48" ht="21" customHeight="1">
      <c r="A48" s="38" t="n"/>
      <c r="B48" s="38" t="n"/>
      <c r="C48" s="39" t="n"/>
      <c r="D48" s="39" t="n"/>
      <c r="E48" s="39" t="n"/>
      <c r="F48" s="39" t="n"/>
      <c r="G48" s="39" t="n"/>
      <c r="H48" s="38" t="n"/>
      <c r="I48" s="38" t="n"/>
      <c r="J48" s="39" t="n"/>
      <c r="K48" s="38" t="n"/>
    </row>
    <row r="49" ht="21" customHeight="1">
      <c r="A49" s="38" t="n"/>
      <c r="B49" s="38" t="n"/>
      <c r="C49" s="39" t="n"/>
      <c r="D49" s="39" t="n"/>
      <c r="E49" s="39" t="n"/>
      <c r="F49" s="39" t="n"/>
      <c r="G49" s="39" t="n"/>
      <c r="H49" s="38" t="n"/>
      <c r="I49" s="38" t="n"/>
      <c r="J49" s="39" t="n"/>
      <c r="K49" s="38" t="n"/>
    </row>
    <row r="50" ht="21" customHeight="1">
      <c r="A50" s="38" t="n"/>
      <c r="B50" s="38" t="n"/>
      <c r="C50" s="39" t="n"/>
      <c r="D50" s="39" t="n"/>
      <c r="E50" s="39" t="n"/>
      <c r="F50" s="39" t="n"/>
      <c r="G50" s="39" t="n"/>
      <c r="H50" s="38" t="n"/>
      <c r="I50" s="38" t="n"/>
      <c r="J50" s="39" t="n"/>
      <c r="K50" s="38" t="n"/>
    </row>
    <row r="51" ht="21" customHeight="1">
      <c r="A51" s="38" t="n"/>
      <c r="B51" s="38" t="n"/>
      <c r="C51" s="39" t="n"/>
      <c r="D51" s="39" t="n"/>
      <c r="E51" s="39" t="n"/>
      <c r="F51" s="39" t="n"/>
      <c r="G51" s="39" t="n"/>
      <c r="H51" s="38" t="n"/>
      <c r="I51" s="38" t="n"/>
      <c r="J51" s="39" t="n"/>
      <c r="K51" s="38" t="n"/>
    </row>
    <row r="52" ht="21" customHeight="1">
      <c r="A52" s="38" t="n"/>
      <c r="B52" s="38" t="n"/>
      <c r="C52" s="39" t="n"/>
      <c r="D52" s="39" t="n"/>
      <c r="E52" s="39" t="n"/>
      <c r="F52" s="39" t="n"/>
      <c r="G52" s="39" t="n"/>
      <c r="H52" s="38" t="n"/>
      <c r="I52" s="38" t="n"/>
      <c r="J52" s="39" t="n"/>
      <c r="K52" s="38" t="n"/>
    </row>
    <row r="53" ht="21" customHeight="1">
      <c r="A53" s="38" t="n"/>
      <c r="B53" s="38" t="n"/>
      <c r="C53" s="39" t="n"/>
      <c r="D53" s="39" t="n"/>
      <c r="E53" s="39" t="n"/>
      <c r="F53" s="39" t="n"/>
      <c r="G53" s="39" t="n"/>
      <c r="H53" s="38" t="n"/>
      <c r="I53" s="38" t="n"/>
      <c r="J53" s="39" t="n"/>
      <c r="K53" s="38" t="n"/>
    </row>
    <row r="54" ht="21" customHeight="1">
      <c r="A54" s="38" t="n"/>
      <c r="B54" s="38" t="n"/>
      <c r="C54" s="39" t="n"/>
      <c r="D54" s="39" t="n"/>
      <c r="E54" s="39" t="n"/>
      <c r="F54" s="39" t="n"/>
      <c r="G54" s="39" t="n"/>
      <c r="H54" s="38" t="n"/>
      <c r="I54" s="38" t="n"/>
      <c r="J54" s="39" t="n"/>
      <c r="K54" s="38" t="n"/>
    </row>
    <row r="55" ht="21" customHeight="1">
      <c r="A55" s="38" t="n"/>
      <c r="B55" s="38" t="n"/>
      <c r="C55" s="39" t="n"/>
      <c r="D55" s="39" t="n"/>
      <c r="E55" s="39" t="n"/>
      <c r="F55" s="39" t="n"/>
      <c r="G55" s="39" t="n"/>
      <c r="H55" s="38" t="n"/>
      <c r="I55" s="38" t="n"/>
      <c r="J55" s="39" t="n"/>
      <c r="K55" s="38" t="n"/>
    </row>
    <row r="56" ht="21" customHeight="1">
      <c r="A56" s="38" t="n"/>
      <c r="B56" s="38" t="n"/>
      <c r="C56" s="39" t="n"/>
      <c r="D56" s="39" t="n"/>
      <c r="E56" s="39" t="n"/>
      <c r="F56" s="39" t="n"/>
      <c r="G56" s="39" t="n"/>
      <c r="H56" s="38" t="n"/>
      <c r="I56" s="38" t="n"/>
      <c r="J56" s="39" t="n"/>
      <c r="K56" s="38" t="n"/>
    </row>
    <row r="57" ht="21" customHeight="1">
      <c r="A57" s="38" t="n"/>
      <c r="B57" s="38" t="n"/>
      <c r="C57" s="39" t="n"/>
      <c r="D57" s="39" t="n"/>
      <c r="E57" s="39" t="n"/>
      <c r="F57" s="39" t="n"/>
      <c r="G57" s="39" t="n"/>
      <c r="H57" s="38" t="n"/>
      <c r="I57" s="38" t="n"/>
      <c r="J57" s="39" t="n"/>
      <c r="K57" s="38" t="n"/>
    </row>
    <row r="58" ht="21" customHeight="1">
      <c r="A58" s="38" t="n"/>
      <c r="B58" s="38" t="n"/>
      <c r="C58" s="39" t="n"/>
      <c r="D58" s="39" t="n"/>
      <c r="E58" s="39" t="n"/>
      <c r="F58" s="39" t="n"/>
      <c r="G58" s="39" t="n"/>
      <c r="H58" s="38" t="n"/>
      <c r="I58" s="38" t="n"/>
      <c r="J58" s="39" t="n"/>
      <c r="K58" s="38" t="n"/>
    </row>
    <row r="59" ht="21" customHeight="1">
      <c r="A59" s="38" t="n"/>
      <c r="B59" s="38" t="n"/>
      <c r="C59" s="39" t="n"/>
      <c r="D59" s="39" t="n"/>
      <c r="E59" s="39" t="n"/>
      <c r="F59" s="39" t="n"/>
      <c r="G59" s="39" t="n"/>
      <c r="H59" s="38" t="n"/>
      <c r="I59" s="38" t="n"/>
      <c r="J59" s="39" t="n"/>
      <c r="K59" s="38" t="n"/>
    </row>
    <row r="60" ht="21" customHeight="1">
      <c r="A60" s="38" t="n"/>
      <c r="B60" s="38" t="n"/>
      <c r="C60" s="39" t="n"/>
      <c r="D60" s="39" t="n"/>
      <c r="E60" s="39" t="n"/>
      <c r="F60" s="39" t="n"/>
      <c r="G60" s="39" t="n"/>
      <c r="H60" s="38" t="n"/>
      <c r="I60" s="38" t="n"/>
      <c r="J60" s="39" t="n"/>
      <c r="K60" s="38" t="n"/>
    </row>
    <row r="61" ht="21" customHeight="1">
      <c r="A61" s="38" t="n"/>
      <c r="B61" s="38" t="n"/>
      <c r="C61" s="39" t="n"/>
      <c r="D61" s="39" t="n"/>
      <c r="E61" s="39" t="n"/>
      <c r="F61" s="39" t="n"/>
      <c r="G61" s="39" t="n"/>
      <c r="H61" s="38" t="n"/>
      <c r="I61" s="38" t="n"/>
      <c r="J61" s="39" t="n"/>
      <c r="K61" s="38" t="n"/>
    </row>
    <row r="62" ht="21" customHeight="1">
      <c r="A62" s="38" t="n"/>
      <c r="B62" s="38" t="n"/>
      <c r="C62" s="39" t="n"/>
      <c r="D62" s="39" t="n"/>
      <c r="E62" s="39" t="n"/>
      <c r="F62" s="39" t="n"/>
      <c r="G62" s="39" t="n"/>
      <c r="H62" s="38" t="n"/>
      <c r="I62" s="38" t="n"/>
      <c r="J62" s="39" t="n"/>
      <c r="K62" s="38" t="n"/>
    </row>
    <row r="63" ht="21" customHeight="1">
      <c r="A63" s="38" t="n"/>
      <c r="B63" s="38" t="n"/>
      <c r="C63" s="39" t="n"/>
      <c r="D63" s="39" t="n"/>
      <c r="E63" s="39" t="n"/>
      <c r="F63" s="39" t="n"/>
      <c r="G63" s="39" t="n"/>
      <c r="H63" s="38" t="n"/>
      <c r="I63" s="38" t="n"/>
      <c r="J63" s="39" t="n"/>
      <c r="K63" s="38" t="n"/>
    </row>
    <row r="64" ht="21" customHeight="1">
      <c r="A64" s="38" t="n"/>
      <c r="B64" s="38" t="n"/>
      <c r="C64" s="39" t="n"/>
      <c r="D64" s="39" t="n"/>
      <c r="E64" s="39" t="n"/>
      <c r="F64" s="39" t="n"/>
      <c r="G64" s="39" t="n"/>
      <c r="H64" s="38" t="n"/>
      <c r="I64" s="38" t="n"/>
      <c r="J64" s="39" t="n"/>
      <c r="K64" s="38" t="n"/>
    </row>
    <row r="65" ht="21" customHeight="1">
      <c r="A65" s="38" t="n"/>
      <c r="B65" s="38" t="n"/>
      <c r="C65" s="39" t="n"/>
      <c r="D65" s="39" t="n"/>
      <c r="E65" s="39" t="n"/>
      <c r="F65" s="39" t="n"/>
      <c r="G65" s="39" t="n"/>
      <c r="H65" s="38" t="n"/>
      <c r="I65" s="38" t="n"/>
      <c r="J65" s="39" t="n"/>
      <c r="K65" s="38" t="n"/>
    </row>
    <row r="66" ht="21" customHeight="1">
      <c r="A66" s="38" t="n"/>
      <c r="B66" s="38" t="n"/>
      <c r="C66" s="39" t="n"/>
      <c r="D66" s="39" t="n"/>
      <c r="E66" s="39" t="n"/>
      <c r="F66" s="39" t="n"/>
      <c r="G66" s="39" t="n"/>
      <c r="H66" s="38" t="n"/>
      <c r="I66" s="38" t="n"/>
      <c r="J66" s="39" t="n"/>
      <c r="K66" s="38" t="n"/>
    </row>
    <row r="67" ht="21" customHeight="1">
      <c r="A67" s="38" t="n"/>
      <c r="B67" s="38" t="n"/>
      <c r="C67" s="39" t="n"/>
      <c r="D67" s="39" t="n"/>
      <c r="E67" s="39" t="n"/>
      <c r="F67" s="39" t="n"/>
      <c r="G67" s="39" t="n"/>
      <c r="H67" s="38" t="n"/>
      <c r="I67" s="38" t="n"/>
      <c r="J67" s="39" t="n"/>
      <c r="K67" s="38" t="n"/>
    </row>
    <row r="68" ht="21" customHeight="1">
      <c r="A68" s="38" t="n"/>
      <c r="B68" s="38" t="n"/>
      <c r="C68" s="39" t="n"/>
      <c r="D68" s="39" t="n"/>
      <c r="E68" s="39" t="n"/>
      <c r="F68" s="39" t="n"/>
      <c r="G68" s="39" t="n"/>
      <c r="H68" s="38" t="n"/>
      <c r="I68" s="38" t="n"/>
      <c r="J68" s="39" t="n"/>
      <c r="K68" s="38" t="n"/>
    </row>
    <row r="69" ht="21" customHeight="1">
      <c r="A69" s="38" t="n"/>
      <c r="B69" s="38" t="n"/>
      <c r="C69" s="39" t="n"/>
      <c r="D69" s="39" t="n"/>
      <c r="E69" s="39" t="n"/>
      <c r="F69" s="39" t="n"/>
      <c r="G69" s="39" t="n"/>
      <c r="H69" s="38" t="n"/>
      <c r="I69" s="38" t="n"/>
      <c r="J69" s="39" t="n"/>
      <c r="K69" s="38" t="n"/>
    </row>
    <row r="70" ht="21" customHeight="1">
      <c r="A70" s="38" t="n"/>
      <c r="B70" s="38" t="n"/>
      <c r="C70" s="39" t="n"/>
      <c r="D70" s="39" t="n"/>
      <c r="E70" s="39" t="n"/>
      <c r="F70" s="39" t="n"/>
      <c r="G70" s="39" t="n"/>
      <c r="H70" s="38" t="n"/>
      <c r="I70" s="38" t="n"/>
      <c r="J70" s="39" t="n"/>
      <c r="K70" s="38" t="n"/>
    </row>
    <row r="71" ht="21" customHeight="1">
      <c r="A71" s="38" t="n"/>
      <c r="B71" s="38" t="n"/>
      <c r="C71" s="39" t="n"/>
      <c r="D71" s="39" t="n"/>
      <c r="E71" s="39" t="n"/>
      <c r="F71" s="39" t="n"/>
      <c r="G71" s="39" t="n"/>
      <c r="H71" s="38" t="n"/>
      <c r="I71" s="38" t="n"/>
      <c r="J71" s="39" t="n"/>
      <c r="K71" s="38" t="n"/>
    </row>
    <row r="72" ht="21" customHeight="1">
      <c r="A72" s="38" t="n"/>
      <c r="B72" s="38" t="n"/>
      <c r="C72" s="39" t="n"/>
      <c r="D72" s="39" t="n"/>
      <c r="E72" s="39" t="n"/>
      <c r="F72" s="39" t="n"/>
      <c r="G72" s="39" t="n"/>
      <c r="H72" s="38" t="n"/>
      <c r="I72" s="38" t="n"/>
      <c r="J72" s="39" t="n"/>
      <c r="K72" s="38" t="n"/>
    </row>
    <row r="73" ht="21" customHeight="1">
      <c r="A73" s="38" t="n"/>
      <c r="B73" s="38" t="n"/>
      <c r="C73" s="39" t="n"/>
      <c r="D73" s="39" t="n"/>
      <c r="E73" s="39" t="n"/>
      <c r="F73" s="39" t="n"/>
      <c r="G73" s="39" t="n"/>
      <c r="H73" s="38" t="n"/>
      <c r="I73" s="38" t="n"/>
      <c r="J73" s="39" t="n"/>
      <c r="K73" s="38" t="n"/>
    </row>
    <row r="74" ht="21" customHeight="1">
      <c r="A74" s="38" t="n"/>
      <c r="B74" s="38" t="n"/>
      <c r="C74" s="39" t="n"/>
      <c r="D74" s="39" t="n"/>
      <c r="E74" s="39" t="n"/>
      <c r="F74" s="39" t="n"/>
      <c r="G74" s="39" t="n"/>
      <c r="H74" s="38" t="n"/>
      <c r="I74" s="38" t="n"/>
      <c r="J74" s="39" t="n"/>
      <c r="K74" s="38" t="n"/>
    </row>
    <row r="75" ht="21" customHeight="1">
      <c r="A75" s="38" t="n"/>
      <c r="B75" s="38" t="n"/>
      <c r="C75" s="39" t="n"/>
      <c r="D75" s="39" t="n"/>
      <c r="E75" s="39" t="n"/>
      <c r="F75" s="39" t="n"/>
      <c r="G75" s="39" t="n"/>
      <c r="H75" s="38" t="n"/>
      <c r="I75" s="38" t="n"/>
      <c r="J75" s="39" t="n"/>
      <c r="K75" s="38" t="n"/>
    </row>
    <row r="76" ht="21" customHeight="1">
      <c r="A76" s="38" t="n"/>
      <c r="B76" s="38" t="n"/>
      <c r="C76" s="39" t="n"/>
      <c r="D76" s="39" t="n"/>
      <c r="E76" s="39" t="n"/>
      <c r="F76" s="39" t="n"/>
      <c r="G76" s="39" t="n"/>
      <c r="H76" s="38" t="n"/>
      <c r="I76" s="38" t="n"/>
      <c r="J76" s="39" t="n"/>
      <c r="K76" s="38" t="n"/>
    </row>
    <row r="77" ht="21" customHeight="1">
      <c r="A77" s="38" t="n"/>
      <c r="B77" s="38" t="n"/>
      <c r="C77" s="39" t="n"/>
      <c r="D77" s="39" t="n"/>
      <c r="E77" s="39" t="n"/>
      <c r="F77" s="39" t="n"/>
      <c r="G77" s="39" t="n"/>
      <c r="H77" s="38" t="n"/>
      <c r="I77" s="38" t="n"/>
      <c r="J77" s="39" t="n"/>
      <c r="K77" s="38" t="n"/>
    </row>
    <row r="78" ht="21" customHeight="1">
      <c r="A78" s="38" t="n"/>
      <c r="B78" s="38" t="n"/>
      <c r="C78" s="39" t="n"/>
      <c r="D78" s="39" t="n"/>
      <c r="E78" s="39" t="n"/>
      <c r="F78" s="39" t="n"/>
      <c r="G78" s="39" t="n"/>
      <c r="H78" s="38" t="n"/>
      <c r="I78" s="38" t="n"/>
      <c r="J78" s="39" t="n"/>
      <c r="K78" s="38" t="n"/>
    </row>
    <row r="79" ht="21" customHeight="1">
      <c r="A79" s="38" t="n"/>
      <c r="B79" s="38" t="n"/>
      <c r="C79" s="39" t="n"/>
      <c r="D79" s="39" t="n"/>
      <c r="E79" s="39" t="n"/>
      <c r="F79" s="39" t="n"/>
      <c r="G79" s="39" t="n"/>
      <c r="H79" s="38" t="n"/>
      <c r="I79" s="38" t="n"/>
      <c r="J79" s="39" t="n"/>
      <c r="K79" s="38" t="n"/>
    </row>
    <row r="80" ht="21" customHeight="1">
      <c r="A80" s="38" t="n"/>
      <c r="B80" s="38" t="n"/>
      <c r="C80" s="39" t="n"/>
      <c r="D80" s="39" t="n"/>
      <c r="E80" s="39" t="n"/>
      <c r="F80" s="39" t="n"/>
      <c r="G80" s="39" t="n"/>
      <c r="H80" s="38" t="n"/>
      <c r="I80" s="38" t="n"/>
      <c r="J80" s="39" t="n"/>
      <c r="K80" s="38" t="n"/>
    </row>
    <row r="81" ht="21" customHeight="1">
      <c r="A81" s="38" t="n"/>
      <c r="B81" s="38" t="n"/>
      <c r="C81" s="39" t="n"/>
      <c r="D81" s="39" t="n"/>
      <c r="E81" s="39" t="n"/>
      <c r="F81" s="39" t="n"/>
      <c r="G81" s="39" t="n"/>
      <c r="H81" s="38" t="n"/>
      <c r="I81" s="38" t="n"/>
      <c r="J81" s="39" t="n"/>
      <c r="K81" s="38" t="n"/>
    </row>
    <row r="82" ht="21" customHeight="1">
      <c r="A82" s="38" t="n"/>
      <c r="B82" s="38" t="n"/>
      <c r="C82" s="39" t="n"/>
      <c r="D82" s="39" t="n"/>
      <c r="E82" s="39" t="n"/>
      <c r="F82" s="39" t="n"/>
      <c r="G82" s="39" t="n"/>
      <c r="H82" s="38" t="n"/>
      <c r="I82" s="38" t="n"/>
      <c r="J82" s="39" t="n"/>
      <c r="K82" s="38" t="n"/>
    </row>
    <row r="83" ht="21" customHeight="1">
      <c r="A83" s="38" t="n"/>
      <c r="B83" s="38" t="n"/>
      <c r="C83" s="39" t="n"/>
      <c r="D83" s="39" t="n"/>
      <c r="E83" s="39" t="n"/>
      <c r="F83" s="39" t="n"/>
      <c r="G83" s="39" t="n"/>
      <c r="H83" s="38" t="n"/>
      <c r="I83" s="38" t="n"/>
      <c r="J83" s="39" t="n"/>
      <c r="K83" s="38" t="n"/>
    </row>
    <row r="84" ht="21" customHeight="1">
      <c r="A84" s="38" t="n"/>
      <c r="B84" s="38" t="n"/>
      <c r="C84" s="39" t="n"/>
      <c r="D84" s="39" t="n"/>
      <c r="E84" s="39" t="n"/>
      <c r="F84" s="39" t="n"/>
      <c r="G84" s="39" t="n"/>
      <c r="H84" s="38" t="n"/>
      <c r="I84" s="38" t="n"/>
      <c r="J84" s="39" t="n"/>
      <c r="K84" s="38" t="n"/>
    </row>
    <row r="85" ht="21" customHeight="1">
      <c r="A85" s="38" t="n"/>
      <c r="B85" s="38" t="n"/>
      <c r="C85" s="39" t="n"/>
      <c r="D85" s="39" t="n"/>
      <c r="E85" s="39" t="n"/>
      <c r="F85" s="39" t="n"/>
      <c r="G85" s="39" t="n"/>
      <c r="H85" s="38" t="n"/>
      <c r="I85" s="38" t="n"/>
      <c r="J85" s="39" t="n"/>
      <c r="K85" s="38" t="n"/>
    </row>
    <row r="86" ht="21" customHeight="1">
      <c r="A86" s="38" t="n"/>
      <c r="B86" s="38" t="n"/>
      <c r="C86" s="39" t="n"/>
      <c r="D86" s="39" t="n"/>
      <c r="E86" s="39" t="n"/>
      <c r="F86" s="39" t="n"/>
      <c r="G86" s="39" t="n"/>
      <c r="H86" s="38" t="n"/>
      <c r="I86" s="38" t="n"/>
      <c r="J86" s="39" t="n"/>
      <c r="K86" s="38" t="n"/>
    </row>
    <row r="87" ht="21" customHeight="1">
      <c r="A87" s="38" t="n"/>
      <c r="B87" s="38" t="n"/>
      <c r="C87" s="39" t="n"/>
      <c r="D87" s="39" t="n"/>
      <c r="E87" s="39" t="n"/>
      <c r="F87" s="39" t="n"/>
      <c r="G87" s="39" t="n"/>
      <c r="H87" s="38" t="n"/>
      <c r="I87" s="38" t="n"/>
      <c r="J87" s="39" t="n"/>
      <c r="K87" s="38" t="n"/>
    </row>
    <row r="88" ht="21" customHeight="1">
      <c r="A88" s="38" t="n"/>
      <c r="B88" s="38" t="n"/>
      <c r="C88" s="39" t="n"/>
      <c r="D88" s="39" t="n"/>
      <c r="E88" s="39" t="n"/>
      <c r="F88" s="39" t="n"/>
      <c r="G88" s="39" t="n"/>
      <c r="H88" s="38" t="n"/>
      <c r="I88" s="38" t="n"/>
      <c r="J88" s="39" t="n"/>
      <c r="K88" s="38" t="n"/>
    </row>
    <row r="89" ht="21" customHeight="1">
      <c r="A89" s="38" t="n"/>
      <c r="B89" s="38" t="n"/>
      <c r="C89" s="39" t="n"/>
      <c r="D89" s="39" t="n"/>
      <c r="E89" s="39" t="n"/>
      <c r="F89" s="39" t="n"/>
      <c r="G89" s="39" t="n"/>
      <c r="H89" s="38" t="n"/>
      <c r="I89" s="38" t="n"/>
      <c r="J89" s="39" t="n"/>
      <c r="K89" s="38" t="n"/>
    </row>
    <row r="90" ht="21" customHeight="1">
      <c r="A90" s="38" t="n"/>
      <c r="B90" s="38" t="n"/>
      <c r="C90" s="39" t="n"/>
      <c r="D90" s="39" t="n"/>
      <c r="E90" s="39" t="n"/>
      <c r="F90" s="39" t="n"/>
      <c r="G90" s="39" t="n"/>
      <c r="H90" s="38" t="n"/>
      <c r="I90" s="38" t="n"/>
      <c r="J90" s="39" t="n"/>
      <c r="K90" s="38" t="n"/>
    </row>
    <row r="91" ht="21" customHeight="1">
      <c r="A91" s="38" t="n"/>
      <c r="B91" s="38" t="n"/>
      <c r="C91" s="39" t="n"/>
      <c r="D91" s="39" t="n"/>
      <c r="E91" s="39" t="n"/>
      <c r="F91" s="39" t="n"/>
      <c r="G91" s="39" t="n"/>
      <c r="H91" s="38" t="n"/>
      <c r="I91" s="38" t="n"/>
      <c r="J91" s="39" t="n"/>
      <c r="K91" s="38" t="n"/>
    </row>
    <row r="92" ht="21" customHeight="1">
      <c r="A92" s="38" t="n"/>
      <c r="B92" s="38" t="n"/>
      <c r="C92" s="39" t="n"/>
      <c r="D92" s="39" t="n"/>
      <c r="E92" s="39" t="n"/>
      <c r="F92" s="39" t="n"/>
      <c r="G92" s="39" t="n"/>
      <c r="H92" s="38" t="n"/>
      <c r="I92" s="38" t="n"/>
      <c r="J92" s="39" t="n"/>
      <c r="K92" s="38" t="n"/>
    </row>
    <row r="93" ht="21" customHeight="1">
      <c r="A93" s="38" t="n"/>
      <c r="B93" s="38" t="n"/>
      <c r="C93" s="39" t="n"/>
      <c r="D93" s="39" t="n"/>
      <c r="E93" s="39" t="n"/>
      <c r="F93" s="39" t="n"/>
      <c r="G93" s="39" t="n"/>
      <c r="H93" s="38" t="n"/>
      <c r="I93" s="38" t="n"/>
      <c r="J93" s="39" t="n"/>
      <c r="K93" s="38" t="n"/>
    </row>
    <row r="94" ht="21" customHeight="1">
      <c r="A94" s="38" t="n"/>
      <c r="B94" s="38" t="n"/>
      <c r="C94" s="39" t="n"/>
      <c r="D94" s="39" t="n"/>
      <c r="E94" s="39" t="n"/>
      <c r="F94" s="39" t="n"/>
      <c r="G94" s="39" t="n"/>
      <c r="H94" s="38" t="n"/>
      <c r="I94" s="38" t="n"/>
      <c r="J94" s="39" t="n"/>
      <c r="K94" s="38" t="n"/>
    </row>
    <row r="95" ht="21" customHeight="1">
      <c r="A95" s="38" t="n"/>
      <c r="B95" s="38" t="n"/>
      <c r="C95" s="39" t="n"/>
      <c r="D95" s="39" t="n"/>
      <c r="E95" s="39" t="n"/>
      <c r="F95" s="39" t="n"/>
      <c r="G95" s="39" t="n"/>
      <c r="H95" s="38" t="n"/>
      <c r="I95" s="38" t="n"/>
      <c r="J95" s="39" t="n"/>
      <c r="K95" s="38" t="n"/>
    </row>
    <row r="96" ht="21" customHeight="1">
      <c r="A96" s="38" t="n"/>
      <c r="B96" s="38" t="n"/>
      <c r="C96" s="39" t="n"/>
      <c r="D96" s="39" t="n"/>
      <c r="E96" s="39" t="n"/>
      <c r="F96" s="39" t="n"/>
      <c r="G96" s="39" t="n"/>
      <c r="H96" s="38" t="n"/>
      <c r="I96" s="38" t="n"/>
      <c r="J96" s="39" t="n"/>
      <c r="K96" s="38" t="n"/>
    </row>
    <row r="97" ht="21" customHeight="1">
      <c r="A97" s="38" t="n"/>
      <c r="B97" s="38" t="n"/>
      <c r="C97" s="39" t="n"/>
      <c r="D97" s="39" t="n"/>
      <c r="E97" s="39" t="n"/>
      <c r="F97" s="39" t="n"/>
      <c r="G97" s="39" t="n"/>
      <c r="H97" s="38" t="n"/>
      <c r="I97" s="38" t="n"/>
      <c r="J97" s="39" t="n"/>
      <c r="K97" s="38" t="n"/>
    </row>
    <row r="98" ht="21" customHeight="1">
      <c r="A98" s="38" t="n"/>
      <c r="B98" s="38" t="n"/>
      <c r="C98" s="39" t="n"/>
      <c r="D98" s="39" t="n"/>
      <c r="E98" s="39" t="n"/>
      <c r="F98" s="39" t="n"/>
      <c r="G98" s="39" t="n"/>
      <c r="H98" s="38" t="n"/>
      <c r="I98" s="38" t="n"/>
      <c r="J98" s="39" t="n"/>
      <c r="K98" s="38" t="n"/>
    </row>
    <row r="99" ht="21" customHeight="1">
      <c r="A99" s="38" t="n"/>
      <c r="B99" s="38" t="n"/>
      <c r="C99" s="39" t="n"/>
      <c r="D99" s="39" t="n"/>
      <c r="E99" s="39" t="n"/>
      <c r="F99" s="39" t="n"/>
      <c r="G99" s="39" t="n"/>
      <c r="H99" s="38" t="n"/>
      <c r="I99" s="38" t="n"/>
      <c r="J99" s="39" t="n"/>
      <c r="K99" s="38" t="n"/>
    </row>
    <row r="100" ht="21" customHeight="1">
      <c r="A100" s="38" t="n"/>
      <c r="B100" s="38" t="n"/>
      <c r="C100" s="39" t="n"/>
      <c r="D100" s="39" t="n"/>
      <c r="E100" s="39" t="n"/>
      <c r="F100" s="39" t="n"/>
      <c r="G100" s="39" t="n"/>
      <c r="H100" s="38" t="n"/>
      <c r="I100" s="38" t="n"/>
      <c r="J100" s="39" t="n"/>
      <c r="K100" s="38" t="n"/>
    </row>
    <row r="101" ht="21" customHeight="1">
      <c r="A101" s="38" t="n"/>
      <c r="B101" s="38" t="n"/>
      <c r="C101" s="39" t="n"/>
      <c r="D101" s="39" t="n"/>
      <c r="E101" s="39" t="n"/>
      <c r="F101" s="39" t="n"/>
      <c r="G101" s="39" t="n"/>
      <c r="H101" s="38" t="n"/>
      <c r="I101" s="38" t="n"/>
      <c r="J101" s="39" t="n"/>
      <c r="K101" s="38" t="n"/>
    </row>
    <row r="102" ht="21" customHeight="1">
      <c r="A102" s="38" t="n"/>
      <c r="B102" s="38" t="n"/>
      <c r="C102" s="39" t="n"/>
      <c r="D102" s="39" t="n"/>
      <c r="E102" s="39" t="n"/>
      <c r="F102" s="39" t="n"/>
      <c r="G102" s="39" t="n"/>
      <c r="H102" s="38" t="n"/>
      <c r="I102" s="38" t="n"/>
      <c r="J102" s="39" t="n"/>
      <c r="K102" s="38" t="n"/>
    </row>
    <row r="103" ht="21" customHeight="1">
      <c r="A103" s="38" t="n"/>
      <c r="B103" s="38" t="n"/>
      <c r="C103" s="39" t="n"/>
      <c r="D103" s="39" t="n"/>
      <c r="E103" s="39" t="n"/>
      <c r="F103" s="39" t="n"/>
      <c r="G103" s="39" t="n"/>
      <c r="H103" s="38" t="n"/>
      <c r="I103" s="38" t="n"/>
      <c r="J103" s="39" t="n"/>
      <c r="K103" s="38" t="n"/>
    </row>
    <row r="104" ht="21" customHeight="1">
      <c r="A104" s="38" t="n"/>
      <c r="B104" s="38" t="n"/>
      <c r="C104" s="39" t="n"/>
      <c r="D104" s="39" t="n"/>
      <c r="E104" s="39" t="n"/>
      <c r="F104" s="39" t="n"/>
      <c r="G104" s="39" t="n"/>
      <c r="H104" s="38" t="n"/>
      <c r="I104" s="38" t="n"/>
      <c r="J104" s="39" t="n"/>
      <c r="K104" s="38" t="n"/>
    </row>
    <row r="105" ht="21" customHeight="1">
      <c r="A105" s="38" t="n"/>
      <c r="B105" s="38" t="n"/>
      <c r="C105" s="39" t="n"/>
      <c r="D105" s="39" t="n"/>
      <c r="E105" s="39" t="n"/>
      <c r="F105" s="39" t="n"/>
      <c r="G105" s="39" t="n"/>
      <c r="H105" s="38" t="n"/>
      <c r="I105" s="38" t="n"/>
      <c r="J105" s="39" t="n"/>
      <c r="K105" s="38" t="n"/>
    </row>
    <row r="106" ht="21" customHeight="1">
      <c r="A106" s="38" t="n"/>
      <c r="B106" s="38" t="n"/>
      <c r="C106" s="39" t="n"/>
      <c r="D106" s="39" t="n"/>
      <c r="E106" s="39" t="n"/>
      <c r="F106" s="39" t="n"/>
      <c r="G106" s="39" t="n"/>
      <c r="H106" s="38" t="n"/>
      <c r="I106" s="38" t="n"/>
      <c r="J106" s="39" t="n"/>
      <c r="K106" s="38" t="n"/>
    </row>
    <row r="107" ht="21" customHeight="1">
      <c r="A107" s="38" t="n"/>
      <c r="B107" s="38" t="n"/>
      <c r="C107" s="39" t="n"/>
      <c r="D107" s="39" t="n"/>
      <c r="E107" s="39" t="n"/>
      <c r="F107" s="39" t="n"/>
      <c r="G107" s="39" t="n"/>
      <c r="H107" s="38" t="n"/>
      <c r="I107" s="38" t="n"/>
      <c r="J107" s="39" t="n"/>
      <c r="K107" s="38" t="n"/>
    </row>
    <row r="108" ht="21" customHeight="1">
      <c r="A108" s="38" t="n"/>
      <c r="B108" s="38" t="n"/>
      <c r="C108" s="39" t="n"/>
      <c r="D108" s="39" t="n"/>
      <c r="E108" s="39" t="n"/>
      <c r="F108" s="39" t="n"/>
      <c r="G108" s="39" t="n"/>
      <c r="H108" s="38" t="n"/>
      <c r="I108" s="38" t="n"/>
      <c r="J108" s="39" t="n"/>
      <c r="K108" s="38" t="n"/>
    </row>
    <row r="109" ht="21" customHeight="1">
      <c r="A109" s="38" t="n"/>
      <c r="B109" s="38" t="n"/>
      <c r="C109" s="39" t="n"/>
      <c r="D109" s="39" t="n"/>
      <c r="E109" s="39" t="n"/>
      <c r="F109" s="39" t="n"/>
      <c r="G109" s="39" t="n"/>
      <c r="H109" s="38" t="n"/>
      <c r="I109" s="38" t="n"/>
      <c r="J109" s="39" t="n"/>
      <c r="K109" s="38" t="n"/>
    </row>
    <row r="110" ht="21" customHeight="1">
      <c r="A110" s="38" t="n"/>
      <c r="B110" s="38" t="n"/>
      <c r="C110" s="39" t="n"/>
      <c r="D110" s="39" t="n"/>
      <c r="E110" s="39" t="n"/>
      <c r="F110" s="39" t="n"/>
      <c r="G110" s="39" t="n"/>
      <c r="H110" s="38" t="n"/>
      <c r="I110" s="38" t="n"/>
      <c r="J110" s="39" t="n"/>
      <c r="K110" s="38" t="n"/>
    </row>
    <row r="111" ht="21" customHeight="1">
      <c r="A111" s="38" t="n"/>
      <c r="B111" s="38" t="n"/>
      <c r="C111" s="39" t="n"/>
      <c r="D111" s="39" t="n"/>
      <c r="E111" s="39" t="n"/>
      <c r="F111" s="39" t="n"/>
      <c r="G111" s="39" t="n"/>
      <c r="H111" s="38" t="n"/>
      <c r="I111" s="38" t="n"/>
      <c r="J111" s="39" t="n"/>
      <c r="K111" s="38" t="n"/>
    </row>
    <row r="112" ht="21" customHeight="1">
      <c r="A112" s="38" t="n"/>
      <c r="B112" s="38" t="n"/>
      <c r="C112" s="39" t="n"/>
      <c r="D112" s="39" t="n"/>
      <c r="E112" s="39" t="n"/>
      <c r="F112" s="39" t="n"/>
      <c r="G112" s="39" t="n"/>
      <c r="H112" s="38" t="n"/>
      <c r="I112" s="38" t="n"/>
      <c r="J112" s="39" t="n"/>
      <c r="K112" s="38" t="n"/>
    </row>
    <row r="113" ht="21" customHeight="1">
      <c r="A113" s="38" t="n"/>
      <c r="B113" s="38" t="n"/>
      <c r="C113" s="39" t="n"/>
      <c r="D113" s="39" t="n"/>
      <c r="E113" s="39" t="n"/>
      <c r="F113" s="39" t="n"/>
      <c r="G113" s="39" t="n"/>
      <c r="H113" s="38" t="n"/>
      <c r="I113" s="38" t="n"/>
      <c r="J113" s="39" t="n"/>
      <c r="K113" s="38" t="n"/>
    </row>
    <row r="114" ht="21" customHeight="1">
      <c r="A114" s="38" t="n"/>
      <c r="B114" s="38" t="n"/>
      <c r="C114" s="39" t="n"/>
      <c r="D114" s="39" t="n"/>
      <c r="E114" s="39" t="n"/>
      <c r="F114" s="39" t="n"/>
      <c r="G114" s="39" t="n"/>
      <c r="H114" s="38" t="n"/>
      <c r="I114" s="38" t="n"/>
      <c r="J114" s="39" t="n"/>
      <c r="K114" s="38" t="n"/>
    </row>
    <row r="115" ht="21" customHeight="1">
      <c r="A115" s="38" t="n"/>
      <c r="B115" s="38" t="n"/>
      <c r="C115" s="39" t="n"/>
      <c r="D115" s="39" t="n"/>
      <c r="E115" s="39" t="n"/>
      <c r="F115" s="39" t="n"/>
      <c r="G115" s="39" t="n"/>
      <c r="H115" s="38" t="n"/>
      <c r="I115" s="38" t="n"/>
      <c r="J115" s="39" t="n"/>
      <c r="K115" s="38" t="n"/>
    </row>
    <row r="116" ht="21" customHeight="1">
      <c r="A116" s="38" t="n"/>
      <c r="B116" s="38" t="n"/>
      <c r="C116" s="39" t="n"/>
      <c r="D116" s="39" t="n"/>
      <c r="E116" s="39" t="n"/>
      <c r="F116" s="39" t="n"/>
      <c r="G116" s="39" t="n"/>
      <c r="H116" s="38" t="n"/>
      <c r="I116" s="38" t="n"/>
      <c r="J116" s="39" t="n"/>
      <c r="K116" s="38" t="n"/>
    </row>
    <row r="117" ht="21" customHeight="1">
      <c r="A117" s="38" t="n"/>
      <c r="B117" s="38" t="n"/>
      <c r="C117" s="39" t="n"/>
      <c r="D117" s="39" t="n"/>
      <c r="E117" s="39" t="n"/>
      <c r="F117" s="39" t="n"/>
      <c r="G117" s="39" t="n"/>
      <c r="H117" s="38" t="n"/>
      <c r="I117" s="38" t="n"/>
      <c r="J117" s="39" t="n"/>
      <c r="K117" s="38" t="n"/>
    </row>
    <row r="118" ht="21" customHeight="1">
      <c r="A118" s="38" t="n"/>
      <c r="B118" s="38" t="n"/>
      <c r="C118" s="39" t="n"/>
      <c r="D118" s="39" t="n"/>
      <c r="E118" s="39" t="n"/>
      <c r="F118" s="39" t="n"/>
      <c r="G118" s="39" t="n"/>
      <c r="H118" s="38" t="n"/>
      <c r="I118" s="38" t="n"/>
      <c r="J118" s="39" t="n"/>
      <c r="K118" s="38" t="n"/>
    </row>
    <row r="119" ht="21" customHeight="1">
      <c r="A119" s="38" t="n"/>
      <c r="B119" s="38" t="n"/>
      <c r="C119" s="39" t="n"/>
      <c r="D119" s="39" t="n"/>
      <c r="E119" s="39" t="n"/>
      <c r="F119" s="39" t="n"/>
      <c r="G119" s="39" t="n"/>
      <c r="H119" s="38" t="n"/>
      <c r="I119" s="38" t="n"/>
      <c r="J119" s="39" t="n"/>
      <c r="K119" s="38" t="n"/>
    </row>
    <row r="120" ht="21" customHeight="1">
      <c r="A120" s="38" t="n"/>
      <c r="B120" s="38" t="n"/>
      <c r="C120" s="39" t="n"/>
      <c r="D120" s="39" t="n"/>
      <c r="E120" s="39" t="n"/>
      <c r="F120" s="39" t="n"/>
      <c r="G120" s="39" t="n"/>
      <c r="H120" s="38" t="n"/>
      <c r="I120" s="38" t="n"/>
      <c r="J120" s="39" t="n"/>
      <c r="K120" s="38" t="n"/>
    </row>
    <row r="121" ht="21" customHeight="1">
      <c r="A121" s="38" t="n"/>
      <c r="B121" s="38" t="n"/>
      <c r="C121" s="39" t="n"/>
      <c r="D121" s="39" t="n"/>
      <c r="E121" s="39" t="n"/>
      <c r="F121" s="39" t="n"/>
      <c r="G121" s="39" t="n"/>
      <c r="H121" s="38" t="n"/>
      <c r="I121" s="38" t="n"/>
      <c r="J121" s="39" t="n"/>
      <c r="K121" s="38" t="n"/>
    </row>
    <row r="122" ht="21" customHeight="1">
      <c r="A122" s="38" t="n"/>
      <c r="B122" s="38" t="n"/>
      <c r="C122" s="39" t="n"/>
      <c r="D122" s="39" t="n"/>
      <c r="E122" s="39" t="n"/>
      <c r="F122" s="39" t="n"/>
      <c r="G122" s="39" t="n"/>
      <c r="H122" s="38" t="n"/>
      <c r="I122" s="38" t="n"/>
      <c r="J122" s="39" t="n"/>
      <c r="K122" s="38" t="n"/>
    </row>
    <row r="123" ht="21" customHeight="1">
      <c r="A123" s="38" t="n"/>
      <c r="B123" s="38" t="n"/>
      <c r="C123" s="39" t="n"/>
      <c r="D123" s="39" t="n"/>
      <c r="E123" s="39" t="n"/>
      <c r="F123" s="39" t="n"/>
      <c r="G123" s="39" t="n"/>
      <c r="H123" s="38" t="n"/>
      <c r="I123" s="38" t="n"/>
      <c r="J123" s="39" t="n"/>
      <c r="K123" s="38" t="n"/>
    </row>
    <row r="124" ht="21" customHeight="1">
      <c r="A124" s="38" t="n"/>
      <c r="B124" s="38" t="n"/>
      <c r="C124" s="39" t="n"/>
      <c r="D124" s="39" t="n"/>
      <c r="E124" s="39" t="n"/>
      <c r="F124" s="39" t="n"/>
      <c r="G124" s="39" t="n"/>
      <c r="H124" s="38" t="n"/>
      <c r="I124" s="38" t="n"/>
      <c r="J124" s="39" t="n"/>
      <c r="K124" s="38" t="n"/>
    </row>
    <row r="125" ht="21" customHeight="1">
      <c r="A125" s="38" t="n"/>
      <c r="B125" s="38" t="n"/>
      <c r="C125" s="39" t="n"/>
      <c r="D125" s="39" t="n"/>
      <c r="E125" s="39" t="n"/>
      <c r="F125" s="39" t="n"/>
      <c r="G125" s="39" t="n"/>
      <c r="H125" s="38" t="n"/>
      <c r="I125" s="38" t="n"/>
      <c r="J125" s="39" t="n"/>
      <c r="K125" s="38" t="n"/>
    </row>
    <row r="126" ht="21" customHeight="1">
      <c r="A126" s="38" t="n"/>
      <c r="B126" s="38" t="n"/>
      <c r="C126" s="39" t="n"/>
      <c r="D126" s="39" t="n"/>
      <c r="E126" s="39" t="n"/>
      <c r="F126" s="39" t="n"/>
      <c r="G126" s="39" t="n"/>
      <c r="H126" s="38" t="n"/>
      <c r="I126" s="38" t="n"/>
      <c r="J126" s="39" t="n"/>
      <c r="K126" s="38" t="n"/>
    </row>
    <row r="127" ht="21" customHeight="1">
      <c r="A127" s="38" t="n"/>
      <c r="B127" s="38" t="n"/>
      <c r="C127" s="39" t="n"/>
      <c r="D127" s="39" t="n"/>
      <c r="E127" s="39" t="n"/>
      <c r="F127" s="39" t="n"/>
      <c r="G127" s="39" t="n"/>
      <c r="H127" s="38" t="n"/>
      <c r="I127" s="38" t="n"/>
      <c r="J127" s="39" t="n"/>
      <c r="K127" s="38" t="n"/>
    </row>
    <row r="128" ht="21" customHeight="1">
      <c r="A128" s="38" t="n"/>
      <c r="B128" s="38" t="n"/>
      <c r="C128" s="39" t="n"/>
      <c r="D128" s="39" t="n"/>
      <c r="E128" s="39" t="n"/>
      <c r="F128" s="39" t="n"/>
      <c r="G128" s="39" t="n"/>
      <c r="H128" s="38" t="n"/>
      <c r="I128" s="38" t="n"/>
      <c r="J128" s="39" t="n"/>
      <c r="K128" s="38" t="n"/>
    </row>
    <row r="129" ht="21" customHeight="1">
      <c r="A129" s="38" t="n"/>
      <c r="B129" s="38" t="n"/>
      <c r="C129" s="39" t="n"/>
      <c r="D129" s="39" t="n"/>
      <c r="E129" s="39" t="n"/>
      <c r="F129" s="39" t="n"/>
      <c r="G129" s="39" t="n"/>
      <c r="H129" s="38" t="n"/>
      <c r="I129" s="38" t="n"/>
      <c r="J129" s="39" t="n"/>
      <c r="K129" s="38" t="n"/>
    </row>
    <row r="130" ht="21" customHeight="1">
      <c r="A130" s="38" t="n"/>
      <c r="B130" s="38" t="n"/>
      <c r="C130" s="39" t="n"/>
      <c r="D130" s="39" t="n"/>
      <c r="E130" s="39" t="n"/>
      <c r="F130" s="39" t="n"/>
      <c r="G130" s="39" t="n"/>
      <c r="H130" s="38" t="n"/>
      <c r="I130" s="38" t="n"/>
      <c r="J130" s="39" t="n"/>
      <c r="K130" s="38" t="n"/>
    </row>
    <row r="131" ht="21" customHeight="1">
      <c r="A131" s="38" t="n"/>
      <c r="B131" s="38" t="n"/>
      <c r="C131" s="39" t="n"/>
      <c r="D131" s="39" t="n"/>
      <c r="E131" s="39" t="n"/>
      <c r="F131" s="39" t="n"/>
      <c r="G131" s="39" t="n"/>
      <c r="H131" s="38" t="n"/>
      <c r="I131" s="38" t="n"/>
      <c r="J131" s="39" t="n"/>
      <c r="K131" s="38" t="n"/>
    </row>
    <row r="132" ht="21" customHeight="1">
      <c r="A132" s="38" t="n"/>
      <c r="B132" s="38" t="n"/>
      <c r="C132" s="39" t="n"/>
      <c r="D132" s="39" t="n"/>
      <c r="E132" s="39" t="n"/>
      <c r="F132" s="39" t="n"/>
      <c r="G132" s="39" t="n"/>
      <c r="H132" s="38" t="n"/>
      <c r="I132" s="38" t="n"/>
      <c r="J132" s="39" t="n"/>
      <c r="K132" s="38" t="n"/>
    </row>
    <row r="133" ht="21" customHeight="1">
      <c r="A133" s="38" t="n"/>
      <c r="B133" s="38" t="n"/>
      <c r="C133" s="39" t="n"/>
      <c r="D133" s="39" t="n"/>
      <c r="E133" s="39" t="n"/>
      <c r="F133" s="39" t="n"/>
      <c r="G133" s="39" t="n"/>
      <c r="H133" s="38" t="n"/>
      <c r="I133" s="38" t="n"/>
      <c r="J133" s="39" t="n"/>
      <c r="K133" s="38" t="n"/>
    </row>
    <row r="134" ht="21" customHeight="1">
      <c r="A134" s="38" t="n"/>
      <c r="B134" s="38" t="n"/>
      <c r="C134" s="39" t="n"/>
      <c r="D134" s="39" t="n"/>
      <c r="E134" s="39" t="n"/>
      <c r="F134" s="39" t="n"/>
      <c r="G134" s="39" t="n"/>
      <c r="H134" s="38" t="n"/>
      <c r="I134" s="38" t="n"/>
      <c r="J134" s="39" t="n"/>
      <c r="K134" s="38" t="n"/>
    </row>
    <row r="135" ht="21" customHeight="1">
      <c r="A135" s="38" t="n"/>
      <c r="B135" s="38" t="n"/>
      <c r="C135" s="39" t="n"/>
      <c r="D135" s="39" t="n"/>
      <c r="E135" s="39" t="n"/>
      <c r="F135" s="39" t="n"/>
      <c r="G135" s="39" t="n"/>
      <c r="H135" s="38" t="n"/>
      <c r="I135" s="38" t="n"/>
      <c r="J135" s="39" t="n"/>
      <c r="K135" s="38" t="n"/>
    </row>
    <row r="136" ht="21" customHeight="1">
      <c r="A136" s="38" t="n"/>
      <c r="B136" s="38" t="n"/>
      <c r="C136" s="39" t="n"/>
      <c r="D136" s="39" t="n"/>
      <c r="E136" s="39" t="n"/>
      <c r="F136" s="39" t="n"/>
      <c r="G136" s="39" t="n"/>
      <c r="H136" s="38" t="n"/>
      <c r="I136" s="38" t="n"/>
      <c r="J136" s="39" t="n"/>
      <c r="K136" s="38" t="n"/>
    </row>
    <row r="137" ht="21" customHeight="1">
      <c r="A137" s="38" t="n"/>
      <c r="B137" s="38" t="n"/>
      <c r="C137" s="39" t="n"/>
      <c r="D137" s="39" t="n"/>
      <c r="E137" s="39" t="n"/>
      <c r="F137" s="39" t="n"/>
      <c r="G137" s="39" t="n"/>
      <c r="H137" s="38" t="n"/>
      <c r="I137" s="38" t="n"/>
      <c r="J137" s="39" t="n"/>
      <c r="K137" s="38" t="n"/>
    </row>
    <row r="138" ht="21" customHeight="1">
      <c r="A138" s="38" t="n"/>
      <c r="B138" s="38" t="n"/>
      <c r="C138" s="39" t="n"/>
      <c r="D138" s="39" t="n"/>
      <c r="E138" s="39" t="n"/>
      <c r="F138" s="39" t="n"/>
      <c r="G138" s="39" t="n"/>
      <c r="H138" s="38" t="n"/>
      <c r="I138" s="38" t="n"/>
      <c r="J138" s="39" t="n"/>
      <c r="K138" s="38" t="n"/>
    </row>
    <row r="139" ht="21" customHeight="1">
      <c r="A139" s="38" t="n"/>
      <c r="B139" s="38" t="n"/>
      <c r="C139" s="39" t="n"/>
      <c r="D139" s="39" t="n"/>
      <c r="E139" s="39" t="n"/>
      <c r="F139" s="39" t="n"/>
      <c r="G139" s="39" t="n"/>
      <c r="H139" s="38" t="n"/>
      <c r="I139" s="38" t="n"/>
      <c r="J139" s="39" t="n"/>
      <c r="K139" s="38" t="n"/>
    </row>
    <row r="140" ht="21" customHeight="1">
      <c r="A140" s="38" t="n"/>
      <c r="B140" s="38" t="n"/>
      <c r="C140" s="39" t="n"/>
      <c r="D140" s="39" t="n"/>
      <c r="E140" s="39" t="n"/>
      <c r="F140" s="39" t="n"/>
      <c r="G140" s="39" t="n"/>
      <c r="H140" s="38" t="n"/>
      <c r="I140" s="38" t="n"/>
      <c r="J140" s="39" t="n"/>
      <c r="K140" s="38" t="n"/>
    </row>
    <row r="141" ht="21" customHeight="1">
      <c r="A141" s="38" t="n"/>
      <c r="B141" s="38" t="n"/>
      <c r="C141" s="39" t="n"/>
      <c r="D141" s="39" t="n"/>
      <c r="E141" s="39" t="n"/>
      <c r="F141" s="39" t="n"/>
      <c r="G141" s="39" t="n"/>
      <c r="H141" s="38" t="n"/>
      <c r="I141" s="38" t="n"/>
      <c r="J141" s="39" t="n"/>
      <c r="K141" s="38" t="n"/>
    </row>
    <row r="142" ht="21" customHeight="1">
      <c r="A142" s="38" t="n"/>
      <c r="B142" s="38" t="n"/>
      <c r="C142" s="39" t="n"/>
      <c r="D142" s="39" t="n"/>
      <c r="E142" s="39" t="n"/>
      <c r="F142" s="39" t="n"/>
      <c r="G142" s="39" t="n"/>
      <c r="H142" s="38" t="n"/>
      <c r="I142" s="38" t="n"/>
      <c r="J142" s="39" t="n"/>
      <c r="K142" s="38" t="n"/>
    </row>
    <row r="143" ht="21" customHeight="1">
      <c r="A143" s="38" t="n"/>
      <c r="B143" s="38" t="n"/>
      <c r="C143" s="39" t="n"/>
      <c r="D143" s="39" t="n"/>
      <c r="E143" s="39" t="n"/>
      <c r="F143" s="39" t="n"/>
      <c r="G143" s="39" t="n"/>
      <c r="H143" s="38" t="n"/>
      <c r="I143" s="38" t="n"/>
      <c r="J143" s="39" t="n"/>
      <c r="K143" s="38" t="n"/>
    </row>
    <row r="144" ht="21" customHeight="1">
      <c r="A144" s="38" t="n"/>
      <c r="B144" s="38" t="n"/>
      <c r="C144" s="39" t="n"/>
      <c r="D144" s="39" t="n"/>
      <c r="E144" s="39" t="n"/>
      <c r="F144" s="39" t="n"/>
      <c r="G144" s="39" t="n"/>
      <c r="H144" s="38" t="n"/>
      <c r="I144" s="38" t="n"/>
      <c r="J144" s="39" t="n"/>
      <c r="K144" s="38" t="n"/>
    </row>
    <row r="145" ht="21" customHeight="1">
      <c r="A145" s="38" t="n"/>
      <c r="B145" s="38" t="n"/>
      <c r="C145" s="39" t="n"/>
      <c r="D145" s="39" t="n"/>
      <c r="E145" s="39" t="n"/>
      <c r="F145" s="39" t="n"/>
      <c r="G145" s="39" t="n"/>
      <c r="H145" s="38" t="n"/>
      <c r="I145" s="38" t="n"/>
      <c r="J145" s="39" t="n"/>
      <c r="K145" s="38" t="n"/>
    </row>
    <row r="146" ht="21" customHeight="1">
      <c r="A146" s="38" t="n"/>
      <c r="B146" s="38" t="n"/>
      <c r="C146" s="39" t="n"/>
      <c r="D146" s="39" t="n"/>
      <c r="E146" s="39" t="n"/>
      <c r="F146" s="39" t="n"/>
      <c r="G146" s="39" t="n"/>
      <c r="H146" s="38" t="n"/>
      <c r="I146" s="38" t="n"/>
      <c r="J146" s="39" t="n"/>
      <c r="K146" s="38" t="n"/>
    </row>
    <row r="147" ht="21" customHeight="1">
      <c r="A147" s="38" t="n"/>
      <c r="B147" s="38" t="n"/>
      <c r="C147" s="39" t="n"/>
      <c r="D147" s="39" t="n"/>
      <c r="E147" s="39" t="n"/>
      <c r="F147" s="39" t="n"/>
      <c r="G147" s="39" t="n"/>
      <c r="H147" s="38" t="n"/>
      <c r="I147" s="38" t="n"/>
      <c r="J147" s="39" t="n"/>
      <c r="K147" s="38" t="n"/>
    </row>
    <row r="148" ht="21" customHeight="1">
      <c r="A148" s="38" t="n"/>
      <c r="B148" s="38" t="n"/>
      <c r="C148" s="39" t="n"/>
      <c r="D148" s="39" t="n"/>
      <c r="E148" s="39" t="n"/>
      <c r="F148" s="39" t="n"/>
      <c r="G148" s="39" t="n"/>
      <c r="H148" s="38" t="n"/>
      <c r="I148" s="38" t="n"/>
      <c r="J148" s="39" t="n"/>
      <c r="K148" s="38" t="n"/>
    </row>
    <row r="149" ht="21" customHeight="1">
      <c r="A149" s="38" t="n"/>
      <c r="B149" s="38" t="n"/>
      <c r="C149" s="39" t="n"/>
      <c r="D149" s="39" t="n"/>
      <c r="E149" s="39" t="n"/>
      <c r="F149" s="39" t="n"/>
      <c r="G149" s="39" t="n"/>
      <c r="H149" s="38" t="n"/>
      <c r="I149" s="38" t="n"/>
      <c r="J149" s="39" t="n"/>
      <c r="K149" s="38" t="n"/>
    </row>
    <row r="150" ht="21" customHeight="1">
      <c r="A150" s="38" t="n"/>
      <c r="B150" s="38" t="n"/>
      <c r="C150" s="39" t="n"/>
      <c r="D150" s="39" t="n"/>
      <c r="E150" s="39" t="n"/>
      <c r="F150" s="39" t="n"/>
      <c r="G150" s="39" t="n"/>
      <c r="H150" s="38" t="n"/>
      <c r="I150" s="38" t="n"/>
      <c r="J150" s="39" t="n"/>
      <c r="K150" s="38" t="n"/>
    </row>
    <row r="151" ht="21" customHeight="1">
      <c r="A151" s="38" t="n"/>
      <c r="B151" s="38" t="n"/>
      <c r="C151" s="39" t="n"/>
      <c r="D151" s="39" t="n"/>
      <c r="E151" s="39" t="n"/>
      <c r="F151" s="39" t="n"/>
      <c r="G151" s="39" t="n"/>
      <c r="H151" s="38" t="n"/>
      <c r="I151" s="38" t="n"/>
      <c r="J151" s="39" t="n"/>
      <c r="K151" s="38" t="n"/>
    </row>
    <row r="152" ht="21" customHeight="1">
      <c r="A152" s="38" t="n"/>
      <c r="B152" s="38" t="n"/>
      <c r="C152" s="39" t="n"/>
      <c r="D152" s="39" t="n"/>
      <c r="E152" s="39" t="n"/>
      <c r="F152" s="39" t="n"/>
      <c r="G152" s="39" t="n"/>
      <c r="H152" s="38" t="n"/>
      <c r="I152" s="38" t="n"/>
      <c r="J152" s="39" t="n"/>
      <c r="K152" s="38" t="n"/>
    </row>
    <row r="153" ht="21" customHeight="1">
      <c r="A153" s="38" t="n"/>
      <c r="B153" s="38" t="n"/>
      <c r="C153" s="39" t="n"/>
      <c r="D153" s="39" t="n"/>
      <c r="E153" s="39" t="n"/>
      <c r="F153" s="39" t="n"/>
      <c r="G153" s="39" t="n"/>
      <c r="H153" s="38" t="n"/>
      <c r="I153" s="38" t="n"/>
      <c r="J153" s="39" t="n"/>
      <c r="K153" s="38" t="n"/>
    </row>
    <row r="154" ht="21" customHeight="1">
      <c r="A154" s="38" t="n"/>
      <c r="B154" s="38" t="n"/>
      <c r="C154" s="39" t="n"/>
      <c r="D154" s="39" t="n"/>
      <c r="E154" s="39" t="n"/>
      <c r="F154" s="39" t="n"/>
      <c r="G154" s="39" t="n"/>
      <c r="H154" s="38" t="n"/>
      <c r="I154" s="38" t="n"/>
      <c r="J154" s="39" t="n"/>
      <c r="K154" s="38" t="n"/>
    </row>
    <row r="155" ht="21" customHeight="1">
      <c r="A155" s="38" t="n"/>
      <c r="B155" s="38" t="n"/>
      <c r="C155" s="39" t="n"/>
      <c r="D155" s="39" t="n"/>
      <c r="E155" s="39" t="n"/>
      <c r="F155" s="39" t="n"/>
      <c r="G155" s="39" t="n"/>
      <c r="H155" s="38" t="n"/>
      <c r="I155" s="38" t="n"/>
      <c r="J155" s="39" t="n"/>
      <c r="K155" s="38" t="n"/>
    </row>
    <row r="156" ht="21" customHeight="1">
      <c r="A156" s="38" t="n"/>
      <c r="B156" s="38" t="n"/>
      <c r="C156" s="39" t="n"/>
      <c r="D156" s="39" t="n"/>
      <c r="E156" s="39" t="n"/>
      <c r="F156" s="39" t="n"/>
      <c r="G156" s="39" t="n"/>
      <c r="H156" s="38" t="n"/>
      <c r="I156" s="38" t="n"/>
      <c r="J156" s="39" t="n"/>
      <c r="K156" s="38" t="n"/>
    </row>
    <row r="157" ht="21" customHeight="1">
      <c r="A157" s="38" t="n"/>
      <c r="B157" s="38" t="n"/>
      <c r="C157" s="39" t="n"/>
      <c r="D157" s="39" t="n"/>
      <c r="E157" s="39" t="n"/>
      <c r="F157" s="39" t="n"/>
      <c r="G157" s="39" t="n"/>
      <c r="H157" s="38" t="n"/>
      <c r="I157" s="38" t="n"/>
      <c r="J157" s="39" t="n"/>
      <c r="K157" s="38" t="n"/>
    </row>
    <row r="158" ht="21" customHeight="1">
      <c r="A158" s="38" t="n"/>
      <c r="B158" s="38" t="n"/>
      <c r="C158" s="39" t="n"/>
      <c r="D158" s="39" t="n"/>
      <c r="E158" s="39" t="n"/>
      <c r="F158" s="39" t="n"/>
      <c r="G158" s="39" t="n"/>
      <c r="H158" s="38" t="n"/>
      <c r="I158" s="38" t="n"/>
      <c r="J158" s="39" t="n"/>
      <c r="K158" s="38" t="n"/>
    </row>
    <row r="159" ht="21" customHeight="1">
      <c r="A159" s="38" t="n"/>
      <c r="B159" s="38" t="n"/>
      <c r="C159" s="39" t="n"/>
      <c r="D159" s="39" t="n"/>
      <c r="E159" s="39" t="n"/>
      <c r="F159" s="39" t="n"/>
      <c r="G159" s="39" t="n"/>
      <c r="H159" s="38" t="n"/>
      <c r="I159" s="38" t="n"/>
      <c r="J159" s="39" t="n"/>
      <c r="K159" s="38" t="n"/>
    </row>
    <row r="160" ht="21" customHeight="1">
      <c r="A160" s="38" t="n"/>
      <c r="B160" s="38" t="n"/>
      <c r="C160" s="39" t="n"/>
      <c r="D160" s="39" t="n"/>
      <c r="E160" s="39" t="n"/>
      <c r="F160" s="39" t="n"/>
      <c r="G160" s="39" t="n"/>
      <c r="H160" s="38" t="n"/>
      <c r="I160" s="38" t="n"/>
      <c r="J160" s="39" t="n"/>
      <c r="K160" s="38" t="n"/>
    </row>
    <row r="161" ht="21" customHeight="1">
      <c r="A161" s="38" t="n"/>
      <c r="B161" s="38" t="n"/>
      <c r="C161" s="39" t="n"/>
      <c r="D161" s="39" t="n"/>
      <c r="E161" s="39" t="n"/>
      <c r="F161" s="39" t="n"/>
      <c r="G161" s="39" t="n"/>
      <c r="H161" s="38" t="n"/>
      <c r="I161" s="38" t="n"/>
      <c r="J161" s="39" t="n"/>
      <c r="K161" s="38" t="n"/>
    </row>
    <row r="162" ht="21" customHeight="1">
      <c r="A162" s="38" t="n"/>
      <c r="B162" s="38" t="n"/>
      <c r="C162" s="39" t="n"/>
      <c r="D162" s="39" t="n"/>
      <c r="E162" s="39" t="n"/>
      <c r="F162" s="39" t="n"/>
      <c r="G162" s="39" t="n"/>
      <c r="H162" s="38" t="n"/>
      <c r="I162" s="38" t="n"/>
      <c r="J162" s="39" t="n"/>
      <c r="K162" s="38" t="n"/>
    </row>
    <row r="163" ht="21" customHeight="1">
      <c r="A163" s="38" t="n"/>
      <c r="B163" s="38" t="n"/>
      <c r="C163" s="39" t="n"/>
      <c r="D163" s="39" t="n"/>
      <c r="E163" s="39" t="n"/>
      <c r="F163" s="39" t="n"/>
      <c r="G163" s="39" t="n"/>
      <c r="H163" s="38" t="n"/>
      <c r="I163" s="38" t="n"/>
      <c r="J163" s="39" t="n"/>
      <c r="K163" s="38" t="n"/>
    </row>
    <row r="164" ht="21" customHeight="1">
      <c r="A164" s="38" t="n"/>
      <c r="B164" s="38" t="n"/>
      <c r="C164" s="39" t="n"/>
      <c r="D164" s="39" t="n"/>
      <c r="E164" s="39" t="n"/>
      <c r="F164" s="39" t="n"/>
      <c r="G164" s="39" t="n"/>
      <c r="H164" s="38" t="n"/>
      <c r="I164" s="38" t="n"/>
      <c r="J164" s="39" t="n"/>
      <c r="K164" s="38" t="n"/>
    </row>
    <row r="165" ht="21" customHeight="1">
      <c r="A165" s="38" t="n"/>
      <c r="B165" s="38" t="n"/>
      <c r="C165" s="39" t="n"/>
      <c r="D165" s="39" t="n"/>
      <c r="E165" s="39" t="n"/>
      <c r="F165" s="39" t="n"/>
      <c r="G165" s="39" t="n"/>
      <c r="H165" s="38" t="n"/>
      <c r="I165" s="38" t="n"/>
      <c r="J165" s="39" t="n"/>
      <c r="K165" s="38" t="n"/>
    </row>
    <row r="166" ht="21" customHeight="1">
      <c r="A166" s="38" t="n"/>
      <c r="B166" s="38" t="n"/>
      <c r="C166" s="39" t="n"/>
      <c r="D166" s="39" t="n"/>
      <c r="E166" s="39" t="n"/>
      <c r="F166" s="39" t="n"/>
      <c r="G166" s="39" t="n"/>
      <c r="H166" s="38" t="n"/>
      <c r="I166" s="38" t="n"/>
      <c r="J166" s="39" t="n"/>
      <c r="K166" s="38" t="n"/>
    </row>
    <row r="167" ht="21" customHeight="1">
      <c r="A167" s="38" t="n"/>
      <c r="B167" s="38" t="n"/>
      <c r="C167" s="39" t="n"/>
      <c r="D167" s="39" t="n"/>
      <c r="E167" s="39" t="n"/>
      <c r="F167" s="39" t="n"/>
      <c r="G167" s="39" t="n"/>
      <c r="H167" s="38" t="n"/>
      <c r="I167" s="38" t="n"/>
      <c r="J167" s="39" t="n"/>
      <c r="K167" s="38" t="n"/>
    </row>
    <row r="168" ht="21" customHeight="1">
      <c r="A168" s="38" t="n"/>
      <c r="B168" s="38" t="n"/>
      <c r="C168" s="39" t="n"/>
      <c r="D168" s="39" t="n"/>
      <c r="E168" s="39" t="n"/>
      <c r="F168" s="39" t="n"/>
      <c r="G168" s="39" t="n"/>
      <c r="H168" s="38" t="n"/>
      <c r="I168" s="38" t="n"/>
      <c r="J168" s="39" t="n"/>
      <c r="K168" s="38" t="n"/>
    </row>
    <row r="169" ht="21" customHeight="1">
      <c r="A169" s="38" t="n"/>
      <c r="B169" s="38" t="n"/>
      <c r="C169" s="39" t="n"/>
      <c r="D169" s="39" t="n"/>
      <c r="E169" s="39" t="n"/>
      <c r="F169" s="39" t="n"/>
      <c r="G169" s="39" t="n"/>
      <c r="H169" s="38" t="n"/>
      <c r="I169" s="38" t="n"/>
      <c r="J169" s="39" t="n"/>
      <c r="K169" s="38" t="n"/>
    </row>
    <row r="170" ht="21" customHeight="1">
      <c r="A170" s="38" t="n"/>
      <c r="B170" s="38" t="n"/>
      <c r="C170" s="39" t="n"/>
      <c r="D170" s="39" t="n"/>
      <c r="E170" s="39" t="n"/>
      <c r="F170" s="39" t="n"/>
      <c r="G170" s="39" t="n"/>
      <c r="H170" s="38" t="n"/>
      <c r="I170" s="38" t="n"/>
      <c r="J170" s="39" t="n"/>
      <c r="K170" s="38" t="n"/>
    </row>
    <row r="171" ht="21" customHeight="1">
      <c r="A171" s="38" t="n"/>
      <c r="B171" s="38" t="n"/>
      <c r="C171" s="39" t="n"/>
      <c r="D171" s="39" t="n"/>
      <c r="E171" s="39" t="n"/>
      <c r="F171" s="39" t="n"/>
      <c r="G171" s="39" t="n"/>
      <c r="H171" s="38" t="n"/>
      <c r="I171" s="38" t="n"/>
      <c r="J171" s="39" t="n"/>
      <c r="K171" s="38" t="n"/>
    </row>
    <row r="172" ht="21" customHeight="1">
      <c r="A172" s="38" t="n"/>
      <c r="B172" s="38" t="n"/>
      <c r="C172" s="39" t="n"/>
      <c r="D172" s="39" t="n"/>
      <c r="E172" s="39" t="n"/>
      <c r="F172" s="39" t="n"/>
      <c r="G172" s="39" t="n"/>
      <c r="H172" s="38" t="n"/>
      <c r="I172" s="38" t="n"/>
      <c r="J172" s="39" t="n"/>
      <c r="K172" s="38" t="n"/>
    </row>
    <row r="173" ht="21" customHeight="1">
      <c r="A173" s="38" t="n"/>
      <c r="B173" s="38" t="n"/>
      <c r="C173" s="39" t="n"/>
      <c r="D173" s="39" t="n"/>
      <c r="E173" s="39" t="n"/>
      <c r="F173" s="39" t="n"/>
      <c r="G173" s="39" t="n"/>
      <c r="H173" s="38" t="n"/>
      <c r="I173" s="38" t="n"/>
      <c r="J173" s="39" t="n"/>
      <c r="K173" s="38" t="n"/>
    </row>
    <row r="174" ht="21" customHeight="1">
      <c r="A174" s="38" t="n"/>
      <c r="B174" s="38" t="n"/>
      <c r="C174" s="39" t="n"/>
      <c r="D174" s="39" t="n"/>
      <c r="E174" s="39" t="n"/>
      <c r="F174" s="39" t="n"/>
      <c r="G174" s="39" t="n"/>
      <c r="H174" s="38" t="n"/>
      <c r="I174" s="38" t="n"/>
      <c r="J174" s="39" t="n"/>
      <c r="K174" s="38" t="n"/>
    </row>
    <row r="175" ht="21" customHeight="1">
      <c r="A175" s="38" t="n"/>
      <c r="B175" s="38" t="n"/>
      <c r="C175" s="39" t="n"/>
      <c r="D175" s="39" t="n"/>
      <c r="E175" s="39" t="n"/>
      <c r="F175" s="39" t="n"/>
      <c r="G175" s="39" t="n"/>
      <c r="H175" s="38" t="n"/>
      <c r="I175" s="38" t="n"/>
      <c r="J175" s="39" t="n"/>
      <c r="K175" s="38" t="n"/>
    </row>
    <row r="176" ht="21" customHeight="1">
      <c r="A176" s="38" t="n"/>
      <c r="B176" s="38" t="n"/>
      <c r="C176" s="39" t="n"/>
      <c r="D176" s="39" t="n"/>
      <c r="E176" s="39" t="n"/>
      <c r="F176" s="39" t="n"/>
      <c r="G176" s="39" t="n"/>
      <c r="H176" s="38" t="n"/>
      <c r="I176" s="38" t="n"/>
      <c r="J176" s="39" t="n"/>
      <c r="K176" s="38" t="n"/>
    </row>
    <row r="177" ht="21" customHeight="1">
      <c r="A177" s="38" t="n"/>
      <c r="B177" s="38" t="n"/>
      <c r="C177" s="39" t="n"/>
      <c r="D177" s="39" t="n"/>
      <c r="E177" s="39" t="n"/>
      <c r="F177" s="39" t="n"/>
      <c r="G177" s="39" t="n"/>
      <c r="H177" s="38" t="n"/>
      <c r="I177" s="38" t="n"/>
      <c r="J177" s="39" t="n"/>
      <c r="K177" s="38" t="n"/>
    </row>
    <row r="178" ht="21" customHeight="1">
      <c r="A178" s="38" t="n"/>
      <c r="B178" s="38" t="n"/>
      <c r="C178" s="39" t="n"/>
      <c r="D178" s="39" t="n"/>
      <c r="E178" s="39" t="n"/>
      <c r="F178" s="39" t="n"/>
      <c r="G178" s="39" t="n"/>
      <c r="H178" s="38" t="n"/>
      <c r="I178" s="38" t="n"/>
      <c r="J178" s="39" t="n"/>
      <c r="K178" s="38" t="n"/>
    </row>
    <row r="179" ht="21" customHeight="1">
      <c r="A179" s="38" t="n"/>
      <c r="B179" s="38" t="n"/>
      <c r="C179" s="39" t="n"/>
      <c r="D179" s="39" t="n"/>
      <c r="E179" s="39" t="n"/>
      <c r="F179" s="39" t="n"/>
      <c r="G179" s="39" t="n"/>
      <c r="H179" s="38" t="n"/>
      <c r="I179" s="38" t="n"/>
      <c r="J179" s="39" t="n"/>
      <c r="K179" s="38" t="n"/>
    </row>
    <row r="180" ht="21" customHeight="1">
      <c r="A180" s="38" t="n"/>
      <c r="B180" s="38" t="n"/>
      <c r="C180" s="39" t="n"/>
      <c r="D180" s="39" t="n"/>
      <c r="E180" s="39" t="n"/>
      <c r="F180" s="39" t="n"/>
      <c r="G180" s="39" t="n"/>
      <c r="H180" s="38" t="n"/>
      <c r="I180" s="38" t="n"/>
      <c r="J180" s="39" t="n"/>
      <c r="K180" s="38" t="n"/>
    </row>
    <row r="181" ht="21" customHeight="1">
      <c r="A181" s="38" t="n"/>
      <c r="B181" s="38" t="n"/>
      <c r="C181" s="39" t="n"/>
      <c r="D181" s="39" t="n"/>
      <c r="E181" s="39" t="n"/>
      <c r="F181" s="39" t="n"/>
      <c r="G181" s="39" t="n"/>
      <c r="H181" s="38" t="n"/>
      <c r="I181" s="38" t="n"/>
      <c r="J181" s="39" t="n"/>
      <c r="K181" s="38" t="n"/>
    </row>
    <row r="182" ht="21" customHeight="1">
      <c r="A182" s="38" t="n"/>
      <c r="B182" s="38" t="n"/>
      <c r="C182" s="39" t="n"/>
      <c r="D182" s="39" t="n"/>
      <c r="E182" s="39" t="n"/>
      <c r="F182" s="39" t="n"/>
      <c r="G182" s="39" t="n"/>
      <c r="H182" s="38" t="n"/>
      <c r="I182" s="38" t="n"/>
      <c r="J182" s="39" t="n"/>
      <c r="K182" s="38" t="n"/>
    </row>
    <row r="183" ht="21" customHeight="1">
      <c r="A183" s="38" t="n"/>
      <c r="B183" s="38" t="n"/>
      <c r="C183" s="39" t="n"/>
      <c r="D183" s="39" t="n"/>
      <c r="E183" s="39" t="n"/>
      <c r="F183" s="39" t="n"/>
      <c r="G183" s="39" t="n"/>
      <c r="H183" s="38" t="n"/>
      <c r="I183" s="38" t="n"/>
      <c r="J183" s="39" t="n"/>
      <c r="K183" s="38" t="n"/>
    </row>
    <row r="184" ht="21" customHeight="1">
      <c r="A184" s="38" t="n"/>
      <c r="B184" s="38" t="n"/>
      <c r="C184" s="39" t="n"/>
      <c r="D184" s="39" t="n"/>
      <c r="E184" s="39" t="n"/>
      <c r="F184" s="39" t="n"/>
      <c r="G184" s="39" t="n"/>
      <c r="H184" s="38" t="n"/>
      <c r="I184" s="38" t="n"/>
      <c r="J184" s="39" t="n"/>
      <c r="K184" s="38" t="n"/>
    </row>
    <row r="185" ht="21" customHeight="1">
      <c r="A185" s="38" t="n"/>
      <c r="B185" s="38" t="n"/>
      <c r="C185" s="39" t="n"/>
      <c r="D185" s="39" t="n"/>
      <c r="E185" s="39" t="n"/>
      <c r="F185" s="39" t="n"/>
      <c r="G185" s="39" t="n"/>
      <c r="H185" s="38" t="n"/>
      <c r="I185" s="38" t="n"/>
      <c r="J185" s="39" t="n"/>
      <c r="K185" s="38" t="n"/>
    </row>
    <row r="186" ht="21" customHeight="1">
      <c r="A186" s="38" t="n"/>
      <c r="B186" s="38" t="n"/>
      <c r="C186" s="39" t="n"/>
      <c r="D186" s="39" t="n"/>
      <c r="E186" s="39" t="n"/>
      <c r="F186" s="39" t="n"/>
      <c r="G186" s="39" t="n"/>
      <c r="H186" s="38" t="n"/>
      <c r="I186" s="38" t="n"/>
      <c r="J186" s="39" t="n"/>
      <c r="K186" s="38" t="n"/>
    </row>
    <row r="187" ht="21" customHeight="1">
      <c r="A187" s="38" t="n"/>
      <c r="B187" s="38" t="n"/>
      <c r="C187" s="39" t="n"/>
      <c r="D187" s="39" t="n"/>
      <c r="E187" s="39" t="n"/>
      <c r="F187" s="39" t="n"/>
      <c r="G187" s="39" t="n"/>
      <c r="H187" s="38" t="n"/>
      <c r="I187" s="38" t="n"/>
      <c r="J187" s="39" t="n"/>
      <c r="K187" s="38" t="n"/>
    </row>
    <row r="188" ht="21" customHeight="1">
      <c r="A188" s="38" t="n"/>
      <c r="B188" s="38" t="n"/>
      <c r="C188" s="39" t="n"/>
      <c r="D188" s="39" t="n"/>
      <c r="E188" s="39" t="n"/>
      <c r="F188" s="39" t="n"/>
      <c r="G188" s="39" t="n"/>
      <c r="H188" s="38" t="n"/>
      <c r="I188" s="38" t="n"/>
      <c r="J188" s="39" t="n"/>
      <c r="K188" s="38" t="n"/>
    </row>
    <row r="189" ht="21" customHeight="1">
      <c r="A189" s="38" t="n"/>
      <c r="B189" s="38" t="n"/>
      <c r="C189" s="39" t="n"/>
      <c r="D189" s="39" t="n"/>
      <c r="E189" s="39" t="n"/>
      <c r="F189" s="39" t="n"/>
      <c r="G189" s="39" t="n"/>
      <c r="H189" s="38" t="n"/>
      <c r="I189" s="38" t="n"/>
      <c r="J189" s="39" t="n"/>
      <c r="K189" s="38" t="n"/>
    </row>
    <row r="190" ht="21" customHeight="1">
      <c r="A190" s="38" t="n"/>
      <c r="B190" s="38" t="n"/>
      <c r="C190" s="39" t="n"/>
      <c r="D190" s="39" t="n"/>
      <c r="E190" s="39" t="n"/>
      <c r="F190" s="39" t="n"/>
      <c r="G190" s="39" t="n"/>
      <c r="H190" s="38" t="n"/>
      <c r="I190" s="38" t="n"/>
      <c r="J190" s="39" t="n"/>
      <c r="K190" s="38" t="n"/>
    </row>
    <row r="191" ht="21" customHeight="1">
      <c r="A191" s="38" t="n"/>
      <c r="B191" s="38" t="n"/>
      <c r="C191" s="39" t="n"/>
      <c r="D191" s="39" t="n"/>
      <c r="E191" s="39" t="n"/>
      <c r="F191" s="39" t="n"/>
      <c r="G191" s="39" t="n"/>
      <c r="H191" s="38" t="n"/>
      <c r="I191" s="38" t="n"/>
      <c r="J191" s="39" t="n"/>
      <c r="K191" s="38" t="n"/>
    </row>
    <row r="192" ht="21" customHeight="1">
      <c r="A192" s="38" t="n"/>
      <c r="B192" s="38" t="n"/>
      <c r="C192" s="39" t="n"/>
      <c r="D192" s="39" t="n"/>
      <c r="E192" s="39" t="n"/>
      <c r="F192" s="39" t="n"/>
      <c r="G192" s="39" t="n"/>
      <c r="H192" s="38" t="n"/>
      <c r="I192" s="38" t="n"/>
      <c r="J192" s="39" t="n"/>
      <c r="K192" s="38" t="n"/>
    </row>
    <row r="193" ht="21" customHeight="1">
      <c r="A193" s="38" t="n"/>
      <c r="B193" s="38" t="n"/>
      <c r="C193" s="39" t="n"/>
      <c r="D193" s="39" t="n"/>
      <c r="E193" s="39" t="n"/>
      <c r="F193" s="39" t="n"/>
      <c r="G193" s="39" t="n"/>
      <c r="H193" s="38" t="n"/>
      <c r="I193" s="38" t="n"/>
      <c r="J193" s="39" t="n"/>
      <c r="K193" s="38" t="n"/>
    </row>
    <row r="194" ht="21" customHeight="1">
      <c r="A194" s="38" t="n"/>
      <c r="B194" s="38" t="n"/>
      <c r="C194" s="39" t="n"/>
      <c r="D194" s="39" t="n"/>
      <c r="E194" s="39" t="n"/>
      <c r="F194" s="39" t="n"/>
      <c r="G194" s="39" t="n"/>
      <c r="H194" s="38" t="n"/>
      <c r="I194" s="38" t="n"/>
      <c r="J194" s="39" t="n"/>
      <c r="K194" s="38" t="n"/>
    </row>
    <row r="195" ht="21" customHeight="1">
      <c r="A195" s="38" t="n"/>
      <c r="B195" s="38" t="n"/>
      <c r="C195" s="39" t="n"/>
      <c r="D195" s="39" t="n"/>
      <c r="E195" s="39" t="n"/>
      <c r="F195" s="39" t="n"/>
      <c r="G195" s="39" t="n"/>
      <c r="H195" s="38" t="n"/>
      <c r="I195" s="38" t="n"/>
      <c r="J195" s="39" t="n"/>
      <c r="K195" s="38" t="n"/>
    </row>
    <row r="196" ht="21" customHeight="1">
      <c r="A196" s="38" t="n"/>
      <c r="B196" s="38" t="n"/>
      <c r="C196" s="39" t="n"/>
      <c r="D196" s="39" t="n"/>
      <c r="E196" s="39" t="n"/>
      <c r="F196" s="39" t="n"/>
      <c r="G196" s="39" t="n"/>
      <c r="H196" s="38" t="n"/>
      <c r="I196" s="38" t="n"/>
      <c r="J196" s="39" t="n"/>
      <c r="K196" s="38" t="n"/>
    </row>
    <row r="197" ht="21" customHeight="1">
      <c r="A197" s="38" t="n"/>
      <c r="B197" s="38" t="n"/>
      <c r="C197" s="39" t="n"/>
      <c r="D197" s="39" t="n"/>
      <c r="E197" s="39" t="n"/>
      <c r="F197" s="39" t="n"/>
      <c r="G197" s="39" t="n"/>
      <c r="H197" s="38" t="n"/>
      <c r="I197" s="38" t="n"/>
      <c r="J197" s="39" t="n"/>
      <c r="K197" s="38" t="n"/>
    </row>
    <row r="198" ht="21" customHeight="1">
      <c r="A198" s="38" t="n"/>
      <c r="B198" s="38" t="n"/>
      <c r="C198" s="39" t="n"/>
      <c r="D198" s="39" t="n"/>
      <c r="E198" s="39" t="n"/>
      <c r="F198" s="39" t="n"/>
      <c r="G198" s="39" t="n"/>
      <c r="H198" s="38" t="n"/>
      <c r="I198" s="38" t="n"/>
      <c r="J198" s="39" t="n"/>
      <c r="K198" s="38" t="n"/>
    </row>
    <row r="199" ht="21" customHeight="1">
      <c r="A199" s="38" t="n"/>
      <c r="B199" s="38" t="n"/>
      <c r="C199" s="39" t="n"/>
      <c r="D199" s="39" t="n"/>
      <c r="E199" s="39" t="n"/>
      <c r="F199" s="39" t="n"/>
      <c r="G199" s="39" t="n"/>
      <c r="H199" s="38" t="n"/>
      <c r="I199" s="38" t="n"/>
      <c r="J199" s="39" t="n"/>
      <c r="K199" s="38" t="n"/>
    </row>
    <row r="200" ht="21" customHeight="1">
      <c r="A200" s="38" t="n"/>
      <c r="B200" s="38" t="n"/>
      <c r="C200" s="39" t="n"/>
      <c r="D200" s="39" t="n"/>
      <c r="E200" s="39" t="n"/>
      <c r="F200" s="39" t="n"/>
      <c r="G200" s="39" t="n"/>
      <c r="H200" s="38" t="n"/>
      <c r="I200" s="38" t="n"/>
      <c r="J200" s="39" t="n"/>
      <c r="K200" s="38" t="n"/>
    </row>
    <row r="201" ht="21" customHeight="1">
      <c r="A201" s="38" t="n"/>
      <c r="B201" s="38" t="n"/>
      <c r="C201" s="39" t="n"/>
      <c r="D201" s="39" t="n"/>
      <c r="E201" s="39" t="n"/>
      <c r="F201" s="39" t="n"/>
      <c r="G201" s="39" t="n"/>
      <c r="H201" s="38" t="n"/>
      <c r="I201" s="38" t="n"/>
      <c r="J201" s="39" t="n"/>
      <c r="K201" s="38" t="n"/>
    </row>
    <row r="202" ht="21" customHeight="1">
      <c r="A202" s="38" t="n"/>
      <c r="B202" s="38" t="n"/>
      <c r="C202" s="39" t="n"/>
      <c r="D202" s="39" t="n"/>
      <c r="E202" s="39" t="n"/>
      <c r="F202" s="39" t="n"/>
      <c r="G202" s="39" t="n"/>
      <c r="H202" s="38" t="n"/>
      <c r="I202" s="38" t="n"/>
      <c r="J202" s="39" t="n"/>
      <c r="K202" s="38" t="n"/>
    </row>
    <row r="203" ht="21" customHeight="1">
      <c r="A203" s="38" t="n"/>
      <c r="B203" s="38" t="n"/>
      <c r="C203" s="39" t="n"/>
      <c r="D203" s="39" t="n"/>
      <c r="E203" s="39" t="n"/>
      <c r="F203" s="39" t="n"/>
      <c r="G203" s="39" t="n"/>
      <c r="H203" s="38" t="n"/>
      <c r="I203" s="38" t="n"/>
      <c r="J203" s="39" t="n"/>
      <c r="K203" s="38" t="n"/>
    </row>
    <row r="204" ht="21" customHeight="1">
      <c r="A204" s="38" t="n"/>
      <c r="B204" s="38" t="n"/>
      <c r="C204" s="39" t="n"/>
      <c r="D204" s="39" t="n"/>
      <c r="E204" s="39" t="n"/>
      <c r="F204" s="39" t="n"/>
      <c r="G204" s="39" t="n"/>
      <c r="H204" s="38" t="n"/>
      <c r="I204" s="38" t="n"/>
      <c r="J204" s="39" t="n"/>
      <c r="K204" s="38" t="n"/>
    </row>
    <row r="205" ht="21" customHeight="1">
      <c r="A205" s="38" t="n"/>
      <c r="B205" s="38" t="n"/>
      <c r="C205" s="39" t="n"/>
      <c r="D205" s="39" t="n"/>
      <c r="E205" s="39" t="n"/>
      <c r="F205" s="39" t="n"/>
      <c r="G205" s="39" t="n"/>
      <c r="H205" s="38" t="n"/>
      <c r="I205" s="38" t="n"/>
      <c r="J205" s="39" t="n"/>
      <c r="K205" s="38" t="n"/>
    </row>
    <row r="206" ht="21" customHeight="1">
      <c r="A206" s="38" t="n"/>
      <c r="B206" s="38" t="n"/>
      <c r="C206" s="39" t="n"/>
      <c r="D206" s="39" t="n"/>
      <c r="E206" s="39" t="n"/>
      <c r="F206" s="39" t="n"/>
      <c r="G206" s="39" t="n"/>
      <c r="H206" s="38" t="n"/>
      <c r="I206" s="38" t="n"/>
      <c r="J206" s="39" t="n"/>
      <c r="K206" s="38" t="n"/>
    </row>
  </sheetData>
  <autoFilter ref="A6:K206"/>
  <mergeCells count="3">
    <mergeCell ref="A4:K4"/>
    <mergeCell ref="A1:K2"/>
    <mergeCell ref="A3:K3"/>
  </mergeCells>
  <dataValidations count="2">
    <dataValidation sqref="A7:A206" showDropDown="0" showInputMessage="1" showErrorMessage="1" allowBlank="1" errorTitle="Invalid entry" error="Please choose a value from the dropdown list." promptTitle="Choose from the dropdown" prompt="Select a value from the list." type="list">
      <formula1>=RoomNames</formula1>
    </dataValidation>
    <dataValidation sqref="B7:B206" showDropDown="0" showInputMessage="1" showErrorMessage="1" allowBlank="1" errorTitle="Invalid entry" error="Please choose a value from the dropdown list." promptTitle="Choose from the dropdown" prompt="Select a value from the list." type="list">
      <formula1>=MeasurementTypes</formula1>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18.xml><?xml version="1.0" encoding="utf-8"?>
<worksheet xmlns="http://schemas.openxmlformats.org/spreadsheetml/2006/main">
  <sheetPr>
    <tabColor rgb="007F9E9F"/>
    <outlinePr summaryBelow="1" summaryRight="1"/>
    <pageSetUpPr fitToPage="1"/>
  </sheetPr>
  <dimension ref="A1:K156"/>
  <sheetViews>
    <sheetView showGridLines="0" zoomScale="85" workbookViewId="0">
      <pane ySplit="6" topLeftCell="A7" activePane="bottomLeft" state="frozen"/>
      <selection pane="bottomLeft" activeCell="A7" sqref="A1"/>
    </sheetView>
  </sheetViews>
  <sheetFormatPr baseColWidth="8" defaultRowHeight="15"/>
  <cols>
    <col width="27" customWidth="1" min="1" max="1"/>
    <col width="24" customWidth="1" min="2" max="2"/>
    <col width="24" customWidth="1" min="3" max="3"/>
    <col width="34" customWidth="1" min="4" max="4"/>
    <col width="16" customWidth="1" min="5" max="5"/>
    <col width="15" customWidth="1" min="6" max="6"/>
    <col width="15" customWidth="1" min="7" max="7"/>
    <col width="18" customWidth="1" min="8" max="8"/>
    <col width="18" customWidth="1" min="9" max="9"/>
    <col width="16" customWidth="1" min="10" max="10"/>
    <col width="34" customWidth="1" min="11" max="11"/>
  </cols>
  <sheetData>
    <row r="1" ht="26" customHeight="1">
      <c r="A1" s="1" t="inlineStr">
        <is>
          <t>Contractor - Installer Tracker</t>
        </is>
      </c>
    </row>
    <row r="2" ht="26" customHeight="1"/>
    <row r="3" ht="26" customHeight="1">
      <c r="A3" s="24" t="inlineStr">
        <is>
          <t>Coordinate construction and installation partners, scope, quotes, dates, documents, and payments.</t>
        </is>
      </c>
    </row>
    <row r="4">
      <c r="A4" s="36" t="inlineStr">
        <is>
          <t>Tip: enter data in the warm cream cells. Blue cells calculate automatically. Use the filter arrows in row 6 to focus the view.</t>
        </is>
      </c>
    </row>
    <row r="6" ht="34" customHeight="1">
      <c r="A6" s="37" t="inlineStr">
        <is>
          <t>Contractor/vendor name</t>
        </is>
      </c>
      <c r="B6" s="37" t="inlineStr">
        <is>
          <t>Trade</t>
        </is>
      </c>
      <c r="C6" s="37" t="inlineStr">
        <is>
          <t>Contact</t>
        </is>
      </c>
      <c r="D6" s="37" t="inlineStr">
        <is>
          <t>Scope</t>
        </is>
      </c>
      <c r="E6" s="37" t="inlineStr">
        <is>
          <t>Quote amount</t>
        </is>
      </c>
      <c r="F6" s="37" t="inlineStr">
        <is>
          <t>Start date</t>
        </is>
      </c>
      <c r="G6" s="37" t="inlineStr">
        <is>
          <t>End date</t>
        </is>
      </c>
      <c r="H6" s="37" t="inlineStr">
        <is>
          <t>Payment status</t>
        </is>
      </c>
      <c r="I6" s="37" t="inlineStr">
        <is>
          <t>Insurance received</t>
        </is>
      </c>
      <c r="J6" s="37" t="inlineStr">
        <is>
          <t>Contract signed</t>
        </is>
      </c>
      <c r="K6" s="37" t="inlineStr">
        <is>
          <t>Notes</t>
        </is>
      </c>
    </row>
    <row r="7" ht="21" customHeight="1">
      <c r="A7" s="38" t="n"/>
      <c r="B7" s="38" t="n"/>
      <c r="C7" s="38" t="n"/>
      <c r="D7" s="38" t="n"/>
      <c r="E7" s="40" t="n"/>
      <c r="F7" s="42" t="n"/>
      <c r="G7" s="42" t="n"/>
      <c r="H7" s="38" t="n"/>
      <c r="I7" s="38" t="n"/>
      <c r="J7" s="38" t="n"/>
      <c r="K7" s="38" t="n"/>
    </row>
    <row r="8" ht="21" customHeight="1">
      <c r="A8" s="38" t="n"/>
      <c r="B8" s="38" t="n"/>
      <c r="C8" s="38" t="n"/>
      <c r="D8" s="38" t="n"/>
      <c r="E8" s="40" t="n"/>
      <c r="F8" s="42" t="n"/>
      <c r="G8" s="42" t="n"/>
      <c r="H8" s="38" t="n"/>
      <c r="I8" s="38" t="n"/>
      <c r="J8" s="38" t="n"/>
      <c r="K8" s="38" t="n"/>
    </row>
    <row r="9" ht="21" customHeight="1">
      <c r="A9" s="38" t="n"/>
      <c r="B9" s="38" t="n"/>
      <c r="C9" s="38" t="n"/>
      <c r="D9" s="38" t="n"/>
      <c r="E9" s="40" t="n"/>
      <c r="F9" s="42" t="n"/>
      <c r="G9" s="42" t="n"/>
      <c r="H9" s="38" t="n"/>
      <c r="I9" s="38" t="n"/>
      <c r="J9" s="38" t="n"/>
      <c r="K9" s="38" t="n"/>
    </row>
    <row r="10" ht="21" customHeight="1">
      <c r="A10" s="38" t="n"/>
      <c r="B10" s="38" t="n"/>
      <c r="C10" s="38" t="n"/>
      <c r="D10" s="38" t="n"/>
      <c r="E10" s="40" t="n"/>
      <c r="F10" s="42" t="n"/>
      <c r="G10" s="42" t="n"/>
      <c r="H10" s="38" t="n"/>
      <c r="I10" s="38" t="n"/>
      <c r="J10" s="38" t="n"/>
      <c r="K10" s="38" t="n"/>
    </row>
    <row r="11" ht="21" customHeight="1">
      <c r="A11" s="38" t="n"/>
      <c r="B11" s="38" t="n"/>
      <c r="C11" s="38" t="n"/>
      <c r="D11" s="38" t="n"/>
      <c r="E11" s="40" t="n"/>
      <c r="F11" s="42" t="n"/>
      <c r="G11" s="42" t="n"/>
      <c r="H11" s="38" t="n"/>
      <c r="I11" s="38" t="n"/>
      <c r="J11" s="38" t="n"/>
      <c r="K11" s="38" t="n"/>
    </row>
    <row r="12" ht="21" customHeight="1">
      <c r="A12" s="38" t="n"/>
      <c r="B12" s="38" t="n"/>
      <c r="C12" s="38" t="n"/>
      <c r="D12" s="38" t="n"/>
      <c r="E12" s="40" t="n"/>
      <c r="F12" s="42" t="n"/>
      <c r="G12" s="42" t="n"/>
      <c r="H12" s="38" t="n"/>
      <c r="I12" s="38" t="n"/>
      <c r="J12" s="38" t="n"/>
      <c r="K12" s="38" t="n"/>
    </row>
    <row r="13" ht="21" customHeight="1">
      <c r="A13" s="38" t="n"/>
      <c r="B13" s="38" t="n"/>
      <c r="C13" s="38" t="n"/>
      <c r="D13" s="38" t="n"/>
      <c r="E13" s="40" t="n"/>
      <c r="F13" s="42" t="n"/>
      <c r="G13" s="42" t="n"/>
      <c r="H13" s="38" t="n"/>
      <c r="I13" s="38" t="n"/>
      <c r="J13" s="38" t="n"/>
      <c r="K13" s="38" t="n"/>
    </row>
    <row r="14" ht="21" customHeight="1">
      <c r="A14" s="38" t="n"/>
      <c r="B14" s="38" t="n"/>
      <c r="C14" s="38" t="n"/>
      <c r="D14" s="38" t="n"/>
      <c r="E14" s="40" t="n"/>
      <c r="F14" s="42" t="n"/>
      <c r="G14" s="42" t="n"/>
      <c r="H14" s="38" t="n"/>
      <c r="I14" s="38" t="n"/>
      <c r="J14" s="38" t="n"/>
      <c r="K14" s="38" t="n"/>
    </row>
    <row r="15" ht="21" customHeight="1">
      <c r="A15" s="38" t="n"/>
      <c r="B15" s="38" t="n"/>
      <c r="C15" s="38" t="n"/>
      <c r="D15" s="38" t="n"/>
      <c r="E15" s="40" t="n"/>
      <c r="F15" s="42" t="n"/>
      <c r="G15" s="42" t="n"/>
      <c r="H15" s="38" t="n"/>
      <c r="I15" s="38" t="n"/>
      <c r="J15" s="38" t="n"/>
      <c r="K15" s="38" t="n"/>
    </row>
    <row r="16" ht="21" customHeight="1">
      <c r="A16" s="38" t="n"/>
      <c r="B16" s="38" t="n"/>
      <c r="C16" s="38" t="n"/>
      <c r="D16" s="38" t="n"/>
      <c r="E16" s="40" t="n"/>
      <c r="F16" s="42" t="n"/>
      <c r="G16" s="42" t="n"/>
      <c r="H16" s="38" t="n"/>
      <c r="I16" s="38" t="n"/>
      <c r="J16" s="38" t="n"/>
      <c r="K16" s="38" t="n"/>
    </row>
    <row r="17" ht="21" customHeight="1">
      <c r="A17" s="38" t="n"/>
      <c r="B17" s="38" t="n"/>
      <c r="C17" s="38" t="n"/>
      <c r="D17" s="38" t="n"/>
      <c r="E17" s="40" t="n"/>
      <c r="F17" s="42" t="n"/>
      <c r="G17" s="42" t="n"/>
      <c r="H17" s="38" t="n"/>
      <c r="I17" s="38" t="n"/>
      <c r="J17" s="38" t="n"/>
      <c r="K17" s="38" t="n"/>
    </row>
    <row r="18" ht="21" customHeight="1">
      <c r="A18" s="38" t="n"/>
      <c r="B18" s="38" t="n"/>
      <c r="C18" s="38" t="n"/>
      <c r="D18" s="38" t="n"/>
      <c r="E18" s="40" t="n"/>
      <c r="F18" s="42" t="n"/>
      <c r="G18" s="42" t="n"/>
      <c r="H18" s="38" t="n"/>
      <c r="I18" s="38" t="n"/>
      <c r="J18" s="38" t="n"/>
      <c r="K18" s="38" t="n"/>
    </row>
    <row r="19" ht="21" customHeight="1">
      <c r="A19" s="38" t="n"/>
      <c r="B19" s="38" t="n"/>
      <c r="C19" s="38" t="n"/>
      <c r="D19" s="38" t="n"/>
      <c r="E19" s="40" t="n"/>
      <c r="F19" s="42" t="n"/>
      <c r="G19" s="42" t="n"/>
      <c r="H19" s="38" t="n"/>
      <c r="I19" s="38" t="n"/>
      <c r="J19" s="38" t="n"/>
      <c r="K19" s="38" t="n"/>
    </row>
    <row r="20" ht="21" customHeight="1">
      <c r="A20" s="38" t="n"/>
      <c r="B20" s="38" t="n"/>
      <c r="C20" s="38" t="n"/>
      <c r="D20" s="38" t="n"/>
      <c r="E20" s="40" t="n"/>
      <c r="F20" s="42" t="n"/>
      <c r="G20" s="42" t="n"/>
      <c r="H20" s="38" t="n"/>
      <c r="I20" s="38" t="n"/>
      <c r="J20" s="38" t="n"/>
      <c r="K20" s="38" t="n"/>
    </row>
    <row r="21" ht="21" customHeight="1">
      <c r="A21" s="38" t="n"/>
      <c r="B21" s="38" t="n"/>
      <c r="C21" s="38" t="n"/>
      <c r="D21" s="38" t="n"/>
      <c r="E21" s="40" t="n"/>
      <c r="F21" s="42" t="n"/>
      <c r="G21" s="42" t="n"/>
      <c r="H21" s="38" t="n"/>
      <c r="I21" s="38" t="n"/>
      <c r="J21" s="38" t="n"/>
      <c r="K21" s="38" t="n"/>
    </row>
    <row r="22" ht="21" customHeight="1">
      <c r="A22" s="38" t="n"/>
      <c r="B22" s="38" t="n"/>
      <c r="C22" s="38" t="n"/>
      <c r="D22" s="38" t="n"/>
      <c r="E22" s="40" t="n"/>
      <c r="F22" s="42" t="n"/>
      <c r="G22" s="42" t="n"/>
      <c r="H22" s="38" t="n"/>
      <c r="I22" s="38" t="n"/>
      <c r="J22" s="38" t="n"/>
      <c r="K22" s="38" t="n"/>
    </row>
    <row r="23" ht="21" customHeight="1">
      <c r="A23" s="38" t="n"/>
      <c r="B23" s="38" t="n"/>
      <c r="C23" s="38" t="n"/>
      <c r="D23" s="38" t="n"/>
      <c r="E23" s="40" t="n"/>
      <c r="F23" s="42" t="n"/>
      <c r="G23" s="42" t="n"/>
      <c r="H23" s="38" t="n"/>
      <c r="I23" s="38" t="n"/>
      <c r="J23" s="38" t="n"/>
      <c r="K23" s="38" t="n"/>
    </row>
    <row r="24" ht="21" customHeight="1">
      <c r="A24" s="38" t="n"/>
      <c r="B24" s="38" t="n"/>
      <c r="C24" s="38" t="n"/>
      <c r="D24" s="38" t="n"/>
      <c r="E24" s="40" t="n"/>
      <c r="F24" s="42" t="n"/>
      <c r="G24" s="42" t="n"/>
      <c r="H24" s="38" t="n"/>
      <c r="I24" s="38" t="n"/>
      <c r="J24" s="38" t="n"/>
      <c r="K24" s="38" t="n"/>
    </row>
    <row r="25" ht="21" customHeight="1">
      <c r="A25" s="38" t="n"/>
      <c r="B25" s="38" t="n"/>
      <c r="C25" s="38" t="n"/>
      <c r="D25" s="38" t="n"/>
      <c r="E25" s="40" t="n"/>
      <c r="F25" s="42" t="n"/>
      <c r="G25" s="42" t="n"/>
      <c r="H25" s="38" t="n"/>
      <c r="I25" s="38" t="n"/>
      <c r="J25" s="38" t="n"/>
      <c r="K25" s="38" t="n"/>
    </row>
    <row r="26" ht="21" customHeight="1">
      <c r="A26" s="38" t="n"/>
      <c r="B26" s="38" t="n"/>
      <c r="C26" s="38" t="n"/>
      <c r="D26" s="38" t="n"/>
      <c r="E26" s="40" t="n"/>
      <c r="F26" s="42" t="n"/>
      <c r="G26" s="42" t="n"/>
      <c r="H26" s="38" t="n"/>
      <c r="I26" s="38" t="n"/>
      <c r="J26" s="38" t="n"/>
      <c r="K26" s="38" t="n"/>
    </row>
    <row r="27" ht="21" customHeight="1">
      <c r="A27" s="38" t="n"/>
      <c r="B27" s="38" t="n"/>
      <c r="C27" s="38" t="n"/>
      <c r="D27" s="38" t="n"/>
      <c r="E27" s="40" t="n"/>
      <c r="F27" s="42" t="n"/>
      <c r="G27" s="42" t="n"/>
      <c r="H27" s="38" t="n"/>
      <c r="I27" s="38" t="n"/>
      <c r="J27" s="38" t="n"/>
      <c r="K27" s="38" t="n"/>
    </row>
    <row r="28" ht="21" customHeight="1">
      <c r="A28" s="38" t="n"/>
      <c r="B28" s="38" t="n"/>
      <c r="C28" s="38" t="n"/>
      <c r="D28" s="38" t="n"/>
      <c r="E28" s="40" t="n"/>
      <c r="F28" s="42" t="n"/>
      <c r="G28" s="42" t="n"/>
      <c r="H28" s="38" t="n"/>
      <c r="I28" s="38" t="n"/>
      <c r="J28" s="38" t="n"/>
      <c r="K28" s="38" t="n"/>
    </row>
    <row r="29" ht="21" customHeight="1">
      <c r="A29" s="38" t="n"/>
      <c r="B29" s="38" t="n"/>
      <c r="C29" s="38" t="n"/>
      <c r="D29" s="38" t="n"/>
      <c r="E29" s="40" t="n"/>
      <c r="F29" s="42" t="n"/>
      <c r="G29" s="42" t="n"/>
      <c r="H29" s="38" t="n"/>
      <c r="I29" s="38" t="n"/>
      <c r="J29" s="38" t="n"/>
      <c r="K29" s="38" t="n"/>
    </row>
    <row r="30" ht="21" customHeight="1">
      <c r="A30" s="38" t="n"/>
      <c r="B30" s="38" t="n"/>
      <c r="C30" s="38" t="n"/>
      <c r="D30" s="38" t="n"/>
      <c r="E30" s="40" t="n"/>
      <c r="F30" s="42" t="n"/>
      <c r="G30" s="42" t="n"/>
      <c r="H30" s="38" t="n"/>
      <c r="I30" s="38" t="n"/>
      <c r="J30" s="38" t="n"/>
      <c r="K30" s="38" t="n"/>
    </row>
    <row r="31" ht="21" customHeight="1">
      <c r="A31" s="38" t="n"/>
      <c r="B31" s="38" t="n"/>
      <c r="C31" s="38" t="n"/>
      <c r="D31" s="38" t="n"/>
      <c r="E31" s="40" t="n"/>
      <c r="F31" s="42" t="n"/>
      <c r="G31" s="42" t="n"/>
      <c r="H31" s="38" t="n"/>
      <c r="I31" s="38" t="n"/>
      <c r="J31" s="38" t="n"/>
      <c r="K31" s="38" t="n"/>
    </row>
    <row r="32" ht="21" customHeight="1">
      <c r="A32" s="38" t="n"/>
      <c r="B32" s="38" t="n"/>
      <c r="C32" s="38" t="n"/>
      <c r="D32" s="38" t="n"/>
      <c r="E32" s="40" t="n"/>
      <c r="F32" s="42" t="n"/>
      <c r="G32" s="42" t="n"/>
      <c r="H32" s="38" t="n"/>
      <c r="I32" s="38" t="n"/>
      <c r="J32" s="38" t="n"/>
      <c r="K32" s="38" t="n"/>
    </row>
    <row r="33" ht="21" customHeight="1">
      <c r="A33" s="38" t="n"/>
      <c r="B33" s="38" t="n"/>
      <c r="C33" s="38" t="n"/>
      <c r="D33" s="38" t="n"/>
      <c r="E33" s="40" t="n"/>
      <c r="F33" s="42" t="n"/>
      <c r="G33" s="42" t="n"/>
      <c r="H33" s="38" t="n"/>
      <c r="I33" s="38" t="n"/>
      <c r="J33" s="38" t="n"/>
      <c r="K33" s="38" t="n"/>
    </row>
    <row r="34" ht="21" customHeight="1">
      <c r="A34" s="38" t="n"/>
      <c r="B34" s="38" t="n"/>
      <c r="C34" s="38" t="n"/>
      <c r="D34" s="38" t="n"/>
      <c r="E34" s="40" t="n"/>
      <c r="F34" s="42" t="n"/>
      <c r="G34" s="42" t="n"/>
      <c r="H34" s="38" t="n"/>
      <c r="I34" s="38" t="n"/>
      <c r="J34" s="38" t="n"/>
      <c r="K34" s="38" t="n"/>
    </row>
    <row r="35" ht="21" customHeight="1">
      <c r="A35" s="38" t="n"/>
      <c r="B35" s="38" t="n"/>
      <c r="C35" s="38" t="n"/>
      <c r="D35" s="38" t="n"/>
      <c r="E35" s="40" t="n"/>
      <c r="F35" s="42" t="n"/>
      <c r="G35" s="42" t="n"/>
      <c r="H35" s="38" t="n"/>
      <c r="I35" s="38" t="n"/>
      <c r="J35" s="38" t="n"/>
      <c r="K35" s="38" t="n"/>
    </row>
    <row r="36" ht="21" customHeight="1">
      <c r="A36" s="38" t="n"/>
      <c r="B36" s="38" t="n"/>
      <c r="C36" s="38" t="n"/>
      <c r="D36" s="38" t="n"/>
      <c r="E36" s="40" t="n"/>
      <c r="F36" s="42" t="n"/>
      <c r="G36" s="42" t="n"/>
      <c r="H36" s="38" t="n"/>
      <c r="I36" s="38" t="n"/>
      <c r="J36" s="38" t="n"/>
      <c r="K36" s="38" t="n"/>
    </row>
    <row r="37" ht="21" customHeight="1">
      <c r="A37" s="38" t="n"/>
      <c r="B37" s="38" t="n"/>
      <c r="C37" s="38" t="n"/>
      <c r="D37" s="38" t="n"/>
      <c r="E37" s="40" t="n"/>
      <c r="F37" s="42" t="n"/>
      <c r="G37" s="42" t="n"/>
      <c r="H37" s="38" t="n"/>
      <c r="I37" s="38" t="n"/>
      <c r="J37" s="38" t="n"/>
      <c r="K37" s="38" t="n"/>
    </row>
    <row r="38" ht="21" customHeight="1">
      <c r="A38" s="38" t="n"/>
      <c r="B38" s="38" t="n"/>
      <c r="C38" s="38" t="n"/>
      <c r="D38" s="38" t="n"/>
      <c r="E38" s="40" t="n"/>
      <c r="F38" s="42" t="n"/>
      <c r="G38" s="42" t="n"/>
      <c r="H38" s="38" t="n"/>
      <c r="I38" s="38" t="n"/>
      <c r="J38" s="38" t="n"/>
      <c r="K38" s="38" t="n"/>
    </row>
    <row r="39" ht="21" customHeight="1">
      <c r="A39" s="38" t="n"/>
      <c r="B39" s="38" t="n"/>
      <c r="C39" s="38" t="n"/>
      <c r="D39" s="38" t="n"/>
      <c r="E39" s="40" t="n"/>
      <c r="F39" s="42" t="n"/>
      <c r="G39" s="42" t="n"/>
      <c r="H39" s="38" t="n"/>
      <c r="I39" s="38" t="n"/>
      <c r="J39" s="38" t="n"/>
      <c r="K39" s="38" t="n"/>
    </row>
    <row r="40" ht="21" customHeight="1">
      <c r="A40" s="38" t="n"/>
      <c r="B40" s="38" t="n"/>
      <c r="C40" s="38" t="n"/>
      <c r="D40" s="38" t="n"/>
      <c r="E40" s="40" t="n"/>
      <c r="F40" s="42" t="n"/>
      <c r="G40" s="42" t="n"/>
      <c r="H40" s="38" t="n"/>
      <c r="I40" s="38" t="n"/>
      <c r="J40" s="38" t="n"/>
      <c r="K40" s="38" t="n"/>
    </row>
    <row r="41" ht="21" customHeight="1">
      <c r="A41" s="38" t="n"/>
      <c r="B41" s="38" t="n"/>
      <c r="C41" s="38" t="n"/>
      <c r="D41" s="38" t="n"/>
      <c r="E41" s="40" t="n"/>
      <c r="F41" s="42" t="n"/>
      <c r="G41" s="42" t="n"/>
      <c r="H41" s="38" t="n"/>
      <c r="I41" s="38" t="n"/>
      <c r="J41" s="38" t="n"/>
      <c r="K41" s="38" t="n"/>
    </row>
    <row r="42" ht="21" customHeight="1">
      <c r="A42" s="38" t="n"/>
      <c r="B42" s="38" t="n"/>
      <c r="C42" s="38" t="n"/>
      <c r="D42" s="38" t="n"/>
      <c r="E42" s="40" t="n"/>
      <c r="F42" s="42" t="n"/>
      <c r="G42" s="42" t="n"/>
      <c r="H42" s="38" t="n"/>
      <c r="I42" s="38" t="n"/>
      <c r="J42" s="38" t="n"/>
      <c r="K42" s="38" t="n"/>
    </row>
    <row r="43" ht="21" customHeight="1">
      <c r="A43" s="38" t="n"/>
      <c r="B43" s="38" t="n"/>
      <c r="C43" s="38" t="n"/>
      <c r="D43" s="38" t="n"/>
      <c r="E43" s="40" t="n"/>
      <c r="F43" s="42" t="n"/>
      <c r="G43" s="42" t="n"/>
      <c r="H43" s="38" t="n"/>
      <c r="I43" s="38" t="n"/>
      <c r="J43" s="38" t="n"/>
      <c r="K43" s="38" t="n"/>
    </row>
    <row r="44" ht="21" customHeight="1">
      <c r="A44" s="38" t="n"/>
      <c r="B44" s="38" t="n"/>
      <c r="C44" s="38" t="n"/>
      <c r="D44" s="38" t="n"/>
      <c r="E44" s="40" t="n"/>
      <c r="F44" s="42" t="n"/>
      <c r="G44" s="42" t="n"/>
      <c r="H44" s="38" t="n"/>
      <c r="I44" s="38" t="n"/>
      <c r="J44" s="38" t="n"/>
      <c r="K44" s="38" t="n"/>
    </row>
    <row r="45" ht="21" customHeight="1">
      <c r="A45" s="38" t="n"/>
      <c r="B45" s="38" t="n"/>
      <c r="C45" s="38" t="n"/>
      <c r="D45" s="38" t="n"/>
      <c r="E45" s="40" t="n"/>
      <c r="F45" s="42" t="n"/>
      <c r="G45" s="42" t="n"/>
      <c r="H45" s="38" t="n"/>
      <c r="I45" s="38" t="n"/>
      <c r="J45" s="38" t="n"/>
      <c r="K45" s="38" t="n"/>
    </row>
    <row r="46" ht="21" customHeight="1">
      <c r="A46" s="38" t="n"/>
      <c r="B46" s="38" t="n"/>
      <c r="C46" s="38" t="n"/>
      <c r="D46" s="38" t="n"/>
      <c r="E46" s="40" t="n"/>
      <c r="F46" s="42" t="n"/>
      <c r="G46" s="42" t="n"/>
      <c r="H46" s="38" t="n"/>
      <c r="I46" s="38" t="n"/>
      <c r="J46" s="38" t="n"/>
      <c r="K46" s="38" t="n"/>
    </row>
    <row r="47" ht="21" customHeight="1">
      <c r="A47" s="38" t="n"/>
      <c r="B47" s="38" t="n"/>
      <c r="C47" s="38" t="n"/>
      <c r="D47" s="38" t="n"/>
      <c r="E47" s="40" t="n"/>
      <c r="F47" s="42" t="n"/>
      <c r="G47" s="42" t="n"/>
      <c r="H47" s="38" t="n"/>
      <c r="I47" s="38" t="n"/>
      <c r="J47" s="38" t="n"/>
      <c r="K47" s="38" t="n"/>
    </row>
    <row r="48" ht="21" customHeight="1">
      <c r="A48" s="38" t="n"/>
      <c r="B48" s="38" t="n"/>
      <c r="C48" s="38" t="n"/>
      <c r="D48" s="38" t="n"/>
      <c r="E48" s="40" t="n"/>
      <c r="F48" s="42" t="n"/>
      <c r="G48" s="42" t="n"/>
      <c r="H48" s="38" t="n"/>
      <c r="I48" s="38" t="n"/>
      <c r="J48" s="38" t="n"/>
      <c r="K48" s="38" t="n"/>
    </row>
    <row r="49" ht="21" customHeight="1">
      <c r="A49" s="38" t="n"/>
      <c r="B49" s="38" t="n"/>
      <c r="C49" s="38" t="n"/>
      <c r="D49" s="38" t="n"/>
      <c r="E49" s="40" t="n"/>
      <c r="F49" s="42" t="n"/>
      <c r="G49" s="42" t="n"/>
      <c r="H49" s="38" t="n"/>
      <c r="I49" s="38" t="n"/>
      <c r="J49" s="38" t="n"/>
      <c r="K49" s="38" t="n"/>
    </row>
    <row r="50" ht="21" customHeight="1">
      <c r="A50" s="38" t="n"/>
      <c r="B50" s="38" t="n"/>
      <c r="C50" s="38" t="n"/>
      <c r="D50" s="38" t="n"/>
      <c r="E50" s="40" t="n"/>
      <c r="F50" s="42" t="n"/>
      <c r="G50" s="42" t="n"/>
      <c r="H50" s="38" t="n"/>
      <c r="I50" s="38" t="n"/>
      <c r="J50" s="38" t="n"/>
      <c r="K50" s="38" t="n"/>
    </row>
    <row r="51" ht="21" customHeight="1">
      <c r="A51" s="38" t="n"/>
      <c r="B51" s="38" t="n"/>
      <c r="C51" s="38" t="n"/>
      <c r="D51" s="38" t="n"/>
      <c r="E51" s="40" t="n"/>
      <c r="F51" s="42" t="n"/>
      <c r="G51" s="42" t="n"/>
      <c r="H51" s="38" t="n"/>
      <c r="I51" s="38" t="n"/>
      <c r="J51" s="38" t="n"/>
      <c r="K51" s="38" t="n"/>
    </row>
    <row r="52" ht="21" customHeight="1">
      <c r="A52" s="38" t="n"/>
      <c r="B52" s="38" t="n"/>
      <c r="C52" s="38" t="n"/>
      <c r="D52" s="38" t="n"/>
      <c r="E52" s="40" t="n"/>
      <c r="F52" s="42" t="n"/>
      <c r="G52" s="42" t="n"/>
      <c r="H52" s="38" t="n"/>
      <c r="I52" s="38" t="n"/>
      <c r="J52" s="38" t="n"/>
      <c r="K52" s="38" t="n"/>
    </row>
    <row r="53" ht="21" customHeight="1">
      <c r="A53" s="38" t="n"/>
      <c r="B53" s="38" t="n"/>
      <c r="C53" s="38" t="n"/>
      <c r="D53" s="38" t="n"/>
      <c r="E53" s="40" t="n"/>
      <c r="F53" s="42" t="n"/>
      <c r="G53" s="42" t="n"/>
      <c r="H53" s="38" t="n"/>
      <c r="I53" s="38" t="n"/>
      <c r="J53" s="38" t="n"/>
      <c r="K53" s="38" t="n"/>
    </row>
    <row r="54" ht="21" customHeight="1">
      <c r="A54" s="38" t="n"/>
      <c r="B54" s="38" t="n"/>
      <c r="C54" s="38" t="n"/>
      <c r="D54" s="38" t="n"/>
      <c r="E54" s="40" t="n"/>
      <c r="F54" s="42" t="n"/>
      <c r="G54" s="42" t="n"/>
      <c r="H54" s="38" t="n"/>
      <c r="I54" s="38" t="n"/>
      <c r="J54" s="38" t="n"/>
      <c r="K54" s="38" t="n"/>
    </row>
    <row r="55" ht="21" customHeight="1">
      <c r="A55" s="38" t="n"/>
      <c r="B55" s="38" t="n"/>
      <c r="C55" s="38" t="n"/>
      <c r="D55" s="38" t="n"/>
      <c r="E55" s="40" t="n"/>
      <c r="F55" s="42" t="n"/>
      <c r="G55" s="42" t="n"/>
      <c r="H55" s="38" t="n"/>
      <c r="I55" s="38" t="n"/>
      <c r="J55" s="38" t="n"/>
      <c r="K55" s="38" t="n"/>
    </row>
    <row r="56" ht="21" customHeight="1">
      <c r="A56" s="38" t="n"/>
      <c r="B56" s="38" t="n"/>
      <c r="C56" s="38" t="n"/>
      <c r="D56" s="38" t="n"/>
      <c r="E56" s="40" t="n"/>
      <c r="F56" s="42" t="n"/>
      <c r="G56" s="42" t="n"/>
      <c r="H56" s="38" t="n"/>
      <c r="I56" s="38" t="n"/>
      <c r="J56" s="38" t="n"/>
      <c r="K56" s="38" t="n"/>
    </row>
    <row r="57" ht="21" customHeight="1">
      <c r="A57" s="38" t="n"/>
      <c r="B57" s="38" t="n"/>
      <c r="C57" s="38" t="n"/>
      <c r="D57" s="38" t="n"/>
      <c r="E57" s="40" t="n"/>
      <c r="F57" s="42" t="n"/>
      <c r="G57" s="42" t="n"/>
      <c r="H57" s="38" t="n"/>
      <c r="I57" s="38" t="n"/>
      <c r="J57" s="38" t="n"/>
      <c r="K57" s="38" t="n"/>
    </row>
    <row r="58" ht="21" customHeight="1">
      <c r="A58" s="38" t="n"/>
      <c r="B58" s="38" t="n"/>
      <c r="C58" s="38" t="n"/>
      <c r="D58" s="38" t="n"/>
      <c r="E58" s="40" t="n"/>
      <c r="F58" s="42" t="n"/>
      <c r="G58" s="42" t="n"/>
      <c r="H58" s="38" t="n"/>
      <c r="I58" s="38" t="n"/>
      <c r="J58" s="38" t="n"/>
      <c r="K58" s="38" t="n"/>
    </row>
    <row r="59" ht="21" customHeight="1">
      <c r="A59" s="38" t="n"/>
      <c r="B59" s="38" t="n"/>
      <c r="C59" s="38" t="n"/>
      <c r="D59" s="38" t="n"/>
      <c r="E59" s="40" t="n"/>
      <c r="F59" s="42" t="n"/>
      <c r="G59" s="42" t="n"/>
      <c r="H59" s="38" t="n"/>
      <c r="I59" s="38" t="n"/>
      <c r="J59" s="38" t="n"/>
      <c r="K59" s="38" t="n"/>
    </row>
    <row r="60" ht="21" customHeight="1">
      <c r="A60" s="38" t="n"/>
      <c r="B60" s="38" t="n"/>
      <c r="C60" s="38" t="n"/>
      <c r="D60" s="38" t="n"/>
      <c r="E60" s="40" t="n"/>
      <c r="F60" s="42" t="n"/>
      <c r="G60" s="42" t="n"/>
      <c r="H60" s="38" t="n"/>
      <c r="I60" s="38" t="n"/>
      <c r="J60" s="38" t="n"/>
      <c r="K60" s="38" t="n"/>
    </row>
    <row r="61" ht="21" customHeight="1">
      <c r="A61" s="38" t="n"/>
      <c r="B61" s="38" t="n"/>
      <c r="C61" s="38" t="n"/>
      <c r="D61" s="38" t="n"/>
      <c r="E61" s="40" t="n"/>
      <c r="F61" s="42" t="n"/>
      <c r="G61" s="42" t="n"/>
      <c r="H61" s="38" t="n"/>
      <c r="I61" s="38" t="n"/>
      <c r="J61" s="38" t="n"/>
      <c r="K61" s="38" t="n"/>
    </row>
    <row r="62" ht="21" customHeight="1">
      <c r="A62" s="38" t="n"/>
      <c r="B62" s="38" t="n"/>
      <c r="C62" s="38" t="n"/>
      <c r="D62" s="38" t="n"/>
      <c r="E62" s="40" t="n"/>
      <c r="F62" s="42" t="n"/>
      <c r="G62" s="42" t="n"/>
      <c r="H62" s="38" t="n"/>
      <c r="I62" s="38" t="n"/>
      <c r="J62" s="38" t="n"/>
      <c r="K62" s="38" t="n"/>
    </row>
    <row r="63" ht="21" customHeight="1">
      <c r="A63" s="38" t="n"/>
      <c r="B63" s="38" t="n"/>
      <c r="C63" s="38" t="n"/>
      <c r="D63" s="38" t="n"/>
      <c r="E63" s="40" t="n"/>
      <c r="F63" s="42" t="n"/>
      <c r="G63" s="42" t="n"/>
      <c r="H63" s="38" t="n"/>
      <c r="I63" s="38" t="n"/>
      <c r="J63" s="38" t="n"/>
      <c r="K63" s="38" t="n"/>
    </row>
    <row r="64" ht="21" customHeight="1">
      <c r="A64" s="38" t="n"/>
      <c r="B64" s="38" t="n"/>
      <c r="C64" s="38" t="n"/>
      <c r="D64" s="38" t="n"/>
      <c r="E64" s="40" t="n"/>
      <c r="F64" s="42" t="n"/>
      <c r="G64" s="42" t="n"/>
      <c r="H64" s="38" t="n"/>
      <c r="I64" s="38" t="n"/>
      <c r="J64" s="38" t="n"/>
      <c r="K64" s="38" t="n"/>
    </row>
    <row r="65" ht="21" customHeight="1">
      <c r="A65" s="38" t="n"/>
      <c r="B65" s="38" t="n"/>
      <c r="C65" s="38" t="n"/>
      <c r="D65" s="38" t="n"/>
      <c r="E65" s="40" t="n"/>
      <c r="F65" s="42" t="n"/>
      <c r="G65" s="42" t="n"/>
      <c r="H65" s="38" t="n"/>
      <c r="I65" s="38" t="n"/>
      <c r="J65" s="38" t="n"/>
      <c r="K65" s="38" t="n"/>
    </row>
    <row r="66" ht="21" customHeight="1">
      <c r="A66" s="38" t="n"/>
      <c r="B66" s="38" t="n"/>
      <c r="C66" s="38" t="n"/>
      <c r="D66" s="38" t="n"/>
      <c r="E66" s="40" t="n"/>
      <c r="F66" s="42" t="n"/>
      <c r="G66" s="42" t="n"/>
      <c r="H66" s="38" t="n"/>
      <c r="I66" s="38" t="n"/>
      <c r="J66" s="38" t="n"/>
      <c r="K66" s="38" t="n"/>
    </row>
    <row r="67" ht="21" customHeight="1">
      <c r="A67" s="38" t="n"/>
      <c r="B67" s="38" t="n"/>
      <c r="C67" s="38" t="n"/>
      <c r="D67" s="38" t="n"/>
      <c r="E67" s="40" t="n"/>
      <c r="F67" s="42" t="n"/>
      <c r="G67" s="42" t="n"/>
      <c r="H67" s="38" t="n"/>
      <c r="I67" s="38" t="n"/>
      <c r="J67" s="38" t="n"/>
      <c r="K67" s="38" t="n"/>
    </row>
    <row r="68" ht="21" customHeight="1">
      <c r="A68" s="38" t="n"/>
      <c r="B68" s="38" t="n"/>
      <c r="C68" s="38" t="n"/>
      <c r="D68" s="38" t="n"/>
      <c r="E68" s="40" t="n"/>
      <c r="F68" s="42" t="n"/>
      <c r="G68" s="42" t="n"/>
      <c r="H68" s="38" t="n"/>
      <c r="I68" s="38" t="n"/>
      <c r="J68" s="38" t="n"/>
      <c r="K68" s="38" t="n"/>
    </row>
    <row r="69" ht="21" customHeight="1">
      <c r="A69" s="38" t="n"/>
      <c r="B69" s="38" t="n"/>
      <c r="C69" s="38" t="n"/>
      <c r="D69" s="38" t="n"/>
      <c r="E69" s="40" t="n"/>
      <c r="F69" s="42" t="n"/>
      <c r="G69" s="42" t="n"/>
      <c r="H69" s="38" t="n"/>
      <c r="I69" s="38" t="n"/>
      <c r="J69" s="38" t="n"/>
      <c r="K69" s="38" t="n"/>
    </row>
    <row r="70" ht="21" customHeight="1">
      <c r="A70" s="38" t="n"/>
      <c r="B70" s="38" t="n"/>
      <c r="C70" s="38" t="n"/>
      <c r="D70" s="38" t="n"/>
      <c r="E70" s="40" t="n"/>
      <c r="F70" s="42" t="n"/>
      <c r="G70" s="42" t="n"/>
      <c r="H70" s="38" t="n"/>
      <c r="I70" s="38" t="n"/>
      <c r="J70" s="38" t="n"/>
      <c r="K70" s="38" t="n"/>
    </row>
    <row r="71" ht="21" customHeight="1">
      <c r="A71" s="38" t="n"/>
      <c r="B71" s="38" t="n"/>
      <c r="C71" s="38" t="n"/>
      <c r="D71" s="38" t="n"/>
      <c r="E71" s="40" t="n"/>
      <c r="F71" s="42" t="n"/>
      <c r="G71" s="42" t="n"/>
      <c r="H71" s="38" t="n"/>
      <c r="I71" s="38" t="n"/>
      <c r="J71" s="38" t="n"/>
      <c r="K71" s="38" t="n"/>
    </row>
    <row r="72" ht="21" customHeight="1">
      <c r="A72" s="38" t="n"/>
      <c r="B72" s="38" t="n"/>
      <c r="C72" s="38" t="n"/>
      <c r="D72" s="38" t="n"/>
      <c r="E72" s="40" t="n"/>
      <c r="F72" s="42" t="n"/>
      <c r="G72" s="42" t="n"/>
      <c r="H72" s="38" t="n"/>
      <c r="I72" s="38" t="n"/>
      <c r="J72" s="38" t="n"/>
      <c r="K72" s="38" t="n"/>
    </row>
    <row r="73" ht="21" customHeight="1">
      <c r="A73" s="38" t="n"/>
      <c r="B73" s="38" t="n"/>
      <c r="C73" s="38" t="n"/>
      <c r="D73" s="38" t="n"/>
      <c r="E73" s="40" t="n"/>
      <c r="F73" s="42" t="n"/>
      <c r="G73" s="42" t="n"/>
      <c r="H73" s="38" t="n"/>
      <c r="I73" s="38" t="n"/>
      <c r="J73" s="38" t="n"/>
      <c r="K73" s="38" t="n"/>
    </row>
    <row r="74" ht="21" customHeight="1">
      <c r="A74" s="38" t="n"/>
      <c r="B74" s="38" t="n"/>
      <c r="C74" s="38" t="n"/>
      <c r="D74" s="38" t="n"/>
      <c r="E74" s="40" t="n"/>
      <c r="F74" s="42" t="n"/>
      <c r="G74" s="42" t="n"/>
      <c r="H74" s="38" t="n"/>
      <c r="I74" s="38" t="n"/>
      <c r="J74" s="38" t="n"/>
      <c r="K74" s="38" t="n"/>
    </row>
    <row r="75" ht="21" customHeight="1">
      <c r="A75" s="38" t="n"/>
      <c r="B75" s="38" t="n"/>
      <c r="C75" s="38" t="n"/>
      <c r="D75" s="38" t="n"/>
      <c r="E75" s="40" t="n"/>
      <c r="F75" s="42" t="n"/>
      <c r="G75" s="42" t="n"/>
      <c r="H75" s="38" t="n"/>
      <c r="I75" s="38" t="n"/>
      <c r="J75" s="38" t="n"/>
      <c r="K75" s="38" t="n"/>
    </row>
    <row r="76" ht="21" customHeight="1">
      <c r="A76" s="38" t="n"/>
      <c r="B76" s="38" t="n"/>
      <c r="C76" s="38" t="n"/>
      <c r="D76" s="38" t="n"/>
      <c r="E76" s="40" t="n"/>
      <c r="F76" s="42" t="n"/>
      <c r="G76" s="42" t="n"/>
      <c r="H76" s="38" t="n"/>
      <c r="I76" s="38" t="n"/>
      <c r="J76" s="38" t="n"/>
      <c r="K76" s="38" t="n"/>
    </row>
    <row r="77" ht="21" customHeight="1">
      <c r="A77" s="38" t="n"/>
      <c r="B77" s="38" t="n"/>
      <c r="C77" s="38" t="n"/>
      <c r="D77" s="38" t="n"/>
      <c r="E77" s="40" t="n"/>
      <c r="F77" s="42" t="n"/>
      <c r="G77" s="42" t="n"/>
      <c r="H77" s="38" t="n"/>
      <c r="I77" s="38" t="n"/>
      <c r="J77" s="38" t="n"/>
      <c r="K77" s="38" t="n"/>
    </row>
    <row r="78" ht="21" customHeight="1">
      <c r="A78" s="38" t="n"/>
      <c r="B78" s="38" t="n"/>
      <c r="C78" s="38" t="n"/>
      <c r="D78" s="38" t="n"/>
      <c r="E78" s="40" t="n"/>
      <c r="F78" s="42" t="n"/>
      <c r="G78" s="42" t="n"/>
      <c r="H78" s="38" t="n"/>
      <c r="I78" s="38" t="n"/>
      <c r="J78" s="38" t="n"/>
      <c r="K78" s="38" t="n"/>
    </row>
    <row r="79" ht="21" customHeight="1">
      <c r="A79" s="38" t="n"/>
      <c r="B79" s="38" t="n"/>
      <c r="C79" s="38" t="n"/>
      <c r="D79" s="38" t="n"/>
      <c r="E79" s="40" t="n"/>
      <c r="F79" s="42" t="n"/>
      <c r="G79" s="42" t="n"/>
      <c r="H79" s="38" t="n"/>
      <c r="I79" s="38" t="n"/>
      <c r="J79" s="38" t="n"/>
      <c r="K79" s="38" t="n"/>
    </row>
    <row r="80" ht="21" customHeight="1">
      <c r="A80" s="38" t="n"/>
      <c r="B80" s="38" t="n"/>
      <c r="C80" s="38" t="n"/>
      <c r="D80" s="38" t="n"/>
      <c r="E80" s="40" t="n"/>
      <c r="F80" s="42" t="n"/>
      <c r="G80" s="42" t="n"/>
      <c r="H80" s="38" t="n"/>
      <c r="I80" s="38" t="n"/>
      <c r="J80" s="38" t="n"/>
      <c r="K80" s="38" t="n"/>
    </row>
    <row r="81" ht="21" customHeight="1">
      <c r="A81" s="38" t="n"/>
      <c r="B81" s="38" t="n"/>
      <c r="C81" s="38" t="n"/>
      <c r="D81" s="38" t="n"/>
      <c r="E81" s="40" t="n"/>
      <c r="F81" s="42" t="n"/>
      <c r="G81" s="42" t="n"/>
      <c r="H81" s="38" t="n"/>
      <c r="I81" s="38" t="n"/>
      <c r="J81" s="38" t="n"/>
      <c r="K81" s="38" t="n"/>
    </row>
    <row r="82" ht="21" customHeight="1">
      <c r="A82" s="38" t="n"/>
      <c r="B82" s="38" t="n"/>
      <c r="C82" s="38" t="n"/>
      <c r="D82" s="38" t="n"/>
      <c r="E82" s="40" t="n"/>
      <c r="F82" s="42" t="n"/>
      <c r="G82" s="42" t="n"/>
      <c r="H82" s="38" t="n"/>
      <c r="I82" s="38" t="n"/>
      <c r="J82" s="38" t="n"/>
      <c r="K82" s="38" t="n"/>
    </row>
    <row r="83" ht="21" customHeight="1">
      <c r="A83" s="38" t="n"/>
      <c r="B83" s="38" t="n"/>
      <c r="C83" s="38" t="n"/>
      <c r="D83" s="38" t="n"/>
      <c r="E83" s="40" t="n"/>
      <c r="F83" s="42" t="n"/>
      <c r="G83" s="42" t="n"/>
      <c r="H83" s="38" t="n"/>
      <c r="I83" s="38" t="n"/>
      <c r="J83" s="38" t="n"/>
      <c r="K83" s="38" t="n"/>
    </row>
    <row r="84" ht="21" customHeight="1">
      <c r="A84" s="38" t="n"/>
      <c r="B84" s="38" t="n"/>
      <c r="C84" s="38" t="n"/>
      <c r="D84" s="38" t="n"/>
      <c r="E84" s="40" t="n"/>
      <c r="F84" s="42" t="n"/>
      <c r="G84" s="42" t="n"/>
      <c r="H84" s="38" t="n"/>
      <c r="I84" s="38" t="n"/>
      <c r="J84" s="38" t="n"/>
      <c r="K84" s="38" t="n"/>
    </row>
    <row r="85" ht="21" customHeight="1">
      <c r="A85" s="38" t="n"/>
      <c r="B85" s="38" t="n"/>
      <c r="C85" s="38" t="n"/>
      <c r="D85" s="38" t="n"/>
      <c r="E85" s="40" t="n"/>
      <c r="F85" s="42" t="n"/>
      <c r="G85" s="42" t="n"/>
      <c r="H85" s="38" t="n"/>
      <c r="I85" s="38" t="n"/>
      <c r="J85" s="38" t="n"/>
      <c r="K85" s="38" t="n"/>
    </row>
    <row r="86" ht="21" customHeight="1">
      <c r="A86" s="38" t="n"/>
      <c r="B86" s="38" t="n"/>
      <c r="C86" s="38" t="n"/>
      <c r="D86" s="38" t="n"/>
      <c r="E86" s="40" t="n"/>
      <c r="F86" s="42" t="n"/>
      <c r="G86" s="42" t="n"/>
      <c r="H86" s="38" t="n"/>
      <c r="I86" s="38" t="n"/>
      <c r="J86" s="38" t="n"/>
      <c r="K86" s="38" t="n"/>
    </row>
    <row r="87" ht="21" customHeight="1">
      <c r="A87" s="38" t="n"/>
      <c r="B87" s="38" t="n"/>
      <c r="C87" s="38" t="n"/>
      <c r="D87" s="38" t="n"/>
      <c r="E87" s="40" t="n"/>
      <c r="F87" s="42" t="n"/>
      <c r="G87" s="42" t="n"/>
      <c r="H87" s="38" t="n"/>
      <c r="I87" s="38" t="n"/>
      <c r="J87" s="38" t="n"/>
      <c r="K87" s="38" t="n"/>
    </row>
    <row r="88" ht="21" customHeight="1">
      <c r="A88" s="38" t="n"/>
      <c r="B88" s="38" t="n"/>
      <c r="C88" s="38" t="n"/>
      <c r="D88" s="38" t="n"/>
      <c r="E88" s="40" t="n"/>
      <c r="F88" s="42" t="n"/>
      <c r="G88" s="42" t="n"/>
      <c r="H88" s="38" t="n"/>
      <c r="I88" s="38" t="n"/>
      <c r="J88" s="38" t="n"/>
      <c r="K88" s="38" t="n"/>
    </row>
    <row r="89" ht="21" customHeight="1">
      <c r="A89" s="38" t="n"/>
      <c r="B89" s="38" t="n"/>
      <c r="C89" s="38" t="n"/>
      <c r="D89" s="38" t="n"/>
      <c r="E89" s="40" t="n"/>
      <c r="F89" s="42" t="n"/>
      <c r="G89" s="42" t="n"/>
      <c r="H89" s="38" t="n"/>
      <c r="I89" s="38" t="n"/>
      <c r="J89" s="38" t="n"/>
      <c r="K89" s="38" t="n"/>
    </row>
    <row r="90" ht="21" customHeight="1">
      <c r="A90" s="38" t="n"/>
      <c r="B90" s="38" t="n"/>
      <c r="C90" s="38" t="n"/>
      <c r="D90" s="38" t="n"/>
      <c r="E90" s="40" t="n"/>
      <c r="F90" s="42" t="n"/>
      <c r="G90" s="42" t="n"/>
      <c r="H90" s="38" t="n"/>
      <c r="I90" s="38" t="n"/>
      <c r="J90" s="38" t="n"/>
      <c r="K90" s="38" t="n"/>
    </row>
    <row r="91" ht="21" customHeight="1">
      <c r="A91" s="38" t="n"/>
      <c r="B91" s="38" t="n"/>
      <c r="C91" s="38" t="n"/>
      <c r="D91" s="38" t="n"/>
      <c r="E91" s="40" t="n"/>
      <c r="F91" s="42" t="n"/>
      <c r="G91" s="42" t="n"/>
      <c r="H91" s="38" t="n"/>
      <c r="I91" s="38" t="n"/>
      <c r="J91" s="38" t="n"/>
      <c r="K91" s="38" t="n"/>
    </row>
    <row r="92" ht="21" customHeight="1">
      <c r="A92" s="38" t="n"/>
      <c r="B92" s="38" t="n"/>
      <c r="C92" s="38" t="n"/>
      <c r="D92" s="38" t="n"/>
      <c r="E92" s="40" t="n"/>
      <c r="F92" s="42" t="n"/>
      <c r="G92" s="42" t="n"/>
      <c r="H92" s="38" t="n"/>
      <c r="I92" s="38" t="n"/>
      <c r="J92" s="38" t="n"/>
      <c r="K92" s="38" t="n"/>
    </row>
    <row r="93" ht="21" customHeight="1">
      <c r="A93" s="38" t="n"/>
      <c r="B93" s="38" t="n"/>
      <c r="C93" s="38" t="n"/>
      <c r="D93" s="38" t="n"/>
      <c r="E93" s="40" t="n"/>
      <c r="F93" s="42" t="n"/>
      <c r="G93" s="42" t="n"/>
      <c r="H93" s="38" t="n"/>
      <c r="I93" s="38" t="n"/>
      <c r="J93" s="38" t="n"/>
      <c r="K93" s="38" t="n"/>
    </row>
    <row r="94" ht="21" customHeight="1">
      <c r="A94" s="38" t="n"/>
      <c r="B94" s="38" t="n"/>
      <c r="C94" s="38" t="n"/>
      <c r="D94" s="38" t="n"/>
      <c r="E94" s="40" t="n"/>
      <c r="F94" s="42" t="n"/>
      <c r="G94" s="42" t="n"/>
      <c r="H94" s="38" t="n"/>
      <c r="I94" s="38" t="n"/>
      <c r="J94" s="38" t="n"/>
      <c r="K94" s="38" t="n"/>
    </row>
    <row r="95" ht="21" customHeight="1">
      <c r="A95" s="38" t="n"/>
      <c r="B95" s="38" t="n"/>
      <c r="C95" s="38" t="n"/>
      <c r="D95" s="38" t="n"/>
      <c r="E95" s="40" t="n"/>
      <c r="F95" s="42" t="n"/>
      <c r="G95" s="42" t="n"/>
      <c r="H95" s="38" t="n"/>
      <c r="I95" s="38" t="n"/>
      <c r="J95" s="38" t="n"/>
      <c r="K95" s="38" t="n"/>
    </row>
    <row r="96" ht="21" customHeight="1">
      <c r="A96" s="38" t="n"/>
      <c r="B96" s="38" t="n"/>
      <c r="C96" s="38" t="n"/>
      <c r="D96" s="38" t="n"/>
      <c r="E96" s="40" t="n"/>
      <c r="F96" s="42" t="n"/>
      <c r="G96" s="42" t="n"/>
      <c r="H96" s="38" t="n"/>
      <c r="I96" s="38" t="n"/>
      <c r="J96" s="38" t="n"/>
      <c r="K96" s="38" t="n"/>
    </row>
    <row r="97" ht="21" customHeight="1">
      <c r="A97" s="38" t="n"/>
      <c r="B97" s="38" t="n"/>
      <c r="C97" s="38" t="n"/>
      <c r="D97" s="38" t="n"/>
      <c r="E97" s="40" t="n"/>
      <c r="F97" s="42" t="n"/>
      <c r="G97" s="42" t="n"/>
      <c r="H97" s="38" t="n"/>
      <c r="I97" s="38" t="n"/>
      <c r="J97" s="38" t="n"/>
      <c r="K97" s="38" t="n"/>
    </row>
    <row r="98" ht="21" customHeight="1">
      <c r="A98" s="38" t="n"/>
      <c r="B98" s="38" t="n"/>
      <c r="C98" s="38" t="n"/>
      <c r="D98" s="38" t="n"/>
      <c r="E98" s="40" t="n"/>
      <c r="F98" s="42" t="n"/>
      <c r="G98" s="42" t="n"/>
      <c r="H98" s="38" t="n"/>
      <c r="I98" s="38" t="n"/>
      <c r="J98" s="38" t="n"/>
      <c r="K98" s="38" t="n"/>
    </row>
    <row r="99" ht="21" customHeight="1">
      <c r="A99" s="38" t="n"/>
      <c r="B99" s="38" t="n"/>
      <c r="C99" s="38" t="n"/>
      <c r="D99" s="38" t="n"/>
      <c r="E99" s="40" t="n"/>
      <c r="F99" s="42" t="n"/>
      <c r="G99" s="42" t="n"/>
      <c r="H99" s="38" t="n"/>
      <c r="I99" s="38" t="n"/>
      <c r="J99" s="38" t="n"/>
      <c r="K99" s="38" t="n"/>
    </row>
    <row r="100" ht="21" customHeight="1">
      <c r="A100" s="38" t="n"/>
      <c r="B100" s="38" t="n"/>
      <c r="C100" s="38" t="n"/>
      <c r="D100" s="38" t="n"/>
      <c r="E100" s="40" t="n"/>
      <c r="F100" s="42" t="n"/>
      <c r="G100" s="42" t="n"/>
      <c r="H100" s="38" t="n"/>
      <c r="I100" s="38" t="n"/>
      <c r="J100" s="38" t="n"/>
      <c r="K100" s="38" t="n"/>
    </row>
    <row r="101" ht="21" customHeight="1">
      <c r="A101" s="38" t="n"/>
      <c r="B101" s="38" t="n"/>
      <c r="C101" s="38" t="n"/>
      <c r="D101" s="38" t="n"/>
      <c r="E101" s="40" t="n"/>
      <c r="F101" s="42" t="n"/>
      <c r="G101" s="42" t="n"/>
      <c r="H101" s="38" t="n"/>
      <c r="I101" s="38" t="n"/>
      <c r="J101" s="38" t="n"/>
      <c r="K101" s="38" t="n"/>
    </row>
    <row r="102" ht="21" customHeight="1">
      <c r="A102" s="38" t="n"/>
      <c r="B102" s="38" t="n"/>
      <c r="C102" s="38" t="n"/>
      <c r="D102" s="38" t="n"/>
      <c r="E102" s="40" t="n"/>
      <c r="F102" s="42" t="n"/>
      <c r="G102" s="42" t="n"/>
      <c r="H102" s="38" t="n"/>
      <c r="I102" s="38" t="n"/>
      <c r="J102" s="38" t="n"/>
      <c r="K102" s="38" t="n"/>
    </row>
    <row r="103" ht="21" customHeight="1">
      <c r="A103" s="38" t="n"/>
      <c r="B103" s="38" t="n"/>
      <c r="C103" s="38" t="n"/>
      <c r="D103" s="38" t="n"/>
      <c r="E103" s="40" t="n"/>
      <c r="F103" s="42" t="n"/>
      <c r="G103" s="42" t="n"/>
      <c r="H103" s="38" t="n"/>
      <c r="I103" s="38" t="n"/>
      <c r="J103" s="38" t="n"/>
      <c r="K103" s="38" t="n"/>
    </row>
    <row r="104" ht="21" customHeight="1">
      <c r="A104" s="38" t="n"/>
      <c r="B104" s="38" t="n"/>
      <c r="C104" s="38" t="n"/>
      <c r="D104" s="38" t="n"/>
      <c r="E104" s="40" t="n"/>
      <c r="F104" s="42" t="n"/>
      <c r="G104" s="42" t="n"/>
      <c r="H104" s="38" t="n"/>
      <c r="I104" s="38" t="n"/>
      <c r="J104" s="38" t="n"/>
      <c r="K104" s="38" t="n"/>
    </row>
    <row r="105" ht="21" customHeight="1">
      <c r="A105" s="38" t="n"/>
      <c r="B105" s="38" t="n"/>
      <c r="C105" s="38" t="n"/>
      <c r="D105" s="38" t="n"/>
      <c r="E105" s="40" t="n"/>
      <c r="F105" s="42" t="n"/>
      <c r="G105" s="42" t="n"/>
      <c r="H105" s="38" t="n"/>
      <c r="I105" s="38" t="n"/>
      <c r="J105" s="38" t="n"/>
      <c r="K105" s="38" t="n"/>
    </row>
    <row r="106" ht="21" customHeight="1">
      <c r="A106" s="38" t="n"/>
      <c r="B106" s="38" t="n"/>
      <c r="C106" s="38" t="n"/>
      <c r="D106" s="38" t="n"/>
      <c r="E106" s="40" t="n"/>
      <c r="F106" s="42" t="n"/>
      <c r="G106" s="42" t="n"/>
      <c r="H106" s="38" t="n"/>
      <c r="I106" s="38" t="n"/>
      <c r="J106" s="38" t="n"/>
      <c r="K106" s="38" t="n"/>
    </row>
    <row r="107" ht="21" customHeight="1">
      <c r="A107" s="38" t="n"/>
      <c r="B107" s="38" t="n"/>
      <c r="C107" s="38" t="n"/>
      <c r="D107" s="38" t="n"/>
      <c r="E107" s="40" t="n"/>
      <c r="F107" s="42" t="n"/>
      <c r="G107" s="42" t="n"/>
      <c r="H107" s="38" t="n"/>
      <c r="I107" s="38" t="n"/>
      <c r="J107" s="38" t="n"/>
      <c r="K107" s="38" t="n"/>
    </row>
    <row r="108" ht="21" customHeight="1">
      <c r="A108" s="38" t="n"/>
      <c r="B108" s="38" t="n"/>
      <c r="C108" s="38" t="n"/>
      <c r="D108" s="38" t="n"/>
      <c r="E108" s="40" t="n"/>
      <c r="F108" s="42" t="n"/>
      <c r="G108" s="42" t="n"/>
      <c r="H108" s="38" t="n"/>
      <c r="I108" s="38" t="n"/>
      <c r="J108" s="38" t="n"/>
      <c r="K108" s="38" t="n"/>
    </row>
    <row r="109" ht="21" customHeight="1">
      <c r="A109" s="38" t="n"/>
      <c r="B109" s="38" t="n"/>
      <c r="C109" s="38" t="n"/>
      <c r="D109" s="38" t="n"/>
      <c r="E109" s="40" t="n"/>
      <c r="F109" s="42" t="n"/>
      <c r="G109" s="42" t="n"/>
      <c r="H109" s="38" t="n"/>
      <c r="I109" s="38" t="n"/>
      <c r="J109" s="38" t="n"/>
      <c r="K109" s="38" t="n"/>
    </row>
    <row r="110" ht="21" customHeight="1">
      <c r="A110" s="38" t="n"/>
      <c r="B110" s="38" t="n"/>
      <c r="C110" s="38" t="n"/>
      <c r="D110" s="38" t="n"/>
      <c r="E110" s="40" t="n"/>
      <c r="F110" s="42" t="n"/>
      <c r="G110" s="42" t="n"/>
      <c r="H110" s="38" t="n"/>
      <c r="I110" s="38" t="n"/>
      <c r="J110" s="38" t="n"/>
      <c r="K110" s="38" t="n"/>
    </row>
    <row r="111" ht="21" customHeight="1">
      <c r="A111" s="38" t="n"/>
      <c r="B111" s="38" t="n"/>
      <c r="C111" s="38" t="n"/>
      <c r="D111" s="38" t="n"/>
      <c r="E111" s="40" t="n"/>
      <c r="F111" s="42" t="n"/>
      <c r="G111" s="42" t="n"/>
      <c r="H111" s="38" t="n"/>
      <c r="I111" s="38" t="n"/>
      <c r="J111" s="38" t="n"/>
      <c r="K111" s="38" t="n"/>
    </row>
    <row r="112" ht="21" customHeight="1">
      <c r="A112" s="38" t="n"/>
      <c r="B112" s="38" t="n"/>
      <c r="C112" s="38" t="n"/>
      <c r="D112" s="38" t="n"/>
      <c r="E112" s="40" t="n"/>
      <c r="F112" s="42" t="n"/>
      <c r="G112" s="42" t="n"/>
      <c r="H112" s="38" t="n"/>
      <c r="I112" s="38" t="n"/>
      <c r="J112" s="38" t="n"/>
      <c r="K112" s="38" t="n"/>
    </row>
    <row r="113" ht="21" customHeight="1">
      <c r="A113" s="38" t="n"/>
      <c r="B113" s="38" t="n"/>
      <c r="C113" s="38" t="n"/>
      <c r="D113" s="38" t="n"/>
      <c r="E113" s="40" t="n"/>
      <c r="F113" s="42" t="n"/>
      <c r="G113" s="42" t="n"/>
      <c r="H113" s="38" t="n"/>
      <c r="I113" s="38" t="n"/>
      <c r="J113" s="38" t="n"/>
      <c r="K113" s="38" t="n"/>
    </row>
    <row r="114" ht="21" customHeight="1">
      <c r="A114" s="38" t="n"/>
      <c r="B114" s="38" t="n"/>
      <c r="C114" s="38" t="n"/>
      <c r="D114" s="38" t="n"/>
      <c r="E114" s="40" t="n"/>
      <c r="F114" s="42" t="n"/>
      <c r="G114" s="42" t="n"/>
      <c r="H114" s="38" t="n"/>
      <c r="I114" s="38" t="n"/>
      <c r="J114" s="38" t="n"/>
      <c r="K114" s="38" t="n"/>
    </row>
    <row r="115" ht="21" customHeight="1">
      <c r="A115" s="38" t="n"/>
      <c r="B115" s="38" t="n"/>
      <c r="C115" s="38" t="n"/>
      <c r="D115" s="38" t="n"/>
      <c r="E115" s="40" t="n"/>
      <c r="F115" s="42" t="n"/>
      <c r="G115" s="42" t="n"/>
      <c r="H115" s="38" t="n"/>
      <c r="I115" s="38" t="n"/>
      <c r="J115" s="38" t="n"/>
      <c r="K115" s="38" t="n"/>
    </row>
    <row r="116" ht="21" customHeight="1">
      <c r="A116" s="38" t="n"/>
      <c r="B116" s="38" t="n"/>
      <c r="C116" s="38" t="n"/>
      <c r="D116" s="38" t="n"/>
      <c r="E116" s="40" t="n"/>
      <c r="F116" s="42" t="n"/>
      <c r="G116" s="42" t="n"/>
      <c r="H116" s="38" t="n"/>
      <c r="I116" s="38" t="n"/>
      <c r="J116" s="38" t="n"/>
      <c r="K116" s="38" t="n"/>
    </row>
    <row r="117" ht="21" customHeight="1">
      <c r="A117" s="38" t="n"/>
      <c r="B117" s="38" t="n"/>
      <c r="C117" s="38" t="n"/>
      <c r="D117" s="38" t="n"/>
      <c r="E117" s="40" t="n"/>
      <c r="F117" s="42" t="n"/>
      <c r="G117" s="42" t="n"/>
      <c r="H117" s="38" t="n"/>
      <c r="I117" s="38" t="n"/>
      <c r="J117" s="38" t="n"/>
      <c r="K117" s="38" t="n"/>
    </row>
    <row r="118" ht="21" customHeight="1">
      <c r="A118" s="38" t="n"/>
      <c r="B118" s="38" t="n"/>
      <c r="C118" s="38" t="n"/>
      <c r="D118" s="38" t="n"/>
      <c r="E118" s="40" t="n"/>
      <c r="F118" s="42" t="n"/>
      <c r="G118" s="42" t="n"/>
      <c r="H118" s="38" t="n"/>
      <c r="I118" s="38" t="n"/>
      <c r="J118" s="38" t="n"/>
      <c r="K118" s="38" t="n"/>
    </row>
    <row r="119" ht="21" customHeight="1">
      <c r="A119" s="38" t="n"/>
      <c r="B119" s="38" t="n"/>
      <c r="C119" s="38" t="n"/>
      <c r="D119" s="38" t="n"/>
      <c r="E119" s="40" t="n"/>
      <c r="F119" s="42" t="n"/>
      <c r="G119" s="42" t="n"/>
      <c r="H119" s="38" t="n"/>
      <c r="I119" s="38" t="n"/>
      <c r="J119" s="38" t="n"/>
      <c r="K119" s="38" t="n"/>
    </row>
    <row r="120" ht="21" customHeight="1">
      <c r="A120" s="38" t="n"/>
      <c r="B120" s="38" t="n"/>
      <c r="C120" s="38" t="n"/>
      <c r="D120" s="38" t="n"/>
      <c r="E120" s="40" t="n"/>
      <c r="F120" s="42" t="n"/>
      <c r="G120" s="42" t="n"/>
      <c r="H120" s="38" t="n"/>
      <c r="I120" s="38" t="n"/>
      <c r="J120" s="38" t="n"/>
      <c r="K120" s="38" t="n"/>
    </row>
    <row r="121" ht="21" customHeight="1">
      <c r="A121" s="38" t="n"/>
      <c r="B121" s="38" t="n"/>
      <c r="C121" s="38" t="n"/>
      <c r="D121" s="38" t="n"/>
      <c r="E121" s="40" t="n"/>
      <c r="F121" s="42" t="n"/>
      <c r="G121" s="42" t="n"/>
      <c r="H121" s="38" t="n"/>
      <c r="I121" s="38" t="n"/>
      <c r="J121" s="38" t="n"/>
      <c r="K121" s="38" t="n"/>
    </row>
    <row r="122" ht="21" customHeight="1">
      <c r="A122" s="38" t="n"/>
      <c r="B122" s="38" t="n"/>
      <c r="C122" s="38" t="n"/>
      <c r="D122" s="38" t="n"/>
      <c r="E122" s="40" t="n"/>
      <c r="F122" s="42" t="n"/>
      <c r="G122" s="42" t="n"/>
      <c r="H122" s="38" t="n"/>
      <c r="I122" s="38" t="n"/>
      <c r="J122" s="38" t="n"/>
      <c r="K122" s="38" t="n"/>
    </row>
    <row r="123" ht="21" customHeight="1">
      <c r="A123" s="38" t="n"/>
      <c r="B123" s="38" t="n"/>
      <c r="C123" s="38" t="n"/>
      <c r="D123" s="38" t="n"/>
      <c r="E123" s="40" t="n"/>
      <c r="F123" s="42" t="n"/>
      <c r="G123" s="42" t="n"/>
      <c r="H123" s="38" t="n"/>
      <c r="I123" s="38" t="n"/>
      <c r="J123" s="38" t="n"/>
      <c r="K123" s="38" t="n"/>
    </row>
    <row r="124" ht="21" customHeight="1">
      <c r="A124" s="38" t="n"/>
      <c r="B124" s="38" t="n"/>
      <c r="C124" s="38" t="n"/>
      <c r="D124" s="38" t="n"/>
      <c r="E124" s="40" t="n"/>
      <c r="F124" s="42" t="n"/>
      <c r="G124" s="42" t="n"/>
      <c r="H124" s="38" t="n"/>
      <c r="I124" s="38" t="n"/>
      <c r="J124" s="38" t="n"/>
      <c r="K124" s="38" t="n"/>
    </row>
    <row r="125" ht="21" customHeight="1">
      <c r="A125" s="38" t="n"/>
      <c r="B125" s="38" t="n"/>
      <c r="C125" s="38" t="n"/>
      <c r="D125" s="38" t="n"/>
      <c r="E125" s="40" t="n"/>
      <c r="F125" s="42" t="n"/>
      <c r="G125" s="42" t="n"/>
      <c r="H125" s="38" t="n"/>
      <c r="I125" s="38" t="n"/>
      <c r="J125" s="38" t="n"/>
      <c r="K125" s="38" t="n"/>
    </row>
    <row r="126" ht="21" customHeight="1">
      <c r="A126" s="38" t="n"/>
      <c r="B126" s="38" t="n"/>
      <c r="C126" s="38" t="n"/>
      <c r="D126" s="38" t="n"/>
      <c r="E126" s="40" t="n"/>
      <c r="F126" s="42" t="n"/>
      <c r="G126" s="42" t="n"/>
      <c r="H126" s="38" t="n"/>
      <c r="I126" s="38" t="n"/>
      <c r="J126" s="38" t="n"/>
      <c r="K126" s="38" t="n"/>
    </row>
    <row r="127" ht="21" customHeight="1">
      <c r="A127" s="38" t="n"/>
      <c r="B127" s="38" t="n"/>
      <c r="C127" s="38" t="n"/>
      <c r="D127" s="38" t="n"/>
      <c r="E127" s="40" t="n"/>
      <c r="F127" s="42" t="n"/>
      <c r="G127" s="42" t="n"/>
      <c r="H127" s="38" t="n"/>
      <c r="I127" s="38" t="n"/>
      <c r="J127" s="38" t="n"/>
      <c r="K127" s="38" t="n"/>
    </row>
    <row r="128" ht="21" customHeight="1">
      <c r="A128" s="38" t="n"/>
      <c r="B128" s="38" t="n"/>
      <c r="C128" s="38" t="n"/>
      <c r="D128" s="38" t="n"/>
      <c r="E128" s="40" t="n"/>
      <c r="F128" s="42" t="n"/>
      <c r="G128" s="42" t="n"/>
      <c r="H128" s="38" t="n"/>
      <c r="I128" s="38" t="n"/>
      <c r="J128" s="38" t="n"/>
      <c r="K128" s="38" t="n"/>
    </row>
    <row r="129" ht="21" customHeight="1">
      <c r="A129" s="38" t="n"/>
      <c r="B129" s="38" t="n"/>
      <c r="C129" s="38" t="n"/>
      <c r="D129" s="38" t="n"/>
      <c r="E129" s="40" t="n"/>
      <c r="F129" s="42" t="n"/>
      <c r="G129" s="42" t="n"/>
      <c r="H129" s="38" t="n"/>
      <c r="I129" s="38" t="n"/>
      <c r="J129" s="38" t="n"/>
      <c r="K129" s="38" t="n"/>
    </row>
    <row r="130" ht="21" customHeight="1">
      <c r="A130" s="38" t="n"/>
      <c r="B130" s="38" t="n"/>
      <c r="C130" s="38" t="n"/>
      <c r="D130" s="38" t="n"/>
      <c r="E130" s="40" t="n"/>
      <c r="F130" s="42" t="n"/>
      <c r="G130" s="42" t="n"/>
      <c r="H130" s="38" t="n"/>
      <c r="I130" s="38" t="n"/>
      <c r="J130" s="38" t="n"/>
      <c r="K130" s="38" t="n"/>
    </row>
    <row r="131" ht="21" customHeight="1">
      <c r="A131" s="38" t="n"/>
      <c r="B131" s="38" t="n"/>
      <c r="C131" s="38" t="n"/>
      <c r="D131" s="38" t="n"/>
      <c r="E131" s="40" t="n"/>
      <c r="F131" s="42" t="n"/>
      <c r="G131" s="42" t="n"/>
      <c r="H131" s="38" t="n"/>
      <c r="I131" s="38" t="n"/>
      <c r="J131" s="38" t="n"/>
      <c r="K131" s="38" t="n"/>
    </row>
    <row r="132" ht="21" customHeight="1">
      <c r="A132" s="38" t="n"/>
      <c r="B132" s="38" t="n"/>
      <c r="C132" s="38" t="n"/>
      <c r="D132" s="38" t="n"/>
      <c r="E132" s="40" t="n"/>
      <c r="F132" s="42" t="n"/>
      <c r="G132" s="42" t="n"/>
      <c r="H132" s="38" t="n"/>
      <c r="I132" s="38" t="n"/>
      <c r="J132" s="38" t="n"/>
      <c r="K132" s="38" t="n"/>
    </row>
    <row r="133" ht="21" customHeight="1">
      <c r="A133" s="38" t="n"/>
      <c r="B133" s="38" t="n"/>
      <c r="C133" s="38" t="n"/>
      <c r="D133" s="38" t="n"/>
      <c r="E133" s="40" t="n"/>
      <c r="F133" s="42" t="n"/>
      <c r="G133" s="42" t="n"/>
      <c r="H133" s="38" t="n"/>
      <c r="I133" s="38" t="n"/>
      <c r="J133" s="38" t="n"/>
      <c r="K133" s="38" t="n"/>
    </row>
    <row r="134" ht="21" customHeight="1">
      <c r="A134" s="38" t="n"/>
      <c r="B134" s="38" t="n"/>
      <c r="C134" s="38" t="n"/>
      <c r="D134" s="38" t="n"/>
      <c r="E134" s="40" t="n"/>
      <c r="F134" s="42" t="n"/>
      <c r="G134" s="42" t="n"/>
      <c r="H134" s="38" t="n"/>
      <c r="I134" s="38" t="n"/>
      <c r="J134" s="38" t="n"/>
      <c r="K134" s="38" t="n"/>
    </row>
    <row r="135" ht="21" customHeight="1">
      <c r="A135" s="38" t="n"/>
      <c r="B135" s="38" t="n"/>
      <c r="C135" s="38" t="n"/>
      <c r="D135" s="38" t="n"/>
      <c r="E135" s="40" t="n"/>
      <c r="F135" s="42" t="n"/>
      <c r="G135" s="42" t="n"/>
      <c r="H135" s="38" t="n"/>
      <c r="I135" s="38" t="n"/>
      <c r="J135" s="38" t="n"/>
      <c r="K135" s="38" t="n"/>
    </row>
    <row r="136" ht="21" customHeight="1">
      <c r="A136" s="38" t="n"/>
      <c r="B136" s="38" t="n"/>
      <c r="C136" s="38" t="n"/>
      <c r="D136" s="38" t="n"/>
      <c r="E136" s="40" t="n"/>
      <c r="F136" s="42" t="n"/>
      <c r="G136" s="42" t="n"/>
      <c r="H136" s="38" t="n"/>
      <c r="I136" s="38" t="n"/>
      <c r="J136" s="38" t="n"/>
      <c r="K136" s="38" t="n"/>
    </row>
    <row r="137" ht="21" customHeight="1">
      <c r="A137" s="38" t="n"/>
      <c r="B137" s="38" t="n"/>
      <c r="C137" s="38" t="n"/>
      <c r="D137" s="38" t="n"/>
      <c r="E137" s="40" t="n"/>
      <c r="F137" s="42" t="n"/>
      <c r="G137" s="42" t="n"/>
      <c r="H137" s="38" t="n"/>
      <c r="I137" s="38" t="n"/>
      <c r="J137" s="38" t="n"/>
      <c r="K137" s="38" t="n"/>
    </row>
    <row r="138" ht="21" customHeight="1">
      <c r="A138" s="38" t="n"/>
      <c r="B138" s="38" t="n"/>
      <c r="C138" s="38" t="n"/>
      <c r="D138" s="38" t="n"/>
      <c r="E138" s="40" t="n"/>
      <c r="F138" s="42" t="n"/>
      <c r="G138" s="42" t="n"/>
      <c r="H138" s="38" t="n"/>
      <c r="I138" s="38" t="n"/>
      <c r="J138" s="38" t="n"/>
      <c r="K138" s="38" t="n"/>
    </row>
    <row r="139" ht="21" customHeight="1">
      <c r="A139" s="38" t="n"/>
      <c r="B139" s="38" t="n"/>
      <c r="C139" s="38" t="n"/>
      <c r="D139" s="38" t="n"/>
      <c r="E139" s="40" t="n"/>
      <c r="F139" s="42" t="n"/>
      <c r="G139" s="42" t="n"/>
      <c r="H139" s="38" t="n"/>
      <c r="I139" s="38" t="n"/>
      <c r="J139" s="38" t="n"/>
      <c r="K139" s="38" t="n"/>
    </row>
    <row r="140" ht="21" customHeight="1">
      <c r="A140" s="38" t="n"/>
      <c r="B140" s="38" t="n"/>
      <c r="C140" s="38" t="n"/>
      <c r="D140" s="38" t="n"/>
      <c r="E140" s="40" t="n"/>
      <c r="F140" s="42" t="n"/>
      <c r="G140" s="42" t="n"/>
      <c r="H140" s="38" t="n"/>
      <c r="I140" s="38" t="n"/>
      <c r="J140" s="38" t="n"/>
      <c r="K140" s="38" t="n"/>
    </row>
    <row r="141" ht="21" customHeight="1">
      <c r="A141" s="38" t="n"/>
      <c r="B141" s="38" t="n"/>
      <c r="C141" s="38" t="n"/>
      <c r="D141" s="38" t="n"/>
      <c r="E141" s="40" t="n"/>
      <c r="F141" s="42" t="n"/>
      <c r="G141" s="42" t="n"/>
      <c r="H141" s="38" t="n"/>
      <c r="I141" s="38" t="n"/>
      <c r="J141" s="38" t="n"/>
      <c r="K141" s="38" t="n"/>
    </row>
    <row r="142" ht="21" customHeight="1">
      <c r="A142" s="38" t="n"/>
      <c r="B142" s="38" t="n"/>
      <c r="C142" s="38" t="n"/>
      <c r="D142" s="38" t="n"/>
      <c r="E142" s="40" t="n"/>
      <c r="F142" s="42" t="n"/>
      <c r="G142" s="42" t="n"/>
      <c r="H142" s="38" t="n"/>
      <c r="I142" s="38" t="n"/>
      <c r="J142" s="38" t="n"/>
      <c r="K142" s="38" t="n"/>
    </row>
    <row r="143" ht="21" customHeight="1">
      <c r="A143" s="38" t="n"/>
      <c r="B143" s="38" t="n"/>
      <c r="C143" s="38" t="n"/>
      <c r="D143" s="38" t="n"/>
      <c r="E143" s="40" t="n"/>
      <c r="F143" s="42" t="n"/>
      <c r="G143" s="42" t="n"/>
      <c r="H143" s="38" t="n"/>
      <c r="I143" s="38" t="n"/>
      <c r="J143" s="38" t="n"/>
      <c r="K143" s="38" t="n"/>
    </row>
    <row r="144" ht="21" customHeight="1">
      <c r="A144" s="38" t="n"/>
      <c r="B144" s="38" t="n"/>
      <c r="C144" s="38" t="n"/>
      <c r="D144" s="38" t="n"/>
      <c r="E144" s="40" t="n"/>
      <c r="F144" s="42" t="n"/>
      <c r="G144" s="42" t="n"/>
      <c r="H144" s="38" t="n"/>
      <c r="I144" s="38" t="n"/>
      <c r="J144" s="38" t="n"/>
      <c r="K144" s="38" t="n"/>
    </row>
    <row r="145" ht="21" customHeight="1">
      <c r="A145" s="38" t="n"/>
      <c r="B145" s="38" t="n"/>
      <c r="C145" s="38" t="n"/>
      <c r="D145" s="38" t="n"/>
      <c r="E145" s="40" t="n"/>
      <c r="F145" s="42" t="n"/>
      <c r="G145" s="42" t="n"/>
      <c r="H145" s="38" t="n"/>
      <c r="I145" s="38" t="n"/>
      <c r="J145" s="38" t="n"/>
      <c r="K145" s="38" t="n"/>
    </row>
    <row r="146" ht="21" customHeight="1">
      <c r="A146" s="38" t="n"/>
      <c r="B146" s="38" t="n"/>
      <c r="C146" s="38" t="n"/>
      <c r="D146" s="38" t="n"/>
      <c r="E146" s="40" t="n"/>
      <c r="F146" s="42" t="n"/>
      <c r="G146" s="42" t="n"/>
      <c r="H146" s="38" t="n"/>
      <c r="I146" s="38" t="n"/>
      <c r="J146" s="38" t="n"/>
      <c r="K146" s="38" t="n"/>
    </row>
    <row r="147" ht="21" customHeight="1">
      <c r="A147" s="38" t="n"/>
      <c r="B147" s="38" t="n"/>
      <c r="C147" s="38" t="n"/>
      <c r="D147" s="38" t="n"/>
      <c r="E147" s="40" t="n"/>
      <c r="F147" s="42" t="n"/>
      <c r="G147" s="42" t="n"/>
      <c r="H147" s="38" t="n"/>
      <c r="I147" s="38" t="n"/>
      <c r="J147" s="38" t="n"/>
      <c r="K147" s="38" t="n"/>
    </row>
    <row r="148" ht="21" customHeight="1">
      <c r="A148" s="38" t="n"/>
      <c r="B148" s="38" t="n"/>
      <c r="C148" s="38" t="n"/>
      <c r="D148" s="38" t="n"/>
      <c r="E148" s="40" t="n"/>
      <c r="F148" s="42" t="n"/>
      <c r="G148" s="42" t="n"/>
      <c r="H148" s="38" t="n"/>
      <c r="I148" s="38" t="n"/>
      <c r="J148" s="38" t="n"/>
      <c r="K148" s="38" t="n"/>
    </row>
    <row r="149" ht="21" customHeight="1">
      <c r="A149" s="38" t="n"/>
      <c r="B149" s="38" t="n"/>
      <c r="C149" s="38" t="n"/>
      <c r="D149" s="38" t="n"/>
      <c r="E149" s="40" t="n"/>
      <c r="F149" s="42" t="n"/>
      <c r="G149" s="42" t="n"/>
      <c r="H149" s="38" t="n"/>
      <c r="I149" s="38" t="n"/>
      <c r="J149" s="38" t="n"/>
      <c r="K149" s="38" t="n"/>
    </row>
    <row r="150" ht="21" customHeight="1">
      <c r="A150" s="38" t="n"/>
      <c r="B150" s="38" t="n"/>
      <c r="C150" s="38" t="n"/>
      <c r="D150" s="38" t="n"/>
      <c r="E150" s="40" t="n"/>
      <c r="F150" s="42" t="n"/>
      <c r="G150" s="42" t="n"/>
      <c r="H150" s="38" t="n"/>
      <c r="I150" s="38" t="n"/>
      <c r="J150" s="38" t="n"/>
      <c r="K150" s="38" t="n"/>
    </row>
    <row r="151" ht="21" customHeight="1">
      <c r="A151" s="38" t="n"/>
      <c r="B151" s="38" t="n"/>
      <c r="C151" s="38" t="n"/>
      <c r="D151" s="38" t="n"/>
      <c r="E151" s="40" t="n"/>
      <c r="F151" s="42" t="n"/>
      <c r="G151" s="42" t="n"/>
      <c r="H151" s="38" t="n"/>
      <c r="I151" s="38" t="n"/>
      <c r="J151" s="38" t="n"/>
      <c r="K151" s="38" t="n"/>
    </row>
    <row r="152" ht="21" customHeight="1">
      <c r="A152" s="38" t="n"/>
      <c r="B152" s="38" t="n"/>
      <c r="C152" s="38" t="n"/>
      <c r="D152" s="38" t="n"/>
      <c r="E152" s="40" t="n"/>
      <c r="F152" s="42" t="n"/>
      <c r="G152" s="42" t="n"/>
      <c r="H152" s="38" t="n"/>
      <c r="I152" s="38" t="n"/>
      <c r="J152" s="38" t="n"/>
      <c r="K152" s="38" t="n"/>
    </row>
    <row r="153" ht="21" customHeight="1">
      <c r="A153" s="38" t="n"/>
      <c r="B153" s="38" t="n"/>
      <c r="C153" s="38" t="n"/>
      <c r="D153" s="38" t="n"/>
      <c r="E153" s="40" t="n"/>
      <c r="F153" s="42" t="n"/>
      <c r="G153" s="42" t="n"/>
      <c r="H153" s="38" t="n"/>
      <c r="I153" s="38" t="n"/>
      <c r="J153" s="38" t="n"/>
      <c r="K153" s="38" t="n"/>
    </row>
    <row r="154" ht="21" customHeight="1">
      <c r="A154" s="38" t="n"/>
      <c r="B154" s="38" t="n"/>
      <c r="C154" s="38" t="n"/>
      <c r="D154" s="38" t="n"/>
      <c r="E154" s="40" t="n"/>
      <c r="F154" s="42" t="n"/>
      <c r="G154" s="42" t="n"/>
      <c r="H154" s="38" t="n"/>
      <c r="I154" s="38" t="n"/>
      <c r="J154" s="38" t="n"/>
      <c r="K154" s="38" t="n"/>
    </row>
    <row r="155" ht="21" customHeight="1">
      <c r="A155" s="38" t="n"/>
      <c r="B155" s="38" t="n"/>
      <c r="C155" s="38" t="n"/>
      <c r="D155" s="38" t="n"/>
      <c r="E155" s="40" t="n"/>
      <c r="F155" s="42" t="n"/>
      <c r="G155" s="42" t="n"/>
      <c r="H155" s="38" t="n"/>
      <c r="I155" s="38" t="n"/>
      <c r="J155" s="38" t="n"/>
      <c r="K155" s="38" t="n"/>
    </row>
    <row r="156" ht="21" customHeight="1">
      <c r="A156" s="38" t="n"/>
      <c r="B156" s="38" t="n"/>
      <c r="C156" s="38" t="n"/>
      <c r="D156" s="38" t="n"/>
      <c r="E156" s="40" t="n"/>
      <c r="F156" s="42" t="n"/>
      <c r="G156" s="42" t="n"/>
      <c r="H156" s="38" t="n"/>
      <c r="I156" s="38" t="n"/>
      <c r="J156" s="38" t="n"/>
      <c r="K156" s="38" t="n"/>
    </row>
  </sheetData>
  <autoFilter ref="A6:K156"/>
  <mergeCells count="3">
    <mergeCell ref="A4:K4"/>
    <mergeCell ref="A1:K2"/>
    <mergeCell ref="A3:K3"/>
  </mergeCells>
  <conditionalFormatting sqref="H7:H156">
    <cfRule type="expression" priority="1" dxfId="2">
      <formula>=OR(H7="Complete",H7="Approved",H7="Delivered",H7="Installed",H7="Good condition",H7="Paid",H7="On budget")</formula>
    </cfRule>
    <cfRule type="expression" priority="2" dxfId="1">
      <formula>=OR(H7="Pending",H7="In progress",H7="Sent",H7="Waiting on client",H7="Waiting on vendor",H7="On hold",H7="Partially paid",H7="Scheduled")</formula>
    </cfRule>
    <cfRule type="expression" priority="3" dxfId="0">
      <formula>=OR(H7="Overdue",H7="Delayed",H7="Damaged",H7="Missing item",H7="Rejected",H7="Revisions requested")</formula>
    </cfRule>
    <cfRule type="expression" priority="4" dxfId="3">
      <formula>=OR(H7="Cancelled",H7="On hold",H7="Returned")</formula>
    </cfRule>
  </conditionalFormatting>
  <conditionalFormatting sqref="I7:I156">
    <cfRule type="expression" priority="5" dxfId="2">
      <formula>=OR(I7="Complete",I7="Approved",I7="Delivered",I7="Installed",I7="Good condition",I7="Paid",I7="On budget")</formula>
    </cfRule>
    <cfRule type="expression" priority="6" dxfId="1">
      <formula>=OR(I7="Pending",I7="In progress",I7="Sent",I7="Waiting on client",I7="Waiting on vendor",I7="On hold",I7="Partially paid",I7="Scheduled")</formula>
    </cfRule>
    <cfRule type="expression" priority="7" dxfId="0">
      <formula>=OR(I7="Overdue",I7="Delayed",I7="Damaged",I7="Missing item",I7="Rejected",I7="Revisions requested")</formula>
    </cfRule>
    <cfRule type="expression" priority="8" dxfId="3">
      <formula>=OR(I7="Cancelled",I7="On hold",I7="Returned")</formula>
    </cfRule>
  </conditionalFormatting>
  <conditionalFormatting sqref="J7:J156">
    <cfRule type="expression" priority="9" dxfId="2">
      <formula>=OR(J7="Complete",J7="Approved",J7="Delivered",J7="Installed",J7="Good condition",J7="Paid",J7="On budget")</formula>
    </cfRule>
    <cfRule type="expression" priority="10" dxfId="1">
      <formula>=OR(J7="Pending",J7="In progress",J7="Sent",J7="Waiting on client",J7="Waiting on vendor",J7="On hold",J7="Partially paid",J7="Scheduled")</formula>
    </cfRule>
    <cfRule type="expression" priority="11" dxfId="0">
      <formula>=OR(J7="Overdue",J7="Delayed",J7="Damaged",J7="Missing item",J7="Rejected",J7="Revisions requested")</formula>
    </cfRule>
    <cfRule type="expression" priority="12" dxfId="3">
      <formula>=OR(J7="Cancelled",J7="On hold",J7="Returned")</formula>
    </cfRule>
  </conditionalFormatting>
  <dataValidations count="4">
    <dataValidation sqref="B7:B156" showDropDown="0" showInputMessage="1" showErrorMessage="1" allowBlank="1" errorTitle="Invalid entry" error="Please choose a value from the dropdown list." promptTitle="Choose from the dropdown" prompt="Select a value from the list." type="list">
      <formula1>=Trades</formula1>
    </dataValidation>
    <dataValidation sqref="H7:H156" showDropDown="0" showInputMessage="1" showErrorMessage="1" allowBlank="1" errorTitle="Invalid entry" error="Please choose a value from the dropdown list." promptTitle="Choose from the dropdown" prompt="Select a value from the list." type="list">
      <formula1>=PaymentStatuses</formula1>
    </dataValidation>
    <dataValidation sqref="I7:J156" showDropDown="0" showInputMessage="1" showErrorMessage="1" allowBlank="1" errorTitle="Invalid entry" error="Please choose a value from the dropdown list." promptTitle="Choose from the dropdown" prompt="Select a value from the list." type="list">
      <formula1>=YesNo</formula1>
    </dataValidation>
    <dataValidation sqref="F7:G156" showDropDown="0" showInputMessage="1" showErrorMessage="1" allowBlank="1" errorTitle="Invalid date" error="Enter a valid date between 1/1/1900 and 12/31/2100." promptTitle="Enter a date" prompt="Use a date such as 6/30/2026." type="date" operator="between">
      <formula1>DATE(1900,1,1)</formula1>
      <formula2>DATE(2100,12,31)</formula2>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19.xml><?xml version="1.0" encoding="utf-8"?>
<worksheet xmlns="http://schemas.openxmlformats.org/spreadsheetml/2006/main">
  <sheetPr>
    <tabColor rgb="00D6A756"/>
    <outlinePr summaryBelow="1" summaryRight="1"/>
    <pageSetUpPr fitToPage="1"/>
  </sheetPr>
  <dimension ref="A1:J206"/>
  <sheetViews>
    <sheetView showGridLines="0" zoomScale="85" workbookViewId="0">
      <pane ySplit="6" topLeftCell="A7" activePane="bottomLeft" state="frozen"/>
      <selection pane="bottomLeft" activeCell="A7" sqref="A1"/>
    </sheetView>
  </sheetViews>
  <sheetFormatPr baseColWidth="8" defaultRowHeight="15"/>
  <cols>
    <col width="17" customWidth="1" min="1" max="1"/>
    <col width="15" customWidth="1" min="2" max="2"/>
    <col width="25" customWidth="1" min="3" max="3"/>
    <col width="34" customWidth="1" min="4" max="4"/>
    <col width="15" customWidth="1" min="5" max="5"/>
    <col width="15" customWidth="1" min="6" max="6"/>
    <col width="15" customWidth="1" min="7" max="7"/>
    <col width="19" customWidth="1" min="8" max="8"/>
    <col width="18" customWidth="1" min="9" max="9"/>
    <col width="34" customWidth="1" min="10" max="10"/>
  </cols>
  <sheetData>
    <row r="1" ht="26" customHeight="1">
      <c r="A1" s="1" t="inlineStr">
        <is>
          <t>Invoice &amp; Payment Tracker</t>
        </is>
      </c>
    </row>
    <row r="2" ht="26" customHeight="1"/>
    <row r="3" ht="26" customHeight="1">
      <c r="A3" s="24" t="inlineStr">
        <is>
          <t>Track client billing, due dates, paid dates, status, and payment method.</t>
        </is>
      </c>
    </row>
    <row r="4">
      <c r="A4" s="36" t="inlineStr">
        <is>
          <t>Tip: enter data in the warm cream cells. Blue cells calculate automatically. Use the filter arrows in row 6 to focus the view.</t>
        </is>
      </c>
    </row>
    <row r="6" ht="34" customHeight="1">
      <c r="A6" s="37" t="inlineStr">
        <is>
          <t>Invoice number</t>
        </is>
      </c>
      <c r="B6" s="37" t="inlineStr">
        <is>
          <t>Invoice date</t>
        </is>
      </c>
      <c r="C6" s="37" t="inlineStr">
        <is>
          <t>Client</t>
        </is>
      </c>
      <c r="D6" s="37" t="inlineStr">
        <is>
          <t>Description</t>
        </is>
      </c>
      <c r="E6" s="37" t="inlineStr">
        <is>
          <t>Amount</t>
        </is>
      </c>
      <c r="F6" s="37" t="inlineStr">
        <is>
          <t>Due date</t>
        </is>
      </c>
      <c r="G6" s="37" t="inlineStr">
        <is>
          <t>Paid date</t>
        </is>
      </c>
      <c r="H6" s="37" t="inlineStr">
        <is>
          <t>Payment status</t>
        </is>
      </c>
      <c r="I6" s="37" t="inlineStr">
        <is>
          <t>Payment method</t>
        </is>
      </c>
      <c r="J6" s="37" t="inlineStr">
        <is>
          <t>Notes</t>
        </is>
      </c>
    </row>
    <row r="7" ht="21" customHeight="1">
      <c r="A7" s="38" t="n"/>
      <c r="B7" s="42" t="n"/>
      <c r="C7" s="38" t="n"/>
      <c r="D7" s="38" t="n"/>
      <c r="E7" s="40" t="n"/>
      <c r="F7" s="42" t="n"/>
      <c r="G7" s="42" t="n"/>
      <c r="H7" s="38" t="n"/>
      <c r="I7" s="38" t="n"/>
      <c r="J7" s="38" t="n"/>
    </row>
    <row r="8" ht="21" customHeight="1">
      <c r="A8" s="38" t="n"/>
      <c r="B8" s="42" t="n"/>
      <c r="C8" s="38" t="n"/>
      <c r="D8" s="38" t="n"/>
      <c r="E8" s="40" t="n"/>
      <c r="F8" s="42" t="n"/>
      <c r="G8" s="42" t="n"/>
      <c r="H8" s="38" t="n"/>
      <c r="I8" s="38" t="n"/>
      <c r="J8" s="38" t="n"/>
    </row>
    <row r="9" ht="21" customHeight="1">
      <c r="A9" s="38" t="n"/>
      <c r="B9" s="42" t="n"/>
      <c r="C9" s="38" t="n"/>
      <c r="D9" s="38" t="n"/>
      <c r="E9" s="40" t="n"/>
      <c r="F9" s="42" t="n"/>
      <c r="G9" s="42" t="n"/>
      <c r="H9" s="38" t="n"/>
      <c r="I9" s="38" t="n"/>
      <c r="J9" s="38" t="n"/>
    </row>
    <row r="10" ht="21" customHeight="1">
      <c r="A10" s="38" t="n"/>
      <c r="B10" s="42" t="n"/>
      <c r="C10" s="38" t="n"/>
      <c r="D10" s="38" t="n"/>
      <c r="E10" s="40" t="n"/>
      <c r="F10" s="42" t="n"/>
      <c r="G10" s="42" t="n"/>
      <c r="H10" s="38" t="n"/>
      <c r="I10" s="38" t="n"/>
      <c r="J10" s="38" t="n"/>
    </row>
    <row r="11" ht="21" customHeight="1">
      <c r="A11" s="38" t="n"/>
      <c r="B11" s="42" t="n"/>
      <c r="C11" s="38" t="n"/>
      <c r="D11" s="38" t="n"/>
      <c r="E11" s="40" t="n"/>
      <c r="F11" s="42" t="n"/>
      <c r="G11" s="42" t="n"/>
      <c r="H11" s="38" t="n"/>
      <c r="I11" s="38" t="n"/>
      <c r="J11" s="38" t="n"/>
    </row>
    <row r="12" ht="21" customHeight="1">
      <c r="A12" s="38" t="n"/>
      <c r="B12" s="42" t="n"/>
      <c r="C12" s="38" t="n"/>
      <c r="D12" s="38" t="n"/>
      <c r="E12" s="40" t="n"/>
      <c r="F12" s="42" t="n"/>
      <c r="G12" s="42" t="n"/>
      <c r="H12" s="38" t="n"/>
      <c r="I12" s="38" t="n"/>
      <c r="J12" s="38" t="n"/>
    </row>
    <row r="13" ht="21" customHeight="1">
      <c r="A13" s="38" t="n"/>
      <c r="B13" s="42" t="n"/>
      <c r="C13" s="38" t="n"/>
      <c r="D13" s="38" t="n"/>
      <c r="E13" s="40" t="n"/>
      <c r="F13" s="42" t="n"/>
      <c r="G13" s="42" t="n"/>
      <c r="H13" s="38" t="n"/>
      <c r="I13" s="38" t="n"/>
      <c r="J13" s="38" t="n"/>
    </row>
    <row r="14" ht="21" customHeight="1">
      <c r="A14" s="38" t="n"/>
      <c r="B14" s="42" t="n"/>
      <c r="C14" s="38" t="n"/>
      <c r="D14" s="38" t="n"/>
      <c r="E14" s="40" t="n"/>
      <c r="F14" s="42" t="n"/>
      <c r="G14" s="42" t="n"/>
      <c r="H14" s="38" t="n"/>
      <c r="I14" s="38" t="n"/>
      <c r="J14" s="38" t="n"/>
    </row>
    <row r="15" ht="21" customHeight="1">
      <c r="A15" s="38" t="n"/>
      <c r="B15" s="42" t="n"/>
      <c r="C15" s="38" t="n"/>
      <c r="D15" s="38" t="n"/>
      <c r="E15" s="40" t="n"/>
      <c r="F15" s="42" t="n"/>
      <c r="G15" s="42" t="n"/>
      <c r="H15" s="38" t="n"/>
      <c r="I15" s="38" t="n"/>
      <c r="J15" s="38" t="n"/>
    </row>
    <row r="16" ht="21" customHeight="1">
      <c r="A16" s="38" t="n"/>
      <c r="B16" s="42" t="n"/>
      <c r="C16" s="38" t="n"/>
      <c r="D16" s="38" t="n"/>
      <c r="E16" s="40" t="n"/>
      <c r="F16" s="42" t="n"/>
      <c r="G16" s="42" t="n"/>
      <c r="H16" s="38" t="n"/>
      <c r="I16" s="38" t="n"/>
      <c r="J16" s="38" t="n"/>
    </row>
    <row r="17" ht="21" customHeight="1">
      <c r="A17" s="38" t="n"/>
      <c r="B17" s="42" t="n"/>
      <c r="C17" s="38" t="n"/>
      <c r="D17" s="38" t="n"/>
      <c r="E17" s="40" t="n"/>
      <c r="F17" s="42" t="n"/>
      <c r="G17" s="42" t="n"/>
      <c r="H17" s="38" t="n"/>
      <c r="I17" s="38" t="n"/>
      <c r="J17" s="38" t="n"/>
    </row>
    <row r="18" ht="21" customHeight="1">
      <c r="A18" s="38" t="n"/>
      <c r="B18" s="42" t="n"/>
      <c r="C18" s="38" t="n"/>
      <c r="D18" s="38" t="n"/>
      <c r="E18" s="40" t="n"/>
      <c r="F18" s="42" t="n"/>
      <c r="G18" s="42" t="n"/>
      <c r="H18" s="38" t="n"/>
      <c r="I18" s="38" t="n"/>
      <c r="J18" s="38" t="n"/>
    </row>
    <row r="19" ht="21" customHeight="1">
      <c r="A19" s="38" t="n"/>
      <c r="B19" s="42" t="n"/>
      <c r="C19" s="38" t="n"/>
      <c r="D19" s="38" t="n"/>
      <c r="E19" s="40" t="n"/>
      <c r="F19" s="42" t="n"/>
      <c r="G19" s="42" t="n"/>
      <c r="H19" s="38" t="n"/>
      <c r="I19" s="38" t="n"/>
      <c r="J19" s="38" t="n"/>
    </row>
    <row r="20" ht="21" customHeight="1">
      <c r="A20" s="38" t="n"/>
      <c r="B20" s="42" t="n"/>
      <c r="C20" s="38" t="n"/>
      <c r="D20" s="38" t="n"/>
      <c r="E20" s="40" t="n"/>
      <c r="F20" s="42" t="n"/>
      <c r="G20" s="42" t="n"/>
      <c r="H20" s="38" t="n"/>
      <c r="I20" s="38" t="n"/>
      <c r="J20" s="38" t="n"/>
    </row>
    <row r="21" ht="21" customHeight="1">
      <c r="A21" s="38" t="n"/>
      <c r="B21" s="42" t="n"/>
      <c r="C21" s="38" t="n"/>
      <c r="D21" s="38" t="n"/>
      <c r="E21" s="40" t="n"/>
      <c r="F21" s="42" t="n"/>
      <c r="G21" s="42" t="n"/>
      <c r="H21" s="38" t="n"/>
      <c r="I21" s="38" t="n"/>
      <c r="J21" s="38" t="n"/>
    </row>
    <row r="22" ht="21" customHeight="1">
      <c r="A22" s="38" t="n"/>
      <c r="B22" s="42" t="n"/>
      <c r="C22" s="38" t="n"/>
      <c r="D22" s="38" t="n"/>
      <c r="E22" s="40" t="n"/>
      <c r="F22" s="42" t="n"/>
      <c r="G22" s="42" t="n"/>
      <c r="H22" s="38" t="n"/>
      <c r="I22" s="38" t="n"/>
      <c r="J22" s="38" t="n"/>
    </row>
    <row r="23" ht="21" customHeight="1">
      <c r="A23" s="38" t="n"/>
      <c r="B23" s="42" t="n"/>
      <c r="C23" s="38" t="n"/>
      <c r="D23" s="38" t="n"/>
      <c r="E23" s="40" t="n"/>
      <c r="F23" s="42" t="n"/>
      <c r="G23" s="42" t="n"/>
      <c r="H23" s="38" t="n"/>
      <c r="I23" s="38" t="n"/>
      <c r="J23" s="38" t="n"/>
    </row>
    <row r="24" ht="21" customHeight="1">
      <c r="A24" s="38" t="n"/>
      <c r="B24" s="42" t="n"/>
      <c r="C24" s="38" t="n"/>
      <c r="D24" s="38" t="n"/>
      <c r="E24" s="40" t="n"/>
      <c r="F24" s="42" t="n"/>
      <c r="G24" s="42" t="n"/>
      <c r="H24" s="38" t="n"/>
      <c r="I24" s="38" t="n"/>
      <c r="J24" s="38" t="n"/>
    </row>
    <row r="25" ht="21" customHeight="1">
      <c r="A25" s="38" t="n"/>
      <c r="B25" s="42" t="n"/>
      <c r="C25" s="38" t="n"/>
      <c r="D25" s="38" t="n"/>
      <c r="E25" s="40" t="n"/>
      <c r="F25" s="42" t="n"/>
      <c r="G25" s="42" t="n"/>
      <c r="H25" s="38" t="n"/>
      <c r="I25" s="38" t="n"/>
      <c r="J25" s="38" t="n"/>
    </row>
    <row r="26" ht="21" customHeight="1">
      <c r="A26" s="38" t="n"/>
      <c r="B26" s="42" t="n"/>
      <c r="C26" s="38" t="n"/>
      <c r="D26" s="38" t="n"/>
      <c r="E26" s="40" t="n"/>
      <c r="F26" s="42" t="n"/>
      <c r="G26" s="42" t="n"/>
      <c r="H26" s="38" t="n"/>
      <c r="I26" s="38" t="n"/>
      <c r="J26" s="38" t="n"/>
    </row>
    <row r="27" ht="21" customHeight="1">
      <c r="A27" s="38" t="n"/>
      <c r="B27" s="42" t="n"/>
      <c r="C27" s="38" t="n"/>
      <c r="D27" s="38" t="n"/>
      <c r="E27" s="40" t="n"/>
      <c r="F27" s="42" t="n"/>
      <c r="G27" s="42" t="n"/>
      <c r="H27" s="38" t="n"/>
      <c r="I27" s="38" t="n"/>
      <c r="J27" s="38" t="n"/>
    </row>
    <row r="28" ht="21" customHeight="1">
      <c r="A28" s="38" t="n"/>
      <c r="B28" s="42" t="n"/>
      <c r="C28" s="38" t="n"/>
      <c r="D28" s="38" t="n"/>
      <c r="E28" s="40" t="n"/>
      <c r="F28" s="42" t="n"/>
      <c r="G28" s="42" t="n"/>
      <c r="H28" s="38" t="n"/>
      <c r="I28" s="38" t="n"/>
      <c r="J28" s="38" t="n"/>
    </row>
    <row r="29" ht="21" customHeight="1">
      <c r="A29" s="38" t="n"/>
      <c r="B29" s="42" t="n"/>
      <c r="C29" s="38" t="n"/>
      <c r="D29" s="38" t="n"/>
      <c r="E29" s="40" t="n"/>
      <c r="F29" s="42" t="n"/>
      <c r="G29" s="42" t="n"/>
      <c r="H29" s="38" t="n"/>
      <c r="I29" s="38" t="n"/>
      <c r="J29" s="38" t="n"/>
    </row>
    <row r="30" ht="21" customHeight="1">
      <c r="A30" s="38" t="n"/>
      <c r="B30" s="42" t="n"/>
      <c r="C30" s="38" t="n"/>
      <c r="D30" s="38" t="n"/>
      <c r="E30" s="40" t="n"/>
      <c r="F30" s="42" t="n"/>
      <c r="G30" s="42" t="n"/>
      <c r="H30" s="38" t="n"/>
      <c r="I30" s="38" t="n"/>
      <c r="J30" s="38" t="n"/>
    </row>
    <row r="31" ht="21" customHeight="1">
      <c r="A31" s="38" t="n"/>
      <c r="B31" s="42" t="n"/>
      <c r="C31" s="38" t="n"/>
      <c r="D31" s="38" t="n"/>
      <c r="E31" s="40" t="n"/>
      <c r="F31" s="42" t="n"/>
      <c r="G31" s="42" t="n"/>
      <c r="H31" s="38" t="n"/>
      <c r="I31" s="38" t="n"/>
      <c r="J31" s="38" t="n"/>
    </row>
    <row r="32" ht="21" customHeight="1">
      <c r="A32" s="38" t="n"/>
      <c r="B32" s="42" t="n"/>
      <c r="C32" s="38" t="n"/>
      <c r="D32" s="38" t="n"/>
      <c r="E32" s="40" t="n"/>
      <c r="F32" s="42" t="n"/>
      <c r="G32" s="42" t="n"/>
      <c r="H32" s="38" t="n"/>
      <c r="I32" s="38" t="n"/>
      <c r="J32" s="38" t="n"/>
    </row>
    <row r="33" ht="21" customHeight="1">
      <c r="A33" s="38" t="n"/>
      <c r="B33" s="42" t="n"/>
      <c r="C33" s="38" t="n"/>
      <c r="D33" s="38" t="n"/>
      <c r="E33" s="40" t="n"/>
      <c r="F33" s="42" t="n"/>
      <c r="G33" s="42" t="n"/>
      <c r="H33" s="38" t="n"/>
      <c r="I33" s="38" t="n"/>
      <c r="J33" s="38" t="n"/>
    </row>
    <row r="34" ht="21" customHeight="1">
      <c r="A34" s="38" t="n"/>
      <c r="B34" s="42" t="n"/>
      <c r="C34" s="38" t="n"/>
      <c r="D34" s="38" t="n"/>
      <c r="E34" s="40" t="n"/>
      <c r="F34" s="42" t="n"/>
      <c r="G34" s="42" t="n"/>
      <c r="H34" s="38" t="n"/>
      <c r="I34" s="38" t="n"/>
      <c r="J34" s="38" t="n"/>
    </row>
    <row r="35" ht="21" customHeight="1">
      <c r="A35" s="38" t="n"/>
      <c r="B35" s="42" t="n"/>
      <c r="C35" s="38" t="n"/>
      <c r="D35" s="38" t="n"/>
      <c r="E35" s="40" t="n"/>
      <c r="F35" s="42" t="n"/>
      <c r="G35" s="42" t="n"/>
      <c r="H35" s="38" t="n"/>
      <c r="I35" s="38" t="n"/>
      <c r="J35" s="38" t="n"/>
    </row>
    <row r="36" ht="21" customHeight="1">
      <c r="A36" s="38" t="n"/>
      <c r="B36" s="42" t="n"/>
      <c r="C36" s="38" t="n"/>
      <c r="D36" s="38" t="n"/>
      <c r="E36" s="40" t="n"/>
      <c r="F36" s="42" t="n"/>
      <c r="G36" s="42" t="n"/>
      <c r="H36" s="38" t="n"/>
      <c r="I36" s="38" t="n"/>
      <c r="J36" s="38" t="n"/>
    </row>
    <row r="37" ht="21" customHeight="1">
      <c r="A37" s="38" t="n"/>
      <c r="B37" s="42" t="n"/>
      <c r="C37" s="38" t="n"/>
      <c r="D37" s="38" t="n"/>
      <c r="E37" s="40" t="n"/>
      <c r="F37" s="42" t="n"/>
      <c r="G37" s="42" t="n"/>
      <c r="H37" s="38" t="n"/>
      <c r="I37" s="38" t="n"/>
      <c r="J37" s="38" t="n"/>
    </row>
    <row r="38" ht="21" customHeight="1">
      <c r="A38" s="38" t="n"/>
      <c r="B38" s="42" t="n"/>
      <c r="C38" s="38" t="n"/>
      <c r="D38" s="38" t="n"/>
      <c r="E38" s="40" t="n"/>
      <c r="F38" s="42" t="n"/>
      <c r="G38" s="42" t="n"/>
      <c r="H38" s="38" t="n"/>
      <c r="I38" s="38" t="n"/>
      <c r="J38" s="38" t="n"/>
    </row>
    <row r="39" ht="21" customHeight="1">
      <c r="A39" s="38" t="n"/>
      <c r="B39" s="42" t="n"/>
      <c r="C39" s="38" t="n"/>
      <c r="D39" s="38" t="n"/>
      <c r="E39" s="40" t="n"/>
      <c r="F39" s="42" t="n"/>
      <c r="G39" s="42" t="n"/>
      <c r="H39" s="38" t="n"/>
      <c r="I39" s="38" t="n"/>
      <c r="J39" s="38" t="n"/>
    </row>
    <row r="40" ht="21" customHeight="1">
      <c r="A40" s="38" t="n"/>
      <c r="B40" s="42" t="n"/>
      <c r="C40" s="38" t="n"/>
      <c r="D40" s="38" t="n"/>
      <c r="E40" s="40" t="n"/>
      <c r="F40" s="42" t="n"/>
      <c r="G40" s="42" t="n"/>
      <c r="H40" s="38" t="n"/>
      <c r="I40" s="38" t="n"/>
      <c r="J40" s="38" t="n"/>
    </row>
    <row r="41" ht="21" customHeight="1">
      <c r="A41" s="38" t="n"/>
      <c r="B41" s="42" t="n"/>
      <c r="C41" s="38" t="n"/>
      <c r="D41" s="38" t="n"/>
      <c r="E41" s="40" t="n"/>
      <c r="F41" s="42" t="n"/>
      <c r="G41" s="42" t="n"/>
      <c r="H41" s="38" t="n"/>
      <c r="I41" s="38" t="n"/>
      <c r="J41" s="38" t="n"/>
    </row>
    <row r="42" ht="21" customHeight="1">
      <c r="A42" s="38" t="n"/>
      <c r="B42" s="42" t="n"/>
      <c r="C42" s="38" t="n"/>
      <c r="D42" s="38" t="n"/>
      <c r="E42" s="40" t="n"/>
      <c r="F42" s="42" t="n"/>
      <c r="G42" s="42" t="n"/>
      <c r="H42" s="38" t="n"/>
      <c r="I42" s="38" t="n"/>
      <c r="J42" s="38" t="n"/>
    </row>
    <row r="43" ht="21" customHeight="1">
      <c r="A43" s="38" t="n"/>
      <c r="B43" s="42" t="n"/>
      <c r="C43" s="38" t="n"/>
      <c r="D43" s="38" t="n"/>
      <c r="E43" s="40" t="n"/>
      <c r="F43" s="42" t="n"/>
      <c r="G43" s="42" t="n"/>
      <c r="H43" s="38" t="n"/>
      <c r="I43" s="38" t="n"/>
      <c r="J43" s="38" t="n"/>
    </row>
    <row r="44" ht="21" customHeight="1">
      <c r="A44" s="38" t="n"/>
      <c r="B44" s="42" t="n"/>
      <c r="C44" s="38" t="n"/>
      <c r="D44" s="38" t="n"/>
      <c r="E44" s="40" t="n"/>
      <c r="F44" s="42" t="n"/>
      <c r="G44" s="42" t="n"/>
      <c r="H44" s="38" t="n"/>
      <c r="I44" s="38" t="n"/>
      <c r="J44" s="38" t="n"/>
    </row>
    <row r="45" ht="21" customHeight="1">
      <c r="A45" s="38" t="n"/>
      <c r="B45" s="42" t="n"/>
      <c r="C45" s="38" t="n"/>
      <c r="D45" s="38" t="n"/>
      <c r="E45" s="40" t="n"/>
      <c r="F45" s="42" t="n"/>
      <c r="G45" s="42" t="n"/>
      <c r="H45" s="38" t="n"/>
      <c r="I45" s="38" t="n"/>
      <c r="J45" s="38" t="n"/>
    </row>
    <row r="46" ht="21" customHeight="1">
      <c r="A46" s="38" t="n"/>
      <c r="B46" s="42" t="n"/>
      <c r="C46" s="38" t="n"/>
      <c r="D46" s="38" t="n"/>
      <c r="E46" s="40" t="n"/>
      <c r="F46" s="42" t="n"/>
      <c r="G46" s="42" t="n"/>
      <c r="H46" s="38" t="n"/>
      <c r="I46" s="38" t="n"/>
      <c r="J46" s="38" t="n"/>
    </row>
    <row r="47" ht="21" customHeight="1">
      <c r="A47" s="38" t="n"/>
      <c r="B47" s="42" t="n"/>
      <c r="C47" s="38" t="n"/>
      <c r="D47" s="38" t="n"/>
      <c r="E47" s="40" t="n"/>
      <c r="F47" s="42" t="n"/>
      <c r="G47" s="42" t="n"/>
      <c r="H47" s="38" t="n"/>
      <c r="I47" s="38" t="n"/>
      <c r="J47" s="38" t="n"/>
    </row>
    <row r="48" ht="21" customHeight="1">
      <c r="A48" s="38" t="n"/>
      <c r="B48" s="42" t="n"/>
      <c r="C48" s="38" t="n"/>
      <c r="D48" s="38" t="n"/>
      <c r="E48" s="40" t="n"/>
      <c r="F48" s="42" t="n"/>
      <c r="G48" s="42" t="n"/>
      <c r="H48" s="38" t="n"/>
      <c r="I48" s="38" t="n"/>
      <c r="J48" s="38" t="n"/>
    </row>
    <row r="49" ht="21" customHeight="1">
      <c r="A49" s="38" t="n"/>
      <c r="B49" s="42" t="n"/>
      <c r="C49" s="38" t="n"/>
      <c r="D49" s="38" t="n"/>
      <c r="E49" s="40" t="n"/>
      <c r="F49" s="42" t="n"/>
      <c r="G49" s="42" t="n"/>
      <c r="H49" s="38" t="n"/>
      <c r="I49" s="38" t="n"/>
      <c r="J49" s="38" t="n"/>
    </row>
    <row r="50" ht="21" customHeight="1">
      <c r="A50" s="38" t="n"/>
      <c r="B50" s="42" t="n"/>
      <c r="C50" s="38" t="n"/>
      <c r="D50" s="38" t="n"/>
      <c r="E50" s="40" t="n"/>
      <c r="F50" s="42" t="n"/>
      <c r="G50" s="42" t="n"/>
      <c r="H50" s="38" t="n"/>
      <c r="I50" s="38" t="n"/>
      <c r="J50" s="38" t="n"/>
    </row>
    <row r="51" ht="21" customHeight="1">
      <c r="A51" s="38" t="n"/>
      <c r="B51" s="42" t="n"/>
      <c r="C51" s="38" t="n"/>
      <c r="D51" s="38" t="n"/>
      <c r="E51" s="40" t="n"/>
      <c r="F51" s="42" t="n"/>
      <c r="G51" s="42" t="n"/>
      <c r="H51" s="38" t="n"/>
      <c r="I51" s="38" t="n"/>
      <c r="J51" s="38" t="n"/>
    </row>
    <row r="52" ht="21" customHeight="1">
      <c r="A52" s="38" t="n"/>
      <c r="B52" s="42" t="n"/>
      <c r="C52" s="38" t="n"/>
      <c r="D52" s="38" t="n"/>
      <c r="E52" s="40" t="n"/>
      <c r="F52" s="42" t="n"/>
      <c r="G52" s="42" t="n"/>
      <c r="H52" s="38" t="n"/>
      <c r="I52" s="38" t="n"/>
      <c r="J52" s="38" t="n"/>
    </row>
    <row r="53" ht="21" customHeight="1">
      <c r="A53" s="38" t="n"/>
      <c r="B53" s="42" t="n"/>
      <c r="C53" s="38" t="n"/>
      <c r="D53" s="38" t="n"/>
      <c r="E53" s="40" t="n"/>
      <c r="F53" s="42" t="n"/>
      <c r="G53" s="42" t="n"/>
      <c r="H53" s="38" t="n"/>
      <c r="I53" s="38" t="n"/>
      <c r="J53" s="38" t="n"/>
    </row>
    <row r="54" ht="21" customHeight="1">
      <c r="A54" s="38" t="n"/>
      <c r="B54" s="42" t="n"/>
      <c r="C54" s="38" t="n"/>
      <c r="D54" s="38" t="n"/>
      <c r="E54" s="40" t="n"/>
      <c r="F54" s="42" t="n"/>
      <c r="G54" s="42" t="n"/>
      <c r="H54" s="38" t="n"/>
      <c r="I54" s="38" t="n"/>
      <c r="J54" s="38" t="n"/>
    </row>
    <row r="55" ht="21" customHeight="1">
      <c r="A55" s="38" t="n"/>
      <c r="B55" s="42" t="n"/>
      <c r="C55" s="38" t="n"/>
      <c r="D55" s="38" t="n"/>
      <c r="E55" s="40" t="n"/>
      <c r="F55" s="42" t="n"/>
      <c r="G55" s="42" t="n"/>
      <c r="H55" s="38" t="n"/>
      <c r="I55" s="38" t="n"/>
      <c r="J55" s="38" t="n"/>
    </row>
    <row r="56" ht="21" customHeight="1">
      <c r="A56" s="38" t="n"/>
      <c r="B56" s="42" t="n"/>
      <c r="C56" s="38" t="n"/>
      <c r="D56" s="38" t="n"/>
      <c r="E56" s="40" t="n"/>
      <c r="F56" s="42" t="n"/>
      <c r="G56" s="42" t="n"/>
      <c r="H56" s="38" t="n"/>
      <c r="I56" s="38" t="n"/>
      <c r="J56" s="38" t="n"/>
    </row>
    <row r="57" ht="21" customHeight="1">
      <c r="A57" s="38" t="n"/>
      <c r="B57" s="42" t="n"/>
      <c r="C57" s="38" t="n"/>
      <c r="D57" s="38" t="n"/>
      <c r="E57" s="40" t="n"/>
      <c r="F57" s="42" t="n"/>
      <c r="G57" s="42" t="n"/>
      <c r="H57" s="38" t="n"/>
      <c r="I57" s="38" t="n"/>
      <c r="J57" s="38" t="n"/>
    </row>
    <row r="58" ht="21" customHeight="1">
      <c r="A58" s="38" t="n"/>
      <c r="B58" s="42" t="n"/>
      <c r="C58" s="38" t="n"/>
      <c r="D58" s="38" t="n"/>
      <c r="E58" s="40" t="n"/>
      <c r="F58" s="42" t="n"/>
      <c r="G58" s="42" t="n"/>
      <c r="H58" s="38" t="n"/>
      <c r="I58" s="38" t="n"/>
      <c r="J58" s="38" t="n"/>
    </row>
    <row r="59" ht="21" customHeight="1">
      <c r="A59" s="38" t="n"/>
      <c r="B59" s="42" t="n"/>
      <c r="C59" s="38" t="n"/>
      <c r="D59" s="38" t="n"/>
      <c r="E59" s="40" t="n"/>
      <c r="F59" s="42" t="n"/>
      <c r="G59" s="42" t="n"/>
      <c r="H59" s="38" t="n"/>
      <c r="I59" s="38" t="n"/>
      <c r="J59" s="38" t="n"/>
    </row>
    <row r="60" ht="21" customHeight="1">
      <c r="A60" s="38" t="n"/>
      <c r="B60" s="42" t="n"/>
      <c r="C60" s="38" t="n"/>
      <c r="D60" s="38" t="n"/>
      <c r="E60" s="40" t="n"/>
      <c r="F60" s="42" t="n"/>
      <c r="G60" s="42" t="n"/>
      <c r="H60" s="38" t="n"/>
      <c r="I60" s="38" t="n"/>
      <c r="J60" s="38" t="n"/>
    </row>
    <row r="61" ht="21" customHeight="1">
      <c r="A61" s="38" t="n"/>
      <c r="B61" s="42" t="n"/>
      <c r="C61" s="38" t="n"/>
      <c r="D61" s="38" t="n"/>
      <c r="E61" s="40" t="n"/>
      <c r="F61" s="42" t="n"/>
      <c r="G61" s="42" t="n"/>
      <c r="H61" s="38" t="n"/>
      <c r="I61" s="38" t="n"/>
      <c r="J61" s="38" t="n"/>
    </row>
    <row r="62" ht="21" customHeight="1">
      <c r="A62" s="38" t="n"/>
      <c r="B62" s="42" t="n"/>
      <c r="C62" s="38" t="n"/>
      <c r="D62" s="38" t="n"/>
      <c r="E62" s="40" t="n"/>
      <c r="F62" s="42" t="n"/>
      <c r="G62" s="42" t="n"/>
      <c r="H62" s="38" t="n"/>
      <c r="I62" s="38" t="n"/>
      <c r="J62" s="38" t="n"/>
    </row>
    <row r="63" ht="21" customHeight="1">
      <c r="A63" s="38" t="n"/>
      <c r="B63" s="42" t="n"/>
      <c r="C63" s="38" t="n"/>
      <c r="D63" s="38" t="n"/>
      <c r="E63" s="40" t="n"/>
      <c r="F63" s="42" t="n"/>
      <c r="G63" s="42" t="n"/>
      <c r="H63" s="38" t="n"/>
      <c r="I63" s="38" t="n"/>
      <c r="J63" s="38" t="n"/>
    </row>
    <row r="64" ht="21" customHeight="1">
      <c r="A64" s="38" t="n"/>
      <c r="B64" s="42" t="n"/>
      <c r="C64" s="38" t="n"/>
      <c r="D64" s="38" t="n"/>
      <c r="E64" s="40" t="n"/>
      <c r="F64" s="42" t="n"/>
      <c r="G64" s="42" t="n"/>
      <c r="H64" s="38" t="n"/>
      <c r="I64" s="38" t="n"/>
      <c r="J64" s="38" t="n"/>
    </row>
    <row r="65" ht="21" customHeight="1">
      <c r="A65" s="38" t="n"/>
      <c r="B65" s="42" t="n"/>
      <c r="C65" s="38" t="n"/>
      <c r="D65" s="38" t="n"/>
      <c r="E65" s="40" t="n"/>
      <c r="F65" s="42" t="n"/>
      <c r="G65" s="42" t="n"/>
      <c r="H65" s="38" t="n"/>
      <c r="I65" s="38" t="n"/>
      <c r="J65" s="38" t="n"/>
    </row>
    <row r="66" ht="21" customHeight="1">
      <c r="A66" s="38" t="n"/>
      <c r="B66" s="42" t="n"/>
      <c r="C66" s="38" t="n"/>
      <c r="D66" s="38" t="n"/>
      <c r="E66" s="40" t="n"/>
      <c r="F66" s="42" t="n"/>
      <c r="G66" s="42" t="n"/>
      <c r="H66" s="38" t="n"/>
      <c r="I66" s="38" t="n"/>
      <c r="J66" s="38" t="n"/>
    </row>
    <row r="67" ht="21" customHeight="1">
      <c r="A67" s="38" t="n"/>
      <c r="B67" s="42" t="n"/>
      <c r="C67" s="38" t="n"/>
      <c r="D67" s="38" t="n"/>
      <c r="E67" s="40" t="n"/>
      <c r="F67" s="42" t="n"/>
      <c r="G67" s="42" t="n"/>
      <c r="H67" s="38" t="n"/>
      <c r="I67" s="38" t="n"/>
      <c r="J67" s="38" t="n"/>
    </row>
    <row r="68" ht="21" customHeight="1">
      <c r="A68" s="38" t="n"/>
      <c r="B68" s="42" t="n"/>
      <c r="C68" s="38" t="n"/>
      <c r="D68" s="38" t="n"/>
      <c r="E68" s="40" t="n"/>
      <c r="F68" s="42" t="n"/>
      <c r="G68" s="42" t="n"/>
      <c r="H68" s="38" t="n"/>
      <c r="I68" s="38" t="n"/>
      <c r="J68" s="38" t="n"/>
    </row>
    <row r="69" ht="21" customHeight="1">
      <c r="A69" s="38" t="n"/>
      <c r="B69" s="42" t="n"/>
      <c r="C69" s="38" t="n"/>
      <c r="D69" s="38" t="n"/>
      <c r="E69" s="40" t="n"/>
      <c r="F69" s="42" t="n"/>
      <c r="G69" s="42" t="n"/>
      <c r="H69" s="38" t="n"/>
      <c r="I69" s="38" t="n"/>
      <c r="J69" s="38" t="n"/>
    </row>
    <row r="70" ht="21" customHeight="1">
      <c r="A70" s="38" t="n"/>
      <c r="B70" s="42" t="n"/>
      <c r="C70" s="38" t="n"/>
      <c r="D70" s="38" t="n"/>
      <c r="E70" s="40" t="n"/>
      <c r="F70" s="42" t="n"/>
      <c r="G70" s="42" t="n"/>
      <c r="H70" s="38" t="n"/>
      <c r="I70" s="38" t="n"/>
      <c r="J70" s="38" t="n"/>
    </row>
    <row r="71" ht="21" customHeight="1">
      <c r="A71" s="38" t="n"/>
      <c r="B71" s="42" t="n"/>
      <c r="C71" s="38" t="n"/>
      <c r="D71" s="38" t="n"/>
      <c r="E71" s="40" t="n"/>
      <c r="F71" s="42" t="n"/>
      <c r="G71" s="42" t="n"/>
      <c r="H71" s="38" t="n"/>
      <c r="I71" s="38" t="n"/>
      <c r="J71" s="38" t="n"/>
    </row>
    <row r="72" ht="21" customHeight="1">
      <c r="A72" s="38" t="n"/>
      <c r="B72" s="42" t="n"/>
      <c r="C72" s="38" t="n"/>
      <c r="D72" s="38" t="n"/>
      <c r="E72" s="40" t="n"/>
      <c r="F72" s="42" t="n"/>
      <c r="G72" s="42" t="n"/>
      <c r="H72" s="38" t="n"/>
      <c r="I72" s="38" t="n"/>
      <c r="J72" s="38" t="n"/>
    </row>
    <row r="73" ht="21" customHeight="1">
      <c r="A73" s="38" t="n"/>
      <c r="B73" s="42" t="n"/>
      <c r="C73" s="38" t="n"/>
      <c r="D73" s="38" t="n"/>
      <c r="E73" s="40" t="n"/>
      <c r="F73" s="42" t="n"/>
      <c r="G73" s="42" t="n"/>
      <c r="H73" s="38" t="n"/>
      <c r="I73" s="38" t="n"/>
      <c r="J73" s="38" t="n"/>
    </row>
    <row r="74" ht="21" customHeight="1">
      <c r="A74" s="38" t="n"/>
      <c r="B74" s="42" t="n"/>
      <c r="C74" s="38" t="n"/>
      <c r="D74" s="38" t="n"/>
      <c r="E74" s="40" t="n"/>
      <c r="F74" s="42" t="n"/>
      <c r="G74" s="42" t="n"/>
      <c r="H74" s="38" t="n"/>
      <c r="I74" s="38" t="n"/>
      <c r="J74" s="38" t="n"/>
    </row>
    <row r="75" ht="21" customHeight="1">
      <c r="A75" s="38" t="n"/>
      <c r="B75" s="42" t="n"/>
      <c r="C75" s="38" t="n"/>
      <c r="D75" s="38" t="n"/>
      <c r="E75" s="40" t="n"/>
      <c r="F75" s="42" t="n"/>
      <c r="G75" s="42" t="n"/>
      <c r="H75" s="38" t="n"/>
      <c r="I75" s="38" t="n"/>
      <c r="J75" s="38" t="n"/>
    </row>
    <row r="76" ht="21" customHeight="1">
      <c r="A76" s="38" t="n"/>
      <c r="B76" s="42" t="n"/>
      <c r="C76" s="38" t="n"/>
      <c r="D76" s="38" t="n"/>
      <c r="E76" s="40" t="n"/>
      <c r="F76" s="42" t="n"/>
      <c r="G76" s="42" t="n"/>
      <c r="H76" s="38" t="n"/>
      <c r="I76" s="38" t="n"/>
      <c r="J76" s="38" t="n"/>
    </row>
    <row r="77" ht="21" customHeight="1">
      <c r="A77" s="38" t="n"/>
      <c r="B77" s="42" t="n"/>
      <c r="C77" s="38" t="n"/>
      <c r="D77" s="38" t="n"/>
      <c r="E77" s="40" t="n"/>
      <c r="F77" s="42" t="n"/>
      <c r="G77" s="42" t="n"/>
      <c r="H77" s="38" t="n"/>
      <c r="I77" s="38" t="n"/>
      <c r="J77" s="38" t="n"/>
    </row>
    <row r="78" ht="21" customHeight="1">
      <c r="A78" s="38" t="n"/>
      <c r="B78" s="42" t="n"/>
      <c r="C78" s="38" t="n"/>
      <c r="D78" s="38" t="n"/>
      <c r="E78" s="40" t="n"/>
      <c r="F78" s="42" t="n"/>
      <c r="G78" s="42" t="n"/>
      <c r="H78" s="38" t="n"/>
      <c r="I78" s="38" t="n"/>
      <c r="J78" s="38" t="n"/>
    </row>
    <row r="79" ht="21" customHeight="1">
      <c r="A79" s="38" t="n"/>
      <c r="B79" s="42" t="n"/>
      <c r="C79" s="38" t="n"/>
      <c r="D79" s="38" t="n"/>
      <c r="E79" s="40" t="n"/>
      <c r="F79" s="42" t="n"/>
      <c r="G79" s="42" t="n"/>
      <c r="H79" s="38" t="n"/>
      <c r="I79" s="38" t="n"/>
      <c r="J79" s="38" t="n"/>
    </row>
    <row r="80" ht="21" customHeight="1">
      <c r="A80" s="38" t="n"/>
      <c r="B80" s="42" t="n"/>
      <c r="C80" s="38" t="n"/>
      <c r="D80" s="38" t="n"/>
      <c r="E80" s="40" t="n"/>
      <c r="F80" s="42" t="n"/>
      <c r="G80" s="42" t="n"/>
      <c r="H80" s="38" t="n"/>
      <c r="I80" s="38" t="n"/>
      <c r="J80" s="38" t="n"/>
    </row>
    <row r="81" ht="21" customHeight="1">
      <c r="A81" s="38" t="n"/>
      <c r="B81" s="42" t="n"/>
      <c r="C81" s="38" t="n"/>
      <c r="D81" s="38" t="n"/>
      <c r="E81" s="40" t="n"/>
      <c r="F81" s="42" t="n"/>
      <c r="G81" s="42" t="n"/>
      <c r="H81" s="38" t="n"/>
      <c r="I81" s="38" t="n"/>
      <c r="J81" s="38" t="n"/>
    </row>
    <row r="82" ht="21" customHeight="1">
      <c r="A82" s="38" t="n"/>
      <c r="B82" s="42" t="n"/>
      <c r="C82" s="38" t="n"/>
      <c r="D82" s="38" t="n"/>
      <c r="E82" s="40" t="n"/>
      <c r="F82" s="42" t="n"/>
      <c r="G82" s="42" t="n"/>
      <c r="H82" s="38" t="n"/>
      <c r="I82" s="38" t="n"/>
      <c r="J82" s="38" t="n"/>
    </row>
    <row r="83" ht="21" customHeight="1">
      <c r="A83" s="38" t="n"/>
      <c r="B83" s="42" t="n"/>
      <c r="C83" s="38" t="n"/>
      <c r="D83" s="38" t="n"/>
      <c r="E83" s="40" t="n"/>
      <c r="F83" s="42" t="n"/>
      <c r="G83" s="42" t="n"/>
      <c r="H83" s="38" t="n"/>
      <c r="I83" s="38" t="n"/>
      <c r="J83" s="38" t="n"/>
    </row>
    <row r="84" ht="21" customHeight="1">
      <c r="A84" s="38" t="n"/>
      <c r="B84" s="42" t="n"/>
      <c r="C84" s="38" t="n"/>
      <c r="D84" s="38" t="n"/>
      <c r="E84" s="40" t="n"/>
      <c r="F84" s="42" t="n"/>
      <c r="G84" s="42" t="n"/>
      <c r="H84" s="38" t="n"/>
      <c r="I84" s="38" t="n"/>
      <c r="J84" s="38" t="n"/>
    </row>
    <row r="85" ht="21" customHeight="1">
      <c r="A85" s="38" t="n"/>
      <c r="B85" s="42" t="n"/>
      <c r="C85" s="38" t="n"/>
      <c r="D85" s="38" t="n"/>
      <c r="E85" s="40" t="n"/>
      <c r="F85" s="42" t="n"/>
      <c r="G85" s="42" t="n"/>
      <c r="H85" s="38" t="n"/>
      <c r="I85" s="38" t="n"/>
      <c r="J85" s="38" t="n"/>
    </row>
    <row r="86" ht="21" customHeight="1">
      <c r="A86" s="38" t="n"/>
      <c r="B86" s="42" t="n"/>
      <c r="C86" s="38" t="n"/>
      <c r="D86" s="38" t="n"/>
      <c r="E86" s="40" t="n"/>
      <c r="F86" s="42" t="n"/>
      <c r="G86" s="42" t="n"/>
      <c r="H86" s="38" t="n"/>
      <c r="I86" s="38" t="n"/>
      <c r="J86" s="38" t="n"/>
    </row>
    <row r="87" ht="21" customHeight="1">
      <c r="A87" s="38" t="n"/>
      <c r="B87" s="42" t="n"/>
      <c r="C87" s="38" t="n"/>
      <c r="D87" s="38" t="n"/>
      <c r="E87" s="40" t="n"/>
      <c r="F87" s="42" t="n"/>
      <c r="G87" s="42" t="n"/>
      <c r="H87" s="38" t="n"/>
      <c r="I87" s="38" t="n"/>
      <c r="J87" s="38" t="n"/>
    </row>
    <row r="88" ht="21" customHeight="1">
      <c r="A88" s="38" t="n"/>
      <c r="B88" s="42" t="n"/>
      <c r="C88" s="38" t="n"/>
      <c r="D88" s="38" t="n"/>
      <c r="E88" s="40" t="n"/>
      <c r="F88" s="42" t="n"/>
      <c r="G88" s="42" t="n"/>
      <c r="H88" s="38" t="n"/>
      <c r="I88" s="38" t="n"/>
      <c r="J88" s="38" t="n"/>
    </row>
    <row r="89" ht="21" customHeight="1">
      <c r="A89" s="38" t="n"/>
      <c r="B89" s="42" t="n"/>
      <c r="C89" s="38" t="n"/>
      <c r="D89" s="38" t="n"/>
      <c r="E89" s="40" t="n"/>
      <c r="F89" s="42" t="n"/>
      <c r="G89" s="42" t="n"/>
      <c r="H89" s="38" t="n"/>
      <c r="I89" s="38" t="n"/>
      <c r="J89" s="38" t="n"/>
    </row>
    <row r="90" ht="21" customHeight="1">
      <c r="A90" s="38" t="n"/>
      <c r="B90" s="42" t="n"/>
      <c r="C90" s="38" t="n"/>
      <c r="D90" s="38" t="n"/>
      <c r="E90" s="40" t="n"/>
      <c r="F90" s="42" t="n"/>
      <c r="G90" s="42" t="n"/>
      <c r="H90" s="38" t="n"/>
      <c r="I90" s="38" t="n"/>
      <c r="J90" s="38" t="n"/>
    </row>
    <row r="91" ht="21" customHeight="1">
      <c r="A91" s="38" t="n"/>
      <c r="B91" s="42" t="n"/>
      <c r="C91" s="38" t="n"/>
      <c r="D91" s="38" t="n"/>
      <c r="E91" s="40" t="n"/>
      <c r="F91" s="42" t="n"/>
      <c r="G91" s="42" t="n"/>
      <c r="H91" s="38" t="n"/>
      <c r="I91" s="38" t="n"/>
      <c r="J91" s="38" t="n"/>
    </row>
    <row r="92" ht="21" customHeight="1">
      <c r="A92" s="38" t="n"/>
      <c r="B92" s="42" t="n"/>
      <c r="C92" s="38" t="n"/>
      <c r="D92" s="38" t="n"/>
      <c r="E92" s="40" t="n"/>
      <c r="F92" s="42" t="n"/>
      <c r="G92" s="42" t="n"/>
      <c r="H92" s="38" t="n"/>
      <c r="I92" s="38" t="n"/>
      <c r="J92" s="38" t="n"/>
    </row>
    <row r="93" ht="21" customHeight="1">
      <c r="A93" s="38" t="n"/>
      <c r="B93" s="42" t="n"/>
      <c r="C93" s="38" t="n"/>
      <c r="D93" s="38" t="n"/>
      <c r="E93" s="40" t="n"/>
      <c r="F93" s="42" t="n"/>
      <c r="G93" s="42" t="n"/>
      <c r="H93" s="38" t="n"/>
      <c r="I93" s="38" t="n"/>
      <c r="J93" s="38" t="n"/>
    </row>
    <row r="94" ht="21" customHeight="1">
      <c r="A94" s="38" t="n"/>
      <c r="B94" s="42" t="n"/>
      <c r="C94" s="38" t="n"/>
      <c r="D94" s="38" t="n"/>
      <c r="E94" s="40" t="n"/>
      <c r="F94" s="42" t="n"/>
      <c r="G94" s="42" t="n"/>
      <c r="H94" s="38" t="n"/>
      <c r="I94" s="38" t="n"/>
      <c r="J94" s="38" t="n"/>
    </row>
    <row r="95" ht="21" customHeight="1">
      <c r="A95" s="38" t="n"/>
      <c r="B95" s="42" t="n"/>
      <c r="C95" s="38" t="n"/>
      <c r="D95" s="38" t="n"/>
      <c r="E95" s="40" t="n"/>
      <c r="F95" s="42" t="n"/>
      <c r="G95" s="42" t="n"/>
      <c r="H95" s="38" t="n"/>
      <c r="I95" s="38" t="n"/>
      <c r="J95" s="38" t="n"/>
    </row>
    <row r="96" ht="21" customHeight="1">
      <c r="A96" s="38" t="n"/>
      <c r="B96" s="42" t="n"/>
      <c r="C96" s="38" t="n"/>
      <c r="D96" s="38" t="n"/>
      <c r="E96" s="40" t="n"/>
      <c r="F96" s="42" t="n"/>
      <c r="G96" s="42" t="n"/>
      <c r="H96" s="38" t="n"/>
      <c r="I96" s="38" t="n"/>
      <c r="J96" s="38" t="n"/>
    </row>
    <row r="97" ht="21" customHeight="1">
      <c r="A97" s="38" t="n"/>
      <c r="B97" s="42" t="n"/>
      <c r="C97" s="38" t="n"/>
      <c r="D97" s="38" t="n"/>
      <c r="E97" s="40" t="n"/>
      <c r="F97" s="42" t="n"/>
      <c r="G97" s="42" t="n"/>
      <c r="H97" s="38" t="n"/>
      <c r="I97" s="38" t="n"/>
      <c r="J97" s="38" t="n"/>
    </row>
    <row r="98" ht="21" customHeight="1">
      <c r="A98" s="38" t="n"/>
      <c r="B98" s="42" t="n"/>
      <c r="C98" s="38" t="n"/>
      <c r="D98" s="38" t="n"/>
      <c r="E98" s="40" t="n"/>
      <c r="F98" s="42" t="n"/>
      <c r="G98" s="42" t="n"/>
      <c r="H98" s="38" t="n"/>
      <c r="I98" s="38" t="n"/>
      <c r="J98" s="38" t="n"/>
    </row>
    <row r="99" ht="21" customHeight="1">
      <c r="A99" s="38" t="n"/>
      <c r="B99" s="42" t="n"/>
      <c r="C99" s="38" t="n"/>
      <c r="D99" s="38" t="n"/>
      <c r="E99" s="40" t="n"/>
      <c r="F99" s="42" t="n"/>
      <c r="G99" s="42" t="n"/>
      <c r="H99" s="38" t="n"/>
      <c r="I99" s="38" t="n"/>
      <c r="J99" s="38" t="n"/>
    </row>
    <row r="100" ht="21" customHeight="1">
      <c r="A100" s="38" t="n"/>
      <c r="B100" s="42" t="n"/>
      <c r="C100" s="38" t="n"/>
      <c r="D100" s="38" t="n"/>
      <c r="E100" s="40" t="n"/>
      <c r="F100" s="42" t="n"/>
      <c r="G100" s="42" t="n"/>
      <c r="H100" s="38" t="n"/>
      <c r="I100" s="38" t="n"/>
      <c r="J100" s="38" t="n"/>
    </row>
    <row r="101" ht="21" customHeight="1">
      <c r="A101" s="38" t="n"/>
      <c r="B101" s="42" t="n"/>
      <c r="C101" s="38" t="n"/>
      <c r="D101" s="38" t="n"/>
      <c r="E101" s="40" t="n"/>
      <c r="F101" s="42" t="n"/>
      <c r="G101" s="42" t="n"/>
      <c r="H101" s="38" t="n"/>
      <c r="I101" s="38" t="n"/>
      <c r="J101" s="38" t="n"/>
    </row>
    <row r="102" ht="21" customHeight="1">
      <c r="A102" s="38" t="n"/>
      <c r="B102" s="42" t="n"/>
      <c r="C102" s="38" t="n"/>
      <c r="D102" s="38" t="n"/>
      <c r="E102" s="40" t="n"/>
      <c r="F102" s="42" t="n"/>
      <c r="G102" s="42" t="n"/>
      <c r="H102" s="38" t="n"/>
      <c r="I102" s="38" t="n"/>
      <c r="J102" s="38" t="n"/>
    </row>
    <row r="103" ht="21" customHeight="1">
      <c r="A103" s="38" t="n"/>
      <c r="B103" s="42" t="n"/>
      <c r="C103" s="38" t="n"/>
      <c r="D103" s="38" t="n"/>
      <c r="E103" s="40" t="n"/>
      <c r="F103" s="42" t="n"/>
      <c r="G103" s="42" t="n"/>
      <c r="H103" s="38" t="n"/>
      <c r="I103" s="38" t="n"/>
      <c r="J103" s="38" t="n"/>
    </row>
    <row r="104" ht="21" customHeight="1">
      <c r="A104" s="38" t="n"/>
      <c r="B104" s="42" t="n"/>
      <c r="C104" s="38" t="n"/>
      <c r="D104" s="38" t="n"/>
      <c r="E104" s="40" t="n"/>
      <c r="F104" s="42" t="n"/>
      <c r="G104" s="42" t="n"/>
      <c r="H104" s="38" t="n"/>
      <c r="I104" s="38" t="n"/>
      <c r="J104" s="38" t="n"/>
    </row>
    <row r="105" ht="21" customHeight="1">
      <c r="A105" s="38" t="n"/>
      <c r="B105" s="42" t="n"/>
      <c r="C105" s="38" t="n"/>
      <c r="D105" s="38" t="n"/>
      <c r="E105" s="40" t="n"/>
      <c r="F105" s="42" t="n"/>
      <c r="G105" s="42" t="n"/>
      <c r="H105" s="38" t="n"/>
      <c r="I105" s="38" t="n"/>
      <c r="J105" s="38" t="n"/>
    </row>
    <row r="106" ht="21" customHeight="1">
      <c r="A106" s="38" t="n"/>
      <c r="B106" s="42" t="n"/>
      <c r="C106" s="38" t="n"/>
      <c r="D106" s="38" t="n"/>
      <c r="E106" s="40" t="n"/>
      <c r="F106" s="42" t="n"/>
      <c r="G106" s="42" t="n"/>
      <c r="H106" s="38" t="n"/>
      <c r="I106" s="38" t="n"/>
      <c r="J106" s="38" t="n"/>
    </row>
    <row r="107" ht="21" customHeight="1">
      <c r="A107" s="38" t="n"/>
      <c r="B107" s="42" t="n"/>
      <c r="C107" s="38" t="n"/>
      <c r="D107" s="38" t="n"/>
      <c r="E107" s="40" t="n"/>
      <c r="F107" s="42" t="n"/>
      <c r="G107" s="42" t="n"/>
      <c r="H107" s="38" t="n"/>
      <c r="I107" s="38" t="n"/>
      <c r="J107" s="38" t="n"/>
    </row>
    <row r="108" ht="21" customHeight="1">
      <c r="A108" s="38" t="n"/>
      <c r="B108" s="42" t="n"/>
      <c r="C108" s="38" t="n"/>
      <c r="D108" s="38" t="n"/>
      <c r="E108" s="40" t="n"/>
      <c r="F108" s="42" t="n"/>
      <c r="G108" s="42" t="n"/>
      <c r="H108" s="38" t="n"/>
      <c r="I108" s="38" t="n"/>
      <c r="J108" s="38" t="n"/>
    </row>
    <row r="109" ht="21" customHeight="1">
      <c r="A109" s="38" t="n"/>
      <c r="B109" s="42" t="n"/>
      <c r="C109" s="38" t="n"/>
      <c r="D109" s="38" t="n"/>
      <c r="E109" s="40" t="n"/>
      <c r="F109" s="42" t="n"/>
      <c r="G109" s="42" t="n"/>
      <c r="H109" s="38" t="n"/>
      <c r="I109" s="38" t="n"/>
      <c r="J109" s="38" t="n"/>
    </row>
    <row r="110" ht="21" customHeight="1">
      <c r="A110" s="38" t="n"/>
      <c r="B110" s="42" t="n"/>
      <c r="C110" s="38" t="n"/>
      <c r="D110" s="38" t="n"/>
      <c r="E110" s="40" t="n"/>
      <c r="F110" s="42" t="n"/>
      <c r="G110" s="42" t="n"/>
      <c r="H110" s="38" t="n"/>
      <c r="I110" s="38" t="n"/>
      <c r="J110" s="38" t="n"/>
    </row>
    <row r="111" ht="21" customHeight="1">
      <c r="A111" s="38" t="n"/>
      <c r="B111" s="42" t="n"/>
      <c r="C111" s="38" t="n"/>
      <c r="D111" s="38" t="n"/>
      <c r="E111" s="40" t="n"/>
      <c r="F111" s="42" t="n"/>
      <c r="G111" s="42" t="n"/>
      <c r="H111" s="38" t="n"/>
      <c r="I111" s="38" t="n"/>
      <c r="J111" s="38" t="n"/>
    </row>
    <row r="112" ht="21" customHeight="1">
      <c r="A112" s="38" t="n"/>
      <c r="B112" s="42" t="n"/>
      <c r="C112" s="38" t="n"/>
      <c r="D112" s="38" t="n"/>
      <c r="E112" s="40" t="n"/>
      <c r="F112" s="42" t="n"/>
      <c r="G112" s="42" t="n"/>
      <c r="H112" s="38" t="n"/>
      <c r="I112" s="38" t="n"/>
      <c r="J112" s="38" t="n"/>
    </row>
    <row r="113" ht="21" customHeight="1">
      <c r="A113" s="38" t="n"/>
      <c r="B113" s="42" t="n"/>
      <c r="C113" s="38" t="n"/>
      <c r="D113" s="38" t="n"/>
      <c r="E113" s="40" t="n"/>
      <c r="F113" s="42" t="n"/>
      <c r="G113" s="42" t="n"/>
      <c r="H113" s="38" t="n"/>
      <c r="I113" s="38" t="n"/>
      <c r="J113" s="38" t="n"/>
    </row>
    <row r="114" ht="21" customHeight="1">
      <c r="A114" s="38" t="n"/>
      <c r="B114" s="42" t="n"/>
      <c r="C114" s="38" t="n"/>
      <c r="D114" s="38" t="n"/>
      <c r="E114" s="40" t="n"/>
      <c r="F114" s="42" t="n"/>
      <c r="G114" s="42" t="n"/>
      <c r="H114" s="38" t="n"/>
      <c r="I114" s="38" t="n"/>
      <c r="J114" s="38" t="n"/>
    </row>
    <row r="115" ht="21" customHeight="1">
      <c r="A115" s="38" t="n"/>
      <c r="B115" s="42" t="n"/>
      <c r="C115" s="38" t="n"/>
      <c r="D115" s="38" t="n"/>
      <c r="E115" s="40" t="n"/>
      <c r="F115" s="42" t="n"/>
      <c r="G115" s="42" t="n"/>
      <c r="H115" s="38" t="n"/>
      <c r="I115" s="38" t="n"/>
      <c r="J115" s="38" t="n"/>
    </row>
    <row r="116" ht="21" customHeight="1">
      <c r="A116" s="38" t="n"/>
      <c r="B116" s="42" t="n"/>
      <c r="C116" s="38" t="n"/>
      <c r="D116" s="38" t="n"/>
      <c r="E116" s="40" t="n"/>
      <c r="F116" s="42" t="n"/>
      <c r="G116" s="42" t="n"/>
      <c r="H116" s="38" t="n"/>
      <c r="I116" s="38" t="n"/>
      <c r="J116" s="38" t="n"/>
    </row>
    <row r="117" ht="21" customHeight="1">
      <c r="A117" s="38" t="n"/>
      <c r="B117" s="42" t="n"/>
      <c r="C117" s="38" t="n"/>
      <c r="D117" s="38" t="n"/>
      <c r="E117" s="40" t="n"/>
      <c r="F117" s="42" t="n"/>
      <c r="G117" s="42" t="n"/>
      <c r="H117" s="38" t="n"/>
      <c r="I117" s="38" t="n"/>
      <c r="J117" s="38" t="n"/>
    </row>
    <row r="118" ht="21" customHeight="1">
      <c r="A118" s="38" t="n"/>
      <c r="B118" s="42" t="n"/>
      <c r="C118" s="38" t="n"/>
      <c r="D118" s="38" t="n"/>
      <c r="E118" s="40" t="n"/>
      <c r="F118" s="42" t="n"/>
      <c r="G118" s="42" t="n"/>
      <c r="H118" s="38" t="n"/>
      <c r="I118" s="38" t="n"/>
      <c r="J118" s="38" t="n"/>
    </row>
    <row r="119" ht="21" customHeight="1">
      <c r="A119" s="38" t="n"/>
      <c r="B119" s="42" t="n"/>
      <c r="C119" s="38" t="n"/>
      <c r="D119" s="38" t="n"/>
      <c r="E119" s="40" t="n"/>
      <c r="F119" s="42" t="n"/>
      <c r="G119" s="42" t="n"/>
      <c r="H119" s="38" t="n"/>
      <c r="I119" s="38" t="n"/>
      <c r="J119" s="38" t="n"/>
    </row>
    <row r="120" ht="21" customHeight="1">
      <c r="A120" s="38" t="n"/>
      <c r="B120" s="42" t="n"/>
      <c r="C120" s="38" t="n"/>
      <c r="D120" s="38" t="n"/>
      <c r="E120" s="40" t="n"/>
      <c r="F120" s="42" t="n"/>
      <c r="G120" s="42" t="n"/>
      <c r="H120" s="38" t="n"/>
      <c r="I120" s="38" t="n"/>
      <c r="J120" s="38" t="n"/>
    </row>
    <row r="121" ht="21" customHeight="1">
      <c r="A121" s="38" t="n"/>
      <c r="B121" s="42" t="n"/>
      <c r="C121" s="38" t="n"/>
      <c r="D121" s="38" t="n"/>
      <c r="E121" s="40" t="n"/>
      <c r="F121" s="42" t="n"/>
      <c r="G121" s="42" t="n"/>
      <c r="H121" s="38" t="n"/>
      <c r="I121" s="38" t="n"/>
      <c r="J121" s="38" t="n"/>
    </row>
    <row r="122" ht="21" customHeight="1">
      <c r="A122" s="38" t="n"/>
      <c r="B122" s="42" t="n"/>
      <c r="C122" s="38" t="n"/>
      <c r="D122" s="38" t="n"/>
      <c r="E122" s="40" t="n"/>
      <c r="F122" s="42" t="n"/>
      <c r="G122" s="42" t="n"/>
      <c r="H122" s="38" t="n"/>
      <c r="I122" s="38" t="n"/>
      <c r="J122" s="38" t="n"/>
    </row>
    <row r="123" ht="21" customHeight="1">
      <c r="A123" s="38" t="n"/>
      <c r="B123" s="42" t="n"/>
      <c r="C123" s="38" t="n"/>
      <c r="D123" s="38" t="n"/>
      <c r="E123" s="40" t="n"/>
      <c r="F123" s="42" t="n"/>
      <c r="G123" s="42" t="n"/>
      <c r="H123" s="38" t="n"/>
      <c r="I123" s="38" t="n"/>
      <c r="J123" s="38" t="n"/>
    </row>
    <row r="124" ht="21" customHeight="1">
      <c r="A124" s="38" t="n"/>
      <c r="B124" s="42" t="n"/>
      <c r="C124" s="38" t="n"/>
      <c r="D124" s="38" t="n"/>
      <c r="E124" s="40" t="n"/>
      <c r="F124" s="42" t="n"/>
      <c r="G124" s="42" t="n"/>
      <c r="H124" s="38" t="n"/>
      <c r="I124" s="38" t="n"/>
      <c r="J124" s="38" t="n"/>
    </row>
    <row r="125" ht="21" customHeight="1">
      <c r="A125" s="38" t="n"/>
      <c r="B125" s="42" t="n"/>
      <c r="C125" s="38" t="n"/>
      <c r="D125" s="38" t="n"/>
      <c r="E125" s="40" t="n"/>
      <c r="F125" s="42" t="n"/>
      <c r="G125" s="42" t="n"/>
      <c r="H125" s="38" t="n"/>
      <c r="I125" s="38" t="n"/>
      <c r="J125" s="38" t="n"/>
    </row>
    <row r="126" ht="21" customHeight="1">
      <c r="A126" s="38" t="n"/>
      <c r="B126" s="42" t="n"/>
      <c r="C126" s="38" t="n"/>
      <c r="D126" s="38" t="n"/>
      <c r="E126" s="40" t="n"/>
      <c r="F126" s="42" t="n"/>
      <c r="G126" s="42" t="n"/>
      <c r="H126" s="38" t="n"/>
      <c r="I126" s="38" t="n"/>
      <c r="J126" s="38" t="n"/>
    </row>
    <row r="127" ht="21" customHeight="1">
      <c r="A127" s="38" t="n"/>
      <c r="B127" s="42" t="n"/>
      <c r="C127" s="38" t="n"/>
      <c r="D127" s="38" t="n"/>
      <c r="E127" s="40" t="n"/>
      <c r="F127" s="42" t="n"/>
      <c r="G127" s="42" t="n"/>
      <c r="H127" s="38" t="n"/>
      <c r="I127" s="38" t="n"/>
      <c r="J127" s="38" t="n"/>
    </row>
    <row r="128" ht="21" customHeight="1">
      <c r="A128" s="38" t="n"/>
      <c r="B128" s="42" t="n"/>
      <c r="C128" s="38" t="n"/>
      <c r="D128" s="38" t="n"/>
      <c r="E128" s="40" t="n"/>
      <c r="F128" s="42" t="n"/>
      <c r="G128" s="42" t="n"/>
      <c r="H128" s="38" t="n"/>
      <c r="I128" s="38" t="n"/>
      <c r="J128" s="38" t="n"/>
    </row>
    <row r="129" ht="21" customHeight="1">
      <c r="A129" s="38" t="n"/>
      <c r="B129" s="42" t="n"/>
      <c r="C129" s="38" t="n"/>
      <c r="D129" s="38" t="n"/>
      <c r="E129" s="40" t="n"/>
      <c r="F129" s="42" t="n"/>
      <c r="G129" s="42" t="n"/>
      <c r="H129" s="38" t="n"/>
      <c r="I129" s="38" t="n"/>
      <c r="J129" s="38" t="n"/>
    </row>
    <row r="130" ht="21" customHeight="1">
      <c r="A130" s="38" t="n"/>
      <c r="B130" s="42" t="n"/>
      <c r="C130" s="38" t="n"/>
      <c r="D130" s="38" t="n"/>
      <c r="E130" s="40" t="n"/>
      <c r="F130" s="42" t="n"/>
      <c r="G130" s="42" t="n"/>
      <c r="H130" s="38" t="n"/>
      <c r="I130" s="38" t="n"/>
      <c r="J130" s="38" t="n"/>
    </row>
    <row r="131" ht="21" customHeight="1">
      <c r="A131" s="38" t="n"/>
      <c r="B131" s="42" t="n"/>
      <c r="C131" s="38" t="n"/>
      <c r="D131" s="38" t="n"/>
      <c r="E131" s="40" t="n"/>
      <c r="F131" s="42" t="n"/>
      <c r="G131" s="42" t="n"/>
      <c r="H131" s="38" t="n"/>
      <c r="I131" s="38" t="n"/>
      <c r="J131" s="38" t="n"/>
    </row>
    <row r="132" ht="21" customHeight="1">
      <c r="A132" s="38" t="n"/>
      <c r="B132" s="42" t="n"/>
      <c r="C132" s="38" t="n"/>
      <c r="D132" s="38" t="n"/>
      <c r="E132" s="40" t="n"/>
      <c r="F132" s="42" t="n"/>
      <c r="G132" s="42" t="n"/>
      <c r="H132" s="38" t="n"/>
      <c r="I132" s="38" t="n"/>
      <c r="J132" s="38" t="n"/>
    </row>
    <row r="133" ht="21" customHeight="1">
      <c r="A133" s="38" t="n"/>
      <c r="B133" s="42" t="n"/>
      <c r="C133" s="38" t="n"/>
      <c r="D133" s="38" t="n"/>
      <c r="E133" s="40" t="n"/>
      <c r="F133" s="42" t="n"/>
      <c r="G133" s="42" t="n"/>
      <c r="H133" s="38" t="n"/>
      <c r="I133" s="38" t="n"/>
      <c r="J133" s="38" t="n"/>
    </row>
    <row r="134" ht="21" customHeight="1">
      <c r="A134" s="38" t="n"/>
      <c r="B134" s="42" t="n"/>
      <c r="C134" s="38" t="n"/>
      <c r="D134" s="38" t="n"/>
      <c r="E134" s="40" t="n"/>
      <c r="F134" s="42" t="n"/>
      <c r="G134" s="42" t="n"/>
      <c r="H134" s="38" t="n"/>
      <c r="I134" s="38" t="n"/>
      <c r="J134" s="38" t="n"/>
    </row>
    <row r="135" ht="21" customHeight="1">
      <c r="A135" s="38" t="n"/>
      <c r="B135" s="42" t="n"/>
      <c r="C135" s="38" t="n"/>
      <c r="D135" s="38" t="n"/>
      <c r="E135" s="40" t="n"/>
      <c r="F135" s="42" t="n"/>
      <c r="G135" s="42" t="n"/>
      <c r="H135" s="38" t="n"/>
      <c r="I135" s="38" t="n"/>
      <c r="J135" s="38" t="n"/>
    </row>
    <row r="136" ht="21" customHeight="1">
      <c r="A136" s="38" t="n"/>
      <c r="B136" s="42" t="n"/>
      <c r="C136" s="38" t="n"/>
      <c r="D136" s="38" t="n"/>
      <c r="E136" s="40" t="n"/>
      <c r="F136" s="42" t="n"/>
      <c r="G136" s="42" t="n"/>
      <c r="H136" s="38" t="n"/>
      <c r="I136" s="38" t="n"/>
      <c r="J136" s="38" t="n"/>
    </row>
    <row r="137" ht="21" customHeight="1">
      <c r="A137" s="38" t="n"/>
      <c r="B137" s="42" t="n"/>
      <c r="C137" s="38" t="n"/>
      <c r="D137" s="38" t="n"/>
      <c r="E137" s="40" t="n"/>
      <c r="F137" s="42" t="n"/>
      <c r="G137" s="42" t="n"/>
      <c r="H137" s="38" t="n"/>
      <c r="I137" s="38" t="n"/>
      <c r="J137" s="38" t="n"/>
    </row>
    <row r="138" ht="21" customHeight="1">
      <c r="A138" s="38" t="n"/>
      <c r="B138" s="42" t="n"/>
      <c r="C138" s="38" t="n"/>
      <c r="D138" s="38" t="n"/>
      <c r="E138" s="40" t="n"/>
      <c r="F138" s="42" t="n"/>
      <c r="G138" s="42" t="n"/>
      <c r="H138" s="38" t="n"/>
      <c r="I138" s="38" t="n"/>
      <c r="J138" s="38" t="n"/>
    </row>
    <row r="139" ht="21" customHeight="1">
      <c r="A139" s="38" t="n"/>
      <c r="B139" s="42" t="n"/>
      <c r="C139" s="38" t="n"/>
      <c r="D139" s="38" t="n"/>
      <c r="E139" s="40" t="n"/>
      <c r="F139" s="42" t="n"/>
      <c r="G139" s="42" t="n"/>
      <c r="H139" s="38" t="n"/>
      <c r="I139" s="38" t="n"/>
      <c r="J139" s="38" t="n"/>
    </row>
    <row r="140" ht="21" customHeight="1">
      <c r="A140" s="38" t="n"/>
      <c r="B140" s="42" t="n"/>
      <c r="C140" s="38" t="n"/>
      <c r="D140" s="38" t="n"/>
      <c r="E140" s="40" t="n"/>
      <c r="F140" s="42" t="n"/>
      <c r="G140" s="42" t="n"/>
      <c r="H140" s="38" t="n"/>
      <c r="I140" s="38" t="n"/>
      <c r="J140" s="38" t="n"/>
    </row>
    <row r="141" ht="21" customHeight="1">
      <c r="A141" s="38" t="n"/>
      <c r="B141" s="42" t="n"/>
      <c r="C141" s="38" t="n"/>
      <c r="D141" s="38" t="n"/>
      <c r="E141" s="40" t="n"/>
      <c r="F141" s="42" t="n"/>
      <c r="G141" s="42" t="n"/>
      <c r="H141" s="38" t="n"/>
      <c r="I141" s="38" t="n"/>
      <c r="J141" s="38" t="n"/>
    </row>
    <row r="142" ht="21" customHeight="1">
      <c r="A142" s="38" t="n"/>
      <c r="B142" s="42" t="n"/>
      <c r="C142" s="38" t="n"/>
      <c r="D142" s="38" t="n"/>
      <c r="E142" s="40" t="n"/>
      <c r="F142" s="42" t="n"/>
      <c r="G142" s="42" t="n"/>
      <c r="H142" s="38" t="n"/>
      <c r="I142" s="38" t="n"/>
      <c r="J142" s="38" t="n"/>
    </row>
    <row r="143" ht="21" customHeight="1">
      <c r="A143" s="38" t="n"/>
      <c r="B143" s="42" t="n"/>
      <c r="C143" s="38" t="n"/>
      <c r="D143" s="38" t="n"/>
      <c r="E143" s="40" t="n"/>
      <c r="F143" s="42" t="n"/>
      <c r="G143" s="42" t="n"/>
      <c r="H143" s="38" t="n"/>
      <c r="I143" s="38" t="n"/>
      <c r="J143" s="38" t="n"/>
    </row>
    <row r="144" ht="21" customHeight="1">
      <c r="A144" s="38" t="n"/>
      <c r="B144" s="42" t="n"/>
      <c r="C144" s="38" t="n"/>
      <c r="D144" s="38" t="n"/>
      <c r="E144" s="40" t="n"/>
      <c r="F144" s="42" t="n"/>
      <c r="G144" s="42" t="n"/>
      <c r="H144" s="38" t="n"/>
      <c r="I144" s="38" t="n"/>
      <c r="J144" s="38" t="n"/>
    </row>
    <row r="145" ht="21" customHeight="1">
      <c r="A145" s="38" t="n"/>
      <c r="B145" s="42" t="n"/>
      <c r="C145" s="38" t="n"/>
      <c r="D145" s="38" t="n"/>
      <c r="E145" s="40" t="n"/>
      <c r="F145" s="42" t="n"/>
      <c r="G145" s="42" t="n"/>
      <c r="H145" s="38" t="n"/>
      <c r="I145" s="38" t="n"/>
      <c r="J145" s="38" t="n"/>
    </row>
    <row r="146" ht="21" customHeight="1">
      <c r="A146" s="38" t="n"/>
      <c r="B146" s="42" t="n"/>
      <c r="C146" s="38" t="n"/>
      <c r="D146" s="38" t="n"/>
      <c r="E146" s="40" t="n"/>
      <c r="F146" s="42" t="n"/>
      <c r="G146" s="42" t="n"/>
      <c r="H146" s="38" t="n"/>
      <c r="I146" s="38" t="n"/>
      <c r="J146" s="38" t="n"/>
    </row>
    <row r="147" ht="21" customHeight="1">
      <c r="A147" s="38" t="n"/>
      <c r="B147" s="42" t="n"/>
      <c r="C147" s="38" t="n"/>
      <c r="D147" s="38" t="n"/>
      <c r="E147" s="40" t="n"/>
      <c r="F147" s="42" t="n"/>
      <c r="G147" s="42" t="n"/>
      <c r="H147" s="38" t="n"/>
      <c r="I147" s="38" t="n"/>
      <c r="J147" s="38" t="n"/>
    </row>
    <row r="148" ht="21" customHeight="1">
      <c r="A148" s="38" t="n"/>
      <c r="B148" s="42" t="n"/>
      <c r="C148" s="38" t="n"/>
      <c r="D148" s="38" t="n"/>
      <c r="E148" s="40" t="n"/>
      <c r="F148" s="42" t="n"/>
      <c r="G148" s="42" t="n"/>
      <c r="H148" s="38" t="n"/>
      <c r="I148" s="38" t="n"/>
      <c r="J148" s="38" t="n"/>
    </row>
    <row r="149" ht="21" customHeight="1">
      <c r="A149" s="38" t="n"/>
      <c r="B149" s="42" t="n"/>
      <c r="C149" s="38" t="n"/>
      <c r="D149" s="38" t="n"/>
      <c r="E149" s="40" t="n"/>
      <c r="F149" s="42" t="n"/>
      <c r="G149" s="42" t="n"/>
      <c r="H149" s="38" t="n"/>
      <c r="I149" s="38" t="n"/>
      <c r="J149" s="38" t="n"/>
    </row>
    <row r="150" ht="21" customHeight="1">
      <c r="A150" s="38" t="n"/>
      <c r="B150" s="42" t="n"/>
      <c r="C150" s="38" t="n"/>
      <c r="D150" s="38" t="n"/>
      <c r="E150" s="40" t="n"/>
      <c r="F150" s="42" t="n"/>
      <c r="G150" s="42" t="n"/>
      <c r="H150" s="38" t="n"/>
      <c r="I150" s="38" t="n"/>
      <c r="J150" s="38" t="n"/>
    </row>
    <row r="151" ht="21" customHeight="1">
      <c r="A151" s="38" t="n"/>
      <c r="B151" s="42" t="n"/>
      <c r="C151" s="38" t="n"/>
      <c r="D151" s="38" t="n"/>
      <c r="E151" s="40" t="n"/>
      <c r="F151" s="42" t="n"/>
      <c r="G151" s="42" t="n"/>
      <c r="H151" s="38" t="n"/>
      <c r="I151" s="38" t="n"/>
      <c r="J151" s="38" t="n"/>
    </row>
    <row r="152" ht="21" customHeight="1">
      <c r="A152" s="38" t="n"/>
      <c r="B152" s="42" t="n"/>
      <c r="C152" s="38" t="n"/>
      <c r="D152" s="38" t="n"/>
      <c r="E152" s="40" t="n"/>
      <c r="F152" s="42" t="n"/>
      <c r="G152" s="42" t="n"/>
      <c r="H152" s="38" t="n"/>
      <c r="I152" s="38" t="n"/>
      <c r="J152" s="38" t="n"/>
    </row>
    <row r="153" ht="21" customHeight="1">
      <c r="A153" s="38" t="n"/>
      <c r="B153" s="42" t="n"/>
      <c r="C153" s="38" t="n"/>
      <c r="D153" s="38" t="n"/>
      <c r="E153" s="40" t="n"/>
      <c r="F153" s="42" t="n"/>
      <c r="G153" s="42" t="n"/>
      <c r="H153" s="38" t="n"/>
      <c r="I153" s="38" t="n"/>
      <c r="J153" s="38" t="n"/>
    </row>
    <row r="154" ht="21" customHeight="1">
      <c r="A154" s="38" t="n"/>
      <c r="B154" s="42" t="n"/>
      <c r="C154" s="38" t="n"/>
      <c r="D154" s="38" t="n"/>
      <c r="E154" s="40" t="n"/>
      <c r="F154" s="42" t="n"/>
      <c r="G154" s="42" t="n"/>
      <c r="H154" s="38" t="n"/>
      <c r="I154" s="38" t="n"/>
      <c r="J154" s="38" t="n"/>
    </row>
    <row r="155" ht="21" customHeight="1">
      <c r="A155" s="38" t="n"/>
      <c r="B155" s="42" t="n"/>
      <c r="C155" s="38" t="n"/>
      <c r="D155" s="38" t="n"/>
      <c r="E155" s="40" t="n"/>
      <c r="F155" s="42" t="n"/>
      <c r="G155" s="42" t="n"/>
      <c r="H155" s="38" t="n"/>
      <c r="I155" s="38" t="n"/>
      <c r="J155" s="38" t="n"/>
    </row>
    <row r="156" ht="21" customHeight="1">
      <c r="A156" s="38" t="n"/>
      <c r="B156" s="42" t="n"/>
      <c r="C156" s="38" t="n"/>
      <c r="D156" s="38" t="n"/>
      <c r="E156" s="40" t="n"/>
      <c r="F156" s="42" t="n"/>
      <c r="G156" s="42" t="n"/>
      <c r="H156" s="38" t="n"/>
      <c r="I156" s="38" t="n"/>
      <c r="J156" s="38" t="n"/>
    </row>
    <row r="157" ht="21" customHeight="1">
      <c r="A157" s="38" t="n"/>
      <c r="B157" s="42" t="n"/>
      <c r="C157" s="38" t="n"/>
      <c r="D157" s="38" t="n"/>
      <c r="E157" s="40" t="n"/>
      <c r="F157" s="42" t="n"/>
      <c r="G157" s="42" t="n"/>
      <c r="H157" s="38" t="n"/>
      <c r="I157" s="38" t="n"/>
      <c r="J157" s="38" t="n"/>
    </row>
    <row r="158" ht="21" customHeight="1">
      <c r="A158" s="38" t="n"/>
      <c r="B158" s="42" t="n"/>
      <c r="C158" s="38" t="n"/>
      <c r="D158" s="38" t="n"/>
      <c r="E158" s="40" t="n"/>
      <c r="F158" s="42" t="n"/>
      <c r="G158" s="42" t="n"/>
      <c r="H158" s="38" t="n"/>
      <c r="I158" s="38" t="n"/>
      <c r="J158" s="38" t="n"/>
    </row>
    <row r="159" ht="21" customHeight="1">
      <c r="A159" s="38" t="n"/>
      <c r="B159" s="42" t="n"/>
      <c r="C159" s="38" t="n"/>
      <c r="D159" s="38" t="n"/>
      <c r="E159" s="40" t="n"/>
      <c r="F159" s="42" t="n"/>
      <c r="G159" s="42" t="n"/>
      <c r="H159" s="38" t="n"/>
      <c r="I159" s="38" t="n"/>
      <c r="J159" s="38" t="n"/>
    </row>
    <row r="160" ht="21" customHeight="1">
      <c r="A160" s="38" t="n"/>
      <c r="B160" s="42" t="n"/>
      <c r="C160" s="38" t="n"/>
      <c r="D160" s="38" t="n"/>
      <c r="E160" s="40" t="n"/>
      <c r="F160" s="42" t="n"/>
      <c r="G160" s="42" t="n"/>
      <c r="H160" s="38" t="n"/>
      <c r="I160" s="38" t="n"/>
      <c r="J160" s="38" t="n"/>
    </row>
    <row r="161" ht="21" customHeight="1">
      <c r="A161" s="38" t="n"/>
      <c r="B161" s="42" t="n"/>
      <c r="C161" s="38" t="n"/>
      <c r="D161" s="38" t="n"/>
      <c r="E161" s="40" t="n"/>
      <c r="F161" s="42" t="n"/>
      <c r="G161" s="42" t="n"/>
      <c r="H161" s="38" t="n"/>
      <c r="I161" s="38" t="n"/>
      <c r="J161" s="38" t="n"/>
    </row>
    <row r="162" ht="21" customHeight="1">
      <c r="A162" s="38" t="n"/>
      <c r="B162" s="42" t="n"/>
      <c r="C162" s="38" t="n"/>
      <c r="D162" s="38" t="n"/>
      <c r="E162" s="40" t="n"/>
      <c r="F162" s="42" t="n"/>
      <c r="G162" s="42" t="n"/>
      <c r="H162" s="38" t="n"/>
      <c r="I162" s="38" t="n"/>
      <c r="J162" s="38" t="n"/>
    </row>
    <row r="163" ht="21" customHeight="1">
      <c r="A163" s="38" t="n"/>
      <c r="B163" s="42" t="n"/>
      <c r="C163" s="38" t="n"/>
      <c r="D163" s="38" t="n"/>
      <c r="E163" s="40" t="n"/>
      <c r="F163" s="42" t="n"/>
      <c r="G163" s="42" t="n"/>
      <c r="H163" s="38" t="n"/>
      <c r="I163" s="38" t="n"/>
      <c r="J163" s="38" t="n"/>
    </row>
    <row r="164" ht="21" customHeight="1">
      <c r="A164" s="38" t="n"/>
      <c r="B164" s="42" t="n"/>
      <c r="C164" s="38" t="n"/>
      <c r="D164" s="38" t="n"/>
      <c r="E164" s="40" t="n"/>
      <c r="F164" s="42" t="n"/>
      <c r="G164" s="42" t="n"/>
      <c r="H164" s="38" t="n"/>
      <c r="I164" s="38" t="n"/>
      <c r="J164" s="38" t="n"/>
    </row>
    <row r="165" ht="21" customHeight="1">
      <c r="A165" s="38" t="n"/>
      <c r="B165" s="42" t="n"/>
      <c r="C165" s="38" t="n"/>
      <c r="D165" s="38" t="n"/>
      <c r="E165" s="40" t="n"/>
      <c r="F165" s="42" t="n"/>
      <c r="G165" s="42" t="n"/>
      <c r="H165" s="38" t="n"/>
      <c r="I165" s="38" t="n"/>
      <c r="J165" s="38" t="n"/>
    </row>
    <row r="166" ht="21" customHeight="1">
      <c r="A166" s="38" t="n"/>
      <c r="B166" s="42" t="n"/>
      <c r="C166" s="38" t="n"/>
      <c r="D166" s="38" t="n"/>
      <c r="E166" s="40" t="n"/>
      <c r="F166" s="42" t="n"/>
      <c r="G166" s="42" t="n"/>
      <c r="H166" s="38" t="n"/>
      <c r="I166" s="38" t="n"/>
      <c r="J166" s="38" t="n"/>
    </row>
    <row r="167" ht="21" customHeight="1">
      <c r="A167" s="38" t="n"/>
      <c r="B167" s="42" t="n"/>
      <c r="C167" s="38" t="n"/>
      <c r="D167" s="38" t="n"/>
      <c r="E167" s="40" t="n"/>
      <c r="F167" s="42" t="n"/>
      <c r="G167" s="42" t="n"/>
      <c r="H167" s="38" t="n"/>
      <c r="I167" s="38" t="n"/>
      <c r="J167" s="38" t="n"/>
    </row>
    <row r="168" ht="21" customHeight="1">
      <c r="A168" s="38" t="n"/>
      <c r="B168" s="42" t="n"/>
      <c r="C168" s="38" t="n"/>
      <c r="D168" s="38" t="n"/>
      <c r="E168" s="40" t="n"/>
      <c r="F168" s="42" t="n"/>
      <c r="G168" s="42" t="n"/>
      <c r="H168" s="38" t="n"/>
      <c r="I168" s="38" t="n"/>
      <c r="J168" s="38" t="n"/>
    </row>
    <row r="169" ht="21" customHeight="1">
      <c r="A169" s="38" t="n"/>
      <c r="B169" s="42" t="n"/>
      <c r="C169" s="38" t="n"/>
      <c r="D169" s="38" t="n"/>
      <c r="E169" s="40" t="n"/>
      <c r="F169" s="42" t="n"/>
      <c r="G169" s="42" t="n"/>
      <c r="H169" s="38" t="n"/>
      <c r="I169" s="38" t="n"/>
      <c r="J169" s="38" t="n"/>
    </row>
    <row r="170" ht="21" customHeight="1">
      <c r="A170" s="38" t="n"/>
      <c r="B170" s="42" t="n"/>
      <c r="C170" s="38" t="n"/>
      <c r="D170" s="38" t="n"/>
      <c r="E170" s="40" t="n"/>
      <c r="F170" s="42" t="n"/>
      <c r="G170" s="42" t="n"/>
      <c r="H170" s="38" t="n"/>
      <c r="I170" s="38" t="n"/>
      <c r="J170" s="38" t="n"/>
    </row>
    <row r="171" ht="21" customHeight="1">
      <c r="A171" s="38" t="n"/>
      <c r="B171" s="42" t="n"/>
      <c r="C171" s="38" t="n"/>
      <c r="D171" s="38" t="n"/>
      <c r="E171" s="40" t="n"/>
      <c r="F171" s="42" t="n"/>
      <c r="G171" s="42" t="n"/>
      <c r="H171" s="38" t="n"/>
      <c r="I171" s="38" t="n"/>
      <c r="J171" s="38" t="n"/>
    </row>
    <row r="172" ht="21" customHeight="1">
      <c r="A172" s="38" t="n"/>
      <c r="B172" s="42" t="n"/>
      <c r="C172" s="38" t="n"/>
      <c r="D172" s="38" t="n"/>
      <c r="E172" s="40" t="n"/>
      <c r="F172" s="42" t="n"/>
      <c r="G172" s="42" t="n"/>
      <c r="H172" s="38" t="n"/>
      <c r="I172" s="38" t="n"/>
      <c r="J172" s="38" t="n"/>
    </row>
    <row r="173" ht="21" customHeight="1">
      <c r="A173" s="38" t="n"/>
      <c r="B173" s="42" t="n"/>
      <c r="C173" s="38" t="n"/>
      <c r="D173" s="38" t="n"/>
      <c r="E173" s="40" t="n"/>
      <c r="F173" s="42" t="n"/>
      <c r="G173" s="42" t="n"/>
      <c r="H173" s="38" t="n"/>
      <c r="I173" s="38" t="n"/>
      <c r="J173" s="38" t="n"/>
    </row>
    <row r="174" ht="21" customHeight="1">
      <c r="A174" s="38" t="n"/>
      <c r="B174" s="42" t="n"/>
      <c r="C174" s="38" t="n"/>
      <c r="D174" s="38" t="n"/>
      <c r="E174" s="40" t="n"/>
      <c r="F174" s="42" t="n"/>
      <c r="G174" s="42" t="n"/>
      <c r="H174" s="38" t="n"/>
      <c r="I174" s="38" t="n"/>
      <c r="J174" s="38" t="n"/>
    </row>
    <row r="175" ht="21" customHeight="1">
      <c r="A175" s="38" t="n"/>
      <c r="B175" s="42" t="n"/>
      <c r="C175" s="38" t="n"/>
      <c r="D175" s="38" t="n"/>
      <c r="E175" s="40" t="n"/>
      <c r="F175" s="42" t="n"/>
      <c r="G175" s="42" t="n"/>
      <c r="H175" s="38" t="n"/>
      <c r="I175" s="38" t="n"/>
      <c r="J175" s="38" t="n"/>
    </row>
    <row r="176" ht="21" customHeight="1">
      <c r="A176" s="38" t="n"/>
      <c r="B176" s="42" t="n"/>
      <c r="C176" s="38" t="n"/>
      <c r="D176" s="38" t="n"/>
      <c r="E176" s="40" t="n"/>
      <c r="F176" s="42" t="n"/>
      <c r="G176" s="42" t="n"/>
      <c r="H176" s="38" t="n"/>
      <c r="I176" s="38" t="n"/>
      <c r="J176" s="38" t="n"/>
    </row>
    <row r="177" ht="21" customHeight="1">
      <c r="A177" s="38" t="n"/>
      <c r="B177" s="42" t="n"/>
      <c r="C177" s="38" t="n"/>
      <c r="D177" s="38" t="n"/>
      <c r="E177" s="40" t="n"/>
      <c r="F177" s="42" t="n"/>
      <c r="G177" s="42" t="n"/>
      <c r="H177" s="38" t="n"/>
      <c r="I177" s="38" t="n"/>
      <c r="J177" s="38" t="n"/>
    </row>
    <row r="178" ht="21" customHeight="1">
      <c r="A178" s="38" t="n"/>
      <c r="B178" s="42" t="n"/>
      <c r="C178" s="38" t="n"/>
      <c r="D178" s="38" t="n"/>
      <c r="E178" s="40" t="n"/>
      <c r="F178" s="42" t="n"/>
      <c r="G178" s="42" t="n"/>
      <c r="H178" s="38" t="n"/>
      <c r="I178" s="38" t="n"/>
      <c r="J178" s="38" t="n"/>
    </row>
    <row r="179" ht="21" customHeight="1">
      <c r="A179" s="38" t="n"/>
      <c r="B179" s="42" t="n"/>
      <c r="C179" s="38" t="n"/>
      <c r="D179" s="38" t="n"/>
      <c r="E179" s="40" t="n"/>
      <c r="F179" s="42" t="n"/>
      <c r="G179" s="42" t="n"/>
      <c r="H179" s="38" t="n"/>
      <c r="I179" s="38" t="n"/>
      <c r="J179" s="38" t="n"/>
    </row>
    <row r="180" ht="21" customHeight="1">
      <c r="A180" s="38" t="n"/>
      <c r="B180" s="42" t="n"/>
      <c r="C180" s="38" t="n"/>
      <c r="D180" s="38" t="n"/>
      <c r="E180" s="40" t="n"/>
      <c r="F180" s="42" t="n"/>
      <c r="G180" s="42" t="n"/>
      <c r="H180" s="38" t="n"/>
      <c r="I180" s="38" t="n"/>
      <c r="J180" s="38" t="n"/>
    </row>
    <row r="181" ht="21" customHeight="1">
      <c r="A181" s="38" t="n"/>
      <c r="B181" s="42" t="n"/>
      <c r="C181" s="38" t="n"/>
      <c r="D181" s="38" t="n"/>
      <c r="E181" s="40" t="n"/>
      <c r="F181" s="42" t="n"/>
      <c r="G181" s="42" t="n"/>
      <c r="H181" s="38" t="n"/>
      <c r="I181" s="38" t="n"/>
      <c r="J181" s="38" t="n"/>
    </row>
    <row r="182" ht="21" customHeight="1">
      <c r="A182" s="38" t="n"/>
      <c r="B182" s="42" t="n"/>
      <c r="C182" s="38" t="n"/>
      <c r="D182" s="38" t="n"/>
      <c r="E182" s="40" t="n"/>
      <c r="F182" s="42" t="n"/>
      <c r="G182" s="42" t="n"/>
      <c r="H182" s="38" t="n"/>
      <c r="I182" s="38" t="n"/>
      <c r="J182" s="38" t="n"/>
    </row>
    <row r="183" ht="21" customHeight="1">
      <c r="A183" s="38" t="n"/>
      <c r="B183" s="42" t="n"/>
      <c r="C183" s="38" t="n"/>
      <c r="D183" s="38" t="n"/>
      <c r="E183" s="40" t="n"/>
      <c r="F183" s="42" t="n"/>
      <c r="G183" s="42" t="n"/>
      <c r="H183" s="38" t="n"/>
      <c r="I183" s="38" t="n"/>
      <c r="J183" s="38" t="n"/>
    </row>
    <row r="184" ht="21" customHeight="1">
      <c r="A184" s="38" t="n"/>
      <c r="B184" s="42" t="n"/>
      <c r="C184" s="38" t="n"/>
      <c r="D184" s="38" t="n"/>
      <c r="E184" s="40" t="n"/>
      <c r="F184" s="42" t="n"/>
      <c r="G184" s="42" t="n"/>
      <c r="H184" s="38" t="n"/>
      <c r="I184" s="38" t="n"/>
      <c r="J184" s="38" t="n"/>
    </row>
    <row r="185" ht="21" customHeight="1">
      <c r="A185" s="38" t="n"/>
      <c r="B185" s="42" t="n"/>
      <c r="C185" s="38" t="n"/>
      <c r="D185" s="38" t="n"/>
      <c r="E185" s="40" t="n"/>
      <c r="F185" s="42" t="n"/>
      <c r="G185" s="42" t="n"/>
      <c r="H185" s="38" t="n"/>
      <c r="I185" s="38" t="n"/>
      <c r="J185" s="38" t="n"/>
    </row>
    <row r="186" ht="21" customHeight="1">
      <c r="A186" s="38" t="n"/>
      <c r="B186" s="42" t="n"/>
      <c r="C186" s="38" t="n"/>
      <c r="D186" s="38" t="n"/>
      <c r="E186" s="40" t="n"/>
      <c r="F186" s="42" t="n"/>
      <c r="G186" s="42" t="n"/>
      <c r="H186" s="38" t="n"/>
      <c r="I186" s="38" t="n"/>
      <c r="J186" s="38" t="n"/>
    </row>
    <row r="187" ht="21" customHeight="1">
      <c r="A187" s="38" t="n"/>
      <c r="B187" s="42" t="n"/>
      <c r="C187" s="38" t="n"/>
      <c r="D187" s="38" t="n"/>
      <c r="E187" s="40" t="n"/>
      <c r="F187" s="42" t="n"/>
      <c r="G187" s="42" t="n"/>
      <c r="H187" s="38" t="n"/>
      <c r="I187" s="38" t="n"/>
      <c r="J187" s="38" t="n"/>
    </row>
    <row r="188" ht="21" customHeight="1">
      <c r="A188" s="38" t="n"/>
      <c r="B188" s="42" t="n"/>
      <c r="C188" s="38" t="n"/>
      <c r="D188" s="38" t="n"/>
      <c r="E188" s="40" t="n"/>
      <c r="F188" s="42" t="n"/>
      <c r="G188" s="42" t="n"/>
      <c r="H188" s="38" t="n"/>
      <c r="I188" s="38" t="n"/>
      <c r="J188" s="38" t="n"/>
    </row>
    <row r="189" ht="21" customHeight="1">
      <c r="A189" s="38" t="n"/>
      <c r="B189" s="42" t="n"/>
      <c r="C189" s="38" t="n"/>
      <c r="D189" s="38" t="n"/>
      <c r="E189" s="40" t="n"/>
      <c r="F189" s="42" t="n"/>
      <c r="G189" s="42" t="n"/>
      <c r="H189" s="38" t="n"/>
      <c r="I189" s="38" t="n"/>
      <c r="J189" s="38" t="n"/>
    </row>
    <row r="190" ht="21" customHeight="1">
      <c r="A190" s="38" t="n"/>
      <c r="B190" s="42" t="n"/>
      <c r="C190" s="38" t="n"/>
      <c r="D190" s="38" t="n"/>
      <c r="E190" s="40" t="n"/>
      <c r="F190" s="42" t="n"/>
      <c r="G190" s="42" t="n"/>
      <c r="H190" s="38" t="n"/>
      <c r="I190" s="38" t="n"/>
      <c r="J190" s="38" t="n"/>
    </row>
    <row r="191" ht="21" customHeight="1">
      <c r="A191" s="38" t="n"/>
      <c r="B191" s="42" t="n"/>
      <c r="C191" s="38" t="n"/>
      <c r="D191" s="38" t="n"/>
      <c r="E191" s="40" t="n"/>
      <c r="F191" s="42" t="n"/>
      <c r="G191" s="42" t="n"/>
      <c r="H191" s="38" t="n"/>
      <c r="I191" s="38" t="n"/>
      <c r="J191" s="38" t="n"/>
    </row>
    <row r="192" ht="21" customHeight="1">
      <c r="A192" s="38" t="n"/>
      <c r="B192" s="42" t="n"/>
      <c r="C192" s="38" t="n"/>
      <c r="D192" s="38" t="n"/>
      <c r="E192" s="40" t="n"/>
      <c r="F192" s="42" t="n"/>
      <c r="G192" s="42" t="n"/>
      <c r="H192" s="38" t="n"/>
      <c r="I192" s="38" t="n"/>
      <c r="J192" s="38" t="n"/>
    </row>
    <row r="193" ht="21" customHeight="1">
      <c r="A193" s="38" t="n"/>
      <c r="B193" s="42" t="n"/>
      <c r="C193" s="38" t="n"/>
      <c r="D193" s="38" t="n"/>
      <c r="E193" s="40" t="n"/>
      <c r="F193" s="42" t="n"/>
      <c r="G193" s="42" t="n"/>
      <c r="H193" s="38" t="n"/>
      <c r="I193" s="38" t="n"/>
      <c r="J193" s="38" t="n"/>
    </row>
    <row r="194" ht="21" customHeight="1">
      <c r="A194" s="38" t="n"/>
      <c r="B194" s="42" t="n"/>
      <c r="C194" s="38" t="n"/>
      <c r="D194" s="38" t="n"/>
      <c r="E194" s="40" t="n"/>
      <c r="F194" s="42" t="n"/>
      <c r="G194" s="42" t="n"/>
      <c r="H194" s="38" t="n"/>
      <c r="I194" s="38" t="n"/>
      <c r="J194" s="38" t="n"/>
    </row>
    <row r="195" ht="21" customHeight="1">
      <c r="A195" s="38" t="n"/>
      <c r="B195" s="42" t="n"/>
      <c r="C195" s="38" t="n"/>
      <c r="D195" s="38" t="n"/>
      <c r="E195" s="40" t="n"/>
      <c r="F195" s="42" t="n"/>
      <c r="G195" s="42" t="n"/>
      <c r="H195" s="38" t="n"/>
      <c r="I195" s="38" t="n"/>
      <c r="J195" s="38" t="n"/>
    </row>
    <row r="196" ht="21" customHeight="1">
      <c r="A196" s="38" t="n"/>
      <c r="B196" s="42" t="n"/>
      <c r="C196" s="38" t="n"/>
      <c r="D196" s="38" t="n"/>
      <c r="E196" s="40" t="n"/>
      <c r="F196" s="42" t="n"/>
      <c r="G196" s="42" t="n"/>
      <c r="H196" s="38" t="n"/>
      <c r="I196" s="38" t="n"/>
      <c r="J196" s="38" t="n"/>
    </row>
    <row r="197" ht="21" customHeight="1">
      <c r="A197" s="38" t="n"/>
      <c r="B197" s="42" t="n"/>
      <c r="C197" s="38" t="n"/>
      <c r="D197" s="38" t="n"/>
      <c r="E197" s="40" t="n"/>
      <c r="F197" s="42" t="n"/>
      <c r="G197" s="42" t="n"/>
      <c r="H197" s="38" t="n"/>
      <c r="I197" s="38" t="n"/>
      <c r="J197" s="38" t="n"/>
    </row>
    <row r="198" ht="21" customHeight="1">
      <c r="A198" s="38" t="n"/>
      <c r="B198" s="42" t="n"/>
      <c r="C198" s="38" t="n"/>
      <c r="D198" s="38" t="n"/>
      <c r="E198" s="40" t="n"/>
      <c r="F198" s="42" t="n"/>
      <c r="G198" s="42" t="n"/>
      <c r="H198" s="38" t="n"/>
      <c r="I198" s="38" t="n"/>
      <c r="J198" s="38" t="n"/>
    </row>
    <row r="199" ht="21" customHeight="1">
      <c r="A199" s="38" t="n"/>
      <c r="B199" s="42" t="n"/>
      <c r="C199" s="38" t="n"/>
      <c r="D199" s="38" t="n"/>
      <c r="E199" s="40" t="n"/>
      <c r="F199" s="42" t="n"/>
      <c r="G199" s="42" t="n"/>
      <c r="H199" s="38" t="n"/>
      <c r="I199" s="38" t="n"/>
      <c r="J199" s="38" t="n"/>
    </row>
    <row r="200" ht="21" customHeight="1">
      <c r="A200" s="38" t="n"/>
      <c r="B200" s="42" t="n"/>
      <c r="C200" s="38" t="n"/>
      <c r="D200" s="38" t="n"/>
      <c r="E200" s="40" t="n"/>
      <c r="F200" s="42" t="n"/>
      <c r="G200" s="42" t="n"/>
      <c r="H200" s="38" t="n"/>
      <c r="I200" s="38" t="n"/>
      <c r="J200" s="38" t="n"/>
    </row>
    <row r="201" ht="21" customHeight="1">
      <c r="A201" s="38" t="n"/>
      <c r="B201" s="42" t="n"/>
      <c r="C201" s="38" t="n"/>
      <c r="D201" s="38" t="n"/>
      <c r="E201" s="40" t="n"/>
      <c r="F201" s="42" t="n"/>
      <c r="G201" s="42" t="n"/>
      <c r="H201" s="38" t="n"/>
      <c r="I201" s="38" t="n"/>
      <c r="J201" s="38" t="n"/>
    </row>
    <row r="202" ht="21" customHeight="1">
      <c r="A202" s="38" t="n"/>
      <c r="B202" s="42" t="n"/>
      <c r="C202" s="38" t="n"/>
      <c r="D202" s="38" t="n"/>
      <c r="E202" s="40" t="n"/>
      <c r="F202" s="42" t="n"/>
      <c r="G202" s="42" t="n"/>
      <c r="H202" s="38" t="n"/>
      <c r="I202" s="38" t="n"/>
      <c r="J202" s="38" t="n"/>
    </row>
    <row r="203" ht="21" customHeight="1">
      <c r="A203" s="38" t="n"/>
      <c r="B203" s="42" t="n"/>
      <c r="C203" s="38" t="n"/>
      <c r="D203" s="38" t="n"/>
      <c r="E203" s="40" t="n"/>
      <c r="F203" s="42" t="n"/>
      <c r="G203" s="42" t="n"/>
      <c r="H203" s="38" t="n"/>
      <c r="I203" s="38" t="n"/>
      <c r="J203" s="38" t="n"/>
    </row>
    <row r="204" ht="21" customHeight="1">
      <c r="A204" s="38" t="n"/>
      <c r="B204" s="42" t="n"/>
      <c r="C204" s="38" t="n"/>
      <c r="D204" s="38" t="n"/>
      <c r="E204" s="40" t="n"/>
      <c r="F204" s="42" t="n"/>
      <c r="G204" s="42" t="n"/>
      <c r="H204" s="38" t="n"/>
      <c r="I204" s="38" t="n"/>
      <c r="J204" s="38" t="n"/>
    </row>
    <row r="205" ht="21" customHeight="1">
      <c r="A205" s="38" t="n"/>
      <c r="B205" s="42" t="n"/>
      <c r="C205" s="38" t="n"/>
      <c r="D205" s="38" t="n"/>
      <c r="E205" s="40" t="n"/>
      <c r="F205" s="42" t="n"/>
      <c r="G205" s="42" t="n"/>
      <c r="H205" s="38" t="n"/>
      <c r="I205" s="38" t="n"/>
      <c r="J205" s="38" t="n"/>
    </row>
    <row r="206" ht="21" customHeight="1">
      <c r="A206" s="38" t="n"/>
      <c r="B206" s="42" t="n"/>
      <c r="C206" s="38" t="n"/>
      <c r="D206" s="38" t="n"/>
      <c r="E206" s="40" t="n"/>
      <c r="F206" s="42" t="n"/>
      <c r="G206" s="42" t="n"/>
      <c r="H206" s="38" t="n"/>
      <c r="I206" s="38" t="n"/>
      <c r="J206" s="38" t="n"/>
    </row>
  </sheetData>
  <autoFilter ref="A6:J206"/>
  <mergeCells count="3">
    <mergeCell ref="A4:J4"/>
    <mergeCell ref="A1:J2"/>
    <mergeCell ref="A3:J3"/>
  </mergeCells>
  <conditionalFormatting sqref="H7:H206">
    <cfRule type="expression" priority="1" dxfId="2">
      <formula>=OR(H7="Complete",H7="Approved",H7="Delivered",H7="Installed",H7="Good condition",H7="Paid",H7="On budget")</formula>
    </cfRule>
    <cfRule type="expression" priority="2" dxfId="1">
      <formula>=OR(H7="Pending",H7="In progress",H7="Sent",H7="Waiting on client",H7="Waiting on vendor",H7="On hold",H7="Partially paid",H7="Scheduled")</formula>
    </cfRule>
    <cfRule type="expression" priority="3" dxfId="0">
      <formula>=OR(H7="Overdue",H7="Delayed",H7="Damaged",H7="Missing item",H7="Rejected",H7="Revisions requested")</formula>
    </cfRule>
    <cfRule type="expression" priority="4" dxfId="3">
      <formula>=OR(H7="Cancelled",H7="On hold",H7="Returned")</formula>
    </cfRule>
  </conditionalFormatting>
  <conditionalFormatting sqref="F7:F206">
    <cfRule type="expression" priority="5" dxfId="0">
      <formula>=AND($F7&lt;TODAY(),$F7&lt;&gt;"",$H7&lt;&gt;"Paid",$H7&lt;&gt;"Cancelled",$A7&lt;&gt;"")</formula>
    </cfRule>
  </conditionalFormatting>
  <dataValidations count="4">
    <dataValidation sqref="H7:H206" showDropDown="0" showInputMessage="1" showErrorMessage="1" allowBlank="1" errorTitle="Invalid entry" error="Please choose a value from the dropdown list." promptTitle="Choose from the dropdown" prompt="Select a value from the list." type="list">
      <formula1>=PaymentStatuses</formula1>
    </dataValidation>
    <dataValidation sqref="I7:I206" showDropDown="0" showInputMessage="1" showErrorMessage="1" allowBlank="1" errorTitle="Invalid entry" error="Please choose a value from the dropdown list." promptTitle="Choose from the dropdown" prompt="Select a value from the list." type="list">
      <formula1>=PaymentMethods</formula1>
    </dataValidation>
    <dataValidation sqref="B7:B206" showDropDown="0" showInputMessage="1" showErrorMessage="1" allowBlank="1" errorTitle="Invalid date" error="Enter a valid date between 1/1/1900 and 12/31/2100." promptTitle="Enter a date" prompt="Use a date such as 6/30/2026." type="date" operator="between">
      <formula1>DATE(1900,1,1)</formula1>
      <formula2>DATE(2100,12,31)</formula2>
    </dataValidation>
    <dataValidation sqref="F7:G206" showDropDown="0" showInputMessage="1" showErrorMessage="1" allowBlank="1" errorTitle="Invalid date" error="Enter a valid date between 1/1/1900 and 12/31/2100." promptTitle="Enter a date" prompt="Use a date such as 6/30/2026." type="date" operator="between">
      <formula1>DATE(1900,1,1)</formula1>
      <formula2>DATE(2100,12,31)</formula2>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20.xml><?xml version="1.0" encoding="utf-8"?>
<worksheet xmlns="http://schemas.openxmlformats.org/spreadsheetml/2006/main">
  <sheetPr>
    <tabColor rgb="002F6F73"/>
    <outlinePr summaryBelow="1" summaryRight="1"/>
    <pageSetUpPr fitToPage="1"/>
  </sheetPr>
  <dimension ref="A1:H206"/>
  <sheetViews>
    <sheetView showGridLines="0" zoomScale="85" workbookViewId="0">
      <pane ySplit="6" topLeftCell="A7" activePane="bottomLeft" state="frozen"/>
      <selection pane="bottomLeft" activeCell="A7" sqref="A1"/>
    </sheetView>
  </sheetViews>
  <sheetFormatPr baseColWidth="8" defaultRowHeight="15"/>
  <cols>
    <col width="15" customWidth="1" min="1" max="1"/>
    <col width="24" customWidth="1" min="2" max="2"/>
    <col width="28" customWidth="1" min="3" max="3"/>
    <col width="34" customWidth="1" min="4" max="4"/>
    <col width="34" customWidth="1" min="5" max="5"/>
    <col width="34" customWidth="1" min="6" max="6"/>
    <col width="18" customWidth="1" min="7" max="7"/>
    <col width="34" customWidth="1" min="8" max="8"/>
  </cols>
  <sheetData>
    <row r="1" ht="26" customHeight="1">
      <c r="A1" s="1" t="inlineStr">
        <is>
          <t>Project Notes - Meeting Notes</t>
        </is>
      </c>
    </row>
    <row r="2" ht="26" customHeight="1"/>
    <row r="3" ht="26" customHeight="1">
      <c r="A3" s="24" t="inlineStr">
        <is>
          <t>Capture conversations, decisions, action items, and follow-up dates in one searchable log.</t>
        </is>
      </c>
    </row>
    <row r="4">
      <c r="A4" s="36" t="inlineStr">
        <is>
          <t>Tip: enter data in the warm cream cells. Blue cells calculate automatically. Use the filter arrows in row 6 to focus the view.</t>
        </is>
      </c>
    </row>
    <row r="6" ht="34" customHeight="1">
      <c r="A6" s="37" t="inlineStr">
        <is>
          <t>Date</t>
        </is>
      </c>
      <c r="B6" s="37" t="inlineStr">
        <is>
          <t>Meeting type</t>
        </is>
      </c>
      <c r="C6" s="37" t="inlineStr">
        <is>
          <t>Attendees</t>
        </is>
      </c>
      <c r="D6" s="37" t="inlineStr">
        <is>
          <t>Discussion points</t>
        </is>
      </c>
      <c r="E6" s="37" t="inlineStr">
        <is>
          <t>Decisions made</t>
        </is>
      </c>
      <c r="F6" s="37" t="inlineStr">
        <is>
          <t>Action items</t>
        </is>
      </c>
      <c r="G6" s="37" t="inlineStr">
        <is>
          <t>Follow-up date</t>
        </is>
      </c>
      <c r="H6" s="37" t="inlineStr">
        <is>
          <t>Notes</t>
        </is>
      </c>
    </row>
    <row r="7" ht="21" customHeight="1">
      <c r="A7" s="42" t="n"/>
      <c r="B7" s="38" t="n"/>
      <c r="C7" s="38" t="n"/>
      <c r="D7" s="38" t="n"/>
      <c r="E7" s="38" t="n"/>
      <c r="F7" s="38" t="n"/>
      <c r="G7" s="42" t="n"/>
      <c r="H7" s="38" t="n"/>
    </row>
    <row r="8" ht="21" customHeight="1">
      <c r="A8" s="42" t="n"/>
      <c r="B8" s="38" t="n"/>
      <c r="C8" s="38" t="n"/>
      <c r="D8" s="38" t="n"/>
      <c r="E8" s="38" t="n"/>
      <c r="F8" s="38" t="n"/>
      <c r="G8" s="42" t="n"/>
      <c r="H8" s="38" t="n"/>
    </row>
    <row r="9" ht="21" customHeight="1">
      <c r="A9" s="42" t="n"/>
      <c r="B9" s="38" t="n"/>
      <c r="C9" s="38" t="n"/>
      <c r="D9" s="38" t="n"/>
      <c r="E9" s="38" t="n"/>
      <c r="F9" s="38" t="n"/>
      <c r="G9" s="42" t="n"/>
      <c r="H9" s="38" t="n"/>
    </row>
    <row r="10" ht="21" customHeight="1">
      <c r="A10" s="42" t="n"/>
      <c r="B10" s="38" t="n"/>
      <c r="C10" s="38" t="n"/>
      <c r="D10" s="38" t="n"/>
      <c r="E10" s="38" t="n"/>
      <c r="F10" s="38" t="n"/>
      <c r="G10" s="42" t="n"/>
      <c r="H10" s="38" t="n"/>
    </row>
    <row r="11" ht="21" customHeight="1">
      <c r="A11" s="42" t="n"/>
      <c r="B11" s="38" t="n"/>
      <c r="C11" s="38" t="n"/>
      <c r="D11" s="38" t="n"/>
      <c r="E11" s="38" t="n"/>
      <c r="F11" s="38" t="n"/>
      <c r="G11" s="42" t="n"/>
      <c r="H11" s="38" t="n"/>
    </row>
    <row r="12" ht="21" customHeight="1">
      <c r="A12" s="42" t="n"/>
      <c r="B12" s="38" t="n"/>
      <c r="C12" s="38" t="n"/>
      <c r="D12" s="38" t="n"/>
      <c r="E12" s="38" t="n"/>
      <c r="F12" s="38" t="n"/>
      <c r="G12" s="42" t="n"/>
      <c r="H12" s="38" t="n"/>
    </row>
    <row r="13" ht="21" customHeight="1">
      <c r="A13" s="42" t="n"/>
      <c r="B13" s="38" t="n"/>
      <c r="C13" s="38" t="n"/>
      <c r="D13" s="38" t="n"/>
      <c r="E13" s="38" t="n"/>
      <c r="F13" s="38" t="n"/>
      <c r="G13" s="42" t="n"/>
      <c r="H13" s="38" t="n"/>
    </row>
    <row r="14" ht="21" customHeight="1">
      <c r="A14" s="42" t="n"/>
      <c r="B14" s="38" t="n"/>
      <c r="C14" s="38" t="n"/>
      <c r="D14" s="38" t="n"/>
      <c r="E14" s="38" t="n"/>
      <c r="F14" s="38" t="n"/>
      <c r="G14" s="42" t="n"/>
      <c r="H14" s="38" t="n"/>
    </row>
    <row r="15" ht="21" customHeight="1">
      <c r="A15" s="42" t="n"/>
      <c r="B15" s="38" t="n"/>
      <c r="C15" s="38" t="n"/>
      <c r="D15" s="38" t="n"/>
      <c r="E15" s="38" t="n"/>
      <c r="F15" s="38" t="n"/>
      <c r="G15" s="42" t="n"/>
      <c r="H15" s="38" t="n"/>
    </row>
    <row r="16" ht="21" customHeight="1">
      <c r="A16" s="42" t="n"/>
      <c r="B16" s="38" t="n"/>
      <c r="C16" s="38" t="n"/>
      <c r="D16" s="38" t="n"/>
      <c r="E16" s="38" t="n"/>
      <c r="F16" s="38" t="n"/>
      <c r="G16" s="42" t="n"/>
      <c r="H16" s="38" t="n"/>
    </row>
    <row r="17" ht="21" customHeight="1">
      <c r="A17" s="42" t="n"/>
      <c r="B17" s="38" t="n"/>
      <c r="C17" s="38" t="n"/>
      <c r="D17" s="38" t="n"/>
      <c r="E17" s="38" t="n"/>
      <c r="F17" s="38" t="n"/>
      <c r="G17" s="42" t="n"/>
      <c r="H17" s="38" t="n"/>
    </row>
    <row r="18" ht="21" customHeight="1">
      <c r="A18" s="42" t="n"/>
      <c r="B18" s="38" t="n"/>
      <c r="C18" s="38" t="n"/>
      <c r="D18" s="38" t="n"/>
      <c r="E18" s="38" t="n"/>
      <c r="F18" s="38" t="n"/>
      <c r="G18" s="42" t="n"/>
      <c r="H18" s="38" t="n"/>
    </row>
    <row r="19" ht="21" customHeight="1">
      <c r="A19" s="42" t="n"/>
      <c r="B19" s="38" t="n"/>
      <c r="C19" s="38" t="n"/>
      <c r="D19" s="38" t="n"/>
      <c r="E19" s="38" t="n"/>
      <c r="F19" s="38" t="n"/>
      <c r="G19" s="42" t="n"/>
      <c r="H19" s="38" t="n"/>
    </row>
    <row r="20" ht="21" customHeight="1">
      <c r="A20" s="42" t="n"/>
      <c r="B20" s="38" t="n"/>
      <c r="C20" s="38" t="n"/>
      <c r="D20" s="38" t="n"/>
      <c r="E20" s="38" t="n"/>
      <c r="F20" s="38" t="n"/>
      <c r="G20" s="42" t="n"/>
      <c r="H20" s="38" t="n"/>
    </row>
    <row r="21" ht="21" customHeight="1">
      <c r="A21" s="42" t="n"/>
      <c r="B21" s="38" t="n"/>
      <c r="C21" s="38" t="n"/>
      <c r="D21" s="38" t="n"/>
      <c r="E21" s="38" t="n"/>
      <c r="F21" s="38" t="n"/>
      <c r="G21" s="42" t="n"/>
      <c r="H21" s="38" t="n"/>
    </row>
    <row r="22" ht="21" customHeight="1">
      <c r="A22" s="42" t="n"/>
      <c r="B22" s="38" t="n"/>
      <c r="C22" s="38" t="n"/>
      <c r="D22" s="38" t="n"/>
      <c r="E22" s="38" t="n"/>
      <c r="F22" s="38" t="n"/>
      <c r="G22" s="42" t="n"/>
      <c r="H22" s="38" t="n"/>
    </row>
    <row r="23" ht="21" customHeight="1">
      <c r="A23" s="42" t="n"/>
      <c r="B23" s="38" t="n"/>
      <c r="C23" s="38" t="n"/>
      <c r="D23" s="38" t="n"/>
      <c r="E23" s="38" t="n"/>
      <c r="F23" s="38" t="n"/>
      <c r="G23" s="42" t="n"/>
      <c r="H23" s="38" t="n"/>
    </row>
    <row r="24" ht="21" customHeight="1">
      <c r="A24" s="42" t="n"/>
      <c r="B24" s="38" t="n"/>
      <c r="C24" s="38" t="n"/>
      <c r="D24" s="38" t="n"/>
      <c r="E24" s="38" t="n"/>
      <c r="F24" s="38" t="n"/>
      <c r="G24" s="42" t="n"/>
      <c r="H24" s="38" t="n"/>
    </row>
    <row r="25" ht="21" customHeight="1">
      <c r="A25" s="42" t="n"/>
      <c r="B25" s="38" t="n"/>
      <c r="C25" s="38" t="n"/>
      <c r="D25" s="38" t="n"/>
      <c r="E25" s="38" t="n"/>
      <c r="F25" s="38" t="n"/>
      <c r="G25" s="42" t="n"/>
      <c r="H25" s="38" t="n"/>
    </row>
    <row r="26" ht="21" customHeight="1">
      <c r="A26" s="42" t="n"/>
      <c r="B26" s="38" t="n"/>
      <c r="C26" s="38" t="n"/>
      <c r="D26" s="38" t="n"/>
      <c r="E26" s="38" t="n"/>
      <c r="F26" s="38" t="n"/>
      <c r="G26" s="42" t="n"/>
      <c r="H26" s="38" t="n"/>
    </row>
    <row r="27" ht="21" customHeight="1">
      <c r="A27" s="42" t="n"/>
      <c r="B27" s="38" t="n"/>
      <c r="C27" s="38" t="n"/>
      <c r="D27" s="38" t="n"/>
      <c r="E27" s="38" t="n"/>
      <c r="F27" s="38" t="n"/>
      <c r="G27" s="42" t="n"/>
      <c r="H27" s="38" t="n"/>
    </row>
    <row r="28" ht="21" customHeight="1">
      <c r="A28" s="42" t="n"/>
      <c r="B28" s="38" t="n"/>
      <c r="C28" s="38" t="n"/>
      <c r="D28" s="38" t="n"/>
      <c r="E28" s="38" t="n"/>
      <c r="F28" s="38" t="n"/>
      <c r="G28" s="42" t="n"/>
      <c r="H28" s="38" t="n"/>
    </row>
    <row r="29" ht="21" customHeight="1">
      <c r="A29" s="42" t="n"/>
      <c r="B29" s="38" t="n"/>
      <c r="C29" s="38" t="n"/>
      <c r="D29" s="38" t="n"/>
      <c r="E29" s="38" t="n"/>
      <c r="F29" s="38" t="n"/>
      <c r="G29" s="42" t="n"/>
      <c r="H29" s="38" t="n"/>
    </row>
    <row r="30" ht="21" customHeight="1">
      <c r="A30" s="42" t="n"/>
      <c r="B30" s="38" t="n"/>
      <c r="C30" s="38" t="n"/>
      <c r="D30" s="38" t="n"/>
      <c r="E30" s="38" t="n"/>
      <c r="F30" s="38" t="n"/>
      <c r="G30" s="42" t="n"/>
      <c r="H30" s="38" t="n"/>
    </row>
    <row r="31" ht="21" customHeight="1">
      <c r="A31" s="42" t="n"/>
      <c r="B31" s="38" t="n"/>
      <c r="C31" s="38" t="n"/>
      <c r="D31" s="38" t="n"/>
      <c r="E31" s="38" t="n"/>
      <c r="F31" s="38" t="n"/>
      <c r="G31" s="42" t="n"/>
      <c r="H31" s="38" t="n"/>
    </row>
    <row r="32" ht="21" customHeight="1">
      <c r="A32" s="42" t="n"/>
      <c r="B32" s="38" t="n"/>
      <c r="C32" s="38" t="n"/>
      <c r="D32" s="38" t="n"/>
      <c r="E32" s="38" t="n"/>
      <c r="F32" s="38" t="n"/>
      <c r="G32" s="42" t="n"/>
      <c r="H32" s="38" t="n"/>
    </row>
    <row r="33" ht="21" customHeight="1">
      <c r="A33" s="42" t="n"/>
      <c r="B33" s="38" t="n"/>
      <c r="C33" s="38" t="n"/>
      <c r="D33" s="38" t="n"/>
      <c r="E33" s="38" t="n"/>
      <c r="F33" s="38" t="n"/>
      <c r="G33" s="42" t="n"/>
      <c r="H33" s="38" t="n"/>
    </row>
    <row r="34" ht="21" customHeight="1">
      <c r="A34" s="42" t="n"/>
      <c r="B34" s="38" t="n"/>
      <c r="C34" s="38" t="n"/>
      <c r="D34" s="38" t="n"/>
      <c r="E34" s="38" t="n"/>
      <c r="F34" s="38" t="n"/>
      <c r="G34" s="42" t="n"/>
      <c r="H34" s="38" t="n"/>
    </row>
    <row r="35" ht="21" customHeight="1">
      <c r="A35" s="42" t="n"/>
      <c r="B35" s="38" t="n"/>
      <c r="C35" s="38" t="n"/>
      <c r="D35" s="38" t="n"/>
      <c r="E35" s="38" t="n"/>
      <c r="F35" s="38" t="n"/>
      <c r="G35" s="42" t="n"/>
      <c r="H35" s="38" t="n"/>
    </row>
    <row r="36" ht="21" customHeight="1">
      <c r="A36" s="42" t="n"/>
      <c r="B36" s="38" t="n"/>
      <c r="C36" s="38" t="n"/>
      <c r="D36" s="38" t="n"/>
      <c r="E36" s="38" t="n"/>
      <c r="F36" s="38" t="n"/>
      <c r="G36" s="42" t="n"/>
      <c r="H36" s="38" t="n"/>
    </row>
    <row r="37" ht="21" customHeight="1">
      <c r="A37" s="42" t="n"/>
      <c r="B37" s="38" t="n"/>
      <c r="C37" s="38" t="n"/>
      <c r="D37" s="38" t="n"/>
      <c r="E37" s="38" t="n"/>
      <c r="F37" s="38" t="n"/>
      <c r="G37" s="42" t="n"/>
      <c r="H37" s="38" t="n"/>
    </row>
    <row r="38" ht="21" customHeight="1">
      <c r="A38" s="42" t="n"/>
      <c r="B38" s="38" t="n"/>
      <c r="C38" s="38" t="n"/>
      <c r="D38" s="38" t="n"/>
      <c r="E38" s="38" t="n"/>
      <c r="F38" s="38" t="n"/>
      <c r="G38" s="42" t="n"/>
      <c r="H38" s="38" t="n"/>
    </row>
    <row r="39" ht="21" customHeight="1">
      <c r="A39" s="42" t="n"/>
      <c r="B39" s="38" t="n"/>
      <c r="C39" s="38" t="n"/>
      <c r="D39" s="38" t="n"/>
      <c r="E39" s="38" t="n"/>
      <c r="F39" s="38" t="n"/>
      <c r="G39" s="42" t="n"/>
      <c r="H39" s="38" t="n"/>
    </row>
    <row r="40" ht="21" customHeight="1">
      <c r="A40" s="42" t="n"/>
      <c r="B40" s="38" t="n"/>
      <c r="C40" s="38" t="n"/>
      <c r="D40" s="38" t="n"/>
      <c r="E40" s="38" t="n"/>
      <c r="F40" s="38" t="n"/>
      <c r="G40" s="42" t="n"/>
      <c r="H40" s="38" t="n"/>
    </row>
    <row r="41" ht="21" customHeight="1">
      <c r="A41" s="42" t="n"/>
      <c r="B41" s="38" t="n"/>
      <c r="C41" s="38" t="n"/>
      <c r="D41" s="38" t="n"/>
      <c r="E41" s="38" t="n"/>
      <c r="F41" s="38" t="n"/>
      <c r="G41" s="42" t="n"/>
      <c r="H41" s="38" t="n"/>
    </row>
    <row r="42" ht="21" customHeight="1">
      <c r="A42" s="42" t="n"/>
      <c r="B42" s="38" t="n"/>
      <c r="C42" s="38" t="n"/>
      <c r="D42" s="38" t="n"/>
      <c r="E42" s="38" t="n"/>
      <c r="F42" s="38" t="n"/>
      <c r="G42" s="42" t="n"/>
      <c r="H42" s="38" t="n"/>
    </row>
    <row r="43" ht="21" customHeight="1">
      <c r="A43" s="42" t="n"/>
      <c r="B43" s="38" t="n"/>
      <c r="C43" s="38" t="n"/>
      <c r="D43" s="38" t="n"/>
      <c r="E43" s="38" t="n"/>
      <c r="F43" s="38" t="n"/>
      <c r="G43" s="42" t="n"/>
      <c r="H43" s="38" t="n"/>
    </row>
    <row r="44" ht="21" customHeight="1">
      <c r="A44" s="42" t="n"/>
      <c r="B44" s="38" t="n"/>
      <c r="C44" s="38" t="n"/>
      <c r="D44" s="38" t="n"/>
      <c r="E44" s="38" t="n"/>
      <c r="F44" s="38" t="n"/>
      <c r="G44" s="42" t="n"/>
      <c r="H44" s="38" t="n"/>
    </row>
    <row r="45" ht="21" customHeight="1">
      <c r="A45" s="42" t="n"/>
      <c r="B45" s="38" t="n"/>
      <c r="C45" s="38" t="n"/>
      <c r="D45" s="38" t="n"/>
      <c r="E45" s="38" t="n"/>
      <c r="F45" s="38" t="n"/>
      <c r="G45" s="42" t="n"/>
      <c r="H45" s="38" t="n"/>
    </row>
    <row r="46" ht="21" customHeight="1">
      <c r="A46" s="42" t="n"/>
      <c r="B46" s="38" t="n"/>
      <c r="C46" s="38" t="n"/>
      <c r="D46" s="38" t="n"/>
      <c r="E46" s="38" t="n"/>
      <c r="F46" s="38" t="n"/>
      <c r="G46" s="42" t="n"/>
      <c r="H46" s="38" t="n"/>
    </row>
    <row r="47" ht="21" customHeight="1">
      <c r="A47" s="42" t="n"/>
      <c r="B47" s="38" t="n"/>
      <c r="C47" s="38" t="n"/>
      <c r="D47" s="38" t="n"/>
      <c r="E47" s="38" t="n"/>
      <c r="F47" s="38" t="n"/>
      <c r="G47" s="42" t="n"/>
      <c r="H47" s="38" t="n"/>
    </row>
    <row r="48" ht="21" customHeight="1">
      <c r="A48" s="42" t="n"/>
      <c r="B48" s="38" t="n"/>
      <c r="C48" s="38" t="n"/>
      <c r="D48" s="38" t="n"/>
      <c r="E48" s="38" t="n"/>
      <c r="F48" s="38" t="n"/>
      <c r="G48" s="42" t="n"/>
      <c r="H48" s="38" t="n"/>
    </row>
    <row r="49" ht="21" customHeight="1">
      <c r="A49" s="42" t="n"/>
      <c r="B49" s="38" t="n"/>
      <c r="C49" s="38" t="n"/>
      <c r="D49" s="38" t="n"/>
      <c r="E49" s="38" t="n"/>
      <c r="F49" s="38" t="n"/>
      <c r="G49" s="42" t="n"/>
      <c r="H49" s="38" t="n"/>
    </row>
    <row r="50" ht="21" customHeight="1">
      <c r="A50" s="42" t="n"/>
      <c r="B50" s="38" t="n"/>
      <c r="C50" s="38" t="n"/>
      <c r="D50" s="38" t="n"/>
      <c r="E50" s="38" t="n"/>
      <c r="F50" s="38" t="n"/>
      <c r="G50" s="42" t="n"/>
      <c r="H50" s="38" t="n"/>
    </row>
    <row r="51" ht="21" customHeight="1">
      <c r="A51" s="42" t="n"/>
      <c r="B51" s="38" t="n"/>
      <c r="C51" s="38" t="n"/>
      <c r="D51" s="38" t="n"/>
      <c r="E51" s="38" t="n"/>
      <c r="F51" s="38" t="n"/>
      <c r="G51" s="42" t="n"/>
      <c r="H51" s="38" t="n"/>
    </row>
    <row r="52" ht="21" customHeight="1">
      <c r="A52" s="42" t="n"/>
      <c r="B52" s="38" t="n"/>
      <c r="C52" s="38" t="n"/>
      <c r="D52" s="38" t="n"/>
      <c r="E52" s="38" t="n"/>
      <c r="F52" s="38" t="n"/>
      <c r="G52" s="42" t="n"/>
      <c r="H52" s="38" t="n"/>
    </row>
    <row r="53" ht="21" customHeight="1">
      <c r="A53" s="42" t="n"/>
      <c r="B53" s="38" t="n"/>
      <c r="C53" s="38" t="n"/>
      <c r="D53" s="38" t="n"/>
      <c r="E53" s="38" t="n"/>
      <c r="F53" s="38" t="n"/>
      <c r="G53" s="42" t="n"/>
      <c r="H53" s="38" t="n"/>
    </row>
    <row r="54" ht="21" customHeight="1">
      <c r="A54" s="42" t="n"/>
      <c r="B54" s="38" t="n"/>
      <c r="C54" s="38" t="n"/>
      <c r="D54" s="38" t="n"/>
      <c r="E54" s="38" t="n"/>
      <c r="F54" s="38" t="n"/>
      <c r="G54" s="42" t="n"/>
      <c r="H54" s="38" t="n"/>
    </row>
    <row r="55" ht="21" customHeight="1">
      <c r="A55" s="42" t="n"/>
      <c r="B55" s="38" t="n"/>
      <c r="C55" s="38" t="n"/>
      <c r="D55" s="38" t="n"/>
      <c r="E55" s="38" t="n"/>
      <c r="F55" s="38" t="n"/>
      <c r="G55" s="42" t="n"/>
      <c r="H55" s="38" t="n"/>
    </row>
    <row r="56" ht="21" customHeight="1">
      <c r="A56" s="42" t="n"/>
      <c r="B56" s="38" t="n"/>
      <c r="C56" s="38" t="n"/>
      <c r="D56" s="38" t="n"/>
      <c r="E56" s="38" t="n"/>
      <c r="F56" s="38" t="n"/>
      <c r="G56" s="42" t="n"/>
      <c r="H56" s="38" t="n"/>
    </row>
    <row r="57" ht="21" customHeight="1">
      <c r="A57" s="42" t="n"/>
      <c r="B57" s="38" t="n"/>
      <c r="C57" s="38" t="n"/>
      <c r="D57" s="38" t="n"/>
      <c r="E57" s="38" t="n"/>
      <c r="F57" s="38" t="n"/>
      <c r="G57" s="42" t="n"/>
      <c r="H57" s="38" t="n"/>
    </row>
    <row r="58" ht="21" customHeight="1">
      <c r="A58" s="42" t="n"/>
      <c r="B58" s="38" t="n"/>
      <c r="C58" s="38" t="n"/>
      <c r="D58" s="38" t="n"/>
      <c r="E58" s="38" t="n"/>
      <c r="F58" s="38" t="n"/>
      <c r="G58" s="42" t="n"/>
      <c r="H58" s="38" t="n"/>
    </row>
    <row r="59" ht="21" customHeight="1">
      <c r="A59" s="42" t="n"/>
      <c r="B59" s="38" t="n"/>
      <c r="C59" s="38" t="n"/>
      <c r="D59" s="38" t="n"/>
      <c r="E59" s="38" t="n"/>
      <c r="F59" s="38" t="n"/>
      <c r="G59" s="42" t="n"/>
      <c r="H59" s="38" t="n"/>
    </row>
    <row r="60" ht="21" customHeight="1">
      <c r="A60" s="42" t="n"/>
      <c r="B60" s="38" t="n"/>
      <c r="C60" s="38" t="n"/>
      <c r="D60" s="38" t="n"/>
      <c r="E60" s="38" t="n"/>
      <c r="F60" s="38" t="n"/>
      <c r="G60" s="42" t="n"/>
      <c r="H60" s="38" t="n"/>
    </row>
    <row r="61" ht="21" customHeight="1">
      <c r="A61" s="42" t="n"/>
      <c r="B61" s="38" t="n"/>
      <c r="C61" s="38" t="n"/>
      <c r="D61" s="38" t="n"/>
      <c r="E61" s="38" t="n"/>
      <c r="F61" s="38" t="n"/>
      <c r="G61" s="42" t="n"/>
      <c r="H61" s="38" t="n"/>
    </row>
    <row r="62" ht="21" customHeight="1">
      <c r="A62" s="42" t="n"/>
      <c r="B62" s="38" t="n"/>
      <c r="C62" s="38" t="n"/>
      <c r="D62" s="38" t="n"/>
      <c r="E62" s="38" t="n"/>
      <c r="F62" s="38" t="n"/>
      <c r="G62" s="42" t="n"/>
      <c r="H62" s="38" t="n"/>
    </row>
    <row r="63" ht="21" customHeight="1">
      <c r="A63" s="42" t="n"/>
      <c r="B63" s="38" t="n"/>
      <c r="C63" s="38" t="n"/>
      <c r="D63" s="38" t="n"/>
      <c r="E63" s="38" t="n"/>
      <c r="F63" s="38" t="n"/>
      <c r="G63" s="42" t="n"/>
      <c r="H63" s="38" t="n"/>
    </row>
    <row r="64" ht="21" customHeight="1">
      <c r="A64" s="42" t="n"/>
      <c r="B64" s="38" t="n"/>
      <c r="C64" s="38" t="n"/>
      <c r="D64" s="38" t="n"/>
      <c r="E64" s="38" t="n"/>
      <c r="F64" s="38" t="n"/>
      <c r="G64" s="42" t="n"/>
      <c r="H64" s="38" t="n"/>
    </row>
    <row r="65" ht="21" customHeight="1">
      <c r="A65" s="42" t="n"/>
      <c r="B65" s="38" t="n"/>
      <c r="C65" s="38" t="n"/>
      <c r="D65" s="38" t="n"/>
      <c r="E65" s="38" t="n"/>
      <c r="F65" s="38" t="n"/>
      <c r="G65" s="42" t="n"/>
      <c r="H65" s="38" t="n"/>
    </row>
    <row r="66" ht="21" customHeight="1">
      <c r="A66" s="42" t="n"/>
      <c r="B66" s="38" t="n"/>
      <c r="C66" s="38" t="n"/>
      <c r="D66" s="38" t="n"/>
      <c r="E66" s="38" t="n"/>
      <c r="F66" s="38" t="n"/>
      <c r="G66" s="42" t="n"/>
      <c r="H66" s="38" t="n"/>
    </row>
    <row r="67" ht="21" customHeight="1">
      <c r="A67" s="42" t="n"/>
      <c r="B67" s="38" t="n"/>
      <c r="C67" s="38" t="n"/>
      <c r="D67" s="38" t="n"/>
      <c r="E67" s="38" t="n"/>
      <c r="F67" s="38" t="n"/>
      <c r="G67" s="42" t="n"/>
      <c r="H67" s="38" t="n"/>
    </row>
    <row r="68" ht="21" customHeight="1">
      <c r="A68" s="42" t="n"/>
      <c r="B68" s="38" t="n"/>
      <c r="C68" s="38" t="n"/>
      <c r="D68" s="38" t="n"/>
      <c r="E68" s="38" t="n"/>
      <c r="F68" s="38" t="n"/>
      <c r="G68" s="42" t="n"/>
      <c r="H68" s="38" t="n"/>
    </row>
    <row r="69" ht="21" customHeight="1">
      <c r="A69" s="42" t="n"/>
      <c r="B69" s="38" t="n"/>
      <c r="C69" s="38" t="n"/>
      <c r="D69" s="38" t="n"/>
      <c r="E69" s="38" t="n"/>
      <c r="F69" s="38" t="n"/>
      <c r="G69" s="42" t="n"/>
      <c r="H69" s="38" t="n"/>
    </row>
    <row r="70" ht="21" customHeight="1">
      <c r="A70" s="42" t="n"/>
      <c r="B70" s="38" t="n"/>
      <c r="C70" s="38" t="n"/>
      <c r="D70" s="38" t="n"/>
      <c r="E70" s="38" t="n"/>
      <c r="F70" s="38" t="n"/>
      <c r="G70" s="42" t="n"/>
      <c r="H70" s="38" t="n"/>
    </row>
    <row r="71" ht="21" customHeight="1">
      <c r="A71" s="42" t="n"/>
      <c r="B71" s="38" t="n"/>
      <c r="C71" s="38" t="n"/>
      <c r="D71" s="38" t="n"/>
      <c r="E71" s="38" t="n"/>
      <c r="F71" s="38" t="n"/>
      <c r="G71" s="42" t="n"/>
      <c r="H71" s="38" t="n"/>
    </row>
    <row r="72" ht="21" customHeight="1">
      <c r="A72" s="42" t="n"/>
      <c r="B72" s="38" t="n"/>
      <c r="C72" s="38" t="n"/>
      <c r="D72" s="38" t="n"/>
      <c r="E72" s="38" t="n"/>
      <c r="F72" s="38" t="n"/>
      <c r="G72" s="42" t="n"/>
      <c r="H72" s="38" t="n"/>
    </row>
    <row r="73" ht="21" customHeight="1">
      <c r="A73" s="42" t="n"/>
      <c r="B73" s="38" t="n"/>
      <c r="C73" s="38" t="n"/>
      <c r="D73" s="38" t="n"/>
      <c r="E73" s="38" t="n"/>
      <c r="F73" s="38" t="n"/>
      <c r="G73" s="42" t="n"/>
      <c r="H73" s="38" t="n"/>
    </row>
    <row r="74" ht="21" customHeight="1">
      <c r="A74" s="42" t="n"/>
      <c r="B74" s="38" t="n"/>
      <c r="C74" s="38" t="n"/>
      <c r="D74" s="38" t="n"/>
      <c r="E74" s="38" t="n"/>
      <c r="F74" s="38" t="n"/>
      <c r="G74" s="42" t="n"/>
      <c r="H74" s="38" t="n"/>
    </row>
    <row r="75" ht="21" customHeight="1">
      <c r="A75" s="42" t="n"/>
      <c r="B75" s="38" t="n"/>
      <c r="C75" s="38" t="n"/>
      <c r="D75" s="38" t="n"/>
      <c r="E75" s="38" t="n"/>
      <c r="F75" s="38" t="n"/>
      <c r="G75" s="42" t="n"/>
      <c r="H75" s="38" t="n"/>
    </row>
    <row r="76" ht="21" customHeight="1">
      <c r="A76" s="42" t="n"/>
      <c r="B76" s="38" t="n"/>
      <c r="C76" s="38" t="n"/>
      <c r="D76" s="38" t="n"/>
      <c r="E76" s="38" t="n"/>
      <c r="F76" s="38" t="n"/>
      <c r="G76" s="42" t="n"/>
      <c r="H76" s="38" t="n"/>
    </row>
    <row r="77" ht="21" customHeight="1">
      <c r="A77" s="42" t="n"/>
      <c r="B77" s="38" t="n"/>
      <c r="C77" s="38" t="n"/>
      <c r="D77" s="38" t="n"/>
      <c r="E77" s="38" t="n"/>
      <c r="F77" s="38" t="n"/>
      <c r="G77" s="42" t="n"/>
      <c r="H77" s="38" t="n"/>
    </row>
    <row r="78" ht="21" customHeight="1">
      <c r="A78" s="42" t="n"/>
      <c r="B78" s="38" t="n"/>
      <c r="C78" s="38" t="n"/>
      <c r="D78" s="38" t="n"/>
      <c r="E78" s="38" t="n"/>
      <c r="F78" s="38" t="n"/>
      <c r="G78" s="42" t="n"/>
      <c r="H78" s="38" t="n"/>
    </row>
    <row r="79" ht="21" customHeight="1">
      <c r="A79" s="42" t="n"/>
      <c r="B79" s="38" t="n"/>
      <c r="C79" s="38" t="n"/>
      <c r="D79" s="38" t="n"/>
      <c r="E79" s="38" t="n"/>
      <c r="F79" s="38" t="n"/>
      <c r="G79" s="42" t="n"/>
      <c r="H79" s="38" t="n"/>
    </row>
    <row r="80" ht="21" customHeight="1">
      <c r="A80" s="42" t="n"/>
      <c r="B80" s="38" t="n"/>
      <c r="C80" s="38" t="n"/>
      <c r="D80" s="38" t="n"/>
      <c r="E80" s="38" t="n"/>
      <c r="F80" s="38" t="n"/>
      <c r="G80" s="42" t="n"/>
      <c r="H80" s="38" t="n"/>
    </row>
    <row r="81" ht="21" customHeight="1">
      <c r="A81" s="42" t="n"/>
      <c r="B81" s="38" t="n"/>
      <c r="C81" s="38" t="n"/>
      <c r="D81" s="38" t="n"/>
      <c r="E81" s="38" t="n"/>
      <c r="F81" s="38" t="n"/>
      <c r="G81" s="42" t="n"/>
      <c r="H81" s="38" t="n"/>
    </row>
    <row r="82" ht="21" customHeight="1">
      <c r="A82" s="42" t="n"/>
      <c r="B82" s="38" t="n"/>
      <c r="C82" s="38" t="n"/>
      <c r="D82" s="38" t="n"/>
      <c r="E82" s="38" t="n"/>
      <c r="F82" s="38" t="n"/>
      <c r="G82" s="42" t="n"/>
      <c r="H82" s="38" t="n"/>
    </row>
    <row r="83" ht="21" customHeight="1">
      <c r="A83" s="42" t="n"/>
      <c r="B83" s="38" t="n"/>
      <c r="C83" s="38" t="n"/>
      <c r="D83" s="38" t="n"/>
      <c r="E83" s="38" t="n"/>
      <c r="F83" s="38" t="n"/>
      <c r="G83" s="42" t="n"/>
      <c r="H83" s="38" t="n"/>
    </row>
    <row r="84" ht="21" customHeight="1">
      <c r="A84" s="42" t="n"/>
      <c r="B84" s="38" t="n"/>
      <c r="C84" s="38" t="n"/>
      <c r="D84" s="38" t="n"/>
      <c r="E84" s="38" t="n"/>
      <c r="F84" s="38" t="n"/>
      <c r="G84" s="42" t="n"/>
      <c r="H84" s="38" t="n"/>
    </row>
    <row r="85" ht="21" customHeight="1">
      <c r="A85" s="42" t="n"/>
      <c r="B85" s="38" t="n"/>
      <c r="C85" s="38" t="n"/>
      <c r="D85" s="38" t="n"/>
      <c r="E85" s="38" t="n"/>
      <c r="F85" s="38" t="n"/>
      <c r="G85" s="42" t="n"/>
      <c r="H85" s="38" t="n"/>
    </row>
    <row r="86" ht="21" customHeight="1">
      <c r="A86" s="42" t="n"/>
      <c r="B86" s="38" t="n"/>
      <c r="C86" s="38" t="n"/>
      <c r="D86" s="38" t="n"/>
      <c r="E86" s="38" t="n"/>
      <c r="F86" s="38" t="n"/>
      <c r="G86" s="42" t="n"/>
      <c r="H86" s="38" t="n"/>
    </row>
    <row r="87" ht="21" customHeight="1">
      <c r="A87" s="42" t="n"/>
      <c r="B87" s="38" t="n"/>
      <c r="C87" s="38" t="n"/>
      <c r="D87" s="38" t="n"/>
      <c r="E87" s="38" t="n"/>
      <c r="F87" s="38" t="n"/>
      <c r="G87" s="42" t="n"/>
      <c r="H87" s="38" t="n"/>
    </row>
    <row r="88" ht="21" customHeight="1">
      <c r="A88" s="42" t="n"/>
      <c r="B88" s="38" t="n"/>
      <c r="C88" s="38" t="n"/>
      <c r="D88" s="38" t="n"/>
      <c r="E88" s="38" t="n"/>
      <c r="F88" s="38" t="n"/>
      <c r="G88" s="42" t="n"/>
      <c r="H88" s="38" t="n"/>
    </row>
    <row r="89" ht="21" customHeight="1">
      <c r="A89" s="42" t="n"/>
      <c r="B89" s="38" t="n"/>
      <c r="C89" s="38" t="n"/>
      <c r="D89" s="38" t="n"/>
      <c r="E89" s="38" t="n"/>
      <c r="F89" s="38" t="n"/>
      <c r="G89" s="42" t="n"/>
      <c r="H89" s="38" t="n"/>
    </row>
    <row r="90" ht="21" customHeight="1">
      <c r="A90" s="42" t="n"/>
      <c r="B90" s="38" t="n"/>
      <c r="C90" s="38" t="n"/>
      <c r="D90" s="38" t="n"/>
      <c r="E90" s="38" t="n"/>
      <c r="F90" s="38" t="n"/>
      <c r="G90" s="42" t="n"/>
      <c r="H90" s="38" t="n"/>
    </row>
    <row r="91" ht="21" customHeight="1">
      <c r="A91" s="42" t="n"/>
      <c r="B91" s="38" t="n"/>
      <c r="C91" s="38" t="n"/>
      <c r="D91" s="38" t="n"/>
      <c r="E91" s="38" t="n"/>
      <c r="F91" s="38" t="n"/>
      <c r="G91" s="42" t="n"/>
      <c r="H91" s="38" t="n"/>
    </row>
    <row r="92" ht="21" customHeight="1">
      <c r="A92" s="42" t="n"/>
      <c r="B92" s="38" t="n"/>
      <c r="C92" s="38" t="n"/>
      <c r="D92" s="38" t="n"/>
      <c r="E92" s="38" t="n"/>
      <c r="F92" s="38" t="n"/>
      <c r="G92" s="42" t="n"/>
      <c r="H92" s="38" t="n"/>
    </row>
    <row r="93" ht="21" customHeight="1">
      <c r="A93" s="42" t="n"/>
      <c r="B93" s="38" t="n"/>
      <c r="C93" s="38" t="n"/>
      <c r="D93" s="38" t="n"/>
      <c r="E93" s="38" t="n"/>
      <c r="F93" s="38" t="n"/>
      <c r="G93" s="42" t="n"/>
      <c r="H93" s="38" t="n"/>
    </row>
    <row r="94" ht="21" customHeight="1">
      <c r="A94" s="42" t="n"/>
      <c r="B94" s="38" t="n"/>
      <c r="C94" s="38" t="n"/>
      <c r="D94" s="38" t="n"/>
      <c r="E94" s="38" t="n"/>
      <c r="F94" s="38" t="n"/>
      <c r="G94" s="42" t="n"/>
      <c r="H94" s="38" t="n"/>
    </row>
    <row r="95" ht="21" customHeight="1">
      <c r="A95" s="42" t="n"/>
      <c r="B95" s="38" t="n"/>
      <c r="C95" s="38" t="n"/>
      <c r="D95" s="38" t="n"/>
      <c r="E95" s="38" t="n"/>
      <c r="F95" s="38" t="n"/>
      <c r="G95" s="42" t="n"/>
      <c r="H95" s="38" t="n"/>
    </row>
    <row r="96" ht="21" customHeight="1">
      <c r="A96" s="42" t="n"/>
      <c r="B96" s="38" t="n"/>
      <c r="C96" s="38" t="n"/>
      <c r="D96" s="38" t="n"/>
      <c r="E96" s="38" t="n"/>
      <c r="F96" s="38" t="n"/>
      <c r="G96" s="42" t="n"/>
      <c r="H96" s="38" t="n"/>
    </row>
    <row r="97" ht="21" customHeight="1">
      <c r="A97" s="42" t="n"/>
      <c r="B97" s="38" t="n"/>
      <c r="C97" s="38" t="n"/>
      <c r="D97" s="38" t="n"/>
      <c r="E97" s="38" t="n"/>
      <c r="F97" s="38" t="n"/>
      <c r="G97" s="42" t="n"/>
      <c r="H97" s="38" t="n"/>
    </row>
    <row r="98" ht="21" customHeight="1">
      <c r="A98" s="42" t="n"/>
      <c r="B98" s="38" t="n"/>
      <c r="C98" s="38" t="n"/>
      <c r="D98" s="38" t="n"/>
      <c r="E98" s="38" t="n"/>
      <c r="F98" s="38" t="n"/>
      <c r="G98" s="42" t="n"/>
      <c r="H98" s="38" t="n"/>
    </row>
    <row r="99" ht="21" customHeight="1">
      <c r="A99" s="42" t="n"/>
      <c r="B99" s="38" t="n"/>
      <c r="C99" s="38" t="n"/>
      <c r="D99" s="38" t="n"/>
      <c r="E99" s="38" t="n"/>
      <c r="F99" s="38" t="n"/>
      <c r="G99" s="42" t="n"/>
      <c r="H99" s="38" t="n"/>
    </row>
    <row r="100" ht="21" customHeight="1">
      <c r="A100" s="42" t="n"/>
      <c r="B100" s="38" t="n"/>
      <c r="C100" s="38" t="n"/>
      <c r="D100" s="38" t="n"/>
      <c r="E100" s="38" t="n"/>
      <c r="F100" s="38" t="n"/>
      <c r="G100" s="42" t="n"/>
      <c r="H100" s="38" t="n"/>
    </row>
    <row r="101" ht="21" customHeight="1">
      <c r="A101" s="42" t="n"/>
      <c r="B101" s="38" t="n"/>
      <c r="C101" s="38" t="n"/>
      <c r="D101" s="38" t="n"/>
      <c r="E101" s="38" t="n"/>
      <c r="F101" s="38" t="n"/>
      <c r="G101" s="42" t="n"/>
      <c r="H101" s="38" t="n"/>
    </row>
    <row r="102" ht="21" customHeight="1">
      <c r="A102" s="42" t="n"/>
      <c r="B102" s="38" t="n"/>
      <c r="C102" s="38" t="n"/>
      <c r="D102" s="38" t="n"/>
      <c r="E102" s="38" t="n"/>
      <c r="F102" s="38" t="n"/>
      <c r="G102" s="42" t="n"/>
      <c r="H102" s="38" t="n"/>
    </row>
    <row r="103" ht="21" customHeight="1">
      <c r="A103" s="42" t="n"/>
      <c r="B103" s="38" t="n"/>
      <c r="C103" s="38" t="n"/>
      <c r="D103" s="38" t="n"/>
      <c r="E103" s="38" t="n"/>
      <c r="F103" s="38" t="n"/>
      <c r="G103" s="42" t="n"/>
      <c r="H103" s="38" t="n"/>
    </row>
    <row r="104" ht="21" customHeight="1">
      <c r="A104" s="42" t="n"/>
      <c r="B104" s="38" t="n"/>
      <c r="C104" s="38" t="n"/>
      <c r="D104" s="38" t="n"/>
      <c r="E104" s="38" t="n"/>
      <c r="F104" s="38" t="n"/>
      <c r="G104" s="42" t="n"/>
      <c r="H104" s="38" t="n"/>
    </row>
    <row r="105" ht="21" customHeight="1">
      <c r="A105" s="42" t="n"/>
      <c r="B105" s="38" t="n"/>
      <c r="C105" s="38" t="n"/>
      <c r="D105" s="38" t="n"/>
      <c r="E105" s="38" t="n"/>
      <c r="F105" s="38" t="n"/>
      <c r="G105" s="42" t="n"/>
      <c r="H105" s="38" t="n"/>
    </row>
    <row r="106" ht="21" customHeight="1">
      <c r="A106" s="42" t="n"/>
      <c r="B106" s="38" t="n"/>
      <c r="C106" s="38" t="n"/>
      <c r="D106" s="38" t="n"/>
      <c r="E106" s="38" t="n"/>
      <c r="F106" s="38" t="n"/>
      <c r="G106" s="42" t="n"/>
      <c r="H106" s="38" t="n"/>
    </row>
    <row r="107" ht="21" customHeight="1">
      <c r="A107" s="42" t="n"/>
      <c r="B107" s="38" t="n"/>
      <c r="C107" s="38" t="n"/>
      <c r="D107" s="38" t="n"/>
      <c r="E107" s="38" t="n"/>
      <c r="F107" s="38" t="n"/>
      <c r="G107" s="42" t="n"/>
      <c r="H107" s="38" t="n"/>
    </row>
    <row r="108" ht="21" customHeight="1">
      <c r="A108" s="42" t="n"/>
      <c r="B108" s="38" t="n"/>
      <c r="C108" s="38" t="n"/>
      <c r="D108" s="38" t="n"/>
      <c r="E108" s="38" t="n"/>
      <c r="F108" s="38" t="n"/>
      <c r="G108" s="42" t="n"/>
      <c r="H108" s="38" t="n"/>
    </row>
    <row r="109" ht="21" customHeight="1">
      <c r="A109" s="42" t="n"/>
      <c r="B109" s="38" t="n"/>
      <c r="C109" s="38" t="n"/>
      <c r="D109" s="38" t="n"/>
      <c r="E109" s="38" t="n"/>
      <c r="F109" s="38" t="n"/>
      <c r="G109" s="42" t="n"/>
      <c r="H109" s="38" t="n"/>
    </row>
    <row r="110" ht="21" customHeight="1">
      <c r="A110" s="42" t="n"/>
      <c r="B110" s="38" t="n"/>
      <c r="C110" s="38" t="n"/>
      <c r="D110" s="38" t="n"/>
      <c r="E110" s="38" t="n"/>
      <c r="F110" s="38" t="n"/>
      <c r="G110" s="42" t="n"/>
      <c r="H110" s="38" t="n"/>
    </row>
    <row r="111" ht="21" customHeight="1">
      <c r="A111" s="42" t="n"/>
      <c r="B111" s="38" t="n"/>
      <c r="C111" s="38" t="n"/>
      <c r="D111" s="38" t="n"/>
      <c r="E111" s="38" t="n"/>
      <c r="F111" s="38" t="n"/>
      <c r="G111" s="42" t="n"/>
      <c r="H111" s="38" t="n"/>
    </row>
    <row r="112" ht="21" customHeight="1">
      <c r="A112" s="42" t="n"/>
      <c r="B112" s="38" t="n"/>
      <c r="C112" s="38" t="n"/>
      <c r="D112" s="38" t="n"/>
      <c r="E112" s="38" t="n"/>
      <c r="F112" s="38" t="n"/>
      <c r="G112" s="42" t="n"/>
      <c r="H112" s="38" t="n"/>
    </row>
    <row r="113" ht="21" customHeight="1">
      <c r="A113" s="42" t="n"/>
      <c r="B113" s="38" t="n"/>
      <c r="C113" s="38" t="n"/>
      <c r="D113" s="38" t="n"/>
      <c r="E113" s="38" t="n"/>
      <c r="F113" s="38" t="n"/>
      <c r="G113" s="42" t="n"/>
      <c r="H113" s="38" t="n"/>
    </row>
    <row r="114" ht="21" customHeight="1">
      <c r="A114" s="42" t="n"/>
      <c r="B114" s="38" t="n"/>
      <c r="C114" s="38" t="n"/>
      <c r="D114" s="38" t="n"/>
      <c r="E114" s="38" t="n"/>
      <c r="F114" s="38" t="n"/>
      <c r="G114" s="42" t="n"/>
      <c r="H114" s="38" t="n"/>
    </row>
    <row r="115" ht="21" customHeight="1">
      <c r="A115" s="42" t="n"/>
      <c r="B115" s="38" t="n"/>
      <c r="C115" s="38" t="n"/>
      <c r="D115" s="38" t="n"/>
      <c r="E115" s="38" t="n"/>
      <c r="F115" s="38" t="n"/>
      <c r="G115" s="42" t="n"/>
      <c r="H115" s="38" t="n"/>
    </row>
    <row r="116" ht="21" customHeight="1">
      <c r="A116" s="42" t="n"/>
      <c r="B116" s="38" t="n"/>
      <c r="C116" s="38" t="n"/>
      <c r="D116" s="38" t="n"/>
      <c r="E116" s="38" t="n"/>
      <c r="F116" s="38" t="n"/>
      <c r="G116" s="42" t="n"/>
      <c r="H116" s="38" t="n"/>
    </row>
    <row r="117" ht="21" customHeight="1">
      <c r="A117" s="42" t="n"/>
      <c r="B117" s="38" t="n"/>
      <c r="C117" s="38" t="n"/>
      <c r="D117" s="38" t="n"/>
      <c r="E117" s="38" t="n"/>
      <c r="F117" s="38" t="n"/>
      <c r="G117" s="42" t="n"/>
      <c r="H117" s="38" t="n"/>
    </row>
    <row r="118" ht="21" customHeight="1">
      <c r="A118" s="42" t="n"/>
      <c r="B118" s="38" t="n"/>
      <c r="C118" s="38" t="n"/>
      <c r="D118" s="38" t="n"/>
      <c r="E118" s="38" t="n"/>
      <c r="F118" s="38" t="n"/>
      <c r="G118" s="42" t="n"/>
      <c r="H118" s="38" t="n"/>
    </row>
    <row r="119" ht="21" customHeight="1">
      <c r="A119" s="42" t="n"/>
      <c r="B119" s="38" t="n"/>
      <c r="C119" s="38" t="n"/>
      <c r="D119" s="38" t="n"/>
      <c r="E119" s="38" t="n"/>
      <c r="F119" s="38" t="n"/>
      <c r="G119" s="42" t="n"/>
      <c r="H119" s="38" t="n"/>
    </row>
    <row r="120" ht="21" customHeight="1">
      <c r="A120" s="42" t="n"/>
      <c r="B120" s="38" t="n"/>
      <c r="C120" s="38" t="n"/>
      <c r="D120" s="38" t="n"/>
      <c r="E120" s="38" t="n"/>
      <c r="F120" s="38" t="n"/>
      <c r="G120" s="42" t="n"/>
      <c r="H120" s="38" t="n"/>
    </row>
    <row r="121" ht="21" customHeight="1">
      <c r="A121" s="42" t="n"/>
      <c r="B121" s="38" t="n"/>
      <c r="C121" s="38" t="n"/>
      <c r="D121" s="38" t="n"/>
      <c r="E121" s="38" t="n"/>
      <c r="F121" s="38" t="n"/>
      <c r="G121" s="42" t="n"/>
      <c r="H121" s="38" t="n"/>
    </row>
    <row r="122" ht="21" customHeight="1">
      <c r="A122" s="42" t="n"/>
      <c r="B122" s="38" t="n"/>
      <c r="C122" s="38" t="n"/>
      <c r="D122" s="38" t="n"/>
      <c r="E122" s="38" t="n"/>
      <c r="F122" s="38" t="n"/>
      <c r="G122" s="42" t="n"/>
      <c r="H122" s="38" t="n"/>
    </row>
    <row r="123" ht="21" customHeight="1">
      <c r="A123" s="42" t="n"/>
      <c r="B123" s="38" t="n"/>
      <c r="C123" s="38" t="n"/>
      <c r="D123" s="38" t="n"/>
      <c r="E123" s="38" t="n"/>
      <c r="F123" s="38" t="n"/>
      <c r="G123" s="42" t="n"/>
      <c r="H123" s="38" t="n"/>
    </row>
    <row r="124" ht="21" customHeight="1">
      <c r="A124" s="42" t="n"/>
      <c r="B124" s="38" t="n"/>
      <c r="C124" s="38" t="n"/>
      <c r="D124" s="38" t="n"/>
      <c r="E124" s="38" t="n"/>
      <c r="F124" s="38" t="n"/>
      <c r="G124" s="42" t="n"/>
      <c r="H124" s="38" t="n"/>
    </row>
    <row r="125" ht="21" customHeight="1">
      <c r="A125" s="42" t="n"/>
      <c r="B125" s="38" t="n"/>
      <c r="C125" s="38" t="n"/>
      <c r="D125" s="38" t="n"/>
      <c r="E125" s="38" t="n"/>
      <c r="F125" s="38" t="n"/>
      <c r="G125" s="42" t="n"/>
      <c r="H125" s="38" t="n"/>
    </row>
    <row r="126" ht="21" customHeight="1">
      <c r="A126" s="42" t="n"/>
      <c r="B126" s="38" t="n"/>
      <c r="C126" s="38" t="n"/>
      <c r="D126" s="38" t="n"/>
      <c r="E126" s="38" t="n"/>
      <c r="F126" s="38" t="n"/>
      <c r="G126" s="42" t="n"/>
      <c r="H126" s="38" t="n"/>
    </row>
    <row r="127" ht="21" customHeight="1">
      <c r="A127" s="42" t="n"/>
      <c r="B127" s="38" t="n"/>
      <c r="C127" s="38" t="n"/>
      <c r="D127" s="38" t="n"/>
      <c r="E127" s="38" t="n"/>
      <c r="F127" s="38" t="n"/>
      <c r="G127" s="42" t="n"/>
      <c r="H127" s="38" t="n"/>
    </row>
    <row r="128" ht="21" customHeight="1">
      <c r="A128" s="42" t="n"/>
      <c r="B128" s="38" t="n"/>
      <c r="C128" s="38" t="n"/>
      <c r="D128" s="38" t="n"/>
      <c r="E128" s="38" t="n"/>
      <c r="F128" s="38" t="n"/>
      <c r="G128" s="42" t="n"/>
      <c r="H128" s="38" t="n"/>
    </row>
    <row r="129" ht="21" customHeight="1">
      <c r="A129" s="42" t="n"/>
      <c r="B129" s="38" t="n"/>
      <c r="C129" s="38" t="n"/>
      <c r="D129" s="38" t="n"/>
      <c r="E129" s="38" t="n"/>
      <c r="F129" s="38" t="n"/>
      <c r="G129" s="42" t="n"/>
      <c r="H129" s="38" t="n"/>
    </row>
    <row r="130" ht="21" customHeight="1">
      <c r="A130" s="42" t="n"/>
      <c r="B130" s="38" t="n"/>
      <c r="C130" s="38" t="n"/>
      <c r="D130" s="38" t="n"/>
      <c r="E130" s="38" t="n"/>
      <c r="F130" s="38" t="n"/>
      <c r="G130" s="42" t="n"/>
      <c r="H130" s="38" t="n"/>
    </row>
    <row r="131" ht="21" customHeight="1">
      <c r="A131" s="42" t="n"/>
      <c r="B131" s="38" t="n"/>
      <c r="C131" s="38" t="n"/>
      <c r="D131" s="38" t="n"/>
      <c r="E131" s="38" t="n"/>
      <c r="F131" s="38" t="n"/>
      <c r="G131" s="42" t="n"/>
      <c r="H131" s="38" t="n"/>
    </row>
    <row r="132" ht="21" customHeight="1">
      <c r="A132" s="42" t="n"/>
      <c r="B132" s="38" t="n"/>
      <c r="C132" s="38" t="n"/>
      <c r="D132" s="38" t="n"/>
      <c r="E132" s="38" t="n"/>
      <c r="F132" s="38" t="n"/>
      <c r="G132" s="42" t="n"/>
      <c r="H132" s="38" t="n"/>
    </row>
    <row r="133" ht="21" customHeight="1">
      <c r="A133" s="42" t="n"/>
      <c r="B133" s="38" t="n"/>
      <c r="C133" s="38" t="n"/>
      <c r="D133" s="38" t="n"/>
      <c r="E133" s="38" t="n"/>
      <c r="F133" s="38" t="n"/>
      <c r="G133" s="42" t="n"/>
      <c r="H133" s="38" t="n"/>
    </row>
    <row r="134" ht="21" customHeight="1">
      <c r="A134" s="42" t="n"/>
      <c r="B134" s="38" t="n"/>
      <c r="C134" s="38" t="n"/>
      <c r="D134" s="38" t="n"/>
      <c r="E134" s="38" t="n"/>
      <c r="F134" s="38" t="n"/>
      <c r="G134" s="42" t="n"/>
      <c r="H134" s="38" t="n"/>
    </row>
    <row r="135" ht="21" customHeight="1">
      <c r="A135" s="42" t="n"/>
      <c r="B135" s="38" t="n"/>
      <c r="C135" s="38" t="n"/>
      <c r="D135" s="38" t="n"/>
      <c r="E135" s="38" t="n"/>
      <c r="F135" s="38" t="n"/>
      <c r="G135" s="42" t="n"/>
      <c r="H135" s="38" t="n"/>
    </row>
    <row r="136" ht="21" customHeight="1">
      <c r="A136" s="42" t="n"/>
      <c r="B136" s="38" t="n"/>
      <c r="C136" s="38" t="n"/>
      <c r="D136" s="38" t="n"/>
      <c r="E136" s="38" t="n"/>
      <c r="F136" s="38" t="n"/>
      <c r="G136" s="42" t="n"/>
      <c r="H136" s="38" t="n"/>
    </row>
    <row r="137" ht="21" customHeight="1">
      <c r="A137" s="42" t="n"/>
      <c r="B137" s="38" t="n"/>
      <c r="C137" s="38" t="n"/>
      <c r="D137" s="38" t="n"/>
      <c r="E137" s="38" t="n"/>
      <c r="F137" s="38" t="n"/>
      <c r="G137" s="42" t="n"/>
      <c r="H137" s="38" t="n"/>
    </row>
    <row r="138" ht="21" customHeight="1">
      <c r="A138" s="42" t="n"/>
      <c r="B138" s="38" t="n"/>
      <c r="C138" s="38" t="n"/>
      <c r="D138" s="38" t="n"/>
      <c r="E138" s="38" t="n"/>
      <c r="F138" s="38" t="n"/>
      <c r="G138" s="42" t="n"/>
      <c r="H138" s="38" t="n"/>
    </row>
    <row r="139" ht="21" customHeight="1">
      <c r="A139" s="42" t="n"/>
      <c r="B139" s="38" t="n"/>
      <c r="C139" s="38" t="n"/>
      <c r="D139" s="38" t="n"/>
      <c r="E139" s="38" t="n"/>
      <c r="F139" s="38" t="n"/>
      <c r="G139" s="42" t="n"/>
      <c r="H139" s="38" t="n"/>
    </row>
    <row r="140" ht="21" customHeight="1">
      <c r="A140" s="42" t="n"/>
      <c r="B140" s="38" t="n"/>
      <c r="C140" s="38" t="n"/>
      <c r="D140" s="38" t="n"/>
      <c r="E140" s="38" t="n"/>
      <c r="F140" s="38" t="n"/>
      <c r="G140" s="42" t="n"/>
      <c r="H140" s="38" t="n"/>
    </row>
    <row r="141" ht="21" customHeight="1">
      <c r="A141" s="42" t="n"/>
      <c r="B141" s="38" t="n"/>
      <c r="C141" s="38" t="n"/>
      <c r="D141" s="38" t="n"/>
      <c r="E141" s="38" t="n"/>
      <c r="F141" s="38" t="n"/>
      <c r="G141" s="42" t="n"/>
      <c r="H141" s="38" t="n"/>
    </row>
    <row r="142" ht="21" customHeight="1">
      <c r="A142" s="42" t="n"/>
      <c r="B142" s="38" t="n"/>
      <c r="C142" s="38" t="n"/>
      <c r="D142" s="38" t="n"/>
      <c r="E142" s="38" t="n"/>
      <c r="F142" s="38" t="n"/>
      <c r="G142" s="42" t="n"/>
      <c r="H142" s="38" t="n"/>
    </row>
    <row r="143" ht="21" customHeight="1">
      <c r="A143" s="42" t="n"/>
      <c r="B143" s="38" t="n"/>
      <c r="C143" s="38" t="n"/>
      <c r="D143" s="38" t="n"/>
      <c r="E143" s="38" t="n"/>
      <c r="F143" s="38" t="n"/>
      <c r="G143" s="42" t="n"/>
      <c r="H143" s="38" t="n"/>
    </row>
    <row r="144" ht="21" customHeight="1">
      <c r="A144" s="42" t="n"/>
      <c r="B144" s="38" t="n"/>
      <c r="C144" s="38" t="n"/>
      <c r="D144" s="38" t="n"/>
      <c r="E144" s="38" t="n"/>
      <c r="F144" s="38" t="n"/>
      <c r="G144" s="42" t="n"/>
      <c r="H144" s="38" t="n"/>
    </row>
    <row r="145" ht="21" customHeight="1">
      <c r="A145" s="42" t="n"/>
      <c r="B145" s="38" t="n"/>
      <c r="C145" s="38" t="n"/>
      <c r="D145" s="38" t="n"/>
      <c r="E145" s="38" t="n"/>
      <c r="F145" s="38" t="n"/>
      <c r="G145" s="42" t="n"/>
      <c r="H145" s="38" t="n"/>
    </row>
    <row r="146" ht="21" customHeight="1">
      <c r="A146" s="42" t="n"/>
      <c r="B146" s="38" t="n"/>
      <c r="C146" s="38" t="n"/>
      <c r="D146" s="38" t="n"/>
      <c r="E146" s="38" t="n"/>
      <c r="F146" s="38" t="n"/>
      <c r="G146" s="42" t="n"/>
      <c r="H146" s="38" t="n"/>
    </row>
    <row r="147" ht="21" customHeight="1">
      <c r="A147" s="42" t="n"/>
      <c r="B147" s="38" t="n"/>
      <c r="C147" s="38" t="n"/>
      <c r="D147" s="38" t="n"/>
      <c r="E147" s="38" t="n"/>
      <c r="F147" s="38" t="n"/>
      <c r="G147" s="42" t="n"/>
      <c r="H147" s="38" t="n"/>
    </row>
    <row r="148" ht="21" customHeight="1">
      <c r="A148" s="42" t="n"/>
      <c r="B148" s="38" t="n"/>
      <c r="C148" s="38" t="n"/>
      <c r="D148" s="38" t="n"/>
      <c r="E148" s="38" t="n"/>
      <c r="F148" s="38" t="n"/>
      <c r="G148" s="42" t="n"/>
      <c r="H148" s="38" t="n"/>
    </row>
    <row r="149" ht="21" customHeight="1">
      <c r="A149" s="42" t="n"/>
      <c r="B149" s="38" t="n"/>
      <c r="C149" s="38" t="n"/>
      <c r="D149" s="38" t="n"/>
      <c r="E149" s="38" t="n"/>
      <c r="F149" s="38" t="n"/>
      <c r="G149" s="42" t="n"/>
      <c r="H149" s="38" t="n"/>
    </row>
    <row r="150" ht="21" customHeight="1">
      <c r="A150" s="42" t="n"/>
      <c r="B150" s="38" t="n"/>
      <c r="C150" s="38" t="n"/>
      <c r="D150" s="38" t="n"/>
      <c r="E150" s="38" t="n"/>
      <c r="F150" s="38" t="n"/>
      <c r="G150" s="42" t="n"/>
      <c r="H150" s="38" t="n"/>
    </row>
    <row r="151" ht="21" customHeight="1">
      <c r="A151" s="42" t="n"/>
      <c r="B151" s="38" t="n"/>
      <c r="C151" s="38" t="n"/>
      <c r="D151" s="38" t="n"/>
      <c r="E151" s="38" t="n"/>
      <c r="F151" s="38" t="n"/>
      <c r="G151" s="42" t="n"/>
      <c r="H151" s="38" t="n"/>
    </row>
    <row r="152" ht="21" customHeight="1">
      <c r="A152" s="42" t="n"/>
      <c r="B152" s="38" t="n"/>
      <c r="C152" s="38" t="n"/>
      <c r="D152" s="38" t="n"/>
      <c r="E152" s="38" t="n"/>
      <c r="F152" s="38" t="n"/>
      <c r="G152" s="42" t="n"/>
      <c r="H152" s="38" t="n"/>
    </row>
    <row r="153" ht="21" customHeight="1">
      <c r="A153" s="42" t="n"/>
      <c r="B153" s="38" t="n"/>
      <c r="C153" s="38" t="n"/>
      <c r="D153" s="38" t="n"/>
      <c r="E153" s="38" t="n"/>
      <c r="F153" s="38" t="n"/>
      <c r="G153" s="42" t="n"/>
      <c r="H153" s="38" t="n"/>
    </row>
    <row r="154" ht="21" customHeight="1">
      <c r="A154" s="42" t="n"/>
      <c r="B154" s="38" t="n"/>
      <c r="C154" s="38" t="n"/>
      <c r="D154" s="38" t="n"/>
      <c r="E154" s="38" t="n"/>
      <c r="F154" s="38" t="n"/>
      <c r="G154" s="42" t="n"/>
      <c r="H154" s="38" t="n"/>
    </row>
    <row r="155" ht="21" customHeight="1">
      <c r="A155" s="42" t="n"/>
      <c r="B155" s="38" t="n"/>
      <c r="C155" s="38" t="n"/>
      <c r="D155" s="38" t="n"/>
      <c r="E155" s="38" t="n"/>
      <c r="F155" s="38" t="n"/>
      <c r="G155" s="42" t="n"/>
      <c r="H155" s="38" t="n"/>
    </row>
    <row r="156" ht="21" customHeight="1">
      <c r="A156" s="42" t="n"/>
      <c r="B156" s="38" t="n"/>
      <c r="C156" s="38" t="n"/>
      <c r="D156" s="38" t="n"/>
      <c r="E156" s="38" t="n"/>
      <c r="F156" s="38" t="n"/>
      <c r="G156" s="42" t="n"/>
      <c r="H156" s="38" t="n"/>
    </row>
    <row r="157" ht="21" customHeight="1">
      <c r="A157" s="42" t="n"/>
      <c r="B157" s="38" t="n"/>
      <c r="C157" s="38" t="n"/>
      <c r="D157" s="38" t="n"/>
      <c r="E157" s="38" t="n"/>
      <c r="F157" s="38" t="n"/>
      <c r="G157" s="42" t="n"/>
      <c r="H157" s="38" t="n"/>
    </row>
    <row r="158" ht="21" customHeight="1">
      <c r="A158" s="42" t="n"/>
      <c r="B158" s="38" t="n"/>
      <c r="C158" s="38" t="n"/>
      <c r="D158" s="38" t="n"/>
      <c r="E158" s="38" t="n"/>
      <c r="F158" s="38" t="n"/>
      <c r="G158" s="42" t="n"/>
      <c r="H158" s="38" t="n"/>
    </row>
    <row r="159" ht="21" customHeight="1">
      <c r="A159" s="42" t="n"/>
      <c r="B159" s="38" t="n"/>
      <c r="C159" s="38" t="n"/>
      <c r="D159" s="38" t="n"/>
      <c r="E159" s="38" t="n"/>
      <c r="F159" s="38" t="n"/>
      <c r="G159" s="42" t="n"/>
      <c r="H159" s="38" t="n"/>
    </row>
    <row r="160" ht="21" customHeight="1">
      <c r="A160" s="42" t="n"/>
      <c r="B160" s="38" t="n"/>
      <c r="C160" s="38" t="n"/>
      <c r="D160" s="38" t="n"/>
      <c r="E160" s="38" t="n"/>
      <c r="F160" s="38" t="n"/>
      <c r="G160" s="42" t="n"/>
      <c r="H160" s="38" t="n"/>
    </row>
    <row r="161" ht="21" customHeight="1">
      <c r="A161" s="42" t="n"/>
      <c r="B161" s="38" t="n"/>
      <c r="C161" s="38" t="n"/>
      <c r="D161" s="38" t="n"/>
      <c r="E161" s="38" t="n"/>
      <c r="F161" s="38" t="n"/>
      <c r="G161" s="42" t="n"/>
      <c r="H161" s="38" t="n"/>
    </row>
    <row r="162" ht="21" customHeight="1">
      <c r="A162" s="42" t="n"/>
      <c r="B162" s="38" t="n"/>
      <c r="C162" s="38" t="n"/>
      <c r="D162" s="38" t="n"/>
      <c r="E162" s="38" t="n"/>
      <c r="F162" s="38" t="n"/>
      <c r="G162" s="42" t="n"/>
      <c r="H162" s="38" t="n"/>
    </row>
    <row r="163" ht="21" customHeight="1">
      <c r="A163" s="42" t="n"/>
      <c r="B163" s="38" t="n"/>
      <c r="C163" s="38" t="n"/>
      <c r="D163" s="38" t="n"/>
      <c r="E163" s="38" t="n"/>
      <c r="F163" s="38" t="n"/>
      <c r="G163" s="42" t="n"/>
      <c r="H163" s="38" t="n"/>
    </row>
    <row r="164" ht="21" customHeight="1">
      <c r="A164" s="42" t="n"/>
      <c r="B164" s="38" t="n"/>
      <c r="C164" s="38" t="n"/>
      <c r="D164" s="38" t="n"/>
      <c r="E164" s="38" t="n"/>
      <c r="F164" s="38" t="n"/>
      <c r="G164" s="42" t="n"/>
      <c r="H164" s="38" t="n"/>
    </row>
    <row r="165" ht="21" customHeight="1">
      <c r="A165" s="42" t="n"/>
      <c r="B165" s="38" t="n"/>
      <c r="C165" s="38" t="n"/>
      <c r="D165" s="38" t="n"/>
      <c r="E165" s="38" t="n"/>
      <c r="F165" s="38" t="n"/>
      <c r="G165" s="42" t="n"/>
      <c r="H165" s="38" t="n"/>
    </row>
    <row r="166" ht="21" customHeight="1">
      <c r="A166" s="42" t="n"/>
      <c r="B166" s="38" t="n"/>
      <c r="C166" s="38" t="n"/>
      <c r="D166" s="38" t="n"/>
      <c r="E166" s="38" t="n"/>
      <c r="F166" s="38" t="n"/>
      <c r="G166" s="42" t="n"/>
      <c r="H166" s="38" t="n"/>
    </row>
    <row r="167" ht="21" customHeight="1">
      <c r="A167" s="42" t="n"/>
      <c r="B167" s="38" t="n"/>
      <c r="C167" s="38" t="n"/>
      <c r="D167" s="38" t="n"/>
      <c r="E167" s="38" t="n"/>
      <c r="F167" s="38" t="n"/>
      <c r="G167" s="42" t="n"/>
      <c r="H167" s="38" t="n"/>
    </row>
    <row r="168" ht="21" customHeight="1">
      <c r="A168" s="42" t="n"/>
      <c r="B168" s="38" t="n"/>
      <c r="C168" s="38" t="n"/>
      <c r="D168" s="38" t="n"/>
      <c r="E168" s="38" t="n"/>
      <c r="F168" s="38" t="n"/>
      <c r="G168" s="42" t="n"/>
      <c r="H168" s="38" t="n"/>
    </row>
    <row r="169" ht="21" customHeight="1">
      <c r="A169" s="42" t="n"/>
      <c r="B169" s="38" t="n"/>
      <c r="C169" s="38" t="n"/>
      <c r="D169" s="38" t="n"/>
      <c r="E169" s="38" t="n"/>
      <c r="F169" s="38" t="n"/>
      <c r="G169" s="42" t="n"/>
      <c r="H169" s="38" t="n"/>
    </row>
    <row r="170" ht="21" customHeight="1">
      <c r="A170" s="42" t="n"/>
      <c r="B170" s="38" t="n"/>
      <c r="C170" s="38" t="n"/>
      <c r="D170" s="38" t="n"/>
      <c r="E170" s="38" t="n"/>
      <c r="F170" s="38" t="n"/>
      <c r="G170" s="42" t="n"/>
      <c r="H170" s="38" t="n"/>
    </row>
    <row r="171" ht="21" customHeight="1">
      <c r="A171" s="42" t="n"/>
      <c r="B171" s="38" t="n"/>
      <c r="C171" s="38" t="n"/>
      <c r="D171" s="38" t="n"/>
      <c r="E171" s="38" t="n"/>
      <c r="F171" s="38" t="n"/>
      <c r="G171" s="42" t="n"/>
      <c r="H171" s="38" t="n"/>
    </row>
    <row r="172" ht="21" customHeight="1">
      <c r="A172" s="42" t="n"/>
      <c r="B172" s="38" t="n"/>
      <c r="C172" s="38" t="n"/>
      <c r="D172" s="38" t="n"/>
      <c r="E172" s="38" t="n"/>
      <c r="F172" s="38" t="n"/>
      <c r="G172" s="42" t="n"/>
      <c r="H172" s="38" t="n"/>
    </row>
    <row r="173" ht="21" customHeight="1">
      <c r="A173" s="42" t="n"/>
      <c r="B173" s="38" t="n"/>
      <c r="C173" s="38" t="n"/>
      <c r="D173" s="38" t="n"/>
      <c r="E173" s="38" t="n"/>
      <c r="F173" s="38" t="n"/>
      <c r="G173" s="42" t="n"/>
      <c r="H173" s="38" t="n"/>
    </row>
    <row r="174" ht="21" customHeight="1">
      <c r="A174" s="42" t="n"/>
      <c r="B174" s="38" t="n"/>
      <c r="C174" s="38" t="n"/>
      <c r="D174" s="38" t="n"/>
      <c r="E174" s="38" t="n"/>
      <c r="F174" s="38" t="n"/>
      <c r="G174" s="42" t="n"/>
      <c r="H174" s="38" t="n"/>
    </row>
    <row r="175" ht="21" customHeight="1">
      <c r="A175" s="42" t="n"/>
      <c r="B175" s="38" t="n"/>
      <c r="C175" s="38" t="n"/>
      <c r="D175" s="38" t="n"/>
      <c r="E175" s="38" t="n"/>
      <c r="F175" s="38" t="n"/>
      <c r="G175" s="42" t="n"/>
      <c r="H175" s="38" t="n"/>
    </row>
    <row r="176" ht="21" customHeight="1">
      <c r="A176" s="42" t="n"/>
      <c r="B176" s="38" t="n"/>
      <c r="C176" s="38" t="n"/>
      <c r="D176" s="38" t="n"/>
      <c r="E176" s="38" t="n"/>
      <c r="F176" s="38" t="n"/>
      <c r="G176" s="42" t="n"/>
      <c r="H176" s="38" t="n"/>
    </row>
    <row r="177" ht="21" customHeight="1">
      <c r="A177" s="42" t="n"/>
      <c r="B177" s="38" t="n"/>
      <c r="C177" s="38" t="n"/>
      <c r="D177" s="38" t="n"/>
      <c r="E177" s="38" t="n"/>
      <c r="F177" s="38" t="n"/>
      <c r="G177" s="42" t="n"/>
      <c r="H177" s="38" t="n"/>
    </row>
    <row r="178" ht="21" customHeight="1">
      <c r="A178" s="42" t="n"/>
      <c r="B178" s="38" t="n"/>
      <c r="C178" s="38" t="n"/>
      <c r="D178" s="38" t="n"/>
      <c r="E178" s="38" t="n"/>
      <c r="F178" s="38" t="n"/>
      <c r="G178" s="42" t="n"/>
      <c r="H178" s="38" t="n"/>
    </row>
    <row r="179" ht="21" customHeight="1">
      <c r="A179" s="42" t="n"/>
      <c r="B179" s="38" t="n"/>
      <c r="C179" s="38" t="n"/>
      <c r="D179" s="38" t="n"/>
      <c r="E179" s="38" t="n"/>
      <c r="F179" s="38" t="n"/>
      <c r="G179" s="42" t="n"/>
      <c r="H179" s="38" t="n"/>
    </row>
    <row r="180" ht="21" customHeight="1">
      <c r="A180" s="42" t="n"/>
      <c r="B180" s="38" t="n"/>
      <c r="C180" s="38" t="n"/>
      <c r="D180" s="38" t="n"/>
      <c r="E180" s="38" t="n"/>
      <c r="F180" s="38" t="n"/>
      <c r="G180" s="42" t="n"/>
      <c r="H180" s="38" t="n"/>
    </row>
    <row r="181" ht="21" customHeight="1">
      <c r="A181" s="42" t="n"/>
      <c r="B181" s="38" t="n"/>
      <c r="C181" s="38" t="n"/>
      <c r="D181" s="38" t="n"/>
      <c r="E181" s="38" t="n"/>
      <c r="F181" s="38" t="n"/>
      <c r="G181" s="42" t="n"/>
      <c r="H181" s="38" t="n"/>
    </row>
    <row r="182" ht="21" customHeight="1">
      <c r="A182" s="42" t="n"/>
      <c r="B182" s="38" t="n"/>
      <c r="C182" s="38" t="n"/>
      <c r="D182" s="38" t="n"/>
      <c r="E182" s="38" t="n"/>
      <c r="F182" s="38" t="n"/>
      <c r="G182" s="42" t="n"/>
      <c r="H182" s="38" t="n"/>
    </row>
    <row r="183" ht="21" customHeight="1">
      <c r="A183" s="42" t="n"/>
      <c r="B183" s="38" t="n"/>
      <c r="C183" s="38" t="n"/>
      <c r="D183" s="38" t="n"/>
      <c r="E183" s="38" t="n"/>
      <c r="F183" s="38" t="n"/>
      <c r="G183" s="42" t="n"/>
      <c r="H183" s="38" t="n"/>
    </row>
    <row r="184" ht="21" customHeight="1">
      <c r="A184" s="42" t="n"/>
      <c r="B184" s="38" t="n"/>
      <c r="C184" s="38" t="n"/>
      <c r="D184" s="38" t="n"/>
      <c r="E184" s="38" t="n"/>
      <c r="F184" s="38" t="n"/>
      <c r="G184" s="42" t="n"/>
      <c r="H184" s="38" t="n"/>
    </row>
    <row r="185" ht="21" customHeight="1">
      <c r="A185" s="42" t="n"/>
      <c r="B185" s="38" t="n"/>
      <c r="C185" s="38" t="n"/>
      <c r="D185" s="38" t="n"/>
      <c r="E185" s="38" t="n"/>
      <c r="F185" s="38" t="n"/>
      <c r="G185" s="42" t="n"/>
      <c r="H185" s="38" t="n"/>
    </row>
    <row r="186" ht="21" customHeight="1">
      <c r="A186" s="42" t="n"/>
      <c r="B186" s="38" t="n"/>
      <c r="C186" s="38" t="n"/>
      <c r="D186" s="38" t="n"/>
      <c r="E186" s="38" t="n"/>
      <c r="F186" s="38" t="n"/>
      <c r="G186" s="42" t="n"/>
      <c r="H186" s="38" t="n"/>
    </row>
    <row r="187" ht="21" customHeight="1">
      <c r="A187" s="42" t="n"/>
      <c r="B187" s="38" t="n"/>
      <c r="C187" s="38" t="n"/>
      <c r="D187" s="38" t="n"/>
      <c r="E187" s="38" t="n"/>
      <c r="F187" s="38" t="n"/>
      <c r="G187" s="42" t="n"/>
      <c r="H187" s="38" t="n"/>
    </row>
    <row r="188" ht="21" customHeight="1">
      <c r="A188" s="42" t="n"/>
      <c r="B188" s="38" t="n"/>
      <c r="C188" s="38" t="n"/>
      <c r="D188" s="38" t="n"/>
      <c r="E188" s="38" t="n"/>
      <c r="F188" s="38" t="n"/>
      <c r="G188" s="42" t="n"/>
      <c r="H188" s="38" t="n"/>
    </row>
    <row r="189" ht="21" customHeight="1">
      <c r="A189" s="42" t="n"/>
      <c r="B189" s="38" t="n"/>
      <c r="C189" s="38" t="n"/>
      <c r="D189" s="38" t="n"/>
      <c r="E189" s="38" t="n"/>
      <c r="F189" s="38" t="n"/>
      <c r="G189" s="42" t="n"/>
      <c r="H189" s="38" t="n"/>
    </row>
    <row r="190" ht="21" customHeight="1">
      <c r="A190" s="42" t="n"/>
      <c r="B190" s="38" t="n"/>
      <c r="C190" s="38" t="n"/>
      <c r="D190" s="38" t="n"/>
      <c r="E190" s="38" t="n"/>
      <c r="F190" s="38" t="n"/>
      <c r="G190" s="42" t="n"/>
      <c r="H190" s="38" t="n"/>
    </row>
    <row r="191" ht="21" customHeight="1">
      <c r="A191" s="42" t="n"/>
      <c r="B191" s="38" t="n"/>
      <c r="C191" s="38" t="n"/>
      <c r="D191" s="38" t="n"/>
      <c r="E191" s="38" t="n"/>
      <c r="F191" s="38" t="n"/>
      <c r="G191" s="42" t="n"/>
      <c r="H191" s="38" t="n"/>
    </row>
    <row r="192" ht="21" customHeight="1">
      <c r="A192" s="42" t="n"/>
      <c r="B192" s="38" t="n"/>
      <c r="C192" s="38" t="n"/>
      <c r="D192" s="38" t="n"/>
      <c r="E192" s="38" t="n"/>
      <c r="F192" s="38" t="n"/>
      <c r="G192" s="42" t="n"/>
      <c r="H192" s="38" t="n"/>
    </row>
    <row r="193" ht="21" customHeight="1">
      <c r="A193" s="42" t="n"/>
      <c r="B193" s="38" t="n"/>
      <c r="C193" s="38" t="n"/>
      <c r="D193" s="38" t="n"/>
      <c r="E193" s="38" t="n"/>
      <c r="F193" s="38" t="n"/>
      <c r="G193" s="42" t="n"/>
      <c r="H193" s="38" t="n"/>
    </row>
    <row r="194" ht="21" customHeight="1">
      <c r="A194" s="42" t="n"/>
      <c r="B194" s="38" t="n"/>
      <c r="C194" s="38" t="n"/>
      <c r="D194" s="38" t="n"/>
      <c r="E194" s="38" t="n"/>
      <c r="F194" s="38" t="n"/>
      <c r="G194" s="42" t="n"/>
      <c r="H194" s="38" t="n"/>
    </row>
    <row r="195" ht="21" customHeight="1">
      <c r="A195" s="42" t="n"/>
      <c r="B195" s="38" t="n"/>
      <c r="C195" s="38" t="n"/>
      <c r="D195" s="38" t="n"/>
      <c r="E195" s="38" t="n"/>
      <c r="F195" s="38" t="n"/>
      <c r="G195" s="42" t="n"/>
      <c r="H195" s="38" t="n"/>
    </row>
    <row r="196" ht="21" customHeight="1">
      <c r="A196" s="42" t="n"/>
      <c r="B196" s="38" t="n"/>
      <c r="C196" s="38" t="n"/>
      <c r="D196" s="38" t="n"/>
      <c r="E196" s="38" t="n"/>
      <c r="F196" s="38" t="n"/>
      <c r="G196" s="42" t="n"/>
      <c r="H196" s="38" t="n"/>
    </row>
    <row r="197" ht="21" customHeight="1">
      <c r="A197" s="42" t="n"/>
      <c r="B197" s="38" t="n"/>
      <c r="C197" s="38" t="n"/>
      <c r="D197" s="38" t="n"/>
      <c r="E197" s="38" t="n"/>
      <c r="F197" s="38" t="n"/>
      <c r="G197" s="42" t="n"/>
      <c r="H197" s="38" t="n"/>
    </row>
    <row r="198" ht="21" customHeight="1">
      <c r="A198" s="42" t="n"/>
      <c r="B198" s="38" t="n"/>
      <c r="C198" s="38" t="n"/>
      <c r="D198" s="38" t="n"/>
      <c r="E198" s="38" t="n"/>
      <c r="F198" s="38" t="n"/>
      <c r="G198" s="42" t="n"/>
      <c r="H198" s="38" t="n"/>
    </row>
    <row r="199" ht="21" customHeight="1">
      <c r="A199" s="42" t="n"/>
      <c r="B199" s="38" t="n"/>
      <c r="C199" s="38" t="n"/>
      <c r="D199" s="38" t="n"/>
      <c r="E199" s="38" t="n"/>
      <c r="F199" s="38" t="n"/>
      <c r="G199" s="42" t="n"/>
      <c r="H199" s="38" t="n"/>
    </row>
    <row r="200" ht="21" customHeight="1">
      <c r="A200" s="42" t="n"/>
      <c r="B200" s="38" t="n"/>
      <c r="C200" s="38" t="n"/>
      <c r="D200" s="38" t="n"/>
      <c r="E200" s="38" t="n"/>
      <c r="F200" s="38" t="n"/>
      <c r="G200" s="42" t="n"/>
      <c r="H200" s="38" t="n"/>
    </row>
    <row r="201" ht="21" customHeight="1">
      <c r="A201" s="42" t="n"/>
      <c r="B201" s="38" t="n"/>
      <c r="C201" s="38" t="n"/>
      <c r="D201" s="38" t="n"/>
      <c r="E201" s="38" t="n"/>
      <c r="F201" s="38" t="n"/>
      <c r="G201" s="42" t="n"/>
      <c r="H201" s="38" t="n"/>
    </row>
    <row r="202" ht="21" customHeight="1">
      <c r="A202" s="42" t="n"/>
      <c r="B202" s="38" t="n"/>
      <c r="C202" s="38" t="n"/>
      <c r="D202" s="38" t="n"/>
      <c r="E202" s="38" t="n"/>
      <c r="F202" s="38" t="n"/>
      <c r="G202" s="42" t="n"/>
      <c r="H202" s="38" t="n"/>
    </row>
    <row r="203" ht="21" customHeight="1">
      <c r="A203" s="42" t="n"/>
      <c r="B203" s="38" t="n"/>
      <c r="C203" s="38" t="n"/>
      <c r="D203" s="38" t="n"/>
      <c r="E203" s="38" t="n"/>
      <c r="F203" s="38" t="n"/>
      <c r="G203" s="42" t="n"/>
      <c r="H203" s="38" t="n"/>
    </row>
    <row r="204" ht="21" customHeight="1">
      <c r="A204" s="42" t="n"/>
      <c r="B204" s="38" t="n"/>
      <c r="C204" s="38" t="n"/>
      <c r="D204" s="38" t="n"/>
      <c r="E204" s="38" t="n"/>
      <c r="F204" s="38" t="n"/>
      <c r="G204" s="42" t="n"/>
      <c r="H204" s="38" t="n"/>
    </row>
    <row r="205" ht="21" customHeight="1">
      <c r="A205" s="42" t="n"/>
      <c r="B205" s="38" t="n"/>
      <c r="C205" s="38" t="n"/>
      <c r="D205" s="38" t="n"/>
      <c r="E205" s="38" t="n"/>
      <c r="F205" s="38" t="n"/>
      <c r="G205" s="42" t="n"/>
      <c r="H205" s="38" t="n"/>
    </row>
    <row r="206" ht="21" customHeight="1">
      <c r="A206" s="42" t="n"/>
      <c r="B206" s="38" t="n"/>
      <c r="C206" s="38" t="n"/>
      <c r="D206" s="38" t="n"/>
      <c r="E206" s="38" t="n"/>
      <c r="F206" s="38" t="n"/>
      <c r="G206" s="42" t="n"/>
      <c r="H206" s="38" t="n"/>
    </row>
  </sheetData>
  <autoFilter ref="A6:H206"/>
  <mergeCells count="3">
    <mergeCell ref="A1:H2"/>
    <mergeCell ref="A3:H3"/>
    <mergeCell ref="A4:H4"/>
  </mergeCells>
  <dataValidations count="3">
    <dataValidation sqref="B7:B206" showDropDown="0" showInputMessage="1" showErrorMessage="1" allowBlank="1" errorTitle="Invalid entry" error="Please choose a value from the dropdown list." promptTitle="Choose from the dropdown" prompt="Select a value from the list." type="list">
      <formula1>=MeetingTypes</formula1>
    </dataValidation>
    <dataValidation sqref="A7:A206" showDropDown="0" showInputMessage="1" showErrorMessage="1" allowBlank="1" errorTitle="Invalid date" error="Enter a valid date between 1/1/1900 and 12/31/2100." promptTitle="Enter a date" prompt="Use a date such as 6/30/2026." type="date" operator="between">
      <formula1>DATE(1900,1,1)</formula1>
      <formula2>DATE(2100,12,31)</formula2>
    </dataValidation>
    <dataValidation sqref="G7:G206" showDropDown="0" showInputMessage="1" showErrorMessage="1" allowBlank="1" errorTitle="Invalid date" error="Enter a valid date between 1/1/1900 and 12/31/2100." promptTitle="Enter a date" prompt="Use a date such as 6/30/2026." type="date" operator="between">
      <formula1>DATE(1900,1,1)</formula1>
      <formula2>DATE(2100,12,31)</formula2>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21.xml><?xml version="1.0" encoding="utf-8"?>
<worksheet xmlns="http://schemas.openxmlformats.org/spreadsheetml/2006/main">
  <sheetPr>
    <tabColor rgb="002F6F73"/>
    <outlinePr summaryBelow="1" summaryRight="1"/>
    <pageSetUpPr fitToPage="1"/>
  </sheetPr>
  <dimension ref="A1:H106"/>
  <sheetViews>
    <sheetView showGridLines="0" zoomScale="85" workbookViewId="0">
      <pane ySplit="6" topLeftCell="A7" activePane="bottomLeft" state="frozen"/>
      <selection pane="bottomLeft" activeCell="A7" sqref="A1"/>
    </sheetView>
  </sheetViews>
  <sheetFormatPr baseColWidth="8" defaultRowHeight="15"/>
  <cols>
    <col width="20" customWidth="1" min="1" max="1"/>
    <col width="19" customWidth="1" min="2" max="2"/>
    <col width="27" customWidth="1" min="3" max="3"/>
    <col width="34" customWidth="1" min="4" max="4"/>
    <col width="25" customWidth="1" min="5" max="5"/>
    <col width="34" customWidth="1" min="6" max="6"/>
    <col width="15" customWidth="1" min="7" max="7"/>
    <col width="18" customWidth="1" min="8" max="8"/>
  </cols>
  <sheetData>
    <row r="1" ht="26" customHeight="1">
      <c r="A1" s="1" t="inlineStr">
        <is>
          <t>Client FF&amp;E Report</t>
        </is>
      </c>
    </row>
    <row r="2" ht="26" customHeight="1"/>
    <row r="3" ht="26" customHeight="1">
      <c r="A3" s="24" t="inlineStr">
        <is>
          <t>A clean, client-facing selection report. Filter by room or approval status before sharing.</t>
        </is>
      </c>
    </row>
    <row r="4">
      <c r="A4" s="25" t="inlineStr">
        <is>
          <t>Printable report view • linked to the project tracker. Filter rows before printing or sharing.</t>
        </is>
      </c>
    </row>
    <row r="6" ht="34" customHeight="1">
      <c r="A6" s="37" t="inlineStr">
        <is>
          <t>Room</t>
        </is>
      </c>
      <c r="B6" s="37" t="inlineStr">
        <is>
          <t>Category</t>
        </is>
      </c>
      <c r="C6" s="37" t="inlineStr">
        <is>
          <t>Item</t>
        </is>
      </c>
      <c r="D6" s="37" t="inlineStr">
        <is>
          <t>Description</t>
        </is>
      </c>
      <c r="E6" s="37" t="inlineStr">
        <is>
          <t>Brand / Vendor</t>
        </is>
      </c>
      <c r="F6" s="37" t="inlineStr">
        <is>
          <t>Product link</t>
        </is>
      </c>
      <c r="G6" s="37" t="inlineStr">
        <is>
          <t>Final cost</t>
        </is>
      </c>
      <c r="H6" s="37" t="inlineStr">
        <is>
          <t>Approval status</t>
        </is>
      </c>
    </row>
    <row r="7" ht="21" customHeight="1">
      <c r="A7" s="46">
        <f>IF('Master FF&amp;E Schedule'!D7="","",'Master FF&amp;E Schedule'!B7)</f>
        <v/>
      </c>
      <c r="B7" s="46">
        <f>IF('Master FF&amp;E Schedule'!D7="","",'Master FF&amp;E Schedule'!C7)</f>
        <v/>
      </c>
      <c r="C7" s="46">
        <f>IF('Master FF&amp;E Schedule'!D7="","",'Master FF&amp;E Schedule'!D7)</f>
        <v/>
      </c>
      <c r="D7" s="46">
        <f>IF('Master FF&amp;E Schedule'!D7="","",'Master FF&amp;E Schedule'!E7)</f>
        <v/>
      </c>
      <c r="E7" s="46">
        <f>IF('Master FF&amp;E Schedule'!D7="","",IF('Master FF&amp;E Schedule'!L7&lt;&gt;"",'Master FF&amp;E Schedule'!L7,'Master FF&amp;E Schedule'!K7))</f>
        <v/>
      </c>
      <c r="F7" s="46">
        <f>IF('Master FF&amp;E Schedule'!D7="","",'Master FF&amp;E Schedule'!M7)</f>
        <v/>
      </c>
      <c r="G7" s="41">
        <f>IF('Master FF&amp;E Schedule'!D7="","",'Master FF&amp;E Schedule'!T7)</f>
        <v/>
      </c>
      <c r="H7" s="46">
        <f>IF('Master FF&amp;E Schedule'!D7="","",'Master FF&amp;E Schedule'!W7)</f>
        <v/>
      </c>
    </row>
    <row r="8" ht="21" customHeight="1">
      <c r="A8" s="46">
        <f>IF('Master FF&amp;E Schedule'!D8="","",'Master FF&amp;E Schedule'!B8)</f>
        <v/>
      </c>
      <c r="B8" s="46">
        <f>IF('Master FF&amp;E Schedule'!D8="","",'Master FF&amp;E Schedule'!C8)</f>
        <v/>
      </c>
      <c r="C8" s="46">
        <f>IF('Master FF&amp;E Schedule'!D8="","",'Master FF&amp;E Schedule'!D8)</f>
        <v/>
      </c>
      <c r="D8" s="46">
        <f>IF('Master FF&amp;E Schedule'!D8="","",'Master FF&amp;E Schedule'!E8)</f>
        <v/>
      </c>
      <c r="E8" s="46">
        <f>IF('Master FF&amp;E Schedule'!D8="","",IF('Master FF&amp;E Schedule'!L8&lt;&gt;"",'Master FF&amp;E Schedule'!L8,'Master FF&amp;E Schedule'!K8))</f>
        <v/>
      </c>
      <c r="F8" s="46">
        <f>IF('Master FF&amp;E Schedule'!D8="","",'Master FF&amp;E Schedule'!M8)</f>
        <v/>
      </c>
      <c r="G8" s="41">
        <f>IF('Master FF&amp;E Schedule'!D8="","",'Master FF&amp;E Schedule'!T8)</f>
        <v/>
      </c>
      <c r="H8" s="46">
        <f>IF('Master FF&amp;E Schedule'!D8="","",'Master FF&amp;E Schedule'!W8)</f>
        <v/>
      </c>
    </row>
    <row r="9" ht="21" customHeight="1">
      <c r="A9" s="46">
        <f>IF('Master FF&amp;E Schedule'!D9="","",'Master FF&amp;E Schedule'!B9)</f>
        <v/>
      </c>
      <c r="B9" s="46">
        <f>IF('Master FF&amp;E Schedule'!D9="","",'Master FF&amp;E Schedule'!C9)</f>
        <v/>
      </c>
      <c r="C9" s="46">
        <f>IF('Master FF&amp;E Schedule'!D9="","",'Master FF&amp;E Schedule'!D9)</f>
        <v/>
      </c>
      <c r="D9" s="46">
        <f>IF('Master FF&amp;E Schedule'!D9="","",'Master FF&amp;E Schedule'!E9)</f>
        <v/>
      </c>
      <c r="E9" s="46">
        <f>IF('Master FF&amp;E Schedule'!D9="","",IF('Master FF&amp;E Schedule'!L9&lt;&gt;"",'Master FF&amp;E Schedule'!L9,'Master FF&amp;E Schedule'!K9))</f>
        <v/>
      </c>
      <c r="F9" s="46">
        <f>IF('Master FF&amp;E Schedule'!D9="","",'Master FF&amp;E Schedule'!M9)</f>
        <v/>
      </c>
      <c r="G9" s="41">
        <f>IF('Master FF&amp;E Schedule'!D9="","",'Master FF&amp;E Schedule'!T9)</f>
        <v/>
      </c>
      <c r="H9" s="46">
        <f>IF('Master FF&amp;E Schedule'!D9="","",'Master FF&amp;E Schedule'!W9)</f>
        <v/>
      </c>
    </row>
    <row r="10" ht="21" customHeight="1">
      <c r="A10" s="46">
        <f>IF('Master FF&amp;E Schedule'!D10="","",'Master FF&amp;E Schedule'!B10)</f>
        <v/>
      </c>
      <c r="B10" s="46">
        <f>IF('Master FF&amp;E Schedule'!D10="","",'Master FF&amp;E Schedule'!C10)</f>
        <v/>
      </c>
      <c r="C10" s="46">
        <f>IF('Master FF&amp;E Schedule'!D10="","",'Master FF&amp;E Schedule'!D10)</f>
        <v/>
      </c>
      <c r="D10" s="46">
        <f>IF('Master FF&amp;E Schedule'!D10="","",'Master FF&amp;E Schedule'!E10)</f>
        <v/>
      </c>
      <c r="E10" s="46">
        <f>IF('Master FF&amp;E Schedule'!D10="","",IF('Master FF&amp;E Schedule'!L10&lt;&gt;"",'Master FF&amp;E Schedule'!L10,'Master FF&amp;E Schedule'!K10))</f>
        <v/>
      </c>
      <c r="F10" s="46">
        <f>IF('Master FF&amp;E Schedule'!D10="","",'Master FF&amp;E Schedule'!M10)</f>
        <v/>
      </c>
      <c r="G10" s="41">
        <f>IF('Master FF&amp;E Schedule'!D10="","",'Master FF&amp;E Schedule'!T10)</f>
        <v/>
      </c>
      <c r="H10" s="46">
        <f>IF('Master FF&amp;E Schedule'!D10="","",'Master FF&amp;E Schedule'!W10)</f>
        <v/>
      </c>
    </row>
    <row r="11" ht="21" customHeight="1">
      <c r="A11" s="46">
        <f>IF('Master FF&amp;E Schedule'!D11="","",'Master FF&amp;E Schedule'!B11)</f>
        <v/>
      </c>
      <c r="B11" s="46">
        <f>IF('Master FF&amp;E Schedule'!D11="","",'Master FF&amp;E Schedule'!C11)</f>
        <v/>
      </c>
      <c r="C11" s="46">
        <f>IF('Master FF&amp;E Schedule'!D11="","",'Master FF&amp;E Schedule'!D11)</f>
        <v/>
      </c>
      <c r="D11" s="46">
        <f>IF('Master FF&amp;E Schedule'!D11="","",'Master FF&amp;E Schedule'!E11)</f>
        <v/>
      </c>
      <c r="E11" s="46">
        <f>IF('Master FF&amp;E Schedule'!D11="","",IF('Master FF&amp;E Schedule'!L11&lt;&gt;"",'Master FF&amp;E Schedule'!L11,'Master FF&amp;E Schedule'!K11))</f>
        <v/>
      </c>
      <c r="F11" s="46">
        <f>IF('Master FF&amp;E Schedule'!D11="","",'Master FF&amp;E Schedule'!M11)</f>
        <v/>
      </c>
      <c r="G11" s="41">
        <f>IF('Master FF&amp;E Schedule'!D11="","",'Master FF&amp;E Schedule'!T11)</f>
        <v/>
      </c>
      <c r="H11" s="46">
        <f>IF('Master FF&amp;E Schedule'!D11="","",'Master FF&amp;E Schedule'!W11)</f>
        <v/>
      </c>
    </row>
    <row r="12" ht="21" customHeight="1">
      <c r="A12" s="46">
        <f>IF('Master FF&amp;E Schedule'!D12="","",'Master FF&amp;E Schedule'!B12)</f>
        <v/>
      </c>
      <c r="B12" s="46">
        <f>IF('Master FF&amp;E Schedule'!D12="","",'Master FF&amp;E Schedule'!C12)</f>
        <v/>
      </c>
      <c r="C12" s="46">
        <f>IF('Master FF&amp;E Schedule'!D12="","",'Master FF&amp;E Schedule'!D12)</f>
        <v/>
      </c>
      <c r="D12" s="46">
        <f>IF('Master FF&amp;E Schedule'!D12="","",'Master FF&amp;E Schedule'!E12)</f>
        <v/>
      </c>
      <c r="E12" s="46">
        <f>IF('Master FF&amp;E Schedule'!D12="","",IF('Master FF&amp;E Schedule'!L12&lt;&gt;"",'Master FF&amp;E Schedule'!L12,'Master FF&amp;E Schedule'!K12))</f>
        <v/>
      </c>
      <c r="F12" s="46">
        <f>IF('Master FF&amp;E Schedule'!D12="","",'Master FF&amp;E Schedule'!M12)</f>
        <v/>
      </c>
      <c r="G12" s="41">
        <f>IF('Master FF&amp;E Schedule'!D12="","",'Master FF&amp;E Schedule'!T12)</f>
        <v/>
      </c>
      <c r="H12" s="46">
        <f>IF('Master FF&amp;E Schedule'!D12="","",'Master FF&amp;E Schedule'!W12)</f>
        <v/>
      </c>
    </row>
    <row r="13" ht="21" customHeight="1">
      <c r="A13" s="46">
        <f>IF('Master FF&amp;E Schedule'!D13="","",'Master FF&amp;E Schedule'!B13)</f>
        <v/>
      </c>
      <c r="B13" s="46">
        <f>IF('Master FF&amp;E Schedule'!D13="","",'Master FF&amp;E Schedule'!C13)</f>
        <v/>
      </c>
      <c r="C13" s="46">
        <f>IF('Master FF&amp;E Schedule'!D13="","",'Master FF&amp;E Schedule'!D13)</f>
        <v/>
      </c>
      <c r="D13" s="46">
        <f>IF('Master FF&amp;E Schedule'!D13="","",'Master FF&amp;E Schedule'!E13)</f>
        <v/>
      </c>
      <c r="E13" s="46">
        <f>IF('Master FF&amp;E Schedule'!D13="","",IF('Master FF&amp;E Schedule'!L13&lt;&gt;"",'Master FF&amp;E Schedule'!L13,'Master FF&amp;E Schedule'!K13))</f>
        <v/>
      </c>
      <c r="F13" s="46">
        <f>IF('Master FF&amp;E Schedule'!D13="","",'Master FF&amp;E Schedule'!M13)</f>
        <v/>
      </c>
      <c r="G13" s="41">
        <f>IF('Master FF&amp;E Schedule'!D13="","",'Master FF&amp;E Schedule'!T13)</f>
        <v/>
      </c>
      <c r="H13" s="46">
        <f>IF('Master FF&amp;E Schedule'!D13="","",'Master FF&amp;E Schedule'!W13)</f>
        <v/>
      </c>
    </row>
    <row r="14" ht="21" customHeight="1">
      <c r="A14" s="46">
        <f>IF('Master FF&amp;E Schedule'!D14="","",'Master FF&amp;E Schedule'!B14)</f>
        <v/>
      </c>
      <c r="B14" s="46">
        <f>IF('Master FF&amp;E Schedule'!D14="","",'Master FF&amp;E Schedule'!C14)</f>
        <v/>
      </c>
      <c r="C14" s="46">
        <f>IF('Master FF&amp;E Schedule'!D14="","",'Master FF&amp;E Schedule'!D14)</f>
        <v/>
      </c>
      <c r="D14" s="46">
        <f>IF('Master FF&amp;E Schedule'!D14="","",'Master FF&amp;E Schedule'!E14)</f>
        <v/>
      </c>
      <c r="E14" s="46">
        <f>IF('Master FF&amp;E Schedule'!D14="","",IF('Master FF&amp;E Schedule'!L14&lt;&gt;"",'Master FF&amp;E Schedule'!L14,'Master FF&amp;E Schedule'!K14))</f>
        <v/>
      </c>
      <c r="F14" s="46">
        <f>IF('Master FF&amp;E Schedule'!D14="","",'Master FF&amp;E Schedule'!M14)</f>
        <v/>
      </c>
      <c r="G14" s="41">
        <f>IF('Master FF&amp;E Schedule'!D14="","",'Master FF&amp;E Schedule'!T14)</f>
        <v/>
      </c>
      <c r="H14" s="46">
        <f>IF('Master FF&amp;E Schedule'!D14="","",'Master FF&amp;E Schedule'!W14)</f>
        <v/>
      </c>
    </row>
    <row r="15" ht="21" customHeight="1">
      <c r="A15" s="46">
        <f>IF('Master FF&amp;E Schedule'!D15="","",'Master FF&amp;E Schedule'!B15)</f>
        <v/>
      </c>
      <c r="B15" s="46">
        <f>IF('Master FF&amp;E Schedule'!D15="","",'Master FF&amp;E Schedule'!C15)</f>
        <v/>
      </c>
      <c r="C15" s="46">
        <f>IF('Master FF&amp;E Schedule'!D15="","",'Master FF&amp;E Schedule'!D15)</f>
        <v/>
      </c>
      <c r="D15" s="46">
        <f>IF('Master FF&amp;E Schedule'!D15="","",'Master FF&amp;E Schedule'!E15)</f>
        <v/>
      </c>
      <c r="E15" s="46">
        <f>IF('Master FF&amp;E Schedule'!D15="","",IF('Master FF&amp;E Schedule'!L15&lt;&gt;"",'Master FF&amp;E Schedule'!L15,'Master FF&amp;E Schedule'!K15))</f>
        <v/>
      </c>
      <c r="F15" s="46">
        <f>IF('Master FF&amp;E Schedule'!D15="","",'Master FF&amp;E Schedule'!M15)</f>
        <v/>
      </c>
      <c r="G15" s="41">
        <f>IF('Master FF&amp;E Schedule'!D15="","",'Master FF&amp;E Schedule'!T15)</f>
        <v/>
      </c>
      <c r="H15" s="46">
        <f>IF('Master FF&amp;E Schedule'!D15="","",'Master FF&amp;E Schedule'!W15)</f>
        <v/>
      </c>
    </row>
    <row r="16" ht="21" customHeight="1">
      <c r="A16" s="46">
        <f>IF('Master FF&amp;E Schedule'!D16="","",'Master FF&amp;E Schedule'!B16)</f>
        <v/>
      </c>
      <c r="B16" s="46">
        <f>IF('Master FF&amp;E Schedule'!D16="","",'Master FF&amp;E Schedule'!C16)</f>
        <v/>
      </c>
      <c r="C16" s="46">
        <f>IF('Master FF&amp;E Schedule'!D16="","",'Master FF&amp;E Schedule'!D16)</f>
        <v/>
      </c>
      <c r="D16" s="46">
        <f>IF('Master FF&amp;E Schedule'!D16="","",'Master FF&amp;E Schedule'!E16)</f>
        <v/>
      </c>
      <c r="E16" s="46">
        <f>IF('Master FF&amp;E Schedule'!D16="","",IF('Master FF&amp;E Schedule'!L16&lt;&gt;"",'Master FF&amp;E Schedule'!L16,'Master FF&amp;E Schedule'!K16))</f>
        <v/>
      </c>
      <c r="F16" s="46">
        <f>IF('Master FF&amp;E Schedule'!D16="","",'Master FF&amp;E Schedule'!M16)</f>
        <v/>
      </c>
      <c r="G16" s="41">
        <f>IF('Master FF&amp;E Schedule'!D16="","",'Master FF&amp;E Schedule'!T16)</f>
        <v/>
      </c>
      <c r="H16" s="46">
        <f>IF('Master FF&amp;E Schedule'!D16="","",'Master FF&amp;E Schedule'!W16)</f>
        <v/>
      </c>
    </row>
    <row r="17" ht="21" customHeight="1">
      <c r="A17" s="46">
        <f>IF('Master FF&amp;E Schedule'!D17="","",'Master FF&amp;E Schedule'!B17)</f>
        <v/>
      </c>
      <c r="B17" s="46">
        <f>IF('Master FF&amp;E Schedule'!D17="","",'Master FF&amp;E Schedule'!C17)</f>
        <v/>
      </c>
      <c r="C17" s="46">
        <f>IF('Master FF&amp;E Schedule'!D17="","",'Master FF&amp;E Schedule'!D17)</f>
        <v/>
      </c>
      <c r="D17" s="46">
        <f>IF('Master FF&amp;E Schedule'!D17="","",'Master FF&amp;E Schedule'!E17)</f>
        <v/>
      </c>
      <c r="E17" s="46">
        <f>IF('Master FF&amp;E Schedule'!D17="","",IF('Master FF&amp;E Schedule'!L17&lt;&gt;"",'Master FF&amp;E Schedule'!L17,'Master FF&amp;E Schedule'!K17))</f>
        <v/>
      </c>
      <c r="F17" s="46">
        <f>IF('Master FF&amp;E Schedule'!D17="","",'Master FF&amp;E Schedule'!M17)</f>
        <v/>
      </c>
      <c r="G17" s="41">
        <f>IF('Master FF&amp;E Schedule'!D17="","",'Master FF&amp;E Schedule'!T17)</f>
        <v/>
      </c>
      <c r="H17" s="46">
        <f>IF('Master FF&amp;E Schedule'!D17="","",'Master FF&amp;E Schedule'!W17)</f>
        <v/>
      </c>
    </row>
    <row r="18" ht="21" customHeight="1">
      <c r="A18" s="46">
        <f>IF('Master FF&amp;E Schedule'!D18="","",'Master FF&amp;E Schedule'!B18)</f>
        <v/>
      </c>
      <c r="B18" s="46">
        <f>IF('Master FF&amp;E Schedule'!D18="","",'Master FF&amp;E Schedule'!C18)</f>
        <v/>
      </c>
      <c r="C18" s="46">
        <f>IF('Master FF&amp;E Schedule'!D18="","",'Master FF&amp;E Schedule'!D18)</f>
        <v/>
      </c>
      <c r="D18" s="46">
        <f>IF('Master FF&amp;E Schedule'!D18="","",'Master FF&amp;E Schedule'!E18)</f>
        <v/>
      </c>
      <c r="E18" s="46">
        <f>IF('Master FF&amp;E Schedule'!D18="","",IF('Master FF&amp;E Schedule'!L18&lt;&gt;"",'Master FF&amp;E Schedule'!L18,'Master FF&amp;E Schedule'!K18))</f>
        <v/>
      </c>
      <c r="F18" s="46">
        <f>IF('Master FF&amp;E Schedule'!D18="","",'Master FF&amp;E Schedule'!M18)</f>
        <v/>
      </c>
      <c r="G18" s="41">
        <f>IF('Master FF&amp;E Schedule'!D18="","",'Master FF&amp;E Schedule'!T18)</f>
        <v/>
      </c>
      <c r="H18" s="46">
        <f>IF('Master FF&amp;E Schedule'!D18="","",'Master FF&amp;E Schedule'!W18)</f>
        <v/>
      </c>
    </row>
    <row r="19" ht="21" customHeight="1">
      <c r="A19" s="46">
        <f>IF('Master FF&amp;E Schedule'!D19="","",'Master FF&amp;E Schedule'!B19)</f>
        <v/>
      </c>
      <c r="B19" s="46">
        <f>IF('Master FF&amp;E Schedule'!D19="","",'Master FF&amp;E Schedule'!C19)</f>
        <v/>
      </c>
      <c r="C19" s="46">
        <f>IF('Master FF&amp;E Schedule'!D19="","",'Master FF&amp;E Schedule'!D19)</f>
        <v/>
      </c>
      <c r="D19" s="46">
        <f>IF('Master FF&amp;E Schedule'!D19="","",'Master FF&amp;E Schedule'!E19)</f>
        <v/>
      </c>
      <c r="E19" s="46">
        <f>IF('Master FF&amp;E Schedule'!D19="","",IF('Master FF&amp;E Schedule'!L19&lt;&gt;"",'Master FF&amp;E Schedule'!L19,'Master FF&amp;E Schedule'!K19))</f>
        <v/>
      </c>
      <c r="F19" s="46">
        <f>IF('Master FF&amp;E Schedule'!D19="","",'Master FF&amp;E Schedule'!M19)</f>
        <v/>
      </c>
      <c r="G19" s="41">
        <f>IF('Master FF&amp;E Schedule'!D19="","",'Master FF&amp;E Schedule'!T19)</f>
        <v/>
      </c>
      <c r="H19" s="46">
        <f>IF('Master FF&amp;E Schedule'!D19="","",'Master FF&amp;E Schedule'!W19)</f>
        <v/>
      </c>
    </row>
    <row r="20" ht="21" customHeight="1">
      <c r="A20" s="46">
        <f>IF('Master FF&amp;E Schedule'!D20="","",'Master FF&amp;E Schedule'!B20)</f>
        <v/>
      </c>
      <c r="B20" s="46">
        <f>IF('Master FF&amp;E Schedule'!D20="","",'Master FF&amp;E Schedule'!C20)</f>
        <v/>
      </c>
      <c r="C20" s="46">
        <f>IF('Master FF&amp;E Schedule'!D20="","",'Master FF&amp;E Schedule'!D20)</f>
        <v/>
      </c>
      <c r="D20" s="46">
        <f>IF('Master FF&amp;E Schedule'!D20="","",'Master FF&amp;E Schedule'!E20)</f>
        <v/>
      </c>
      <c r="E20" s="46">
        <f>IF('Master FF&amp;E Schedule'!D20="","",IF('Master FF&amp;E Schedule'!L20&lt;&gt;"",'Master FF&amp;E Schedule'!L20,'Master FF&amp;E Schedule'!K20))</f>
        <v/>
      </c>
      <c r="F20" s="46">
        <f>IF('Master FF&amp;E Schedule'!D20="","",'Master FF&amp;E Schedule'!M20)</f>
        <v/>
      </c>
      <c r="G20" s="41">
        <f>IF('Master FF&amp;E Schedule'!D20="","",'Master FF&amp;E Schedule'!T20)</f>
        <v/>
      </c>
      <c r="H20" s="46">
        <f>IF('Master FF&amp;E Schedule'!D20="","",'Master FF&amp;E Schedule'!W20)</f>
        <v/>
      </c>
    </row>
    <row r="21" ht="21" customHeight="1">
      <c r="A21" s="46">
        <f>IF('Master FF&amp;E Schedule'!D21="","",'Master FF&amp;E Schedule'!B21)</f>
        <v/>
      </c>
      <c r="B21" s="46">
        <f>IF('Master FF&amp;E Schedule'!D21="","",'Master FF&amp;E Schedule'!C21)</f>
        <v/>
      </c>
      <c r="C21" s="46">
        <f>IF('Master FF&amp;E Schedule'!D21="","",'Master FF&amp;E Schedule'!D21)</f>
        <v/>
      </c>
      <c r="D21" s="46">
        <f>IF('Master FF&amp;E Schedule'!D21="","",'Master FF&amp;E Schedule'!E21)</f>
        <v/>
      </c>
      <c r="E21" s="46">
        <f>IF('Master FF&amp;E Schedule'!D21="","",IF('Master FF&amp;E Schedule'!L21&lt;&gt;"",'Master FF&amp;E Schedule'!L21,'Master FF&amp;E Schedule'!K21))</f>
        <v/>
      </c>
      <c r="F21" s="46">
        <f>IF('Master FF&amp;E Schedule'!D21="","",'Master FF&amp;E Schedule'!M21)</f>
        <v/>
      </c>
      <c r="G21" s="41">
        <f>IF('Master FF&amp;E Schedule'!D21="","",'Master FF&amp;E Schedule'!T21)</f>
        <v/>
      </c>
      <c r="H21" s="46">
        <f>IF('Master FF&amp;E Schedule'!D21="","",'Master FF&amp;E Schedule'!W21)</f>
        <v/>
      </c>
    </row>
    <row r="22" ht="21" customHeight="1">
      <c r="A22" s="46">
        <f>IF('Master FF&amp;E Schedule'!D22="","",'Master FF&amp;E Schedule'!B22)</f>
        <v/>
      </c>
      <c r="B22" s="46">
        <f>IF('Master FF&amp;E Schedule'!D22="","",'Master FF&amp;E Schedule'!C22)</f>
        <v/>
      </c>
      <c r="C22" s="46">
        <f>IF('Master FF&amp;E Schedule'!D22="","",'Master FF&amp;E Schedule'!D22)</f>
        <v/>
      </c>
      <c r="D22" s="46">
        <f>IF('Master FF&amp;E Schedule'!D22="","",'Master FF&amp;E Schedule'!E22)</f>
        <v/>
      </c>
      <c r="E22" s="46">
        <f>IF('Master FF&amp;E Schedule'!D22="","",IF('Master FF&amp;E Schedule'!L22&lt;&gt;"",'Master FF&amp;E Schedule'!L22,'Master FF&amp;E Schedule'!K22))</f>
        <v/>
      </c>
      <c r="F22" s="46">
        <f>IF('Master FF&amp;E Schedule'!D22="","",'Master FF&amp;E Schedule'!M22)</f>
        <v/>
      </c>
      <c r="G22" s="41">
        <f>IF('Master FF&amp;E Schedule'!D22="","",'Master FF&amp;E Schedule'!T22)</f>
        <v/>
      </c>
      <c r="H22" s="46">
        <f>IF('Master FF&amp;E Schedule'!D22="","",'Master FF&amp;E Schedule'!W22)</f>
        <v/>
      </c>
    </row>
    <row r="23" ht="21" customHeight="1">
      <c r="A23" s="46">
        <f>IF('Master FF&amp;E Schedule'!D23="","",'Master FF&amp;E Schedule'!B23)</f>
        <v/>
      </c>
      <c r="B23" s="46">
        <f>IF('Master FF&amp;E Schedule'!D23="","",'Master FF&amp;E Schedule'!C23)</f>
        <v/>
      </c>
      <c r="C23" s="46">
        <f>IF('Master FF&amp;E Schedule'!D23="","",'Master FF&amp;E Schedule'!D23)</f>
        <v/>
      </c>
      <c r="D23" s="46">
        <f>IF('Master FF&amp;E Schedule'!D23="","",'Master FF&amp;E Schedule'!E23)</f>
        <v/>
      </c>
      <c r="E23" s="46">
        <f>IF('Master FF&amp;E Schedule'!D23="","",IF('Master FF&amp;E Schedule'!L23&lt;&gt;"",'Master FF&amp;E Schedule'!L23,'Master FF&amp;E Schedule'!K23))</f>
        <v/>
      </c>
      <c r="F23" s="46">
        <f>IF('Master FF&amp;E Schedule'!D23="","",'Master FF&amp;E Schedule'!M23)</f>
        <v/>
      </c>
      <c r="G23" s="41">
        <f>IF('Master FF&amp;E Schedule'!D23="","",'Master FF&amp;E Schedule'!T23)</f>
        <v/>
      </c>
      <c r="H23" s="46">
        <f>IF('Master FF&amp;E Schedule'!D23="","",'Master FF&amp;E Schedule'!W23)</f>
        <v/>
      </c>
    </row>
    <row r="24" ht="21" customHeight="1">
      <c r="A24" s="46">
        <f>IF('Master FF&amp;E Schedule'!D24="","",'Master FF&amp;E Schedule'!B24)</f>
        <v/>
      </c>
      <c r="B24" s="46">
        <f>IF('Master FF&amp;E Schedule'!D24="","",'Master FF&amp;E Schedule'!C24)</f>
        <v/>
      </c>
      <c r="C24" s="46">
        <f>IF('Master FF&amp;E Schedule'!D24="","",'Master FF&amp;E Schedule'!D24)</f>
        <v/>
      </c>
      <c r="D24" s="46">
        <f>IF('Master FF&amp;E Schedule'!D24="","",'Master FF&amp;E Schedule'!E24)</f>
        <v/>
      </c>
      <c r="E24" s="46">
        <f>IF('Master FF&amp;E Schedule'!D24="","",IF('Master FF&amp;E Schedule'!L24&lt;&gt;"",'Master FF&amp;E Schedule'!L24,'Master FF&amp;E Schedule'!K24))</f>
        <v/>
      </c>
      <c r="F24" s="46">
        <f>IF('Master FF&amp;E Schedule'!D24="","",'Master FF&amp;E Schedule'!M24)</f>
        <v/>
      </c>
      <c r="G24" s="41">
        <f>IF('Master FF&amp;E Schedule'!D24="","",'Master FF&amp;E Schedule'!T24)</f>
        <v/>
      </c>
      <c r="H24" s="46">
        <f>IF('Master FF&amp;E Schedule'!D24="","",'Master FF&amp;E Schedule'!W24)</f>
        <v/>
      </c>
    </row>
    <row r="25" ht="21" customHeight="1">
      <c r="A25" s="46">
        <f>IF('Master FF&amp;E Schedule'!D25="","",'Master FF&amp;E Schedule'!B25)</f>
        <v/>
      </c>
      <c r="B25" s="46">
        <f>IF('Master FF&amp;E Schedule'!D25="","",'Master FF&amp;E Schedule'!C25)</f>
        <v/>
      </c>
      <c r="C25" s="46">
        <f>IF('Master FF&amp;E Schedule'!D25="","",'Master FF&amp;E Schedule'!D25)</f>
        <v/>
      </c>
      <c r="D25" s="46">
        <f>IF('Master FF&amp;E Schedule'!D25="","",'Master FF&amp;E Schedule'!E25)</f>
        <v/>
      </c>
      <c r="E25" s="46">
        <f>IF('Master FF&amp;E Schedule'!D25="","",IF('Master FF&amp;E Schedule'!L25&lt;&gt;"",'Master FF&amp;E Schedule'!L25,'Master FF&amp;E Schedule'!K25))</f>
        <v/>
      </c>
      <c r="F25" s="46">
        <f>IF('Master FF&amp;E Schedule'!D25="","",'Master FF&amp;E Schedule'!M25)</f>
        <v/>
      </c>
      <c r="G25" s="41">
        <f>IF('Master FF&amp;E Schedule'!D25="","",'Master FF&amp;E Schedule'!T25)</f>
        <v/>
      </c>
      <c r="H25" s="46">
        <f>IF('Master FF&amp;E Schedule'!D25="","",'Master FF&amp;E Schedule'!W25)</f>
        <v/>
      </c>
    </row>
    <row r="26" ht="21" customHeight="1">
      <c r="A26" s="46">
        <f>IF('Master FF&amp;E Schedule'!D26="","",'Master FF&amp;E Schedule'!B26)</f>
        <v/>
      </c>
      <c r="B26" s="46">
        <f>IF('Master FF&amp;E Schedule'!D26="","",'Master FF&amp;E Schedule'!C26)</f>
        <v/>
      </c>
      <c r="C26" s="46">
        <f>IF('Master FF&amp;E Schedule'!D26="","",'Master FF&amp;E Schedule'!D26)</f>
        <v/>
      </c>
      <c r="D26" s="46">
        <f>IF('Master FF&amp;E Schedule'!D26="","",'Master FF&amp;E Schedule'!E26)</f>
        <v/>
      </c>
      <c r="E26" s="46">
        <f>IF('Master FF&amp;E Schedule'!D26="","",IF('Master FF&amp;E Schedule'!L26&lt;&gt;"",'Master FF&amp;E Schedule'!L26,'Master FF&amp;E Schedule'!K26))</f>
        <v/>
      </c>
      <c r="F26" s="46">
        <f>IF('Master FF&amp;E Schedule'!D26="","",'Master FF&amp;E Schedule'!M26)</f>
        <v/>
      </c>
      <c r="G26" s="41">
        <f>IF('Master FF&amp;E Schedule'!D26="","",'Master FF&amp;E Schedule'!T26)</f>
        <v/>
      </c>
      <c r="H26" s="46">
        <f>IF('Master FF&amp;E Schedule'!D26="","",'Master FF&amp;E Schedule'!W26)</f>
        <v/>
      </c>
    </row>
    <row r="27" ht="21" customHeight="1">
      <c r="A27" s="46">
        <f>IF('Master FF&amp;E Schedule'!D27="","",'Master FF&amp;E Schedule'!B27)</f>
        <v/>
      </c>
      <c r="B27" s="46">
        <f>IF('Master FF&amp;E Schedule'!D27="","",'Master FF&amp;E Schedule'!C27)</f>
        <v/>
      </c>
      <c r="C27" s="46">
        <f>IF('Master FF&amp;E Schedule'!D27="","",'Master FF&amp;E Schedule'!D27)</f>
        <v/>
      </c>
      <c r="D27" s="46">
        <f>IF('Master FF&amp;E Schedule'!D27="","",'Master FF&amp;E Schedule'!E27)</f>
        <v/>
      </c>
      <c r="E27" s="46">
        <f>IF('Master FF&amp;E Schedule'!D27="","",IF('Master FF&amp;E Schedule'!L27&lt;&gt;"",'Master FF&amp;E Schedule'!L27,'Master FF&amp;E Schedule'!K27))</f>
        <v/>
      </c>
      <c r="F27" s="46">
        <f>IF('Master FF&amp;E Schedule'!D27="","",'Master FF&amp;E Schedule'!M27)</f>
        <v/>
      </c>
      <c r="G27" s="41">
        <f>IF('Master FF&amp;E Schedule'!D27="","",'Master FF&amp;E Schedule'!T27)</f>
        <v/>
      </c>
      <c r="H27" s="46">
        <f>IF('Master FF&amp;E Schedule'!D27="","",'Master FF&amp;E Schedule'!W27)</f>
        <v/>
      </c>
    </row>
    <row r="28" ht="21" customHeight="1">
      <c r="A28" s="46">
        <f>IF('Master FF&amp;E Schedule'!D28="","",'Master FF&amp;E Schedule'!B28)</f>
        <v/>
      </c>
      <c r="B28" s="46">
        <f>IF('Master FF&amp;E Schedule'!D28="","",'Master FF&amp;E Schedule'!C28)</f>
        <v/>
      </c>
      <c r="C28" s="46">
        <f>IF('Master FF&amp;E Schedule'!D28="","",'Master FF&amp;E Schedule'!D28)</f>
        <v/>
      </c>
      <c r="D28" s="46">
        <f>IF('Master FF&amp;E Schedule'!D28="","",'Master FF&amp;E Schedule'!E28)</f>
        <v/>
      </c>
      <c r="E28" s="46">
        <f>IF('Master FF&amp;E Schedule'!D28="","",IF('Master FF&amp;E Schedule'!L28&lt;&gt;"",'Master FF&amp;E Schedule'!L28,'Master FF&amp;E Schedule'!K28))</f>
        <v/>
      </c>
      <c r="F28" s="46">
        <f>IF('Master FF&amp;E Schedule'!D28="","",'Master FF&amp;E Schedule'!M28)</f>
        <v/>
      </c>
      <c r="G28" s="41">
        <f>IF('Master FF&amp;E Schedule'!D28="","",'Master FF&amp;E Schedule'!T28)</f>
        <v/>
      </c>
      <c r="H28" s="46">
        <f>IF('Master FF&amp;E Schedule'!D28="","",'Master FF&amp;E Schedule'!W28)</f>
        <v/>
      </c>
    </row>
    <row r="29" ht="21" customHeight="1">
      <c r="A29" s="46">
        <f>IF('Master FF&amp;E Schedule'!D29="","",'Master FF&amp;E Schedule'!B29)</f>
        <v/>
      </c>
      <c r="B29" s="46">
        <f>IF('Master FF&amp;E Schedule'!D29="","",'Master FF&amp;E Schedule'!C29)</f>
        <v/>
      </c>
      <c r="C29" s="46">
        <f>IF('Master FF&amp;E Schedule'!D29="","",'Master FF&amp;E Schedule'!D29)</f>
        <v/>
      </c>
      <c r="D29" s="46">
        <f>IF('Master FF&amp;E Schedule'!D29="","",'Master FF&amp;E Schedule'!E29)</f>
        <v/>
      </c>
      <c r="E29" s="46">
        <f>IF('Master FF&amp;E Schedule'!D29="","",IF('Master FF&amp;E Schedule'!L29&lt;&gt;"",'Master FF&amp;E Schedule'!L29,'Master FF&amp;E Schedule'!K29))</f>
        <v/>
      </c>
      <c r="F29" s="46">
        <f>IF('Master FF&amp;E Schedule'!D29="","",'Master FF&amp;E Schedule'!M29)</f>
        <v/>
      </c>
      <c r="G29" s="41">
        <f>IF('Master FF&amp;E Schedule'!D29="","",'Master FF&amp;E Schedule'!T29)</f>
        <v/>
      </c>
      <c r="H29" s="46">
        <f>IF('Master FF&amp;E Schedule'!D29="","",'Master FF&amp;E Schedule'!W29)</f>
        <v/>
      </c>
    </row>
    <row r="30" ht="21" customHeight="1">
      <c r="A30" s="46">
        <f>IF('Master FF&amp;E Schedule'!D30="","",'Master FF&amp;E Schedule'!B30)</f>
        <v/>
      </c>
      <c r="B30" s="46">
        <f>IF('Master FF&amp;E Schedule'!D30="","",'Master FF&amp;E Schedule'!C30)</f>
        <v/>
      </c>
      <c r="C30" s="46">
        <f>IF('Master FF&amp;E Schedule'!D30="","",'Master FF&amp;E Schedule'!D30)</f>
        <v/>
      </c>
      <c r="D30" s="46">
        <f>IF('Master FF&amp;E Schedule'!D30="","",'Master FF&amp;E Schedule'!E30)</f>
        <v/>
      </c>
      <c r="E30" s="46">
        <f>IF('Master FF&amp;E Schedule'!D30="","",IF('Master FF&amp;E Schedule'!L30&lt;&gt;"",'Master FF&amp;E Schedule'!L30,'Master FF&amp;E Schedule'!K30))</f>
        <v/>
      </c>
      <c r="F30" s="46">
        <f>IF('Master FF&amp;E Schedule'!D30="","",'Master FF&amp;E Schedule'!M30)</f>
        <v/>
      </c>
      <c r="G30" s="41">
        <f>IF('Master FF&amp;E Schedule'!D30="","",'Master FF&amp;E Schedule'!T30)</f>
        <v/>
      </c>
      <c r="H30" s="46">
        <f>IF('Master FF&amp;E Schedule'!D30="","",'Master FF&amp;E Schedule'!W30)</f>
        <v/>
      </c>
    </row>
    <row r="31" ht="21" customHeight="1">
      <c r="A31" s="46">
        <f>IF('Master FF&amp;E Schedule'!D31="","",'Master FF&amp;E Schedule'!B31)</f>
        <v/>
      </c>
      <c r="B31" s="46">
        <f>IF('Master FF&amp;E Schedule'!D31="","",'Master FF&amp;E Schedule'!C31)</f>
        <v/>
      </c>
      <c r="C31" s="46">
        <f>IF('Master FF&amp;E Schedule'!D31="","",'Master FF&amp;E Schedule'!D31)</f>
        <v/>
      </c>
      <c r="D31" s="46">
        <f>IF('Master FF&amp;E Schedule'!D31="","",'Master FF&amp;E Schedule'!E31)</f>
        <v/>
      </c>
      <c r="E31" s="46">
        <f>IF('Master FF&amp;E Schedule'!D31="","",IF('Master FF&amp;E Schedule'!L31&lt;&gt;"",'Master FF&amp;E Schedule'!L31,'Master FF&amp;E Schedule'!K31))</f>
        <v/>
      </c>
      <c r="F31" s="46">
        <f>IF('Master FF&amp;E Schedule'!D31="","",'Master FF&amp;E Schedule'!M31)</f>
        <v/>
      </c>
      <c r="G31" s="41">
        <f>IF('Master FF&amp;E Schedule'!D31="","",'Master FF&amp;E Schedule'!T31)</f>
        <v/>
      </c>
      <c r="H31" s="46">
        <f>IF('Master FF&amp;E Schedule'!D31="","",'Master FF&amp;E Schedule'!W31)</f>
        <v/>
      </c>
    </row>
    <row r="32" ht="21" customHeight="1">
      <c r="A32" s="46">
        <f>IF('Master FF&amp;E Schedule'!D32="","",'Master FF&amp;E Schedule'!B32)</f>
        <v/>
      </c>
      <c r="B32" s="46">
        <f>IF('Master FF&amp;E Schedule'!D32="","",'Master FF&amp;E Schedule'!C32)</f>
        <v/>
      </c>
      <c r="C32" s="46">
        <f>IF('Master FF&amp;E Schedule'!D32="","",'Master FF&amp;E Schedule'!D32)</f>
        <v/>
      </c>
      <c r="D32" s="46">
        <f>IF('Master FF&amp;E Schedule'!D32="","",'Master FF&amp;E Schedule'!E32)</f>
        <v/>
      </c>
      <c r="E32" s="46">
        <f>IF('Master FF&amp;E Schedule'!D32="","",IF('Master FF&amp;E Schedule'!L32&lt;&gt;"",'Master FF&amp;E Schedule'!L32,'Master FF&amp;E Schedule'!K32))</f>
        <v/>
      </c>
      <c r="F32" s="46">
        <f>IF('Master FF&amp;E Schedule'!D32="","",'Master FF&amp;E Schedule'!M32)</f>
        <v/>
      </c>
      <c r="G32" s="41">
        <f>IF('Master FF&amp;E Schedule'!D32="","",'Master FF&amp;E Schedule'!T32)</f>
        <v/>
      </c>
      <c r="H32" s="46">
        <f>IF('Master FF&amp;E Schedule'!D32="","",'Master FF&amp;E Schedule'!W32)</f>
        <v/>
      </c>
    </row>
    <row r="33" ht="21" customHeight="1">
      <c r="A33" s="46">
        <f>IF('Master FF&amp;E Schedule'!D33="","",'Master FF&amp;E Schedule'!B33)</f>
        <v/>
      </c>
      <c r="B33" s="46">
        <f>IF('Master FF&amp;E Schedule'!D33="","",'Master FF&amp;E Schedule'!C33)</f>
        <v/>
      </c>
      <c r="C33" s="46">
        <f>IF('Master FF&amp;E Schedule'!D33="","",'Master FF&amp;E Schedule'!D33)</f>
        <v/>
      </c>
      <c r="D33" s="46">
        <f>IF('Master FF&amp;E Schedule'!D33="","",'Master FF&amp;E Schedule'!E33)</f>
        <v/>
      </c>
      <c r="E33" s="46">
        <f>IF('Master FF&amp;E Schedule'!D33="","",IF('Master FF&amp;E Schedule'!L33&lt;&gt;"",'Master FF&amp;E Schedule'!L33,'Master FF&amp;E Schedule'!K33))</f>
        <v/>
      </c>
      <c r="F33" s="46">
        <f>IF('Master FF&amp;E Schedule'!D33="","",'Master FF&amp;E Schedule'!M33)</f>
        <v/>
      </c>
      <c r="G33" s="41">
        <f>IF('Master FF&amp;E Schedule'!D33="","",'Master FF&amp;E Schedule'!T33)</f>
        <v/>
      </c>
      <c r="H33" s="46">
        <f>IF('Master FF&amp;E Schedule'!D33="","",'Master FF&amp;E Schedule'!W33)</f>
        <v/>
      </c>
    </row>
    <row r="34" ht="21" customHeight="1">
      <c r="A34" s="46">
        <f>IF('Master FF&amp;E Schedule'!D34="","",'Master FF&amp;E Schedule'!B34)</f>
        <v/>
      </c>
      <c r="B34" s="46">
        <f>IF('Master FF&amp;E Schedule'!D34="","",'Master FF&amp;E Schedule'!C34)</f>
        <v/>
      </c>
      <c r="C34" s="46">
        <f>IF('Master FF&amp;E Schedule'!D34="","",'Master FF&amp;E Schedule'!D34)</f>
        <v/>
      </c>
      <c r="D34" s="46">
        <f>IF('Master FF&amp;E Schedule'!D34="","",'Master FF&amp;E Schedule'!E34)</f>
        <v/>
      </c>
      <c r="E34" s="46">
        <f>IF('Master FF&amp;E Schedule'!D34="","",IF('Master FF&amp;E Schedule'!L34&lt;&gt;"",'Master FF&amp;E Schedule'!L34,'Master FF&amp;E Schedule'!K34))</f>
        <v/>
      </c>
      <c r="F34" s="46">
        <f>IF('Master FF&amp;E Schedule'!D34="","",'Master FF&amp;E Schedule'!M34)</f>
        <v/>
      </c>
      <c r="G34" s="41">
        <f>IF('Master FF&amp;E Schedule'!D34="","",'Master FF&amp;E Schedule'!T34)</f>
        <v/>
      </c>
      <c r="H34" s="46">
        <f>IF('Master FF&amp;E Schedule'!D34="","",'Master FF&amp;E Schedule'!W34)</f>
        <v/>
      </c>
    </row>
    <row r="35" ht="21" customHeight="1">
      <c r="A35" s="46">
        <f>IF('Master FF&amp;E Schedule'!D35="","",'Master FF&amp;E Schedule'!B35)</f>
        <v/>
      </c>
      <c r="B35" s="46">
        <f>IF('Master FF&amp;E Schedule'!D35="","",'Master FF&amp;E Schedule'!C35)</f>
        <v/>
      </c>
      <c r="C35" s="46">
        <f>IF('Master FF&amp;E Schedule'!D35="","",'Master FF&amp;E Schedule'!D35)</f>
        <v/>
      </c>
      <c r="D35" s="46">
        <f>IF('Master FF&amp;E Schedule'!D35="","",'Master FF&amp;E Schedule'!E35)</f>
        <v/>
      </c>
      <c r="E35" s="46">
        <f>IF('Master FF&amp;E Schedule'!D35="","",IF('Master FF&amp;E Schedule'!L35&lt;&gt;"",'Master FF&amp;E Schedule'!L35,'Master FF&amp;E Schedule'!K35))</f>
        <v/>
      </c>
      <c r="F35" s="46">
        <f>IF('Master FF&amp;E Schedule'!D35="","",'Master FF&amp;E Schedule'!M35)</f>
        <v/>
      </c>
      <c r="G35" s="41">
        <f>IF('Master FF&amp;E Schedule'!D35="","",'Master FF&amp;E Schedule'!T35)</f>
        <v/>
      </c>
      <c r="H35" s="46">
        <f>IF('Master FF&amp;E Schedule'!D35="","",'Master FF&amp;E Schedule'!W35)</f>
        <v/>
      </c>
    </row>
    <row r="36" ht="21" customHeight="1">
      <c r="A36" s="46">
        <f>IF('Master FF&amp;E Schedule'!D36="","",'Master FF&amp;E Schedule'!B36)</f>
        <v/>
      </c>
      <c r="B36" s="46">
        <f>IF('Master FF&amp;E Schedule'!D36="","",'Master FF&amp;E Schedule'!C36)</f>
        <v/>
      </c>
      <c r="C36" s="46">
        <f>IF('Master FF&amp;E Schedule'!D36="","",'Master FF&amp;E Schedule'!D36)</f>
        <v/>
      </c>
      <c r="D36" s="46">
        <f>IF('Master FF&amp;E Schedule'!D36="","",'Master FF&amp;E Schedule'!E36)</f>
        <v/>
      </c>
      <c r="E36" s="46">
        <f>IF('Master FF&amp;E Schedule'!D36="","",IF('Master FF&amp;E Schedule'!L36&lt;&gt;"",'Master FF&amp;E Schedule'!L36,'Master FF&amp;E Schedule'!K36))</f>
        <v/>
      </c>
      <c r="F36" s="46">
        <f>IF('Master FF&amp;E Schedule'!D36="","",'Master FF&amp;E Schedule'!M36)</f>
        <v/>
      </c>
      <c r="G36" s="41">
        <f>IF('Master FF&amp;E Schedule'!D36="","",'Master FF&amp;E Schedule'!T36)</f>
        <v/>
      </c>
      <c r="H36" s="46">
        <f>IF('Master FF&amp;E Schedule'!D36="","",'Master FF&amp;E Schedule'!W36)</f>
        <v/>
      </c>
    </row>
    <row r="37" ht="21" customHeight="1">
      <c r="A37" s="46">
        <f>IF('Master FF&amp;E Schedule'!D37="","",'Master FF&amp;E Schedule'!B37)</f>
        <v/>
      </c>
      <c r="B37" s="46">
        <f>IF('Master FF&amp;E Schedule'!D37="","",'Master FF&amp;E Schedule'!C37)</f>
        <v/>
      </c>
      <c r="C37" s="46">
        <f>IF('Master FF&amp;E Schedule'!D37="","",'Master FF&amp;E Schedule'!D37)</f>
        <v/>
      </c>
      <c r="D37" s="46">
        <f>IF('Master FF&amp;E Schedule'!D37="","",'Master FF&amp;E Schedule'!E37)</f>
        <v/>
      </c>
      <c r="E37" s="46">
        <f>IF('Master FF&amp;E Schedule'!D37="","",IF('Master FF&amp;E Schedule'!L37&lt;&gt;"",'Master FF&amp;E Schedule'!L37,'Master FF&amp;E Schedule'!K37))</f>
        <v/>
      </c>
      <c r="F37" s="46">
        <f>IF('Master FF&amp;E Schedule'!D37="","",'Master FF&amp;E Schedule'!M37)</f>
        <v/>
      </c>
      <c r="G37" s="41">
        <f>IF('Master FF&amp;E Schedule'!D37="","",'Master FF&amp;E Schedule'!T37)</f>
        <v/>
      </c>
      <c r="H37" s="46">
        <f>IF('Master FF&amp;E Schedule'!D37="","",'Master FF&amp;E Schedule'!W37)</f>
        <v/>
      </c>
    </row>
    <row r="38" ht="21" customHeight="1">
      <c r="A38" s="46">
        <f>IF('Master FF&amp;E Schedule'!D38="","",'Master FF&amp;E Schedule'!B38)</f>
        <v/>
      </c>
      <c r="B38" s="46">
        <f>IF('Master FF&amp;E Schedule'!D38="","",'Master FF&amp;E Schedule'!C38)</f>
        <v/>
      </c>
      <c r="C38" s="46">
        <f>IF('Master FF&amp;E Schedule'!D38="","",'Master FF&amp;E Schedule'!D38)</f>
        <v/>
      </c>
      <c r="D38" s="46">
        <f>IF('Master FF&amp;E Schedule'!D38="","",'Master FF&amp;E Schedule'!E38)</f>
        <v/>
      </c>
      <c r="E38" s="46">
        <f>IF('Master FF&amp;E Schedule'!D38="","",IF('Master FF&amp;E Schedule'!L38&lt;&gt;"",'Master FF&amp;E Schedule'!L38,'Master FF&amp;E Schedule'!K38))</f>
        <v/>
      </c>
      <c r="F38" s="46">
        <f>IF('Master FF&amp;E Schedule'!D38="","",'Master FF&amp;E Schedule'!M38)</f>
        <v/>
      </c>
      <c r="G38" s="41">
        <f>IF('Master FF&amp;E Schedule'!D38="","",'Master FF&amp;E Schedule'!T38)</f>
        <v/>
      </c>
      <c r="H38" s="46">
        <f>IF('Master FF&amp;E Schedule'!D38="","",'Master FF&amp;E Schedule'!W38)</f>
        <v/>
      </c>
    </row>
    <row r="39" ht="21" customHeight="1">
      <c r="A39" s="46">
        <f>IF('Master FF&amp;E Schedule'!D39="","",'Master FF&amp;E Schedule'!B39)</f>
        <v/>
      </c>
      <c r="B39" s="46">
        <f>IF('Master FF&amp;E Schedule'!D39="","",'Master FF&amp;E Schedule'!C39)</f>
        <v/>
      </c>
      <c r="C39" s="46">
        <f>IF('Master FF&amp;E Schedule'!D39="","",'Master FF&amp;E Schedule'!D39)</f>
        <v/>
      </c>
      <c r="D39" s="46">
        <f>IF('Master FF&amp;E Schedule'!D39="","",'Master FF&amp;E Schedule'!E39)</f>
        <v/>
      </c>
      <c r="E39" s="46">
        <f>IF('Master FF&amp;E Schedule'!D39="","",IF('Master FF&amp;E Schedule'!L39&lt;&gt;"",'Master FF&amp;E Schedule'!L39,'Master FF&amp;E Schedule'!K39))</f>
        <v/>
      </c>
      <c r="F39" s="46">
        <f>IF('Master FF&amp;E Schedule'!D39="","",'Master FF&amp;E Schedule'!M39)</f>
        <v/>
      </c>
      <c r="G39" s="41">
        <f>IF('Master FF&amp;E Schedule'!D39="","",'Master FF&amp;E Schedule'!T39)</f>
        <v/>
      </c>
      <c r="H39" s="46">
        <f>IF('Master FF&amp;E Schedule'!D39="","",'Master FF&amp;E Schedule'!W39)</f>
        <v/>
      </c>
    </row>
    <row r="40" ht="21" customHeight="1">
      <c r="A40" s="46">
        <f>IF('Master FF&amp;E Schedule'!D40="","",'Master FF&amp;E Schedule'!B40)</f>
        <v/>
      </c>
      <c r="B40" s="46">
        <f>IF('Master FF&amp;E Schedule'!D40="","",'Master FF&amp;E Schedule'!C40)</f>
        <v/>
      </c>
      <c r="C40" s="46">
        <f>IF('Master FF&amp;E Schedule'!D40="","",'Master FF&amp;E Schedule'!D40)</f>
        <v/>
      </c>
      <c r="D40" s="46">
        <f>IF('Master FF&amp;E Schedule'!D40="","",'Master FF&amp;E Schedule'!E40)</f>
        <v/>
      </c>
      <c r="E40" s="46">
        <f>IF('Master FF&amp;E Schedule'!D40="","",IF('Master FF&amp;E Schedule'!L40&lt;&gt;"",'Master FF&amp;E Schedule'!L40,'Master FF&amp;E Schedule'!K40))</f>
        <v/>
      </c>
      <c r="F40" s="46">
        <f>IF('Master FF&amp;E Schedule'!D40="","",'Master FF&amp;E Schedule'!M40)</f>
        <v/>
      </c>
      <c r="G40" s="41">
        <f>IF('Master FF&amp;E Schedule'!D40="","",'Master FF&amp;E Schedule'!T40)</f>
        <v/>
      </c>
      <c r="H40" s="46">
        <f>IF('Master FF&amp;E Schedule'!D40="","",'Master FF&amp;E Schedule'!W40)</f>
        <v/>
      </c>
    </row>
    <row r="41" ht="21" customHeight="1">
      <c r="A41" s="46">
        <f>IF('Master FF&amp;E Schedule'!D41="","",'Master FF&amp;E Schedule'!B41)</f>
        <v/>
      </c>
      <c r="B41" s="46">
        <f>IF('Master FF&amp;E Schedule'!D41="","",'Master FF&amp;E Schedule'!C41)</f>
        <v/>
      </c>
      <c r="C41" s="46">
        <f>IF('Master FF&amp;E Schedule'!D41="","",'Master FF&amp;E Schedule'!D41)</f>
        <v/>
      </c>
      <c r="D41" s="46">
        <f>IF('Master FF&amp;E Schedule'!D41="","",'Master FF&amp;E Schedule'!E41)</f>
        <v/>
      </c>
      <c r="E41" s="46">
        <f>IF('Master FF&amp;E Schedule'!D41="","",IF('Master FF&amp;E Schedule'!L41&lt;&gt;"",'Master FF&amp;E Schedule'!L41,'Master FF&amp;E Schedule'!K41))</f>
        <v/>
      </c>
      <c r="F41" s="46">
        <f>IF('Master FF&amp;E Schedule'!D41="","",'Master FF&amp;E Schedule'!M41)</f>
        <v/>
      </c>
      <c r="G41" s="41">
        <f>IF('Master FF&amp;E Schedule'!D41="","",'Master FF&amp;E Schedule'!T41)</f>
        <v/>
      </c>
      <c r="H41" s="46">
        <f>IF('Master FF&amp;E Schedule'!D41="","",'Master FF&amp;E Schedule'!W41)</f>
        <v/>
      </c>
    </row>
    <row r="42" ht="21" customHeight="1">
      <c r="A42" s="46">
        <f>IF('Master FF&amp;E Schedule'!D42="","",'Master FF&amp;E Schedule'!B42)</f>
        <v/>
      </c>
      <c r="B42" s="46">
        <f>IF('Master FF&amp;E Schedule'!D42="","",'Master FF&amp;E Schedule'!C42)</f>
        <v/>
      </c>
      <c r="C42" s="46">
        <f>IF('Master FF&amp;E Schedule'!D42="","",'Master FF&amp;E Schedule'!D42)</f>
        <v/>
      </c>
      <c r="D42" s="46">
        <f>IF('Master FF&amp;E Schedule'!D42="","",'Master FF&amp;E Schedule'!E42)</f>
        <v/>
      </c>
      <c r="E42" s="46">
        <f>IF('Master FF&amp;E Schedule'!D42="","",IF('Master FF&amp;E Schedule'!L42&lt;&gt;"",'Master FF&amp;E Schedule'!L42,'Master FF&amp;E Schedule'!K42))</f>
        <v/>
      </c>
      <c r="F42" s="46">
        <f>IF('Master FF&amp;E Schedule'!D42="","",'Master FF&amp;E Schedule'!M42)</f>
        <v/>
      </c>
      <c r="G42" s="41">
        <f>IF('Master FF&amp;E Schedule'!D42="","",'Master FF&amp;E Schedule'!T42)</f>
        <v/>
      </c>
      <c r="H42" s="46">
        <f>IF('Master FF&amp;E Schedule'!D42="","",'Master FF&amp;E Schedule'!W42)</f>
        <v/>
      </c>
    </row>
    <row r="43" ht="21" customHeight="1">
      <c r="A43" s="46">
        <f>IF('Master FF&amp;E Schedule'!D43="","",'Master FF&amp;E Schedule'!B43)</f>
        <v/>
      </c>
      <c r="B43" s="46">
        <f>IF('Master FF&amp;E Schedule'!D43="","",'Master FF&amp;E Schedule'!C43)</f>
        <v/>
      </c>
      <c r="C43" s="46">
        <f>IF('Master FF&amp;E Schedule'!D43="","",'Master FF&amp;E Schedule'!D43)</f>
        <v/>
      </c>
      <c r="D43" s="46">
        <f>IF('Master FF&amp;E Schedule'!D43="","",'Master FF&amp;E Schedule'!E43)</f>
        <v/>
      </c>
      <c r="E43" s="46">
        <f>IF('Master FF&amp;E Schedule'!D43="","",IF('Master FF&amp;E Schedule'!L43&lt;&gt;"",'Master FF&amp;E Schedule'!L43,'Master FF&amp;E Schedule'!K43))</f>
        <v/>
      </c>
      <c r="F43" s="46">
        <f>IF('Master FF&amp;E Schedule'!D43="","",'Master FF&amp;E Schedule'!M43)</f>
        <v/>
      </c>
      <c r="G43" s="41">
        <f>IF('Master FF&amp;E Schedule'!D43="","",'Master FF&amp;E Schedule'!T43)</f>
        <v/>
      </c>
      <c r="H43" s="46">
        <f>IF('Master FF&amp;E Schedule'!D43="","",'Master FF&amp;E Schedule'!W43)</f>
        <v/>
      </c>
    </row>
    <row r="44" ht="21" customHeight="1">
      <c r="A44" s="46">
        <f>IF('Master FF&amp;E Schedule'!D44="","",'Master FF&amp;E Schedule'!B44)</f>
        <v/>
      </c>
      <c r="B44" s="46">
        <f>IF('Master FF&amp;E Schedule'!D44="","",'Master FF&amp;E Schedule'!C44)</f>
        <v/>
      </c>
      <c r="C44" s="46">
        <f>IF('Master FF&amp;E Schedule'!D44="","",'Master FF&amp;E Schedule'!D44)</f>
        <v/>
      </c>
      <c r="D44" s="46">
        <f>IF('Master FF&amp;E Schedule'!D44="","",'Master FF&amp;E Schedule'!E44)</f>
        <v/>
      </c>
      <c r="E44" s="46">
        <f>IF('Master FF&amp;E Schedule'!D44="","",IF('Master FF&amp;E Schedule'!L44&lt;&gt;"",'Master FF&amp;E Schedule'!L44,'Master FF&amp;E Schedule'!K44))</f>
        <v/>
      </c>
      <c r="F44" s="46">
        <f>IF('Master FF&amp;E Schedule'!D44="","",'Master FF&amp;E Schedule'!M44)</f>
        <v/>
      </c>
      <c r="G44" s="41">
        <f>IF('Master FF&amp;E Schedule'!D44="","",'Master FF&amp;E Schedule'!T44)</f>
        <v/>
      </c>
      <c r="H44" s="46">
        <f>IF('Master FF&amp;E Schedule'!D44="","",'Master FF&amp;E Schedule'!W44)</f>
        <v/>
      </c>
    </row>
    <row r="45" ht="21" customHeight="1">
      <c r="A45" s="46">
        <f>IF('Master FF&amp;E Schedule'!D45="","",'Master FF&amp;E Schedule'!B45)</f>
        <v/>
      </c>
      <c r="B45" s="46">
        <f>IF('Master FF&amp;E Schedule'!D45="","",'Master FF&amp;E Schedule'!C45)</f>
        <v/>
      </c>
      <c r="C45" s="46">
        <f>IF('Master FF&amp;E Schedule'!D45="","",'Master FF&amp;E Schedule'!D45)</f>
        <v/>
      </c>
      <c r="D45" s="46">
        <f>IF('Master FF&amp;E Schedule'!D45="","",'Master FF&amp;E Schedule'!E45)</f>
        <v/>
      </c>
      <c r="E45" s="46">
        <f>IF('Master FF&amp;E Schedule'!D45="","",IF('Master FF&amp;E Schedule'!L45&lt;&gt;"",'Master FF&amp;E Schedule'!L45,'Master FF&amp;E Schedule'!K45))</f>
        <v/>
      </c>
      <c r="F45" s="46">
        <f>IF('Master FF&amp;E Schedule'!D45="","",'Master FF&amp;E Schedule'!M45)</f>
        <v/>
      </c>
      <c r="G45" s="41">
        <f>IF('Master FF&amp;E Schedule'!D45="","",'Master FF&amp;E Schedule'!T45)</f>
        <v/>
      </c>
      <c r="H45" s="46">
        <f>IF('Master FF&amp;E Schedule'!D45="","",'Master FF&amp;E Schedule'!W45)</f>
        <v/>
      </c>
    </row>
    <row r="46" ht="21" customHeight="1">
      <c r="A46" s="46">
        <f>IF('Master FF&amp;E Schedule'!D46="","",'Master FF&amp;E Schedule'!B46)</f>
        <v/>
      </c>
      <c r="B46" s="46">
        <f>IF('Master FF&amp;E Schedule'!D46="","",'Master FF&amp;E Schedule'!C46)</f>
        <v/>
      </c>
      <c r="C46" s="46">
        <f>IF('Master FF&amp;E Schedule'!D46="","",'Master FF&amp;E Schedule'!D46)</f>
        <v/>
      </c>
      <c r="D46" s="46">
        <f>IF('Master FF&amp;E Schedule'!D46="","",'Master FF&amp;E Schedule'!E46)</f>
        <v/>
      </c>
      <c r="E46" s="46">
        <f>IF('Master FF&amp;E Schedule'!D46="","",IF('Master FF&amp;E Schedule'!L46&lt;&gt;"",'Master FF&amp;E Schedule'!L46,'Master FF&amp;E Schedule'!K46))</f>
        <v/>
      </c>
      <c r="F46" s="46">
        <f>IF('Master FF&amp;E Schedule'!D46="","",'Master FF&amp;E Schedule'!M46)</f>
        <v/>
      </c>
      <c r="G46" s="41">
        <f>IF('Master FF&amp;E Schedule'!D46="","",'Master FF&amp;E Schedule'!T46)</f>
        <v/>
      </c>
      <c r="H46" s="46">
        <f>IF('Master FF&amp;E Schedule'!D46="","",'Master FF&amp;E Schedule'!W46)</f>
        <v/>
      </c>
    </row>
    <row r="47" ht="21" customHeight="1">
      <c r="A47" s="46">
        <f>IF('Master FF&amp;E Schedule'!D47="","",'Master FF&amp;E Schedule'!B47)</f>
        <v/>
      </c>
      <c r="B47" s="46">
        <f>IF('Master FF&amp;E Schedule'!D47="","",'Master FF&amp;E Schedule'!C47)</f>
        <v/>
      </c>
      <c r="C47" s="46">
        <f>IF('Master FF&amp;E Schedule'!D47="","",'Master FF&amp;E Schedule'!D47)</f>
        <v/>
      </c>
      <c r="D47" s="46">
        <f>IF('Master FF&amp;E Schedule'!D47="","",'Master FF&amp;E Schedule'!E47)</f>
        <v/>
      </c>
      <c r="E47" s="46">
        <f>IF('Master FF&amp;E Schedule'!D47="","",IF('Master FF&amp;E Schedule'!L47&lt;&gt;"",'Master FF&amp;E Schedule'!L47,'Master FF&amp;E Schedule'!K47))</f>
        <v/>
      </c>
      <c r="F47" s="46">
        <f>IF('Master FF&amp;E Schedule'!D47="","",'Master FF&amp;E Schedule'!M47)</f>
        <v/>
      </c>
      <c r="G47" s="41">
        <f>IF('Master FF&amp;E Schedule'!D47="","",'Master FF&amp;E Schedule'!T47)</f>
        <v/>
      </c>
      <c r="H47" s="46">
        <f>IF('Master FF&amp;E Schedule'!D47="","",'Master FF&amp;E Schedule'!W47)</f>
        <v/>
      </c>
    </row>
    <row r="48" ht="21" customHeight="1">
      <c r="A48" s="46">
        <f>IF('Master FF&amp;E Schedule'!D48="","",'Master FF&amp;E Schedule'!B48)</f>
        <v/>
      </c>
      <c r="B48" s="46">
        <f>IF('Master FF&amp;E Schedule'!D48="","",'Master FF&amp;E Schedule'!C48)</f>
        <v/>
      </c>
      <c r="C48" s="46">
        <f>IF('Master FF&amp;E Schedule'!D48="","",'Master FF&amp;E Schedule'!D48)</f>
        <v/>
      </c>
      <c r="D48" s="46">
        <f>IF('Master FF&amp;E Schedule'!D48="","",'Master FF&amp;E Schedule'!E48)</f>
        <v/>
      </c>
      <c r="E48" s="46">
        <f>IF('Master FF&amp;E Schedule'!D48="","",IF('Master FF&amp;E Schedule'!L48&lt;&gt;"",'Master FF&amp;E Schedule'!L48,'Master FF&amp;E Schedule'!K48))</f>
        <v/>
      </c>
      <c r="F48" s="46">
        <f>IF('Master FF&amp;E Schedule'!D48="","",'Master FF&amp;E Schedule'!M48)</f>
        <v/>
      </c>
      <c r="G48" s="41">
        <f>IF('Master FF&amp;E Schedule'!D48="","",'Master FF&amp;E Schedule'!T48)</f>
        <v/>
      </c>
      <c r="H48" s="46">
        <f>IF('Master FF&amp;E Schedule'!D48="","",'Master FF&amp;E Schedule'!W48)</f>
        <v/>
      </c>
    </row>
    <row r="49" ht="21" customHeight="1">
      <c r="A49" s="46">
        <f>IF('Master FF&amp;E Schedule'!D49="","",'Master FF&amp;E Schedule'!B49)</f>
        <v/>
      </c>
      <c r="B49" s="46">
        <f>IF('Master FF&amp;E Schedule'!D49="","",'Master FF&amp;E Schedule'!C49)</f>
        <v/>
      </c>
      <c r="C49" s="46">
        <f>IF('Master FF&amp;E Schedule'!D49="","",'Master FF&amp;E Schedule'!D49)</f>
        <v/>
      </c>
      <c r="D49" s="46">
        <f>IF('Master FF&amp;E Schedule'!D49="","",'Master FF&amp;E Schedule'!E49)</f>
        <v/>
      </c>
      <c r="E49" s="46">
        <f>IF('Master FF&amp;E Schedule'!D49="","",IF('Master FF&amp;E Schedule'!L49&lt;&gt;"",'Master FF&amp;E Schedule'!L49,'Master FF&amp;E Schedule'!K49))</f>
        <v/>
      </c>
      <c r="F49" s="46">
        <f>IF('Master FF&amp;E Schedule'!D49="","",'Master FF&amp;E Schedule'!M49)</f>
        <v/>
      </c>
      <c r="G49" s="41">
        <f>IF('Master FF&amp;E Schedule'!D49="","",'Master FF&amp;E Schedule'!T49)</f>
        <v/>
      </c>
      <c r="H49" s="46">
        <f>IF('Master FF&amp;E Schedule'!D49="","",'Master FF&amp;E Schedule'!W49)</f>
        <v/>
      </c>
    </row>
    <row r="50" ht="21" customHeight="1">
      <c r="A50" s="46">
        <f>IF('Master FF&amp;E Schedule'!D50="","",'Master FF&amp;E Schedule'!B50)</f>
        <v/>
      </c>
      <c r="B50" s="46">
        <f>IF('Master FF&amp;E Schedule'!D50="","",'Master FF&amp;E Schedule'!C50)</f>
        <v/>
      </c>
      <c r="C50" s="46">
        <f>IF('Master FF&amp;E Schedule'!D50="","",'Master FF&amp;E Schedule'!D50)</f>
        <v/>
      </c>
      <c r="D50" s="46">
        <f>IF('Master FF&amp;E Schedule'!D50="","",'Master FF&amp;E Schedule'!E50)</f>
        <v/>
      </c>
      <c r="E50" s="46">
        <f>IF('Master FF&amp;E Schedule'!D50="","",IF('Master FF&amp;E Schedule'!L50&lt;&gt;"",'Master FF&amp;E Schedule'!L50,'Master FF&amp;E Schedule'!K50))</f>
        <v/>
      </c>
      <c r="F50" s="46">
        <f>IF('Master FF&amp;E Schedule'!D50="","",'Master FF&amp;E Schedule'!M50)</f>
        <v/>
      </c>
      <c r="G50" s="41">
        <f>IF('Master FF&amp;E Schedule'!D50="","",'Master FF&amp;E Schedule'!T50)</f>
        <v/>
      </c>
      <c r="H50" s="46">
        <f>IF('Master FF&amp;E Schedule'!D50="","",'Master FF&amp;E Schedule'!W50)</f>
        <v/>
      </c>
    </row>
    <row r="51" ht="21" customHeight="1">
      <c r="A51" s="46">
        <f>IF('Master FF&amp;E Schedule'!D51="","",'Master FF&amp;E Schedule'!B51)</f>
        <v/>
      </c>
      <c r="B51" s="46">
        <f>IF('Master FF&amp;E Schedule'!D51="","",'Master FF&amp;E Schedule'!C51)</f>
        <v/>
      </c>
      <c r="C51" s="46">
        <f>IF('Master FF&amp;E Schedule'!D51="","",'Master FF&amp;E Schedule'!D51)</f>
        <v/>
      </c>
      <c r="D51" s="46">
        <f>IF('Master FF&amp;E Schedule'!D51="","",'Master FF&amp;E Schedule'!E51)</f>
        <v/>
      </c>
      <c r="E51" s="46">
        <f>IF('Master FF&amp;E Schedule'!D51="","",IF('Master FF&amp;E Schedule'!L51&lt;&gt;"",'Master FF&amp;E Schedule'!L51,'Master FF&amp;E Schedule'!K51))</f>
        <v/>
      </c>
      <c r="F51" s="46">
        <f>IF('Master FF&amp;E Schedule'!D51="","",'Master FF&amp;E Schedule'!M51)</f>
        <v/>
      </c>
      <c r="G51" s="41">
        <f>IF('Master FF&amp;E Schedule'!D51="","",'Master FF&amp;E Schedule'!T51)</f>
        <v/>
      </c>
      <c r="H51" s="46">
        <f>IF('Master FF&amp;E Schedule'!D51="","",'Master FF&amp;E Schedule'!W51)</f>
        <v/>
      </c>
    </row>
    <row r="52" ht="21" customHeight="1">
      <c r="A52" s="46">
        <f>IF('Master FF&amp;E Schedule'!D52="","",'Master FF&amp;E Schedule'!B52)</f>
        <v/>
      </c>
      <c r="B52" s="46">
        <f>IF('Master FF&amp;E Schedule'!D52="","",'Master FF&amp;E Schedule'!C52)</f>
        <v/>
      </c>
      <c r="C52" s="46">
        <f>IF('Master FF&amp;E Schedule'!D52="","",'Master FF&amp;E Schedule'!D52)</f>
        <v/>
      </c>
      <c r="D52" s="46">
        <f>IF('Master FF&amp;E Schedule'!D52="","",'Master FF&amp;E Schedule'!E52)</f>
        <v/>
      </c>
      <c r="E52" s="46">
        <f>IF('Master FF&amp;E Schedule'!D52="","",IF('Master FF&amp;E Schedule'!L52&lt;&gt;"",'Master FF&amp;E Schedule'!L52,'Master FF&amp;E Schedule'!K52))</f>
        <v/>
      </c>
      <c r="F52" s="46">
        <f>IF('Master FF&amp;E Schedule'!D52="","",'Master FF&amp;E Schedule'!M52)</f>
        <v/>
      </c>
      <c r="G52" s="41">
        <f>IF('Master FF&amp;E Schedule'!D52="","",'Master FF&amp;E Schedule'!T52)</f>
        <v/>
      </c>
      <c r="H52" s="46">
        <f>IF('Master FF&amp;E Schedule'!D52="","",'Master FF&amp;E Schedule'!W52)</f>
        <v/>
      </c>
    </row>
    <row r="53" ht="21" customHeight="1">
      <c r="A53" s="46">
        <f>IF('Master FF&amp;E Schedule'!D53="","",'Master FF&amp;E Schedule'!B53)</f>
        <v/>
      </c>
      <c r="B53" s="46">
        <f>IF('Master FF&amp;E Schedule'!D53="","",'Master FF&amp;E Schedule'!C53)</f>
        <v/>
      </c>
      <c r="C53" s="46">
        <f>IF('Master FF&amp;E Schedule'!D53="","",'Master FF&amp;E Schedule'!D53)</f>
        <v/>
      </c>
      <c r="D53" s="46">
        <f>IF('Master FF&amp;E Schedule'!D53="","",'Master FF&amp;E Schedule'!E53)</f>
        <v/>
      </c>
      <c r="E53" s="46">
        <f>IF('Master FF&amp;E Schedule'!D53="","",IF('Master FF&amp;E Schedule'!L53&lt;&gt;"",'Master FF&amp;E Schedule'!L53,'Master FF&amp;E Schedule'!K53))</f>
        <v/>
      </c>
      <c r="F53" s="46">
        <f>IF('Master FF&amp;E Schedule'!D53="","",'Master FF&amp;E Schedule'!M53)</f>
        <v/>
      </c>
      <c r="G53" s="41">
        <f>IF('Master FF&amp;E Schedule'!D53="","",'Master FF&amp;E Schedule'!T53)</f>
        <v/>
      </c>
      <c r="H53" s="46">
        <f>IF('Master FF&amp;E Schedule'!D53="","",'Master FF&amp;E Schedule'!W53)</f>
        <v/>
      </c>
    </row>
    <row r="54" ht="21" customHeight="1">
      <c r="A54" s="46">
        <f>IF('Master FF&amp;E Schedule'!D54="","",'Master FF&amp;E Schedule'!B54)</f>
        <v/>
      </c>
      <c r="B54" s="46">
        <f>IF('Master FF&amp;E Schedule'!D54="","",'Master FF&amp;E Schedule'!C54)</f>
        <v/>
      </c>
      <c r="C54" s="46">
        <f>IF('Master FF&amp;E Schedule'!D54="","",'Master FF&amp;E Schedule'!D54)</f>
        <v/>
      </c>
      <c r="D54" s="46">
        <f>IF('Master FF&amp;E Schedule'!D54="","",'Master FF&amp;E Schedule'!E54)</f>
        <v/>
      </c>
      <c r="E54" s="46">
        <f>IF('Master FF&amp;E Schedule'!D54="","",IF('Master FF&amp;E Schedule'!L54&lt;&gt;"",'Master FF&amp;E Schedule'!L54,'Master FF&amp;E Schedule'!K54))</f>
        <v/>
      </c>
      <c r="F54" s="46">
        <f>IF('Master FF&amp;E Schedule'!D54="","",'Master FF&amp;E Schedule'!M54)</f>
        <v/>
      </c>
      <c r="G54" s="41">
        <f>IF('Master FF&amp;E Schedule'!D54="","",'Master FF&amp;E Schedule'!T54)</f>
        <v/>
      </c>
      <c r="H54" s="46">
        <f>IF('Master FF&amp;E Schedule'!D54="","",'Master FF&amp;E Schedule'!W54)</f>
        <v/>
      </c>
    </row>
    <row r="55" ht="21" customHeight="1">
      <c r="A55" s="46">
        <f>IF('Master FF&amp;E Schedule'!D55="","",'Master FF&amp;E Schedule'!B55)</f>
        <v/>
      </c>
      <c r="B55" s="46">
        <f>IF('Master FF&amp;E Schedule'!D55="","",'Master FF&amp;E Schedule'!C55)</f>
        <v/>
      </c>
      <c r="C55" s="46">
        <f>IF('Master FF&amp;E Schedule'!D55="","",'Master FF&amp;E Schedule'!D55)</f>
        <v/>
      </c>
      <c r="D55" s="46">
        <f>IF('Master FF&amp;E Schedule'!D55="","",'Master FF&amp;E Schedule'!E55)</f>
        <v/>
      </c>
      <c r="E55" s="46">
        <f>IF('Master FF&amp;E Schedule'!D55="","",IF('Master FF&amp;E Schedule'!L55&lt;&gt;"",'Master FF&amp;E Schedule'!L55,'Master FF&amp;E Schedule'!K55))</f>
        <v/>
      </c>
      <c r="F55" s="46">
        <f>IF('Master FF&amp;E Schedule'!D55="","",'Master FF&amp;E Schedule'!M55)</f>
        <v/>
      </c>
      <c r="G55" s="41">
        <f>IF('Master FF&amp;E Schedule'!D55="","",'Master FF&amp;E Schedule'!T55)</f>
        <v/>
      </c>
      <c r="H55" s="46">
        <f>IF('Master FF&amp;E Schedule'!D55="","",'Master FF&amp;E Schedule'!W55)</f>
        <v/>
      </c>
    </row>
    <row r="56" ht="21" customHeight="1">
      <c r="A56" s="46">
        <f>IF('Master FF&amp;E Schedule'!D56="","",'Master FF&amp;E Schedule'!B56)</f>
        <v/>
      </c>
      <c r="B56" s="46">
        <f>IF('Master FF&amp;E Schedule'!D56="","",'Master FF&amp;E Schedule'!C56)</f>
        <v/>
      </c>
      <c r="C56" s="46">
        <f>IF('Master FF&amp;E Schedule'!D56="","",'Master FF&amp;E Schedule'!D56)</f>
        <v/>
      </c>
      <c r="D56" s="46">
        <f>IF('Master FF&amp;E Schedule'!D56="","",'Master FF&amp;E Schedule'!E56)</f>
        <v/>
      </c>
      <c r="E56" s="46">
        <f>IF('Master FF&amp;E Schedule'!D56="","",IF('Master FF&amp;E Schedule'!L56&lt;&gt;"",'Master FF&amp;E Schedule'!L56,'Master FF&amp;E Schedule'!K56))</f>
        <v/>
      </c>
      <c r="F56" s="46">
        <f>IF('Master FF&amp;E Schedule'!D56="","",'Master FF&amp;E Schedule'!M56)</f>
        <v/>
      </c>
      <c r="G56" s="41">
        <f>IF('Master FF&amp;E Schedule'!D56="","",'Master FF&amp;E Schedule'!T56)</f>
        <v/>
      </c>
      <c r="H56" s="46">
        <f>IF('Master FF&amp;E Schedule'!D56="","",'Master FF&amp;E Schedule'!W56)</f>
        <v/>
      </c>
    </row>
    <row r="57" ht="21" customHeight="1">
      <c r="A57" s="46">
        <f>IF('Master FF&amp;E Schedule'!D57="","",'Master FF&amp;E Schedule'!B57)</f>
        <v/>
      </c>
      <c r="B57" s="46">
        <f>IF('Master FF&amp;E Schedule'!D57="","",'Master FF&amp;E Schedule'!C57)</f>
        <v/>
      </c>
      <c r="C57" s="46">
        <f>IF('Master FF&amp;E Schedule'!D57="","",'Master FF&amp;E Schedule'!D57)</f>
        <v/>
      </c>
      <c r="D57" s="46">
        <f>IF('Master FF&amp;E Schedule'!D57="","",'Master FF&amp;E Schedule'!E57)</f>
        <v/>
      </c>
      <c r="E57" s="46">
        <f>IF('Master FF&amp;E Schedule'!D57="","",IF('Master FF&amp;E Schedule'!L57&lt;&gt;"",'Master FF&amp;E Schedule'!L57,'Master FF&amp;E Schedule'!K57))</f>
        <v/>
      </c>
      <c r="F57" s="46">
        <f>IF('Master FF&amp;E Schedule'!D57="","",'Master FF&amp;E Schedule'!M57)</f>
        <v/>
      </c>
      <c r="G57" s="41">
        <f>IF('Master FF&amp;E Schedule'!D57="","",'Master FF&amp;E Schedule'!T57)</f>
        <v/>
      </c>
      <c r="H57" s="46">
        <f>IF('Master FF&amp;E Schedule'!D57="","",'Master FF&amp;E Schedule'!W57)</f>
        <v/>
      </c>
    </row>
    <row r="58" ht="21" customHeight="1">
      <c r="A58" s="46">
        <f>IF('Master FF&amp;E Schedule'!D58="","",'Master FF&amp;E Schedule'!B58)</f>
        <v/>
      </c>
      <c r="B58" s="46">
        <f>IF('Master FF&amp;E Schedule'!D58="","",'Master FF&amp;E Schedule'!C58)</f>
        <v/>
      </c>
      <c r="C58" s="46">
        <f>IF('Master FF&amp;E Schedule'!D58="","",'Master FF&amp;E Schedule'!D58)</f>
        <v/>
      </c>
      <c r="D58" s="46">
        <f>IF('Master FF&amp;E Schedule'!D58="","",'Master FF&amp;E Schedule'!E58)</f>
        <v/>
      </c>
      <c r="E58" s="46">
        <f>IF('Master FF&amp;E Schedule'!D58="","",IF('Master FF&amp;E Schedule'!L58&lt;&gt;"",'Master FF&amp;E Schedule'!L58,'Master FF&amp;E Schedule'!K58))</f>
        <v/>
      </c>
      <c r="F58" s="46">
        <f>IF('Master FF&amp;E Schedule'!D58="","",'Master FF&amp;E Schedule'!M58)</f>
        <v/>
      </c>
      <c r="G58" s="41">
        <f>IF('Master FF&amp;E Schedule'!D58="","",'Master FF&amp;E Schedule'!T58)</f>
        <v/>
      </c>
      <c r="H58" s="46">
        <f>IF('Master FF&amp;E Schedule'!D58="","",'Master FF&amp;E Schedule'!W58)</f>
        <v/>
      </c>
    </row>
    <row r="59" ht="21" customHeight="1">
      <c r="A59" s="46">
        <f>IF('Master FF&amp;E Schedule'!D59="","",'Master FF&amp;E Schedule'!B59)</f>
        <v/>
      </c>
      <c r="B59" s="46">
        <f>IF('Master FF&amp;E Schedule'!D59="","",'Master FF&amp;E Schedule'!C59)</f>
        <v/>
      </c>
      <c r="C59" s="46">
        <f>IF('Master FF&amp;E Schedule'!D59="","",'Master FF&amp;E Schedule'!D59)</f>
        <v/>
      </c>
      <c r="D59" s="46">
        <f>IF('Master FF&amp;E Schedule'!D59="","",'Master FF&amp;E Schedule'!E59)</f>
        <v/>
      </c>
      <c r="E59" s="46">
        <f>IF('Master FF&amp;E Schedule'!D59="","",IF('Master FF&amp;E Schedule'!L59&lt;&gt;"",'Master FF&amp;E Schedule'!L59,'Master FF&amp;E Schedule'!K59))</f>
        <v/>
      </c>
      <c r="F59" s="46">
        <f>IF('Master FF&amp;E Schedule'!D59="","",'Master FF&amp;E Schedule'!M59)</f>
        <v/>
      </c>
      <c r="G59" s="41">
        <f>IF('Master FF&amp;E Schedule'!D59="","",'Master FF&amp;E Schedule'!T59)</f>
        <v/>
      </c>
      <c r="H59" s="46">
        <f>IF('Master FF&amp;E Schedule'!D59="","",'Master FF&amp;E Schedule'!W59)</f>
        <v/>
      </c>
    </row>
    <row r="60" ht="21" customHeight="1">
      <c r="A60" s="46">
        <f>IF('Master FF&amp;E Schedule'!D60="","",'Master FF&amp;E Schedule'!B60)</f>
        <v/>
      </c>
      <c r="B60" s="46">
        <f>IF('Master FF&amp;E Schedule'!D60="","",'Master FF&amp;E Schedule'!C60)</f>
        <v/>
      </c>
      <c r="C60" s="46">
        <f>IF('Master FF&amp;E Schedule'!D60="","",'Master FF&amp;E Schedule'!D60)</f>
        <v/>
      </c>
      <c r="D60" s="46">
        <f>IF('Master FF&amp;E Schedule'!D60="","",'Master FF&amp;E Schedule'!E60)</f>
        <v/>
      </c>
      <c r="E60" s="46">
        <f>IF('Master FF&amp;E Schedule'!D60="","",IF('Master FF&amp;E Schedule'!L60&lt;&gt;"",'Master FF&amp;E Schedule'!L60,'Master FF&amp;E Schedule'!K60))</f>
        <v/>
      </c>
      <c r="F60" s="46">
        <f>IF('Master FF&amp;E Schedule'!D60="","",'Master FF&amp;E Schedule'!M60)</f>
        <v/>
      </c>
      <c r="G60" s="41">
        <f>IF('Master FF&amp;E Schedule'!D60="","",'Master FF&amp;E Schedule'!T60)</f>
        <v/>
      </c>
      <c r="H60" s="46">
        <f>IF('Master FF&amp;E Schedule'!D60="","",'Master FF&amp;E Schedule'!W60)</f>
        <v/>
      </c>
    </row>
    <row r="61" ht="21" customHeight="1">
      <c r="A61" s="46">
        <f>IF('Master FF&amp;E Schedule'!D61="","",'Master FF&amp;E Schedule'!B61)</f>
        <v/>
      </c>
      <c r="B61" s="46">
        <f>IF('Master FF&amp;E Schedule'!D61="","",'Master FF&amp;E Schedule'!C61)</f>
        <v/>
      </c>
      <c r="C61" s="46">
        <f>IF('Master FF&amp;E Schedule'!D61="","",'Master FF&amp;E Schedule'!D61)</f>
        <v/>
      </c>
      <c r="D61" s="46">
        <f>IF('Master FF&amp;E Schedule'!D61="","",'Master FF&amp;E Schedule'!E61)</f>
        <v/>
      </c>
      <c r="E61" s="46">
        <f>IF('Master FF&amp;E Schedule'!D61="","",IF('Master FF&amp;E Schedule'!L61&lt;&gt;"",'Master FF&amp;E Schedule'!L61,'Master FF&amp;E Schedule'!K61))</f>
        <v/>
      </c>
      <c r="F61" s="46">
        <f>IF('Master FF&amp;E Schedule'!D61="","",'Master FF&amp;E Schedule'!M61)</f>
        <v/>
      </c>
      <c r="G61" s="41">
        <f>IF('Master FF&amp;E Schedule'!D61="","",'Master FF&amp;E Schedule'!T61)</f>
        <v/>
      </c>
      <c r="H61" s="46">
        <f>IF('Master FF&amp;E Schedule'!D61="","",'Master FF&amp;E Schedule'!W61)</f>
        <v/>
      </c>
    </row>
    <row r="62" ht="21" customHeight="1">
      <c r="A62" s="46">
        <f>IF('Master FF&amp;E Schedule'!D62="","",'Master FF&amp;E Schedule'!B62)</f>
        <v/>
      </c>
      <c r="B62" s="46">
        <f>IF('Master FF&amp;E Schedule'!D62="","",'Master FF&amp;E Schedule'!C62)</f>
        <v/>
      </c>
      <c r="C62" s="46">
        <f>IF('Master FF&amp;E Schedule'!D62="","",'Master FF&amp;E Schedule'!D62)</f>
        <v/>
      </c>
      <c r="D62" s="46">
        <f>IF('Master FF&amp;E Schedule'!D62="","",'Master FF&amp;E Schedule'!E62)</f>
        <v/>
      </c>
      <c r="E62" s="46">
        <f>IF('Master FF&amp;E Schedule'!D62="","",IF('Master FF&amp;E Schedule'!L62&lt;&gt;"",'Master FF&amp;E Schedule'!L62,'Master FF&amp;E Schedule'!K62))</f>
        <v/>
      </c>
      <c r="F62" s="46">
        <f>IF('Master FF&amp;E Schedule'!D62="","",'Master FF&amp;E Schedule'!M62)</f>
        <v/>
      </c>
      <c r="G62" s="41">
        <f>IF('Master FF&amp;E Schedule'!D62="","",'Master FF&amp;E Schedule'!T62)</f>
        <v/>
      </c>
      <c r="H62" s="46">
        <f>IF('Master FF&amp;E Schedule'!D62="","",'Master FF&amp;E Schedule'!W62)</f>
        <v/>
      </c>
    </row>
    <row r="63" ht="21" customHeight="1">
      <c r="A63" s="46">
        <f>IF('Master FF&amp;E Schedule'!D63="","",'Master FF&amp;E Schedule'!B63)</f>
        <v/>
      </c>
      <c r="B63" s="46">
        <f>IF('Master FF&amp;E Schedule'!D63="","",'Master FF&amp;E Schedule'!C63)</f>
        <v/>
      </c>
      <c r="C63" s="46">
        <f>IF('Master FF&amp;E Schedule'!D63="","",'Master FF&amp;E Schedule'!D63)</f>
        <v/>
      </c>
      <c r="D63" s="46">
        <f>IF('Master FF&amp;E Schedule'!D63="","",'Master FF&amp;E Schedule'!E63)</f>
        <v/>
      </c>
      <c r="E63" s="46">
        <f>IF('Master FF&amp;E Schedule'!D63="","",IF('Master FF&amp;E Schedule'!L63&lt;&gt;"",'Master FF&amp;E Schedule'!L63,'Master FF&amp;E Schedule'!K63))</f>
        <v/>
      </c>
      <c r="F63" s="46">
        <f>IF('Master FF&amp;E Schedule'!D63="","",'Master FF&amp;E Schedule'!M63)</f>
        <v/>
      </c>
      <c r="G63" s="41">
        <f>IF('Master FF&amp;E Schedule'!D63="","",'Master FF&amp;E Schedule'!T63)</f>
        <v/>
      </c>
      <c r="H63" s="46">
        <f>IF('Master FF&amp;E Schedule'!D63="","",'Master FF&amp;E Schedule'!W63)</f>
        <v/>
      </c>
    </row>
    <row r="64" ht="21" customHeight="1">
      <c r="A64" s="46">
        <f>IF('Master FF&amp;E Schedule'!D64="","",'Master FF&amp;E Schedule'!B64)</f>
        <v/>
      </c>
      <c r="B64" s="46">
        <f>IF('Master FF&amp;E Schedule'!D64="","",'Master FF&amp;E Schedule'!C64)</f>
        <v/>
      </c>
      <c r="C64" s="46">
        <f>IF('Master FF&amp;E Schedule'!D64="","",'Master FF&amp;E Schedule'!D64)</f>
        <v/>
      </c>
      <c r="D64" s="46">
        <f>IF('Master FF&amp;E Schedule'!D64="","",'Master FF&amp;E Schedule'!E64)</f>
        <v/>
      </c>
      <c r="E64" s="46">
        <f>IF('Master FF&amp;E Schedule'!D64="","",IF('Master FF&amp;E Schedule'!L64&lt;&gt;"",'Master FF&amp;E Schedule'!L64,'Master FF&amp;E Schedule'!K64))</f>
        <v/>
      </c>
      <c r="F64" s="46">
        <f>IF('Master FF&amp;E Schedule'!D64="","",'Master FF&amp;E Schedule'!M64)</f>
        <v/>
      </c>
      <c r="G64" s="41">
        <f>IF('Master FF&amp;E Schedule'!D64="","",'Master FF&amp;E Schedule'!T64)</f>
        <v/>
      </c>
      <c r="H64" s="46">
        <f>IF('Master FF&amp;E Schedule'!D64="","",'Master FF&amp;E Schedule'!W64)</f>
        <v/>
      </c>
    </row>
    <row r="65" ht="21" customHeight="1">
      <c r="A65" s="46">
        <f>IF('Master FF&amp;E Schedule'!D65="","",'Master FF&amp;E Schedule'!B65)</f>
        <v/>
      </c>
      <c r="B65" s="46">
        <f>IF('Master FF&amp;E Schedule'!D65="","",'Master FF&amp;E Schedule'!C65)</f>
        <v/>
      </c>
      <c r="C65" s="46">
        <f>IF('Master FF&amp;E Schedule'!D65="","",'Master FF&amp;E Schedule'!D65)</f>
        <v/>
      </c>
      <c r="D65" s="46">
        <f>IF('Master FF&amp;E Schedule'!D65="","",'Master FF&amp;E Schedule'!E65)</f>
        <v/>
      </c>
      <c r="E65" s="46">
        <f>IF('Master FF&amp;E Schedule'!D65="","",IF('Master FF&amp;E Schedule'!L65&lt;&gt;"",'Master FF&amp;E Schedule'!L65,'Master FF&amp;E Schedule'!K65))</f>
        <v/>
      </c>
      <c r="F65" s="46">
        <f>IF('Master FF&amp;E Schedule'!D65="","",'Master FF&amp;E Schedule'!M65)</f>
        <v/>
      </c>
      <c r="G65" s="41">
        <f>IF('Master FF&amp;E Schedule'!D65="","",'Master FF&amp;E Schedule'!T65)</f>
        <v/>
      </c>
      <c r="H65" s="46">
        <f>IF('Master FF&amp;E Schedule'!D65="","",'Master FF&amp;E Schedule'!W65)</f>
        <v/>
      </c>
    </row>
    <row r="66" ht="21" customHeight="1">
      <c r="A66" s="46">
        <f>IF('Master FF&amp;E Schedule'!D66="","",'Master FF&amp;E Schedule'!B66)</f>
        <v/>
      </c>
      <c r="B66" s="46">
        <f>IF('Master FF&amp;E Schedule'!D66="","",'Master FF&amp;E Schedule'!C66)</f>
        <v/>
      </c>
      <c r="C66" s="46">
        <f>IF('Master FF&amp;E Schedule'!D66="","",'Master FF&amp;E Schedule'!D66)</f>
        <v/>
      </c>
      <c r="D66" s="46">
        <f>IF('Master FF&amp;E Schedule'!D66="","",'Master FF&amp;E Schedule'!E66)</f>
        <v/>
      </c>
      <c r="E66" s="46">
        <f>IF('Master FF&amp;E Schedule'!D66="","",IF('Master FF&amp;E Schedule'!L66&lt;&gt;"",'Master FF&amp;E Schedule'!L66,'Master FF&amp;E Schedule'!K66))</f>
        <v/>
      </c>
      <c r="F66" s="46">
        <f>IF('Master FF&amp;E Schedule'!D66="","",'Master FF&amp;E Schedule'!M66)</f>
        <v/>
      </c>
      <c r="G66" s="41">
        <f>IF('Master FF&amp;E Schedule'!D66="","",'Master FF&amp;E Schedule'!T66)</f>
        <v/>
      </c>
      <c r="H66" s="46">
        <f>IF('Master FF&amp;E Schedule'!D66="","",'Master FF&amp;E Schedule'!W66)</f>
        <v/>
      </c>
    </row>
    <row r="67" ht="21" customHeight="1">
      <c r="A67" s="46">
        <f>IF('Master FF&amp;E Schedule'!D67="","",'Master FF&amp;E Schedule'!B67)</f>
        <v/>
      </c>
      <c r="B67" s="46">
        <f>IF('Master FF&amp;E Schedule'!D67="","",'Master FF&amp;E Schedule'!C67)</f>
        <v/>
      </c>
      <c r="C67" s="46">
        <f>IF('Master FF&amp;E Schedule'!D67="","",'Master FF&amp;E Schedule'!D67)</f>
        <v/>
      </c>
      <c r="D67" s="46">
        <f>IF('Master FF&amp;E Schedule'!D67="","",'Master FF&amp;E Schedule'!E67)</f>
        <v/>
      </c>
      <c r="E67" s="46">
        <f>IF('Master FF&amp;E Schedule'!D67="","",IF('Master FF&amp;E Schedule'!L67&lt;&gt;"",'Master FF&amp;E Schedule'!L67,'Master FF&amp;E Schedule'!K67))</f>
        <v/>
      </c>
      <c r="F67" s="46">
        <f>IF('Master FF&amp;E Schedule'!D67="","",'Master FF&amp;E Schedule'!M67)</f>
        <v/>
      </c>
      <c r="G67" s="41">
        <f>IF('Master FF&amp;E Schedule'!D67="","",'Master FF&amp;E Schedule'!T67)</f>
        <v/>
      </c>
      <c r="H67" s="46">
        <f>IF('Master FF&amp;E Schedule'!D67="","",'Master FF&amp;E Schedule'!W67)</f>
        <v/>
      </c>
    </row>
    <row r="68" ht="21" customHeight="1">
      <c r="A68" s="46">
        <f>IF('Master FF&amp;E Schedule'!D68="","",'Master FF&amp;E Schedule'!B68)</f>
        <v/>
      </c>
      <c r="B68" s="46">
        <f>IF('Master FF&amp;E Schedule'!D68="","",'Master FF&amp;E Schedule'!C68)</f>
        <v/>
      </c>
      <c r="C68" s="46">
        <f>IF('Master FF&amp;E Schedule'!D68="","",'Master FF&amp;E Schedule'!D68)</f>
        <v/>
      </c>
      <c r="D68" s="46">
        <f>IF('Master FF&amp;E Schedule'!D68="","",'Master FF&amp;E Schedule'!E68)</f>
        <v/>
      </c>
      <c r="E68" s="46">
        <f>IF('Master FF&amp;E Schedule'!D68="","",IF('Master FF&amp;E Schedule'!L68&lt;&gt;"",'Master FF&amp;E Schedule'!L68,'Master FF&amp;E Schedule'!K68))</f>
        <v/>
      </c>
      <c r="F68" s="46">
        <f>IF('Master FF&amp;E Schedule'!D68="","",'Master FF&amp;E Schedule'!M68)</f>
        <v/>
      </c>
      <c r="G68" s="41">
        <f>IF('Master FF&amp;E Schedule'!D68="","",'Master FF&amp;E Schedule'!T68)</f>
        <v/>
      </c>
      <c r="H68" s="46">
        <f>IF('Master FF&amp;E Schedule'!D68="","",'Master FF&amp;E Schedule'!W68)</f>
        <v/>
      </c>
    </row>
    <row r="69" ht="21" customHeight="1">
      <c r="A69" s="46">
        <f>IF('Master FF&amp;E Schedule'!D69="","",'Master FF&amp;E Schedule'!B69)</f>
        <v/>
      </c>
      <c r="B69" s="46">
        <f>IF('Master FF&amp;E Schedule'!D69="","",'Master FF&amp;E Schedule'!C69)</f>
        <v/>
      </c>
      <c r="C69" s="46">
        <f>IF('Master FF&amp;E Schedule'!D69="","",'Master FF&amp;E Schedule'!D69)</f>
        <v/>
      </c>
      <c r="D69" s="46">
        <f>IF('Master FF&amp;E Schedule'!D69="","",'Master FF&amp;E Schedule'!E69)</f>
        <v/>
      </c>
      <c r="E69" s="46">
        <f>IF('Master FF&amp;E Schedule'!D69="","",IF('Master FF&amp;E Schedule'!L69&lt;&gt;"",'Master FF&amp;E Schedule'!L69,'Master FF&amp;E Schedule'!K69))</f>
        <v/>
      </c>
      <c r="F69" s="46">
        <f>IF('Master FF&amp;E Schedule'!D69="","",'Master FF&amp;E Schedule'!M69)</f>
        <v/>
      </c>
      <c r="G69" s="41">
        <f>IF('Master FF&amp;E Schedule'!D69="","",'Master FF&amp;E Schedule'!T69)</f>
        <v/>
      </c>
      <c r="H69" s="46">
        <f>IF('Master FF&amp;E Schedule'!D69="","",'Master FF&amp;E Schedule'!W69)</f>
        <v/>
      </c>
    </row>
    <row r="70" ht="21" customHeight="1">
      <c r="A70" s="46">
        <f>IF('Master FF&amp;E Schedule'!D70="","",'Master FF&amp;E Schedule'!B70)</f>
        <v/>
      </c>
      <c r="B70" s="46">
        <f>IF('Master FF&amp;E Schedule'!D70="","",'Master FF&amp;E Schedule'!C70)</f>
        <v/>
      </c>
      <c r="C70" s="46">
        <f>IF('Master FF&amp;E Schedule'!D70="","",'Master FF&amp;E Schedule'!D70)</f>
        <v/>
      </c>
      <c r="D70" s="46">
        <f>IF('Master FF&amp;E Schedule'!D70="","",'Master FF&amp;E Schedule'!E70)</f>
        <v/>
      </c>
      <c r="E70" s="46">
        <f>IF('Master FF&amp;E Schedule'!D70="","",IF('Master FF&amp;E Schedule'!L70&lt;&gt;"",'Master FF&amp;E Schedule'!L70,'Master FF&amp;E Schedule'!K70))</f>
        <v/>
      </c>
      <c r="F70" s="46">
        <f>IF('Master FF&amp;E Schedule'!D70="","",'Master FF&amp;E Schedule'!M70)</f>
        <v/>
      </c>
      <c r="G70" s="41">
        <f>IF('Master FF&amp;E Schedule'!D70="","",'Master FF&amp;E Schedule'!T70)</f>
        <v/>
      </c>
      <c r="H70" s="46">
        <f>IF('Master FF&amp;E Schedule'!D70="","",'Master FF&amp;E Schedule'!W70)</f>
        <v/>
      </c>
    </row>
    <row r="71" ht="21" customHeight="1">
      <c r="A71" s="46">
        <f>IF('Master FF&amp;E Schedule'!D71="","",'Master FF&amp;E Schedule'!B71)</f>
        <v/>
      </c>
      <c r="B71" s="46">
        <f>IF('Master FF&amp;E Schedule'!D71="","",'Master FF&amp;E Schedule'!C71)</f>
        <v/>
      </c>
      <c r="C71" s="46">
        <f>IF('Master FF&amp;E Schedule'!D71="","",'Master FF&amp;E Schedule'!D71)</f>
        <v/>
      </c>
      <c r="D71" s="46">
        <f>IF('Master FF&amp;E Schedule'!D71="","",'Master FF&amp;E Schedule'!E71)</f>
        <v/>
      </c>
      <c r="E71" s="46">
        <f>IF('Master FF&amp;E Schedule'!D71="","",IF('Master FF&amp;E Schedule'!L71&lt;&gt;"",'Master FF&amp;E Schedule'!L71,'Master FF&amp;E Schedule'!K71))</f>
        <v/>
      </c>
      <c r="F71" s="46">
        <f>IF('Master FF&amp;E Schedule'!D71="","",'Master FF&amp;E Schedule'!M71)</f>
        <v/>
      </c>
      <c r="G71" s="41">
        <f>IF('Master FF&amp;E Schedule'!D71="","",'Master FF&amp;E Schedule'!T71)</f>
        <v/>
      </c>
      <c r="H71" s="46">
        <f>IF('Master FF&amp;E Schedule'!D71="","",'Master FF&amp;E Schedule'!W71)</f>
        <v/>
      </c>
    </row>
    <row r="72" ht="21" customHeight="1">
      <c r="A72" s="46">
        <f>IF('Master FF&amp;E Schedule'!D72="","",'Master FF&amp;E Schedule'!B72)</f>
        <v/>
      </c>
      <c r="B72" s="46">
        <f>IF('Master FF&amp;E Schedule'!D72="","",'Master FF&amp;E Schedule'!C72)</f>
        <v/>
      </c>
      <c r="C72" s="46">
        <f>IF('Master FF&amp;E Schedule'!D72="","",'Master FF&amp;E Schedule'!D72)</f>
        <v/>
      </c>
      <c r="D72" s="46">
        <f>IF('Master FF&amp;E Schedule'!D72="","",'Master FF&amp;E Schedule'!E72)</f>
        <v/>
      </c>
      <c r="E72" s="46">
        <f>IF('Master FF&amp;E Schedule'!D72="","",IF('Master FF&amp;E Schedule'!L72&lt;&gt;"",'Master FF&amp;E Schedule'!L72,'Master FF&amp;E Schedule'!K72))</f>
        <v/>
      </c>
      <c r="F72" s="46">
        <f>IF('Master FF&amp;E Schedule'!D72="","",'Master FF&amp;E Schedule'!M72)</f>
        <v/>
      </c>
      <c r="G72" s="41">
        <f>IF('Master FF&amp;E Schedule'!D72="","",'Master FF&amp;E Schedule'!T72)</f>
        <v/>
      </c>
      <c r="H72" s="46">
        <f>IF('Master FF&amp;E Schedule'!D72="","",'Master FF&amp;E Schedule'!W72)</f>
        <v/>
      </c>
    </row>
    <row r="73" ht="21" customHeight="1">
      <c r="A73" s="46">
        <f>IF('Master FF&amp;E Schedule'!D73="","",'Master FF&amp;E Schedule'!B73)</f>
        <v/>
      </c>
      <c r="B73" s="46">
        <f>IF('Master FF&amp;E Schedule'!D73="","",'Master FF&amp;E Schedule'!C73)</f>
        <v/>
      </c>
      <c r="C73" s="46">
        <f>IF('Master FF&amp;E Schedule'!D73="","",'Master FF&amp;E Schedule'!D73)</f>
        <v/>
      </c>
      <c r="D73" s="46">
        <f>IF('Master FF&amp;E Schedule'!D73="","",'Master FF&amp;E Schedule'!E73)</f>
        <v/>
      </c>
      <c r="E73" s="46">
        <f>IF('Master FF&amp;E Schedule'!D73="","",IF('Master FF&amp;E Schedule'!L73&lt;&gt;"",'Master FF&amp;E Schedule'!L73,'Master FF&amp;E Schedule'!K73))</f>
        <v/>
      </c>
      <c r="F73" s="46">
        <f>IF('Master FF&amp;E Schedule'!D73="","",'Master FF&amp;E Schedule'!M73)</f>
        <v/>
      </c>
      <c r="G73" s="41">
        <f>IF('Master FF&amp;E Schedule'!D73="","",'Master FF&amp;E Schedule'!T73)</f>
        <v/>
      </c>
      <c r="H73" s="46">
        <f>IF('Master FF&amp;E Schedule'!D73="","",'Master FF&amp;E Schedule'!W73)</f>
        <v/>
      </c>
    </row>
    <row r="74" ht="21" customHeight="1">
      <c r="A74" s="46">
        <f>IF('Master FF&amp;E Schedule'!D74="","",'Master FF&amp;E Schedule'!B74)</f>
        <v/>
      </c>
      <c r="B74" s="46">
        <f>IF('Master FF&amp;E Schedule'!D74="","",'Master FF&amp;E Schedule'!C74)</f>
        <v/>
      </c>
      <c r="C74" s="46">
        <f>IF('Master FF&amp;E Schedule'!D74="","",'Master FF&amp;E Schedule'!D74)</f>
        <v/>
      </c>
      <c r="D74" s="46">
        <f>IF('Master FF&amp;E Schedule'!D74="","",'Master FF&amp;E Schedule'!E74)</f>
        <v/>
      </c>
      <c r="E74" s="46">
        <f>IF('Master FF&amp;E Schedule'!D74="","",IF('Master FF&amp;E Schedule'!L74&lt;&gt;"",'Master FF&amp;E Schedule'!L74,'Master FF&amp;E Schedule'!K74))</f>
        <v/>
      </c>
      <c r="F74" s="46">
        <f>IF('Master FF&amp;E Schedule'!D74="","",'Master FF&amp;E Schedule'!M74)</f>
        <v/>
      </c>
      <c r="G74" s="41">
        <f>IF('Master FF&amp;E Schedule'!D74="","",'Master FF&amp;E Schedule'!T74)</f>
        <v/>
      </c>
      <c r="H74" s="46">
        <f>IF('Master FF&amp;E Schedule'!D74="","",'Master FF&amp;E Schedule'!W74)</f>
        <v/>
      </c>
    </row>
    <row r="75" ht="21" customHeight="1">
      <c r="A75" s="46">
        <f>IF('Master FF&amp;E Schedule'!D75="","",'Master FF&amp;E Schedule'!B75)</f>
        <v/>
      </c>
      <c r="B75" s="46">
        <f>IF('Master FF&amp;E Schedule'!D75="","",'Master FF&amp;E Schedule'!C75)</f>
        <v/>
      </c>
      <c r="C75" s="46">
        <f>IF('Master FF&amp;E Schedule'!D75="","",'Master FF&amp;E Schedule'!D75)</f>
        <v/>
      </c>
      <c r="D75" s="46">
        <f>IF('Master FF&amp;E Schedule'!D75="","",'Master FF&amp;E Schedule'!E75)</f>
        <v/>
      </c>
      <c r="E75" s="46">
        <f>IF('Master FF&amp;E Schedule'!D75="","",IF('Master FF&amp;E Schedule'!L75&lt;&gt;"",'Master FF&amp;E Schedule'!L75,'Master FF&amp;E Schedule'!K75))</f>
        <v/>
      </c>
      <c r="F75" s="46">
        <f>IF('Master FF&amp;E Schedule'!D75="","",'Master FF&amp;E Schedule'!M75)</f>
        <v/>
      </c>
      <c r="G75" s="41">
        <f>IF('Master FF&amp;E Schedule'!D75="","",'Master FF&amp;E Schedule'!T75)</f>
        <v/>
      </c>
      <c r="H75" s="46">
        <f>IF('Master FF&amp;E Schedule'!D75="","",'Master FF&amp;E Schedule'!W75)</f>
        <v/>
      </c>
    </row>
    <row r="76" ht="21" customHeight="1">
      <c r="A76" s="46">
        <f>IF('Master FF&amp;E Schedule'!D76="","",'Master FF&amp;E Schedule'!B76)</f>
        <v/>
      </c>
      <c r="B76" s="46">
        <f>IF('Master FF&amp;E Schedule'!D76="","",'Master FF&amp;E Schedule'!C76)</f>
        <v/>
      </c>
      <c r="C76" s="46">
        <f>IF('Master FF&amp;E Schedule'!D76="","",'Master FF&amp;E Schedule'!D76)</f>
        <v/>
      </c>
      <c r="D76" s="46">
        <f>IF('Master FF&amp;E Schedule'!D76="","",'Master FF&amp;E Schedule'!E76)</f>
        <v/>
      </c>
      <c r="E76" s="46">
        <f>IF('Master FF&amp;E Schedule'!D76="","",IF('Master FF&amp;E Schedule'!L76&lt;&gt;"",'Master FF&amp;E Schedule'!L76,'Master FF&amp;E Schedule'!K76))</f>
        <v/>
      </c>
      <c r="F76" s="46">
        <f>IF('Master FF&amp;E Schedule'!D76="","",'Master FF&amp;E Schedule'!M76)</f>
        <v/>
      </c>
      <c r="G76" s="41">
        <f>IF('Master FF&amp;E Schedule'!D76="","",'Master FF&amp;E Schedule'!T76)</f>
        <v/>
      </c>
      <c r="H76" s="46">
        <f>IF('Master FF&amp;E Schedule'!D76="","",'Master FF&amp;E Schedule'!W76)</f>
        <v/>
      </c>
    </row>
    <row r="77" ht="21" customHeight="1">
      <c r="A77" s="46">
        <f>IF('Master FF&amp;E Schedule'!D77="","",'Master FF&amp;E Schedule'!B77)</f>
        <v/>
      </c>
      <c r="B77" s="46">
        <f>IF('Master FF&amp;E Schedule'!D77="","",'Master FF&amp;E Schedule'!C77)</f>
        <v/>
      </c>
      <c r="C77" s="46">
        <f>IF('Master FF&amp;E Schedule'!D77="","",'Master FF&amp;E Schedule'!D77)</f>
        <v/>
      </c>
      <c r="D77" s="46">
        <f>IF('Master FF&amp;E Schedule'!D77="","",'Master FF&amp;E Schedule'!E77)</f>
        <v/>
      </c>
      <c r="E77" s="46">
        <f>IF('Master FF&amp;E Schedule'!D77="","",IF('Master FF&amp;E Schedule'!L77&lt;&gt;"",'Master FF&amp;E Schedule'!L77,'Master FF&amp;E Schedule'!K77))</f>
        <v/>
      </c>
      <c r="F77" s="46">
        <f>IF('Master FF&amp;E Schedule'!D77="","",'Master FF&amp;E Schedule'!M77)</f>
        <v/>
      </c>
      <c r="G77" s="41">
        <f>IF('Master FF&amp;E Schedule'!D77="","",'Master FF&amp;E Schedule'!T77)</f>
        <v/>
      </c>
      <c r="H77" s="46">
        <f>IF('Master FF&amp;E Schedule'!D77="","",'Master FF&amp;E Schedule'!W77)</f>
        <v/>
      </c>
    </row>
    <row r="78" ht="21" customHeight="1">
      <c r="A78" s="46">
        <f>IF('Master FF&amp;E Schedule'!D78="","",'Master FF&amp;E Schedule'!B78)</f>
        <v/>
      </c>
      <c r="B78" s="46">
        <f>IF('Master FF&amp;E Schedule'!D78="","",'Master FF&amp;E Schedule'!C78)</f>
        <v/>
      </c>
      <c r="C78" s="46">
        <f>IF('Master FF&amp;E Schedule'!D78="","",'Master FF&amp;E Schedule'!D78)</f>
        <v/>
      </c>
      <c r="D78" s="46">
        <f>IF('Master FF&amp;E Schedule'!D78="","",'Master FF&amp;E Schedule'!E78)</f>
        <v/>
      </c>
      <c r="E78" s="46">
        <f>IF('Master FF&amp;E Schedule'!D78="","",IF('Master FF&amp;E Schedule'!L78&lt;&gt;"",'Master FF&amp;E Schedule'!L78,'Master FF&amp;E Schedule'!K78))</f>
        <v/>
      </c>
      <c r="F78" s="46">
        <f>IF('Master FF&amp;E Schedule'!D78="","",'Master FF&amp;E Schedule'!M78)</f>
        <v/>
      </c>
      <c r="G78" s="41">
        <f>IF('Master FF&amp;E Schedule'!D78="","",'Master FF&amp;E Schedule'!T78)</f>
        <v/>
      </c>
      <c r="H78" s="46">
        <f>IF('Master FF&amp;E Schedule'!D78="","",'Master FF&amp;E Schedule'!W78)</f>
        <v/>
      </c>
    </row>
    <row r="79" ht="21" customHeight="1">
      <c r="A79" s="46">
        <f>IF('Master FF&amp;E Schedule'!D79="","",'Master FF&amp;E Schedule'!B79)</f>
        <v/>
      </c>
      <c r="B79" s="46">
        <f>IF('Master FF&amp;E Schedule'!D79="","",'Master FF&amp;E Schedule'!C79)</f>
        <v/>
      </c>
      <c r="C79" s="46">
        <f>IF('Master FF&amp;E Schedule'!D79="","",'Master FF&amp;E Schedule'!D79)</f>
        <v/>
      </c>
      <c r="D79" s="46">
        <f>IF('Master FF&amp;E Schedule'!D79="","",'Master FF&amp;E Schedule'!E79)</f>
        <v/>
      </c>
      <c r="E79" s="46">
        <f>IF('Master FF&amp;E Schedule'!D79="","",IF('Master FF&amp;E Schedule'!L79&lt;&gt;"",'Master FF&amp;E Schedule'!L79,'Master FF&amp;E Schedule'!K79))</f>
        <v/>
      </c>
      <c r="F79" s="46">
        <f>IF('Master FF&amp;E Schedule'!D79="","",'Master FF&amp;E Schedule'!M79)</f>
        <v/>
      </c>
      <c r="G79" s="41">
        <f>IF('Master FF&amp;E Schedule'!D79="","",'Master FF&amp;E Schedule'!T79)</f>
        <v/>
      </c>
      <c r="H79" s="46">
        <f>IF('Master FF&amp;E Schedule'!D79="","",'Master FF&amp;E Schedule'!W79)</f>
        <v/>
      </c>
    </row>
    <row r="80" ht="21" customHeight="1">
      <c r="A80" s="46">
        <f>IF('Master FF&amp;E Schedule'!D80="","",'Master FF&amp;E Schedule'!B80)</f>
        <v/>
      </c>
      <c r="B80" s="46">
        <f>IF('Master FF&amp;E Schedule'!D80="","",'Master FF&amp;E Schedule'!C80)</f>
        <v/>
      </c>
      <c r="C80" s="46">
        <f>IF('Master FF&amp;E Schedule'!D80="","",'Master FF&amp;E Schedule'!D80)</f>
        <v/>
      </c>
      <c r="D80" s="46">
        <f>IF('Master FF&amp;E Schedule'!D80="","",'Master FF&amp;E Schedule'!E80)</f>
        <v/>
      </c>
      <c r="E80" s="46">
        <f>IF('Master FF&amp;E Schedule'!D80="","",IF('Master FF&amp;E Schedule'!L80&lt;&gt;"",'Master FF&amp;E Schedule'!L80,'Master FF&amp;E Schedule'!K80))</f>
        <v/>
      </c>
      <c r="F80" s="46">
        <f>IF('Master FF&amp;E Schedule'!D80="","",'Master FF&amp;E Schedule'!M80)</f>
        <v/>
      </c>
      <c r="G80" s="41">
        <f>IF('Master FF&amp;E Schedule'!D80="","",'Master FF&amp;E Schedule'!T80)</f>
        <v/>
      </c>
      <c r="H80" s="46">
        <f>IF('Master FF&amp;E Schedule'!D80="","",'Master FF&amp;E Schedule'!W80)</f>
        <v/>
      </c>
    </row>
    <row r="81" ht="21" customHeight="1">
      <c r="A81" s="46">
        <f>IF('Master FF&amp;E Schedule'!D81="","",'Master FF&amp;E Schedule'!B81)</f>
        <v/>
      </c>
      <c r="B81" s="46">
        <f>IF('Master FF&amp;E Schedule'!D81="","",'Master FF&amp;E Schedule'!C81)</f>
        <v/>
      </c>
      <c r="C81" s="46">
        <f>IF('Master FF&amp;E Schedule'!D81="","",'Master FF&amp;E Schedule'!D81)</f>
        <v/>
      </c>
      <c r="D81" s="46">
        <f>IF('Master FF&amp;E Schedule'!D81="","",'Master FF&amp;E Schedule'!E81)</f>
        <v/>
      </c>
      <c r="E81" s="46">
        <f>IF('Master FF&amp;E Schedule'!D81="","",IF('Master FF&amp;E Schedule'!L81&lt;&gt;"",'Master FF&amp;E Schedule'!L81,'Master FF&amp;E Schedule'!K81))</f>
        <v/>
      </c>
      <c r="F81" s="46">
        <f>IF('Master FF&amp;E Schedule'!D81="","",'Master FF&amp;E Schedule'!M81)</f>
        <v/>
      </c>
      <c r="G81" s="41">
        <f>IF('Master FF&amp;E Schedule'!D81="","",'Master FF&amp;E Schedule'!T81)</f>
        <v/>
      </c>
      <c r="H81" s="46">
        <f>IF('Master FF&amp;E Schedule'!D81="","",'Master FF&amp;E Schedule'!W81)</f>
        <v/>
      </c>
    </row>
    <row r="82" ht="21" customHeight="1">
      <c r="A82" s="46">
        <f>IF('Master FF&amp;E Schedule'!D82="","",'Master FF&amp;E Schedule'!B82)</f>
        <v/>
      </c>
      <c r="B82" s="46">
        <f>IF('Master FF&amp;E Schedule'!D82="","",'Master FF&amp;E Schedule'!C82)</f>
        <v/>
      </c>
      <c r="C82" s="46">
        <f>IF('Master FF&amp;E Schedule'!D82="","",'Master FF&amp;E Schedule'!D82)</f>
        <v/>
      </c>
      <c r="D82" s="46">
        <f>IF('Master FF&amp;E Schedule'!D82="","",'Master FF&amp;E Schedule'!E82)</f>
        <v/>
      </c>
      <c r="E82" s="46">
        <f>IF('Master FF&amp;E Schedule'!D82="","",IF('Master FF&amp;E Schedule'!L82&lt;&gt;"",'Master FF&amp;E Schedule'!L82,'Master FF&amp;E Schedule'!K82))</f>
        <v/>
      </c>
      <c r="F82" s="46">
        <f>IF('Master FF&amp;E Schedule'!D82="","",'Master FF&amp;E Schedule'!M82)</f>
        <v/>
      </c>
      <c r="G82" s="41">
        <f>IF('Master FF&amp;E Schedule'!D82="","",'Master FF&amp;E Schedule'!T82)</f>
        <v/>
      </c>
      <c r="H82" s="46">
        <f>IF('Master FF&amp;E Schedule'!D82="","",'Master FF&amp;E Schedule'!W82)</f>
        <v/>
      </c>
    </row>
    <row r="83" ht="21" customHeight="1">
      <c r="A83" s="46">
        <f>IF('Master FF&amp;E Schedule'!D83="","",'Master FF&amp;E Schedule'!B83)</f>
        <v/>
      </c>
      <c r="B83" s="46">
        <f>IF('Master FF&amp;E Schedule'!D83="","",'Master FF&amp;E Schedule'!C83)</f>
        <v/>
      </c>
      <c r="C83" s="46">
        <f>IF('Master FF&amp;E Schedule'!D83="","",'Master FF&amp;E Schedule'!D83)</f>
        <v/>
      </c>
      <c r="D83" s="46">
        <f>IF('Master FF&amp;E Schedule'!D83="","",'Master FF&amp;E Schedule'!E83)</f>
        <v/>
      </c>
      <c r="E83" s="46">
        <f>IF('Master FF&amp;E Schedule'!D83="","",IF('Master FF&amp;E Schedule'!L83&lt;&gt;"",'Master FF&amp;E Schedule'!L83,'Master FF&amp;E Schedule'!K83))</f>
        <v/>
      </c>
      <c r="F83" s="46">
        <f>IF('Master FF&amp;E Schedule'!D83="","",'Master FF&amp;E Schedule'!M83)</f>
        <v/>
      </c>
      <c r="G83" s="41">
        <f>IF('Master FF&amp;E Schedule'!D83="","",'Master FF&amp;E Schedule'!T83)</f>
        <v/>
      </c>
      <c r="H83" s="46">
        <f>IF('Master FF&amp;E Schedule'!D83="","",'Master FF&amp;E Schedule'!W83)</f>
        <v/>
      </c>
    </row>
    <row r="84" ht="21" customHeight="1">
      <c r="A84" s="46">
        <f>IF('Master FF&amp;E Schedule'!D84="","",'Master FF&amp;E Schedule'!B84)</f>
        <v/>
      </c>
      <c r="B84" s="46">
        <f>IF('Master FF&amp;E Schedule'!D84="","",'Master FF&amp;E Schedule'!C84)</f>
        <v/>
      </c>
      <c r="C84" s="46">
        <f>IF('Master FF&amp;E Schedule'!D84="","",'Master FF&amp;E Schedule'!D84)</f>
        <v/>
      </c>
      <c r="D84" s="46">
        <f>IF('Master FF&amp;E Schedule'!D84="","",'Master FF&amp;E Schedule'!E84)</f>
        <v/>
      </c>
      <c r="E84" s="46">
        <f>IF('Master FF&amp;E Schedule'!D84="","",IF('Master FF&amp;E Schedule'!L84&lt;&gt;"",'Master FF&amp;E Schedule'!L84,'Master FF&amp;E Schedule'!K84))</f>
        <v/>
      </c>
      <c r="F84" s="46">
        <f>IF('Master FF&amp;E Schedule'!D84="","",'Master FF&amp;E Schedule'!M84)</f>
        <v/>
      </c>
      <c r="G84" s="41">
        <f>IF('Master FF&amp;E Schedule'!D84="","",'Master FF&amp;E Schedule'!T84)</f>
        <v/>
      </c>
      <c r="H84" s="46">
        <f>IF('Master FF&amp;E Schedule'!D84="","",'Master FF&amp;E Schedule'!W84)</f>
        <v/>
      </c>
    </row>
    <row r="85" ht="21" customHeight="1">
      <c r="A85" s="46">
        <f>IF('Master FF&amp;E Schedule'!D85="","",'Master FF&amp;E Schedule'!B85)</f>
        <v/>
      </c>
      <c r="B85" s="46">
        <f>IF('Master FF&amp;E Schedule'!D85="","",'Master FF&amp;E Schedule'!C85)</f>
        <v/>
      </c>
      <c r="C85" s="46">
        <f>IF('Master FF&amp;E Schedule'!D85="","",'Master FF&amp;E Schedule'!D85)</f>
        <v/>
      </c>
      <c r="D85" s="46">
        <f>IF('Master FF&amp;E Schedule'!D85="","",'Master FF&amp;E Schedule'!E85)</f>
        <v/>
      </c>
      <c r="E85" s="46">
        <f>IF('Master FF&amp;E Schedule'!D85="","",IF('Master FF&amp;E Schedule'!L85&lt;&gt;"",'Master FF&amp;E Schedule'!L85,'Master FF&amp;E Schedule'!K85))</f>
        <v/>
      </c>
      <c r="F85" s="46">
        <f>IF('Master FF&amp;E Schedule'!D85="","",'Master FF&amp;E Schedule'!M85)</f>
        <v/>
      </c>
      <c r="G85" s="41">
        <f>IF('Master FF&amp;E Schedule'!D85="","",'Master FF&amp;E Schedule'!T85)</f>
        <v/>
      </c>
      <c r="H85" s="46">
        <f>IF('Master FF&amp;E Schedule'!D85="","",'Master FF&amp;E Schedule'!W85)</f>
        <v/>
      </c>
    </row>
    <row r="86" ht="21" customHeight="1">
      <c r="A86" s="46">
        <f>IF('Master FF&amp;E Schedule'!D86="","",'Master FF&amp;E Schedule'!B86)</f>
        <v/>
      </c>
      <c r="B86" s="46">
        <f>IF('Master FF&amp;E Schedule'!D86="","",'Master FF&amp;E Schedule'!C86)</f>
        <v/>
      </c>
      <c r="C86" s="46">
        <f>IF('Master FF&amp;E Schedule'!D86="","",'Master FF&amp;E Schedule'!D86)</f>
        <v/>
      </c>
      <c r="D86" s="46">
        <f>IF('Master FF&amp;E Schedule'!D86="","",'Master FF&amp;E Schedule'!E86)</f>
        <v/>
      </c>
      <c r="E86" s="46">
        <f>IF('Master FF&amp;E Schedule'!D86="","",IF('Master FF&amp;E Schedule'!L86&lt;&gt;"",'Master FF&amp;E Schedule'!L86,'Master FF&amp;E Schedule'!K86))</f>
        <v/>
      </c>
      <c r="F86" s="46">
        <f>IF('Master FF&amp;E Schedule'!D86="","",'Master FF&amp;E Schedule'!M86)</f>
        <v/>
      </c>
      <c r="G86" s="41">
        <f>IF('Master FF&amp;E Schedule'!D86="","",'Master FF&amp;E Schedule'!T86)</f>
        <v/>
      </c>
      <c r="H86" s="46">
        <f>IF('Master FF&amp;E Schedule'!D86="","",'Master FF&amp;E Schedule'!W86)</f>
        <v/>
      </c>
    </row>
    <row r="87" ht="21" customHeight="1">
      <c r="A87" s="46">
        <f>IF('Master FF&amp;E Schedule'!D87="","",'Master FF&amp;E Schedule'!B87)</f>
        <v/>
      </c>
      <c r="B87" s="46">
        <f>IF('Master FF&amp;E Schedule'!D87="","",'Master FF&amp;E Schedule'!C87)</f>
        <v/>
      </c>
      <c r="C87" s="46">
        <f>IF('Master FF&amp;E Schedule'!D87="","",'Master FF&amp;E Schedule'!D87)</f>
        <v/>
      </c>
      <c r="D87" s="46">
        <f>IF('Master FF&amp;E Schedule'!D87="","",'Master FF&amp;E Schedule'!E87)</f>
        <v/>
      </c>
      <c r="E87" s="46">
        <f>IF('Master FF&amp;E Schedule'!D87="","",IF('Master FF&amp;E Schedule'!L87&lt;&gt;"",'Master FF&amp;E Schedule'!L87,'Master FF&amp;E Schedule'!K87))</f>
        <v/>
      </c>
      <c r="F87" s="46">
        <f>IF('Master FF&amp;E Schedule'!D87="","",'Master FF&amp;E Schedule'!M87)</f>
        <v/>
      </c>
      <c r="G87" s="41">
        <f>IF('Master FF&amp;E Schedule'!D87="","",'Master FF&amp;E Schedule'!T87)</f>
        <v/>
      </c>
      <c r="H87" s="46">
        <f>IF('Master FF&amp;E Schedule'!D87="","",'Master FF&amp;E Schedule'!W87)</f>
        <v/>
      </c>
    </row>
    <row r="88" ht="21" customHeight="1">
      <c r="A88" s="46">
        <f>IF('Master FF&amp;E Schedule'!D88="","",'Master FF&amp;E Schedule'!B88)</f>
        <v/>
      </c>
      <c r="B88" s="46">
        <f>IF('Master FF&amp;E Schedule'!D88="","",'Master FF&amp;E Schedule'!C88)</f>
        <v/>
      </c>
      <c r="C88" s="46">
        <f>IF('Master FF&amp;E Schedule'!D88="","",'Master FF&amp;E Schedule'!D88)</f>
        <v/>
      </c>
      <c r="D88" s="46">
        <f>IF('Master FF&amp;E Schedule'!D88="","",'Master FF&amp;E Schedule'!E88)</f>
        <v/>
      </c>
      <c r="E88" s="46">
        <f>IF('Master FF&amp;E Schedule'!D88="","",IF('Master FF&amp;E Schedule'!L88&lt;&gt;"",'Master FF&amp;E Schedule'!L88,'Master FF&amp;E Schedule'!K88))</f>
        <v/>
      </c>
      <c r="F88" s="46">
        <f>IF('Master FF&amp;E Schedule'!D88="","",'Master FF&amp;E Schedule'!M88)</f>
        <v/>
      </c>
      <c r="G88" s="41">
        <f>IF('Master FF&amp;E Schedule'!D88="","",'Master FF&amp;E Schedule'!T88)</f>
        <v/>
      </c>
      <c r="H88" s="46">
        <f>IF('Master FF&amp;E Schedule'!D88="","",'Master FF&amp;E Schedule'!W88)</f>
        <v/>
      </c>
    </row>
    <row r="89" ht="21" customHeight="1">
      <c r="A89" s="46">
        <f>IF('Master FF&amp;E Schedule'!D89="","",'Master FF&amp;E Schedule'!B89)</f>
        <v/>
      </c>
      <c r="B89" s="46">
        <f>IF('Master FF&amp;E Schedule'!D89="","",'Master FF&amp;E Schedule'!C89)</f>
        <v/>
      </c>
      <c r="C89" s="46">
        <f>IF('Master FF&amp;E Schedule'!D89="","",'Master FF&amp;E Schedule'!D89)</f>
        <v/>
      </c>
      <c r="D89" s="46">
        <f>IF('Master FF&amp;E Schedule'!D89="","",'Master FF&amp;E Schedule'!E89)</f>
        <v/>
      </c>
      <c r="E89" s="46">
        <f>IF('Master FF&amp;E Schedule'!D89="","",IF('Master FF&amp;E Schedule'!L89&lt;&gt;"",'Master FF&amp;E Schedule'!L89,'Master FF&amp;E Schedule'!K89))</f>
        <v/>
      </c>
      <c r="F89" s="46">
        <f>IF('Master FF&amp;E Schedule'!D89="","",'Master FF&amp;E Schedule'!M89)</f>
        <v/>
      </c>
      <c r="G89" s="41">
        <f>IF('Master FF&amp;E Schedule'!D89="","",'Master FF&amp;E Schedule'!T89)</f>
        <v/>
      </c>
      <c r="H89" s="46">
        <f>IF('Master FF&amp;E Schedule'!D89="","",'Master FF&amp;E Schedule'!W89)</f>
        <v/>
      </c>
    </row>
    <row r="90" ht="21" customHeight="1">
      <c r="A90" s="46">
        <f>IF('Master FF&amp;E Schedule'!D90="","",'Master FF&amp;E Schedule'!B90)</f>
        <v/>
      </c>
      <c r="B90" s="46">
        <f>IF('Master FF&amp;E Schedule'!D90="","",'Master FF&amp;E Schedule'!C90)</f>
        <v/>
      </c>
      <c r="C90" s="46">
        <f>IF('Master FF&amp;E Schedule'!D90="","",'Master FF&amp;E Schedule'!D90)</f>
        <v/>
      </c>
      <c r="D90" s="46">
        <f>IF('Master FF&amp;E Schedule'!D90="","",'Master FF&amp;E Schedule'!E90)</f>
        <v/>
      </c>
      <c r="E90" s="46">
        <f>IF('Master FF&amp;E Schedule'!D90="","",IF('Master FF&amp;E Schedule'!L90&lt;&gt;"",'Master FF&amp;E Schedule'!L90,'Master FF&amp;E Schedule'!K90))</f>
        <v/>
      </c>
      <c r="F90" s="46">
        <f>IF('Master FF&amp;E Schedule'!D90="","",'Master FF&amp;E Schedule'!M90)</f>
        <v/>
      </c>
      <c r="G90" s="41">
        <f>IF('Master FF&amp;E Schedule'!D90="","",'Master FF&amp;E Schedule'!T90)</f>
        <v/>
      </c>
      <c r="H90" s="46">
        <f>IF('Master FF&amp;E Schedule'!D90="","",'Master FF&amp;E Schedule'!W90)</f>
        <v/>
      </c>
    </row>
    <row r="91" ht="21" customHeight="1">
      <c r="A91" s="46">
        <f>IF('Master FF&amp;E Schedule'!D91="","",'Master FF&amp;E Schedule'!B91)</f>
        <v/>
      </c>
      <c r="B91" s="46">
        <f>IF('Master FF&amp;E Schedule'!D91="","",'Master FF&amp;E Schedule'!C91)</f>
        <v/>
      </c>
      <c r="C91" s="46">
        <f>IF('Master FF&amp;E Schedule'!D91="","",'Master FF&amp;E Schedule'!D91)</f>
        <v/>
      </c>
      <c r="D91" s="46">
        <f>IF('Master FF&amp;E Schedule'!D91="","",'Master FF&amp;E Schedule'!E91)</f>
        <v/>
      </c>
      <c r="E91" s="46">
        <f>IF('Master FF&amp;E Schedule'!D91="","",IF('Master FF&amp;E Schedule'!L91&lt;&gt;"",'Master FF&amp;E Schedule'!L91,'Master FF&amp;E Schedule'!K91))</f>
        <v/>
      </c>
      <c r="F91" s="46">
        <f>IF('Master FF&amp;E Schedule'!D91="","",'Master FF&amp;E Schedule'!M91)</f>
        <v/>
      </c>
      <c r="G91" s="41">
        <f>IF('Master FF&amp;E Schedule'!D91="","",'Master FF&amp;E Schedule'!T91)</f>
        <v/>
      </c>
      <c r="H91" s="46">
        <f>IF('Master FF&amp;E Schedule'!D91="","",'Master FF&amp;E Schedule'!W91)</f>
        <v/>
      </c>
    </row>
    <row r="92" ht="21" customHeight="1">
      <c r="A92" s="46">
        <f>IF('Master FF&amp;E Schedule'!D92="","",'Master FF&amp;E Schedule'!B92)</f>
        <v/>
      </c>
      <c r="B92" s="46">
        <f>IF('Master FF&amp;E Schedule'!D92="","",'Master FF&amp;E Schedule'!C92)</f>
        <v/>
      </c>
      <c r="C92" s="46">
        <f>IF('Master FF&amp;E Schedule'!D92="","",'Master FF&amp;E Schedule'!D92)</f>
        <v/>
      </c>
      <c r="D92" s="46">
        <f>IF('Master FF&amp;E Schedule'!D92="","",'Master FF&amp;E Schedule'!E92)</f>
        <v/>
      </c>
      <c r="E92" s="46">
        <f>IF('Master FF&amp;E Schedule'!D92="","",IF('Master FF&amp;E Schedule'!L92&lt;&gt;"",'Master FF&amp;E Schedule'!L92,'Master FF&amp;E Schedule'!K92))</f>
        <v/>
      </c>
      <c r="F92" s="46">
        <f>IF('Master FF&amp;E Schedule'!D92="","",'Master FF&amp;E Schedule'!M92)</f>
        <v/>
      </c>
      <c r="G92" s="41">
        <f>IF('Master FF&amp;E Schedule'!D92="","",'Master FF&amp;E Schedule'!T92)</f>
        <v/>
      </c>
      <c r="H92" s="46">
        <f>IF('Master FF&amp;E Schedule'!D92="","",'Master FF&amp;E Schedule'!W92)</f>
        <v/>
      </c>
    </row>
    <row r="93" ht="21" customHeight="1">
      <c r="A93" s="46">
        <f>IF('Master FF&amp;E Schedule'!D93="","",'Master FF&amp;E Schedule'!B93)</f>
        <v/>
      </c>
      <c r="B93" s="46">
        <f>IF('Master FF&amp;E Schedule'!D93="","",'Master FF&amp;E Schedule'!C93)</f>
        <v/>
      </c>
      <c r="C93" s="46">
        <f>IF('Master FF&amp;E Schedule'!D93="","",'Master FF&amp;E Schedule'!D93)</f>
        <v/>
      </c>
      <c r="D93" s="46">
        <f>IF('Master FF&amp;E Schedule'!D93="","",'Master FF&amp;E Schedule'!E93)</f>
        <v/>
      </c>
      <c r="E93" s="46">
        <f>IF('Master FF&amp;E Schedule'!D93="","",IF('Master FF&amp;E Schedule'!L93&lt;&gt;"",'Master FF&amp;E Schedule'!L93,'Master FF&amp;E Schedule'!K93))</f>
        <v/>
      </c>
      <c r="F93" s="46">
        <f>IF('Master FF&amp;E Schedule'!D93="","",'Master FF&amp;E Schedule'!M93)</f>
        <v/>
      </c>
      <c r="G93" s="41">
        <f>IF('Master FF&amp;E Schedule'!D93="","",'Master FF&amp;E Schedule'!T93)</f>
        <v/>
      </c>
      <c r="H93" s="46">
        <f>IF('Master FF&amp;E Schedule'!D93="","",'Master FF&amp;E Schedule'!W93)</f>
        <v/>
      </c>
    </row>
    <row r="94" ht="21" customHeight="1">
      <c r="A94" s="46">
        <f>IF('Master FF&amp;E Schedule'!D94="","",'Master FF&amp;E Schedule'!B94)</f>
        <v/>
      </c>
      <c r="B94" s="46">
        <f>IF('Master FF&amp;E Schedule'!D94="","",'Master FF&amp;E Schedule'!C94)</f>
        <v/>
      </c>
      <c r="C94" s="46">
        <f>IF('Master FF&amp;E Schedule'!D94="","",'Master FF&amp;E Schedule'!D94)</f>
        <v/>
      </c>
      <c r="D94" s="46">
        <f>IF('Master FF&amp;E Schedule'!D94="","",'Master FF&amp;E Schedule'!E94)</f>
        <v/>
      </c>
      <c r="E94" s="46">
        <f>IF('Master FF&amp;E Schedule'!D94="","",IF('Master FF&amp;E Schedule'!L94&lt;&gt;"",'Master FF&amp;E Schedule'!L94,'Master FF&amp;E Schedule'!K94))</f>
        <v/>
      </c>
      <c r="F94" s="46">
        <f>IF('Master FF&amp;E Schedule'!D94="","",'Master FF&amp;E Schedule'!M94)</f>
        <v/>
      </c>
      <c r="G94" s="41">
        <f>IF('Master FF&amp;E Schedule'!D94="","",'Master FF&amp;E Schedule'!T94)</f>
        <v/>
      </c>
      <c r="H94" s="46">
        <f>IF('Master FF&amp;E Schedule'!D94="","",'Master FF&amp;E Schedule'!W94)</f>
        <v/>
      </c>
    </row>
    <row r="95" ht="21" customHeight="1">
      <c r="A95" s="46">
        <f>IF('Master FF&amp;E Schedule'!D95="","",'Master FF&amp;E Schedule'!B95)</f>
        <v/>
      </c>
      <c r="B95" s="46">
        <f>IF('Master FF&amp;E Schedule'!D95="","",'Master FF&amp;E Schedule'!C95)</f>
        <v/>
      </c>
      <c r="C95" s="46">
        <f>IF('Master FF&amp;E Schedule'!D95="","",'Master FF&amp;E Schedule'!D95)</f>
        <v/>
      </c>
      <c r="D95" s="46">
        <f>IF('Master FF&amp;E Schedule'!D95="","",'Master FF&amp;E Schedule'!E95)</f>
        <v/>
      </c>
      <c r="E95" s="46">
        <f>IF('Master FF&amp;E Schedule'!D95="","",IF('Master FF&amp;E Schedule'!L95&lt;&gt;"",'Master FF&amp;E Schedule'!L95,'Master FF&amp;E Schedule'!K95))</f>
        <v/>
      </c>
      <c r="F95" s="46">
        <f>IF('Master FF&amp;E Schedule'!D95="","",'Master FF&amp;E Schedule'!M95)</f>
        <v/>
      </c>
      <c r="G95" s="41">
        <f>IF('Master FF&amp;E Schedule'!D95="","",'Master FF&amp;E Schedule'!T95)</f>
        <v/>
      </c>
      <c r="H95" s="46">
        <f>IF('Master FF&amp;E Schedule'!D95="","",'Master FF&amp;E Schedule'!W95)</f>
        <v/>
      </c>
    </row>
    <row r="96" ht="21" customHeight="1">
      <c r="A96" s="46">
        <f>IF('Master FF&amp;E Schedule'!D96="","",'Master FF&amp;E Schedule'!B96)</f>
        <v/>
      </c>
      <c r="B96" s="46">
        <f>IF('Master FF&amp;E Schedule'!D96="","",'Master FF&amp;E Schedule'!C96)</f>
        <v/>
      </c>
      <c r="C96" s="46">
        <f>IF('Master FF&amp;E Schedule'!D96="","",'Master FF&amp;E Schedule'!D96)</f>
        <v/>
      </c>
      <c r="D96" s="46">
        <f>IF('Master FF&amp;E Schedule'!D96="","",'Master FF&amp;E Schedule'!E96)</f>
        <v/>
      </c>
      <c r="E96" s="46">
        <f>IF('Master FF&amp;E Schedule'!D96="","",IF('Master FF&amp;E Schedule'!L96&lt;&gt;"",'Master FF&amp;E Schedule'!L96,'Master FF&amp;E Schedule'!K96))</f>
        <v/>
      </c>
      <c r="F96" s="46">
        <f>IF('Master FF&amp;E Schedule'!D96="","",'Master FF&amp;E Schedule'!M96)</f>
        <v/>
      </c>
      <c r="G96" s="41">
        <f>IF('Master FF&amp;E Schedule'!D96="","",'Master FF&amp;E Schedule'!T96)</f>
        <v/>
      </c>
      <c r="H96" s="46">
        <f>IF('Master FF&amp;E Schedule'!D96="","",'Master FF&amp;E Schedule'!W96)</f>
        <v/>
      </c>
    </row>
    <row r="97" ht="21" customHeight="1">
      <c r="A97" s="46">
        <f>IF('Master FF&amp;E Schedule'!D97="","",'Master FF&amp;E Schedule'!B97)</f>
        <v/>
      </c>
      <c r="B97" s="46">
        <f>IF('Master FF&amp;E Schedule'!D97="","",'Master FF&amp;E Schedule'!C97)</f>
        <v/>
      </c>
      <c r="C97" s="46">
        <f>IF('Master FF&amp;E Schedule'!D97="","",'Master FF&amp;E Schedule'!D97)</f>
        <v/>
      </c>
      <c r="D97" s="46">
        <f>IF('Master FF&amp;E Schedule'!D97="","",'Master FF&amp;E Schedule'!E97)</f>
        <v/>
      </c>
      <c r="E97" s="46">
        <f>IF('Master FF&amp;E Schedule'!D97="","",IF('Master FF&amp;E Schedule'!L97&lt;&gt;"",'Master FF&amp;E Schedule'!L97,'Master FF&amp;E Schedule'!K97))</f>
        <v/>
      </c>
      <c r="F97" s="46">
        <f>IF('Master FF&amp;E Schedule'!D97="","",'Master FF&amp;E Schedule'!M97)</f>
        <v/>
      </c>
      <c r="G97" s="41">
        <f>IF('Master FF&amp;E Schedule'!D97="","",'Master FF&amp;E Schedule'!T97)</f>
        <v/>
      </c>
      <c r="H97" s="46">
        <f>IF('Master FF&amp;E Schedule'!D97="","",'Master FF&amp;E Schedule'!W97)</f>
        <v/>
      </c>
    </row>
    <row r="98" ht="21" customHeight="1">
      <c r="A98" s="46">
        <f>IF('Master FF&amp;E Schedule'!D98="","",'Master FF&amp;E Schedule'!B98)</f>
        <v/>
      </c>
      <c r="B98" s="46">
        <f>IF('Master FF&amp;E Schedule'!D98="","",'Master FF&amp;E Schedule'!C98)</f>
        <v/>
      </c>
      <c r="C98" s="46">
        <f>IF('Master FF&amp;E Schedule'!D98="","",'Master FF&amp;E Schedule'!D98)</f>
        <v/>
      </c>
      <c r="D98" s="46">
        <f>IF('Master FF&amp;E Schedule'!D98="","",'Master FF&amp;E Schedule'!E98)</f>
        <v/>
      </c>
      <c r="E98" s="46">
        <f>IF('Master FF&amp;E Schedule'!D98="","",IF('Master FF&amp;E Schedule'!L98&lt;&gt;"",'Master FF&amp;E Schedule'!L98,'Master FF&amp;E Schedule'!K98))</f>
        <v/>
      </c>
      <c r="F98" s="46">
        <f>IF('Master FF&amp;E Schedule'!D98="","",'Master FF&amp;E Schedule'!M98)</f>
        <v/>
      </c>
      <c r="G98" s="41">
        <f>IF('Master FF&amp;E Schedule'!D98="","",'Master FF&amp;E Schedule'!T98)</f>
        <v/>
      </c>
      <c r="H98" s="46">
        <f>IF('Master FF&amp;E Schedule'!D98="","",'Master FF&amp;E Schedule'!W98)</f>
        <v/>
      </c>
    </row>
    <row r="99" ht="21" customHeight="1">
      <c r="A99" s="46">
        <f>IF('Master FF&amp;E Schedule'!D99="","",'Master FF&amp;E Schedule'!B99)</f>
        <v/>
      </c>
      <c r="B99" s="46">
        <f>IF('Master FF&amp;E Schedule'!D99="","",'Master FF&amp;E Schedule'!C99)</f>
        <v/>
      </c>
      <c r="C99" s="46">
        <f>IF('Master FF&amp;E Schedule'!D99="","",'Master FF&amp;E Schedule'!D99)</f>
        <v/>
      </c>
      <c r="D99" s="46">
        <f>IF('Master FF&amp;E Schedule'!D99="","",'Master FF&amp;E Schedule'!E99)</f>
        <v/>
      </c>
      <c r="E99" s="46">
        <f>IF('Master FF&amp;E Schedule'!D99="","",IF('Master FF&amp;E Schedule'!L99&lt;&gt;"",'Master FF&amp;E Schedule'!L99,'Master FF&amp;E Schedule'!K99))</f>
        <v/>
      </c>
      <c r="F99" s="46">
        <f>IF('Master FF&amp;E Schedule'!D99="","",'Master FF&amp;E Schedule'!M99)</f>
        <v/>
      </c>
      <c r="G99" s="41">
        <f>IF('Master FF&amp;E Schedule'!D99="","",'Master FF&amp;E Schedule'!T99)</f>
        <v/>
      </c>
      <c r="H99" s="46">
        <f>IF('Master FF&amp;E Schedule'!D99="","",'Master FF&amp;E Schedule'!W99)</f>
        <v/>
      </c>
    </row>
    <row r="100" ht="21" customHeight="1">
      <c r="A100" s="46">
        <f>IF('Master FF&amp;E Schedule'!D100="","",'Master FF&amp;E Schedule'!B100)</f>
        <v/>
      </c>
      <c r="B100" s="46">
        <f>IF('Master FF&amp;E Schedule'!D100="","",'Master FF&amp;E Schedule'!C100)</f>
        <v/>
      </c>
      <c r="C100" s="46">
        <f>IF('Master FF&amp;E Schedule'!D100="","",'Master FF&amp;E Schedule'!D100)</f>
        <v/>
      </c>
      <c r="D100" s="46">
        <f>IF('Master FF&amp;E Schedule'!D100="","",'Master FF&amp;E Schedule'!E100)</f>
        <v/>
      </c>
      <c r="E100" s="46">
        <f>IF('Master FF&amp;E Schedule'!D100="","",IF('Master FF&amp;E Schedule'!L100&lt;&gt;"",'Master FF&amp;E Schedule'!L100,'Master FF&amp;E Schedule'!K100))</f>
        <v/>
      </c>
      <c r="F100" s="46">
        <f>IF('Master FF&amp;E Schedule'!D100="","",'Master FF&amp;E Schedule'!M100)</f>
        <v/>
      </c>
      <c r="G100" s="41">
        <f>IF('Master FF&amp;E Schedule'!D100="","",'Master FF&amp;E Schedule'!T100)</f>
        <v/>
      </c>
      <c r="H100" s="46">
        <f>IF('Master FF&amp;E Schedule'!D100="","",'Master FF&amp;E Schedule'!W100)</f>
        <v/>
      </c>
    </row>
    <row r="101" ht="21" customHeight="1">
      <c r="A101" s="46">
        <f>IF('Master FF&amp;E Schedule'!D101="","",'Master FF&amp;E Schedule'!B101)</f>
        <v/>
      </c>
      <c r="B101" s="46">
        <f>IF('Master FF&amp;E Schedule'!D101="","",'Master FF&amp;E Schedule'!C101)</f>
        <v/>
      </c>
      <c r="C101" s="46">
        <f>IF('Master FF&amp;E Schedule'!D101="","",'Master FF&amp;E Schedule'!D101)</f>
        <v/>
      </c>
      <c r="D101" s="46">
        <f>IF('Master FF&amp;E Schedule'!D101="","",'Master FF&amp;E Schedule'!E101)</f>
        <v/>
      </c>
      <c r="E101" s="46">
        <f>IF('Master FF&amp;E Schedule'!D101="","",IF('Master FF&amp;E Schedule'!L101&lt;&gt;"",'Master FF&amp;E Schedule'!L101,'Master FF&amp;E Schedule'!K101))</f>
        <v/>
      </c>
      <c r="F101" s="46">
        <f>IF('Master FF&amp;E Schedule'!D101="","",'Master FF&amp;E Schedule'!M101)</f>
        <v/>
      </c>
      <c r="G101" s="41">
        <f>IF('Master FF&amp;E Schedule'!D101="","",'Master FF&amp;E Schedule'!T101)</f>
        <v/>
      </c>
      <c r="H101" s="46">
        <f>IF('Master FF&amp;E Schedule'!D101="","",'Master FF&amp;E Schedule'!W101)</f>
        <v/>
      </c>
    </row>
    <row r="102" ht="21" customHeight="1">
      <c r="A102" s="46">
        <f>IF('Master FF&amp;E Schedule'!D102="","",'Master FF&amp;E Schedule'!B102)</f>
        <v/>
      </c>
      <c r="B102" s="46">
        <f>IF('Master FF&amp;E Schedule'!D102="","",'Master FF&amp;E Schedule'!C102)</f>
        <v/>
      </c>
      <c r="C102" s="46">
        <f>IF('Master FF&amp;E Schedule'!D102="","",'Master FF&amp;E Schedule'!D102)</f>
        <v/>
      </c>
      <c r="D102" s="46">
        <f>IF('Master FF&amp;E Schedule'!D102="","",'Master FF&amp;E Schedule'!E102)</f>
        <v/>
      </c>
      <c r="E102" s="46">
        <f>IF('Master FF&amp;E Schedule'!D102="","",IF('Master FF&amp;E Schedule'!L102&lt;&gt;"",'Master FF&amp;E Schedule'!L102,'Master FF&amp;E Schedule'!K102))</f>
        <v/>
      </c>
      <c r="F102" s="46">
        <f>IF('Master FF&amp;E Schedule'!D102="","",'Master FF&amp;E Schedule'!M102)</f>
        <v/>
      </c>
      <c r="G102" s="41">
        <f>IF('Master FF&amp;E Schedule'!D102="","",'Master FF&amp;E Schedule'!T102)</f>
        <v/>
      </c>
      <c r="H102" s="46">
        <f>IF('Master FF&amp;E Schedule'!D102="","",'Master FF&amp;E Schedule'!W102)</f>
        <v/>
      </c>
    </row>
    <row r="103" ht="21" customHeight="1">
      <c r="A103" s="46">
        <f>IF('Master FF&amp;E Schedule'!D103="","",'Master FF&amp;E Schedule'!B103)</f>
        <v/>
      </c>
      <c r="B103" s="46">
        <f>IF('Master FF&amp;E Schedule'!D103="","",'Master FF&amp;E Schedule'!C103)</f>
        <v/>
      </c>
      <c r="C103" s="46">
        <f>IF('Master FF&amp;E Schedule'!D103="","",'Master FF&amp;E Schedule'!D103)</f>
        <v/>
      </c>
      <c r="D103" s="46">
        <f>IF('Master FF&amp;E Schedule'!D103="","",'Master FF&amp;E Schedule'!E103)</f>
        <v/>
      </c>
      <c r="E103" s="46">
        <f>IF('Master FF&amp;E Schedule'!D103="","",IF('Master FF&amp;E Schedule'!L103&lt;&gt;"",'Master FF&amp;E Schedule'!L103,'Master FF&amp;E Schedule'!K103))</f>
        <v/>
      </c>
      <c r="F103" s="46">
        <f>IF('Master FF&amp;E Schedule'!D103="","",'Master FF&amp;E Schedule'!M103)</f>
        <v/>
      </c>
      <c r="G103" s="41">
        <f>IF('Master FF&amp;E Schedule'!D103="","",'Master FF&amp;E Schedule'!T103)</f>
        <v/>
      </c>
      <c r="H103" s="46">
        <f>IF('Master FF&amp;E Schedule'!D103="","",'Master FF&amp;E Schedule'!W103)</f>
        <v/>
      </c>
    </row>
    <row r="104" ht="21" customHeight="1">
      <c r="A104" s="46">
        <f>IF('Master FF&amp;E Schedule'!D104="","",'Master FF&amp;E Schedule'!B104)</f>
        <v/>
      </c>
      <c r="B104" s="46">
        <f>IF('Master FF&amp;E Schedule'!D104="","",'Master FF&amp;E Schedule'!C104)</f>
        <v/>
      </c>
      <c r="C104" s="46">
        <f>IF('Master FF&amp;E Schedule'!D104="","",'Master FF&amp;E Schedule'!D104)</f>
        <v/>
      </c>
      <c r="D104" s="46">
        <f>IF('Master FF&amp;E Schedule'!D104="","",'Master FF&amp;E Schedule'!E104)</f>
        <v/>
      </c>
      <c r="E104" s="46">
        <f>IF('Master FF&amp;E Schedule'!D104="","",IF('Master FF&amp;E Schedule'!L104&lt;&gt;"",'Master FF&amp;E Schedule'!L104,'Master FF&amp;E Schedule'!K104))</f>
        <v/>
      </c>
      <c r="F104" s="46">
        <f>IF('Master FF&amp;E Schedule'!D104="","",'Master FF&amp;E Schedule'!M104)</f>
        <v/>
      </c>
      <c r="G104" s="41">
        <f>IF('Master FF&amp;E Schedule'!D104="","",'Master FF&amp;E Schedule'!T104)</f>
        <v/>
      </c>
      <c r="H104" s="46">
        <f>IF('Master FF&amp;E Schedule'!D104="","",'Master FF&amp;E Schedule'!W104)</f>
        <v/>
      </c>
    </row>
    <row r="105" ht="21" customHeight="1">
      <c r="A105" s="46">
        <f>IF('Master FF&amp;E Schedule'!D105="","",'Master FF&amp;E Schedule'!B105)</f>
        <v/>
      </c>
      <c r="B105" s="46">
        <f>IF('Master FF&amp;E Schedule'!D105="","",'Master FF&amp;E Schedule'!C105)</f>
        <v/>
      </c>
      <c r="C105" s="46">
        <f>IF('Master FF&amp;E Schedule'!D105="","",'Master FF&amp;E Schedule'!D105)</f>
        <v/>
      </c>
      <c r="D105" s="46">
        <f>IF('Master FF&amp;E Schedule'!D105="","",'Master FF&amp;E Schedule'!E105)</f>
        <v/>
      </c>
      <c r="E105" s="46">
        <f>IF('Master FF&amp;E Schedule'!D105="","",IF('Master FF&amp;E Schedule'!L105&lt;&gt;"",'Master FF&amp;E Schedule'!L105,'Master FF&amp;E Schedule'!K105))</f>
        <v/>
      </c>
      <c r="F105" s="46">
        <f>IF('Master FF&amp;E Schedule'!D105="","",'Master FF&amp;E Schedule'!M105)</f>
        <v/>
      </c>
      <c r="G105" s="41">
        <f>IF('Master FF&amp;E Schedule'!D105="","",'Master FF&amp;E Schedule'!T105)</f>
        <v/>
      </c>
      <c r="H105" s="46">
        <f>IF('Master FF&amp;E Schedule'!D105="","",'Master FF&amp;E Schedule'!W105)</f>
        <v/>
      </c>
    </row>
    <row r="106" ht="21" customHeight="1">
      <c r="A106" s="46">
        <f>IF('Master FF&amp;E Schedule'!D106="","",'Master FF&amp;E Schedule'!B106)</f>
        <v/>
      </c>
      <c r="B106" s="46">
        <f>IF('Master FF&amp;E Schedule'!D106="","",'Master FF&amp;E Schedule'!C106)</f>
        <v/>
      </c>
      <c r="C106" s="46">
        <f>IF('Master FF&amp;E Schedule'!D106="","",'Master FF&amp;E Schedule'!D106)</f>
        <v/>
      </c>
      <c r="D106" s="46">
        <f>IF('Master FF&amp;E Schedule'!D106="","",'Master FF&amp;E Schedule'!E106)</f>
        <v/>
      </c>
      <c r="E106" s="46">
        <f>IF('Master FF&amp;E Schedule'!D106="","",IF('Master FF&amp;E Schedule'!L106&lt;&gt;"",'Master FF&amp;E Schedule'!L106,'Master FF&amp;E Schedule'!K106))</f>
        <v/>
      </c>
      <c r="F106" s="46">
        <f>IF('Master FF&amp;E Schedule'!D106="","",'Master FF&amp;E Schedule'!M106)</f>
        <v/>
      </c>
      <c r="G106" s="41">
        <f>IF('Master FF&amp;E Schedule'!D106="","",'Master FF&amp;E Schedule'!T106)</f>
        <v/>
      </c>
      <c r="H106" s="46">
        <f>IF('Master FF&amp;E Schedule'!D106="","",'Master FF&amp;E Schedule'!W106)</f>
        <v/>
      </c>
    </row>
  </sheetData>
  <autoFilter ref="A6:H106"/>
  <mergeCells count="3">
    <mergeCell ref="A1:H2"/>
    <mergeCell ref="A3:H3"/>
    <mergeCell ref="A4:H4"/>
  </mergeCells>
  <conditionalFormatting sqref="H7:H106">
    <cfRule type="expression" priority="1" dxfId="2">
      <formula>=OR(H7="Complete",H7="Approved",H7="Delivered",H7="Installed",H7="Good condition",H7="Paid",H7="On budget")</formula>
    </cfRule>
    <cfRule type="expression" priority="2" dxfId="1">
      <formula>=OR(H7="Pending",H7="In progress",H7="Sent",H7="Waiting on client",H7="Waiting on vendor",H7="On hold",H7="Partially paid",H7="Scheduled")</formula>
    </cfRule>
    <cfRule type="expression" priority="3" dxfId="0">
      <formula>=OR(H7="Overdue",H7="Delayed",H7="Damaged",H7="Missing item",H7="Rejected",H7="Revisions requested")</formula>
    </cfRule>
    <cfRule type="expression" priority="4" dxfId="3">
      <formula>=OR(H7="Cancelled",H7="On hold",H7="Returned")</formula>
    </cfRule>
  </conditionalFormatting>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22.xml><?xml version="1.0" encoding="utf-8"?>
<worksheet xmlns="http://schemas.openxmlformats.org/spreadsheetml/2006/main">
  <sheetPr>
    <tabColor rgb="00D6A756"/>
    <outlinePr summaryBelow="1" summaryRight="1"/>
    <pageSetUpPr fitToPage="1"/>
  </sheetPr>
  <dimension ref="A1:H56"/>
  <sheetViews>
    <sheetView showGridLines="0" zoomScale="85" workbookViewId="0">
      <pane ySplit="6" topLeftCell="A7" activePane="bottomLeft" state="frozen"/>
      <selection pane="bottomLeft" activeCell="A7" sqref="A1"/>
    </sheetView>
  </sheetViews>
  <sheetFormatPr baseColWidth="8" defaultRowHeight="15"/>
  <cols>
    <col width="24" customWidth="1" min="1" max="1"/>
    <col width="18" customWidth="1" min="2" max="2"/>
    <col width="18" customWidth="1" min="3" max="3"/>
    <col width="18" customWidth="1" min="4" max="4"/>
    <col width="19" customWidth="1" min="5" max="5"/>
    <col width="18" customWidth="1" min="6" max="6"/>
    <col width="14" customWidth="1" min="7" max="7"/>
    <col width="38" customWidth="1" min="8" max="8"/>
  </cols>
  <sheetData>
    <row r="1" ht="26" customHeight="1">
      <c r="A1" s="1" t="inlineStr">
        <is>
          <t>Room-by-Room Budget Report</t>
        </is>
      </c>
    </row>
    <row r="2" ht="26" customHeight="1"/>
    <row r="3" ht="26" customHeight="1">
      <c r="A3" s="24" t="inlineStr">
        <is>
          <t>Printable room-level budget report linked to the Room List - Area Tracker.</t>
        </is>
      </c>
    </row>
    <row r="4">
      <c r="A4" s="25" t="inlineStr">
        <is>
          <t>Printable report view • linked to the project tracker. Filter rows before printing or sharing.</t>
        </is>
      </c>
    </row>
    <row r="6" ht="34" customHeight="1">
      <c r="A6" s="37" t="inlineStr">
        <is>
          <t>Room</t>
        </is>
      </c>
      <c r="B6" s="37" t="inlineStr">
        <is>
          <t>Budget allocation</t>
        </is>
      </c>
      <c r="C6" s="37" t="inlineStr">
        <is>
          <t>Estimated spend</t>
        </is>
      </c>
      <c r="D6" s="37" t="inlineStr">
        <is>
          <t>Actual spend</t>
        </is>
      </c>
      <c r="E6" s="37" t="inlineStr">
        <is>
          <t>Remaining budget</t>
        </is>
      </c>
      <c r="F6" s="37" t="inlineStr">
        <is>
          <t>Design status</t>
        </is>
      </c>
      <c r="G6" s="37" t="inlineStr">
        <is>
          <t>Priority</t>
        </is>
      </c>
      <c r="H6" s="37" t="inlineStr">
        <is>
          <t>Notes</t>
        </is>
      </c>
    </row>
    <row r="7" ht="21" customHeight="1">
      <c r="A7" s="46">
        <f>'Room List - Area Tracker'!A7</f>
        <v/>
      </c>
      <c r="B7" s="41">
        <f>'Room List - Area Tracker'!F7</f>
        <v/>
      </c>
      <c r="C7" s="41">
        <f>'Room List - Area Tracker'!G7</f>
        <v/>
      </c>
      <c r="D7" s="41">
        <f>'Room List - Area Tracker'!H7</f>
        <v/>
      </c>
      <c r="E7" s="41">
        <f>'Room List - Area Tracker'!I7</f>
        <v/>
      </c>
      <c r="F7" s="46">
        <f>'Room List - Area Tracker'!E7</f>
        <v/>
      </c>
      <c r="G7" s="46">
        <f>'Room List - Area Tracker'!J7</f>
        <v/>
      </c>
      <c r="H7" s="46">
        <f>'Room List - Area Tracker'!K7</f>
        <v/>
      </c>
    </row>
    <row r="8" ht="21" customHeight="1">
      <c r="A8" s="46">
        <f>'Room List - Area Tracker'!A8</f>
        <v/>
      </c>
      <c r="B8" s="41">
        <f>'Room List - Area Tracker'!F8</f>
        <v/>
      </c>
      <c r="C8" s="41">
        <f>'Room List - Area Tracker'!G8</f>
        <v/>
      </c>
      <c r="D8" s="41">
        <f>'Room List - Area Tracker'!H8</f>
        <v/>
      </c>
      <c r="E8" s="41">
        <f>'Room List - Area Tracker'!I8</f>
        <v/>
      </c>
      <c r="F8" s="46">
        <f>'Room List - Area Tracker'!E8</f>
        <v/>
      </c>
      <c r="G8" s="46">
        <f>'Room List - Area Tracker'!J8</f>
        <v/>
      </c>
      <c r="H8" s="46">
        <f>'Room List - Area Tracker'!K8</f>
        <v/>
      </c>
    </row>
    <row r="9" ht="21" customHeight="1">
      <c r="A9" s="46">
        <f>'Room List - Area Tracker'!A9</f>
        <v/>
      </c>
      <c r="B9" s="41">
        <f>'Room List - Area Tracker'!F9</f>
        <v/>
      </c>
      <c r="C9" s="41">
        <f>'Room List - Area Tracker'!G9</f>
        <v/>
      </c>
      <c r="D9" s="41">
        <f>'Room List - Area Tracker'!H9</f>
        <v/>
      </c>
      <c r="E9" s="41">
        <f>'Room List - Area Tracker'!I9</f>
        <v/>
      </c>
      <c r="F9" s="46">
        <f>'Room List - Area Tracker'!E9</f>
        <v/>
      </c>
      <c r="G9" s="46">
        <f>'Room List - Area Tracker'!J9</f>
        <v/>
      </c>
      <c r="H9" s="46">
        <f>'Room List - Area Tracker'!K9</f>
        <v/>
      </c>
    </row>
    <row r="10" ht="21" customHeight="1">
      <c r="A10" s="46">
        <f>'Room List - Area Tracker'!A10</f>
        <v/>
      </c>
      <c r="B10" s="41">
        <f>'Room List - Area Tracker'!F10</f>
        <v/>
      </c>
      <c r="C10" s="41">
        <f>'Room List - Area Tracker'!G10</f>
        <v/>
      </c>
      <c r="D10" s="41">
        <f>'Room List - Area Tracker'!H10</f>
        <v/>
      </c>
      <c r="E10" s="41">
        <f>'Room List - Area Tracker'!I10</f>
        <v/>
      </c>
      <c r="F10" s="46">
        <f>'Room List - Area Tracker'!E10</f>
        <v/>
      </c>
      <c r="G10" s="46">
        <f>'Room List - Area Tracker'!J10</f>
        <v/>
      </c>
      <c r="H10" s="46">
        <f>'Room List - Area Tracker'!K10</f>
        <v/>
      </c>
    </row>
    <row r="11" ht="21" customHeight="1">
      <c r="A11" s="46">
        <f>'Room List - Area Tracker'!A11</f>
        <v/>
      </c>
      <c r="B11" s="41">
        <f>'Room List - Area Tracker'!F11</f>
        <v/>
      </c>
      <c r="C11" s="41">
        <f>'Room List - Area Tracker'!G11</f>
        <v/>
      </c>
      <c r="D11" s="41">
        <f>'Room List - Area Tracker'!H11</f>
        <v/>
      </c>
      <c r="E11" s="41">
        <f>'Room List - Area Tracker'!I11</f>
        <v/>
      </c>
      <c r="F11" s="46">
        <f>'Room List - Area Tracker'!E11</f>
        <v/>
      </c>
      <c r="G11" s="46">
        <f>'Room List - Area Tracker'!J11</f>
        <v/>
      </c>
      <c r="H11" s="46">
        <f>'Room List - Area Tracker'!K11</f>
        <v/>
      </c>
    </row>
    <row r="12" ht="21" customHeight="1">
      <c r="A12" s="46">
        <f>'Room List - Area Tracker'!A12</f>
        <v/>
      </c>
      <c r="B12" s="41">
        <f>'Room List - Area Tracker'!F12</f>
        <v/>
      </c>
      <c r="C12" s="41">
        <f>'Room List - Area Tracker'!G12</f>
        <v/>
      </c>
      <c r="D12" s="41">
        <f>'Room List - Area Tracker'!H12</f>
        <v/>
      </c>
      <c r="E12" s="41">
        <f>'Room List - Area Tracker'!I12</f>
        <v/>
      </c>
      <c r="F12" s="46">
        <f>'Room List - Area Tracker'!E12</f>
        <v/>
      </c>
      <c r="G12" s="46">
        <f>'Room List - Area Tracker'!J12</f>
        <v/>
      </c>
      <c r="H12" s="46">
        <f>'Room List - Area Tracker'!K12</f>
        <v/>
      </c>
    </row>
    <row r="13" ht="21" customHeight="1">
      <c r="A13" s="46">
        <f>'Room List - Area Tracker'!A13</f>
        <v/>
      </c>
      <c r="B13" s="41">
        <f>'Room List - Area Tracker'!F13</f>
        <v/>
      </c>
      <c r="C13" s="41">
        <f>'Room List - Area Tracker'!G13</f>
        <v/>
      </c>
      <c r="D13" s="41">
        <f>'Room List - Area Tracker'!H13</f>
        <v/>
      </c>
      <c r="E13" s="41">
        <f>'Room List - Area Tracker'!I13</f>
        <v/>
      </c>
      <c r="F13" s="46">
        <f>'Room List - Area Tracker'!E13</f>
        <v/>
      </c>
      <c r="G13" s="46">
        <f>'Room List - Area Tracker'!J13</f>
        <v/>
      </c>
      <c r="H13" s="46">
        <f>'Room List - Area Tracker'!K13</f>
        <v/>
      </c>
    </row>
    <row r="14" ht="21" customHeight="1">
      <c r="A14" s="46">
        <f>'Room List - Area Tracker'!A14</f>
        <v/>
      </c>
      <c r="B14" s="41">
        <f>'Room List - Area Tracker'!F14</f>
        <v/>
      </c>
      <c r="C14" s="41">
        <f>'Room List - Area Tracker'!G14</f>
        <v/>
      </c>
      <c r="D14" s="41">
        <f>'Room List - Area Tracker'!H14</f>
        <v/>
      </c>
      <c r="E14" s="41">
        <f>'Room List - Area Tracker'!I14</f>
        <v/>
      </c>
      <c r="F14" s="46">
        <f>'Room List - Area Tracker'!E14</f>
        <v/>
      </c>
      <c r="G14" s="46">
        <f>'Room List - Area Tracker'!J14</f>
        <v/>
      </c>
      <c r="H14" s="46">
        <f>'Room List - Area Tracker'!K14</f>
        <v/>
      </c>
    </row>
    <row r="15" ht="21" customHeight="1">
      <c r="A15" s="46">
        <f>'Room List - Area Tracker'!A15</f>
        <v/>
      </c>
      <c r="B15" s="41">
        <f>'Room List - Area Tracker'!F15</f>
        <v/>
      </c>
      <c r="C15" s="41">
        <f>'Room List - Area Tracker'!G15</f>
        <v/>
      </c>
      <c r="D15" s="41">
        <f>'Room List - Area Tracker'!H15</f>
        <v/>
      </c>
      <c r="E15" s="41">
        <f>'Room List - Area Tracker'!I15</f>
        <v/>
      </c>
      <c r="F15" s="46">
        <f>'Room List - Area Tracker'!E15</f>
        <v/>
      </c>
      <c r="G15" s="46">
        <f>'Room List - Area Tracker'!J15</f>
        <v/>
      </c>
      <c r="H15" s="46">
        <f>'Room List - Area Tracker'!K15</f>
        <v/>
      </c>
    </row>
    <row r="16" ht="21" customHeight="1">
      <c r="A16" s="46">
        <f>'Room List - Area Tracker'!A16</f>
        <v/>
      </c>
      <c r="B16" s="41">
        <f>'Room List - Area Tracker'!F16</f>
        <v/>
      </c>
      <c r="C16" s="41">
        <f>'Room List - Area Tracker'!G16</f>
        <v/>
      </c>
      <c r="D16" s="41">
        <f>'Room List - Area Tracker'!H16</f>
        <v/>
      </c>
      <c r="E16" s="41">
        <f>'Room List - Area Tracker'!I16</f>
        <v/>
      </c>
      <c r="F16" s="46">
        <f>'Room List - Area Tracker'!E16</f>
        <v/>
      </c>
      <c r="G16" s="46">
        <f>'Room List - Area Tracker'!J16</f>
        <v/>
      </c>
      <c r="H16" s="46">
        <f>'Room List - Area Tracker'!K16</f>
        <v/>
      </c>
    </row>
    <row r="17" ht="21" customHeight="1">
      <c r="A17" s="46">
        <f>'Room List - Area Tracker'!A17</f>
        <v/>
      </c>
      <c r="B17" s="41">
        <f>'Room List - Area Tracker'!F17</f>
        <v/>
      </c>
      <c r="C17" s="41">
        <f>'Room List - Area Tracker'!G17</f>
        <v/>
      </c>
      <c r="D17" s="41">
        <f>'Room List - Area Tracker'!H17</f>
        <v/>
      </c>
      <c r="E17" s="41">
        <f>'Room List - Area Tracker'!I17</f>
        <v/>
      </c>
      <c r="F17" s="46">
        <f>'Room List - Area Tracker'!E17</f>
        <v/>
      </c>
      <c r="G17" s="46">
        <f>'Room List - Area Tracker'!J17</f>
        <v/>
      </c>
      <c r="H17" s="46">
        <f>'Room List - Area Tracker'!K17</f>
        <v/>
      </c>
    </row>
    <row r="18" ht="21" customHeight="1">
      <c r="A18" s="46">
        <f>'Room List - Area Tracker'!A18</f>
        <v/>
      </c>
      <c r="B18" s="41">
        <f>'Room List - Area Tracker'!F18</f>
        <v/>
      </c>
      <c r="C18" s="41">
        <f>'Room List - Area Tracker'!G18</f>
        <v/>
      </c>
      <c r="D18" s="41">
        <f>'Room List - Area Tracker'!H18</f>
        <v/>
      </c>
      <c r="E18" s="41">
        <f>'Room List - Area Tracker'!I18</f>
        <v/>
      </c>
      <c r="F18" s="46">
        <f>'Room List - Area Tracker'!E18</f>
        <v/>
      </c>
      <c r="G18" s="46">
        <f>'Room List - Area Tracker'!J18</f>
        <v/>
      </c>
      <c r="H18" s="46">
        <f>'Room List - Area Tracker'!K18</f>
        <v/>
      </c>
    </row>
    <row r="19" ht="21" customHeight="1">
      <c r="A19" s="46">
        <f>'Room List - Area Tracker'!A19</f>
        <v/>
      </c>
      <c r="B19" s="41">
        <f>'Room List - Area Tracker'!F19</f>
        <v/>
      </c>
      <c r="C19" s="41">
        <f>'Room List - Area Tracker'!G19</f>
        <v/>
      </c>
      <c r="D19" s="41">
        <f>'Room List - Area Tracker'!H19</f>
        <v/>
      </c>
      <c r="E19" s="41">
        <f>'Room List - Area Tracker'!I19</f>
        <v/>
      </c>
      <c r="F19" s="46">
        <f>'Room List - Area Tracker'!E19</f>
        <v/>
      </c>
      <c r="G19" s="46">
        <f>'Room List - Area Tracker'!J19</f>
        <v/>
      </c>
      <c r="H19" s="46">
        <f>'Room List - Area Tracker'!K19</f>
        <v/>
      </c>
    </row>
    <row r="20" ht="21" customHeight="1">
      <c r="A20" s="46">
        <f>'Room List - Area Tracker'!A20</f>
        <v/>
      </c>
      <c r="B20" s="41">
        <f>'Room List - Area Tracker'!F20</f>
        <v/>
      </c>
      <c r="C20" s="41">
        <f>'Room List - Area Tracker'!G20</f>
        <v/>
      </c>
      <c r="D20" s="41">
        <f>'Room List - Area Tracker'!H20</f>
        <v/>
      </c>
      <c r="E20" s="41">
        <f>'Room List - Area Tracker'!I20</f>
        <v/>
      </c>
      <c r="F20" s="46">
        <f>'Room List - Area Tracker'!E20</f>
        <v/>
      </c>
      <c r="G20" s="46">
        <f>'Room List - Area Tracker'!J20</f>
        <v/>
      </c>
      <c r="H20" s="46">
        <f>'Room List - Area Tracker'!K20</f>
        <v/>
      </c>
    </row>
    <row r="21" ht="21" customHeight="1">
      <c r="A21" s="46">
        <f>'Room List - Area Tracker'!A21</f>
        <v/>
      </c>
      <c r="B21" s="41">
        <f>'Room List - Area Tracker'!F21</f>
        <v/>
      </c>
      <c r="C21" s="41">
        <f>'Room List - Area Tracker'!G21</f>
        <v/>
      </c>
      <c r="D21" s="41">
        <f>'Room List - Area Tracker'!H21</f>
        <v/>
      </c>
      <c r="E21" s="41">
        <f>'Room List - Area Tracker'!I21</f>
        <v/>
      </c>
      <c r="F21" s="46">
        <f>'Room List - Area Tracker'!E21</f>
        <v/>
      </c>
      <c r="G21" s="46">
        <f>'Room List - Area Tracker'!J21</f>
        <v/>
      </c>
      <c r="H21" s="46">
        <f>'Room List - Area Tracker'!K21</f>
        <v/>
      </c>
    </row>
    <row r="22" ht="21" customHeight="1">
      <c r="A22" s="46">
        <f>'Room List - Area Tracker'!A22</f>
        <v/>
      </c>
      <c r="B22" s="41">
        <f>'Room List - Area Tracker'!F22</f>
        <v/>
      </c>
      <c r="C22" s="41">
        <f>'Room List - Area Tracker'!G22</f>
        <v/>
      </c>
      <c r="D22" s="41">
        <f>'Room List - Area Tracker'!H22</f>
        <v/>
      </c>
      <c r="E22" s="41">
        <f>'Room List - Area Tracker'!I22</f>
        <v/>
      </c>
      <c r="F22" s="46">
        <f>'Room List - Area Tracker'!E22</f>
        <v/>
      </c>
      <c r="G22" s="46">
        <f>'Room List - Area Tracker'!J22</f>
        <v/>
      </c>
      <c r="H22" s="46">
        <f>'Room List - Area Tracker'!K22</f>
        <v/>
      </c>
    </row>
    <row r="23" ht="21" customHeight="1">
      <c r="A23" s="46">
        <f>'Room List - Area Tracker'!A23</f>
        <v/>
      </c>
      <c r="B23" s="41">
        <f>'Room List - Area Tracker'!F23</f>
        <v/>
      </c>
      <c r="C23" s="41">
        <f>'Room List - Area Tracker'!G23</f>
        <v/>
      </c>
      <c r="D23" s="41">
        <f>'Room List - Area Tracker'!H23</f>
        <v/>
      </c>
      <c r="E23" s="41">
        <f>'Room List - Area Tracker'!I23</f>
        <v/>
      </c>
      <c r="F23" s="46">
        <f>'Room List - Area Tracker'!E23</f>
        <v/>
      </c>
      <c r="G23" s="46">
        <f>'Room List - Area Tracker'!J23</f>
        <v/>
      </c>
      <c r="H23" s="46">
        <f>'Room List - Area Tracker'!K23</f>
        <v/>
      </c>
    </row>
    <row r="24" ht="21" customHeight="1">
      <c r="A24" s="46">
        <f>'Room List - Area Tracker'!A24</f>
        <v/>
      </c>
      <c r="B24" s="41">
        <f>'Room List - Area Tracker'!F24</f>
        <v/>
      </c>
      <c r="C24" s="41">
        <f>'Room List - Area Tracker'!G24</f>
        <v/>
      </c>
      <c r="D24" s="41">
        <f>'Room List - Area Tracker'!H24</f>
        <v/>
      </c>
      <c r="E24" s="41">
        <f>'Room List - Area Tracker'!I24</f>
        <v/>
      </c>
      <c r="F24" s="46">
        <f>'Room List - Area Tracker'!E24</f>
        <v/>
      </c>
      <c r="G24" s="46">
        <f>'Room List - Area Tracker'!J24</f>
        <v/>
      </c>
      <c r="H24" s="46">
        <f>'Room List - Area Tracker'!K24</f>
        <v/>
      </c>
    </row>
    <row r="25" ht="21" customHeight="1">
      <c r="A25" s="46">
        <f>'Room List - Area Tracker'!A25</f>
        <v/>
      </c>
      <c r="B25" s="41">
        <f>'Room List - Area Tracker'!F25</f>
        <v/>
      </c>
      <c r="C25" s="41">
        <f>'Room List - Area Tracker'!G25</f>
        <v/>
      </c>
      <c r="D25" s="41">
        <f>'Room List - Area Tracker'!H25</f>
        <v/>
      </c>
      <c r="E25" s="41">
        <f>'Room List - Area Tracker'!I25</f>
        <v/>
      </c>
      <c r="F25" s="46">
        <f>'Room List - Area Tracker'!E25</f>
        <v/>
      </c>
      <c r="G25" s="46">
        <f>'Room List - Area Tracker'!J25</f>
        <v/>
      </c>
      <c r="H25" s="46">
        <f>'Room List - Area Tracker'!K25</f>
        <v/>
      </c>
    </row>
    <row r="26" ht="21" customHeight="1">
      <c r="A26" s="46">
        <f>'Room List - Area Tracker'!A26</f>
        <v/>
      </c>
      <c r="B26" s="41">
        <f>'Room List - Area Tracker'!F26</f>
        <v/>
      </c>
      <c r="C26" s="41">
        <f>'Room List - Area Tracker'!G26</f>
        <v/>
      </c>
      <c r="D26" s="41">
        <f>'Room List - Area Tracker'!H26</f>
        <v/>
      </c>
      <c r="E26" s="41">
        <f>'Room List - Area Tracker'!I26</f>
        <v/>
      </c>
      <c r="F26" s="46">
        <f>'Room List - Area Tracker'!E26</f>
        <v/>
      </c>
      <c r="G26" s="46">
        <f>'Room List - Area Tracker'!J26</f>
        <v/>
      </c>
      <c r="H26" s="46">
        <f>'Room List - Area Tracker'!K26</f>
        <v/>
      </c>
    </row>
    <row r="27" ht="21" customHeight="1">
      <c r="A27" s="46">
        <f>'Room List - Area Tracker'!A27</f>
        <v/>
      </c>
      <c r="B27" s="41">
        <f>'Room List - Area Tracker'!F27</f>
        <v/>
      </c>
      <c r="C27" s="41">
        <f>'Room List - Area Tracker'!G27</f>
        <v/>
      </c>
      <c r="D27" s="41">
        <f>'Room List - Area Tracker'!H27</f>
        <v/>
      </c>
      <c r="E27" s="41">
        <f>'Room List - Area Tracker'!I27</f>
        <v/>
      </c>
      <c r="F27" s="46">
        <f>'Room List - Area Tracker'!E27</f>
        <v/>
      </c>
      <c r="G27" s="46">
        <f>'Room List - Area Tracker'!J27</f>
        <v/>
      </c>
      <c r="H27" s="46">
        <f>'Room List - Area Tracker'!K27</f>
        <v/>
      </c>
    </row>
    <row r="28" ht="21" customHeight="1">
      <c r="A28" s="46">
        <f>'Room List - Area Tracker'!A28</f>
        <v/>
      </c>
      <c r="B28" s="41">
        <f>'Room List - Area Tracker'!F28</f>
        <v/>
      </c>
      <c r="C28" s="41">
        <f>'Room List - Area Tracker'!G28</f>
        <v/>
      </c>
      <c r="D28" s="41">
        <f>'Room List - Area Tracker'!H28</f>
        <v/>
      </c>
      <c r="E28" s="41">
        <f>'Room List - Area Tracker'!I28</f>
        <v/>
      </c>
      <c r="F28" s="46">
        <f>'Room List - Area Tracker'!E28</f>
        <v/>
      </c>
      <c r="G28" s="46">
        <f>'Room List - Area Tracker'!J28</f>
        <v/>
      </c>
      <c r="H28" s="46">
        <f>'Room List - Area Tracker'!K28</f>
        <v/>
      </c>
    </row>
    <row r="29" ht="21" customHeight="1">
      <c r="A29" s="46">
        <f>'Room List - Area Tracker'!A29</f>
        <v/>
      </c>
      <c r="B29" s="41">
        <f>'Room List - Area Tracker'!F29</f>
        <v/>
      </c>
      <c r="C29" s="41">
        <f>'Room List - Area Tracker'!G29</f>
        <v/>
      </c>
      <c r="D29" s="41">
        <f>'Room List - Area Tracker'!H29</f>
        <v/>
      </c>
      <c r="E29" s="41">
        <f>'Room List - Area Tracker'!I29</f>
        <v/>
      </c>
      <c r="F29" s="46">
        <f>'Room List - Area Tracker'!E29</f>
        <v/>
      </c>
      <c r="G29" s="46">
        <f>'Room List - Area Tracker'!J29</f>
        <v/>
      </c>
      <c r="H29" s="46">
        <f>'Room List - Area Tracker'!K29</f>
        <v/>
      </c>
    </row>
    <row r="30" ht="21" customHeight="1">
      <c r="A30" s="46">
        <f>'Room List - Area Tracker'!A30</f>
        <v/>
      </c>
      <c r="B30" s="41">
        <f>'Room List - Area Tracker'!F30</f>
        <v/>
      </c>
      <c r="C30" s="41">
        <f>'Room List - Area Tracker'!G30</f>
        <v/>
      </c>
      <c r="D30" s="41">
        <f>'Room List - Area Tracker'!H30</f>
        <v/>
      </c>
      <c r="E30" s="41">
        <f>'Room List - Area Tracker'!I30</f>
        <v/>
      </c>
      <c r="F30" s="46">
        <f>'Room List - Area Tracker'!E30</f>
        <v/>
      </c>
      <c r="G30" s="46">
        <f>'Room List - Area Tracker'!J30</f>
        <v/>
      </c>
      <c r="H30" s="46">
        <f>'Room List - Area Tracker'!K30</f>
        <v/>
      </c>
    </row>
    <row r="31" ht="21" customHeight="1">
      <c r="A31" s="46">
        <f>'Room List - Area Tracker'!A31</f>
        <v/>
      </c>
      <c r="B31" s="41">
        <f>'Room List - Area Tracker'!F31</f>
        <v/>
      </c>
      <c r="C31" s="41">
        <f>'Room List - Area Tracker'!G31</f>
        <v/>
      </c>
      <c r="D31" s="41">
        <f>'Room List - Area Tracker'!H31</f>
        <v/>
      </c>
      <c r="E31" s="41">
        <f>'Room List - Area Tracker'!I31</f>
        <v/>
      </c>
      <c r="F31" s="46">
        <f>'Room List - Area Tracker'!E31</f>
        <v/>
      </c>
      <c r="G31" s="46">
        <f>'Room List - Area Tracker'!J31</f>
        <v/>
      </c>
      <c r="H31" s="46">
        <f>'Room List - Area Tracker'!K31</f>
        <v/>
      </c>
    </row>
    <row r="32" ht="21" customHeight="1">
      <c r="A32" s="46">
        <f>'Room List - Area Tracker'!A32</f>
        <v/>
      </c>
      <c r="B32" s="41">
        <f>'Room List - Area Tracker'!F32</f>
        <v/>
      </c>
      <c r="C32" s="41">
        <f>'Room List - Area Tracker'!G32</f>
        <v/>
      </c>
      <c r="D32" s="41">
        <f>'Room List - Area Tracker'!H32</f>
        <v/>
      </c>
      <c r="E32" s="41">
        <f>'Room List - Area Tracker'!I32</f>
        <v/>
      </c>
      <c r="F32" s="46">
        <f>'Room List - Area Tracker'!E32</f>
        <v/>
      </c>
      <c r="G32" s="46">
        <f>'Room List - Area Tracker'!J32</f>
        <v/>
      </c>
      <c r="H32" s="46">
        <f>'Room List - Area Tracker'!K32</f>
        <v/>
      </c>
    </row>
    <row r="33" ht="21" customHeight="1">
      <c r="A33" s="46">
        <f>'Room List - Area Tracker'!A33</f>
        <v/>
      </c>
      <c r="B33" s="41">
        <f>'Room List - Area Tracker'!F33</f>
        <v/>
      </c>
      <c r="C33" s="41">
        <f>'Room List - Area Tracker'!G33</f>
        <v/>
      </c>
      <c r="D33" s="41">
        <f>'Room List - Area Tracker'!H33</f>
        <v/>
      </c>
      <c r="E33" s="41">
        <f>'Room List - Area Tracker'!I33</f>
        <v/>
      </c>
      <c r="F33" s="46">
        <f>'Room List - Area Tracker'!E33</f>
        <v/>
      </c>
      <c r="G33" s="46">
        <f>'Room List - Area Tracker'!J33</f>
        <v/>
      </c>
      <c r="H33" s="46">
        <f>'Room List - Area Tracker'!K33</f>
        <v/>
      </c>
    </row>
    <row r="34" ht="21" customHeight="1">
      <c r="A34" s="46">
        <f>'Room List - Area Tracker'!A34</f>
        <v/>
      </c>
      <c r="B34" s="41">
        <f>'Room List - Area Tracker'!F34</f>
        <v/>
      </c>
      <c r="C34" s="41">
        <f>'Room List - Area Tracker'!G34</f>
        <v/>
      </c>
      <c r="D34" s="41">
        <f>'Room List - Area Tracker'!H34</f>
        <v/>
      </c>
      <c r="E34" s="41">
        <f>'Room List - Area Tracker'!I34</f>
        <v/>
      </c>
      <c r="F34" s="46">
        <f>'Room List - Area Tracker'!E34</f>
        <v/>
      </c>
      <c r="G34" s="46">
        <f>'Room List - Area Tracker'!J34</f>
        <v/>
      </c>
      <c r="H34" s="46">
        <f>'Room List - Area Tracker'!K34</f>
        <v/>
      </c>
    </row>
    <row r="35" ht="21" customHeight="1">
      <c r="A35" s="46">
        <f>'Room List - Area Tracker'!A35</f>
        <v/>
      </c>
      <c r="B35" s="41">
        <f>'Room List - Area Tracker'!F35</f>
        <v/>
      </c>
      <c r="C35" s="41">
        <f>'Room List - Area Tracker'!G35</f>
        <v/>
      </c>
      <c r="D35" s="41">
        <f>'Room List - Area Tracker'!H35</f>
        <v/>
      </c>
      <c r="E35" s="41">
        <f>'Room List - Area Tracker'!I35</f>
        <v/>
      </c>
      <c r="F35" s="46">
        <f>'Room List - Area Tracker'!E35</f>
        <v/>
      </c>
      <c r="G35" s="46">
        <f>'Room List - Area Tracker'!J35</f>
        <v/>
      </c>
      <c r="H35" s="46">
        <f>'Room List - Area Tracker'!K35</f>
        <v/>
      </c>
    </row>
    <row r="36" ht="21" customHeight="1">
      <c r="A36" s="46">
        <f>'Room List - Area Tracker'!A36</f>
        <v/>
      </c>
      <c r="B36" s="41">
        <f>'Room List - Area Tracker'!F36</f>
        <v/>
      </c>
      <c r="C36" s="41">
        <f>'Room List - Area Tracker'!G36</f>
        <v/>
      </c>
      <c r="D36" s="41">
        <f>'Room List - Area Tracker'!H36</f>
        <v/>
      </c>
      <c r="E36" s="41">
        <f>'Room List - Area Tracker'!I36</f>
        <v/>
      </c>
      <c r="F36" s="46">
        <f>'Room List - Area Tracker'!E36</f>
        <v/>
      </c>
      <c r="G36" s="46">
        <f>'Room List - Area Tracker'!J36</f>
        <v/>
      </c>
      <c r="H36" s="46">
        <f>'Room List - Area Tracker'!K36</f>
        <v/>
      </c>
    </row>
    <row r="37" ht="21" customHeight="1">
      <c r="A37" s="46">
        <f>'Room List - Area Tracker'!A37</f>
        <v/>
      </c>
      <c r="B37" s="41">
        <f>'Room List - Area Tracker'!F37</f>
        <v/>
      </c>
      <c r="C37" s="41">
        <f>'Room List - Area Tracker'!G37</f>
        <v/>
      </c>
      <c r="D37" s="41">
        <f>'Room List - Area Tracker'!H37</f>
        <v/>
      </c>
      <c r="E37" s="41">
        <f>'Room List - Area Tracker'!I37</f>
        <v/>
      </c>
      <c r="F37" s="46">
        <f>'Room List - Area Tracker'!E37</f>
        <v/>
      </c>
      <c r="G37" s="46">
        <f>'Room List - Area Tracker'!J37</f>
        <v/>
      </c>
      <c r="H37" s="46">
        <f>'Room List - Area Tracker'!K37</f>
        <v/>
      </c>
    </row>
    <row r="38" ht="21" customHeight="1">
      <c r="A38" s="46">
        <f>'Room List - Area Tracker'!A38</f>
        <v/>
      </c>
      <c r="B38" s="41">
        <f>'Room List - Area Tracker'!F38</f>
        <v/>
      </c>
      <c r="C38" s="41">
        <f>'Room List - Area Tracker'!G38</f>
        <v/>
      </c>
      <c r="D38" s="41">
        <f>'Room List - Area Tracker'!H38</f>
        <v/>
      </c>
      <c r="E38" s="41">
        <f>'Room List - Area Tracker'!I38</f>
        <v/>
      </c>
      <c r="F38" s="46">
        <f>'Room List - Area Tracker'!E38</f>
        <v/>
      </c>
      <c r="G38" s="46">
        <f>'Room List - Area Tracker'!J38</f>
        <v/>
      </c>
      <c r="H38" s="46">
        <f>'Room List - Area Tracker'!K38</f>
        <v/>
      </c>
    </row>
    <row r="39" ht="21" customHeight="1">
      <c r="A39" s="46">
        <f>'Room List - Area Tracker'!A39</f>
        <v/>
      </c>
      <c r="B39" s="41">
        <f>'Room List - Area Tracker'!F39</f>
        <v/>
      </c>
      <c r="C39" s="41">
        <f>'Room List - Area Tracker'!G39</f>
        <v/>
      </c>
      <c r="D39" s="41">
        <f>'Room List - Area Tracker'!H39</f>
        <v/>
      </c>
      <c r="E39" s="41">
        <f>'Room List - Area Tracker'!I39</f>
        <v/>
      </c>
      <c r="F39" s="46">
        <f>'Room List - Area Tracker'!E39</f>
        <v/>
      </c>
      <c r="G39" s="46">
        <f>'Room List - Area Tracker'!J39</f>
        <v/>
      </c>
      <c r="H39" s="46">
        <f>'Room List - Area Tracker'!K39</f>
        <v/>
      </c>
    </row>
    <row r="40" ht="21" customHeight="1">
      <c r="A40" s="46">
        <f>'Room List - Area Tracker'!A40</f>
        <v/>
      </c>
      <c r="B40" s="41">
        <f>'Room List - Area Tracker'!F40</f>
        <v/>
      </c>
      <c r="C40" s="41">
        <f>'Room List - Area Tracker'!G40</f>
        <v/>
      </c>
      <c r="D40" s="41">
        <f>'Room List - Area Tracker'!H40</f>
        <v/>
      </c>
      <c r="E40" s="41">
        <f>'Room List - Area Tracker'!I40</f>
        <v/>
      </c>
      <c r="F40" s="46">
        <f>'Room List - Area Tracker'!E40</f>
        <v/>
      </c>
      <c r="G40" s="46">
        <f>'Room List - Area Tracker'!J40</f>
        <v/>
      </c>
      <c r="H40" s="46">
        <f>'Room List - Area Tracker'!K40</f>
        <v/>
      </c>
    </row>
    <row r="41" ht="21" customHeight="1">
      <c r="A41" s="46">
        <f>'Room List - Area Tracker'!A41</f>
        <v/>
      </c>
      <c r="B41" s="41">
        <f>'Room List - Area Tracker'!F41</f>
        <v/>
      </c>
      <c r="C41" s="41">
        <f>'Room List - Area Tracker'!G41</f>
        <v/>
      </c>
      <c r="D41" s="41">
        <f>'Room List - Area Tracker'!H41</f>
        <v/>
      </c>
      <c r="E41" s="41">
        <f>'Room List - Area Tracker'!I41</f>
        <v/>
      </c>
      <c r="F41" s="46">
        <f>'Room List - Area Tracker'!E41</f>
        <v/>
      </c>
      <c r="G41" s="46">
        <f>'Room List - Area Tracker'!J41</f>
        <v/>
      </c>
      <c r="H41" s="46">
        <f>'Room List - Area Tracker'!K41</f>
        <v/>
      </c>
    </row>
    <row r="42" ht="21" customHeight="1">
      <c r="A42" s="46">
        <f>'Room List - Area Tracker'!A42</f>
        <v/>
      </c>
      <c r="B42" s="41">
        <f>'Room List - Area Tracker'!F42</f>
        <v/>
      </c>
      <c r="C42" s="41">
        <f>'Room List - Area Tracker'!G42</f>
        <v/>
      </c>
      <c r="D42" s="41">
        <f>'Room List - Area Tracker'!H42</f>
        <v/>
      </c>
      <c r="E42" s="41">
        <f>'Room List - Area Tracker'!I42</f>
        <v/>
      </c>
      <c r="F42" s="46">
        <f>'Room List - Area Tracker'!E42</f>
        <v/>
      </c>
      <c r="G42" s="46">
        <f>'Room List - Area Tracker'!J42</f>
        <v/>
      </c>
      <c r="H42" s="46">
        <f>'Room List - Area Tracker'!K42</f>
        <v/>
      </c>
    </row>
    <row r="43" ht="21" customHeight="1">
      <c r="A43" s="46">
        <f>'Room List - Area Tracker'!A43</f>
        <v/>
      </c>
      <c r="B43" s="41">
        <f>'Room List - Area Tracker'!F43</f>
        <v/>
      </c>
      <c r="C43" s="41">
        <f>'Room List - Area Tracker'!G43</f>
        <v/>
      </c>
      <c r="D43" s="41">
        <f>'Room List - Area Tracker'!H43</f>
        <v/>
      </c>
      <c r="E43" s="41">
        <f>'Room List - Area Tracker'!I43</f>
        <v/>
      </c>
      <c r="F43" s="46">
        <f>'Room List - Area Tracker'!E43</f>
        <v/>
      </c>
      <c r="G43" s="46">
        <f>'Room List - Area Tracker'!J43</f>
        <v/>
      </c>
      <c r="H43" s="46">
        <f>'Room List - Area Tracker'!K43</f>
        <v/>
      </c>
    </row>
    <row r="44" ht="21" customHeight="1">
      <c r="A44" s="46">
        <f>'Room List - Area Tracker'!A44</f>
        <v/>
      </c>
      <c r="B44" s="41">
        <f>'Room List - Area Tracker'!F44</f>
        <v/>
      </c>
      <c r="C44" s="41">
        <f>'Room List - Area Tracker'!G44</f>
        <v/>
      </c>
      <c r="D44" s="41">
        <f>'Room List - Area Tracker'!H44</f>
        <v/>
      </c>
      <c r="E44" s="41">
        <f>'Room List - Area Tracker'!I44</f>
        <v/>
      </c>
      <c r="F44" s="46">
        <f>'Room List - Area Tracker'!E44</f>
        <v/>
      </c>
      <c r="G44" s="46">
        <f>'Room List - Area Tracker'!J44</f>
        <v/>
      </c>
      <c r="H44" s="46">
        <f>'Room List - Area Tracker'!K44</f>
        <v/>
      </c>
    </row>
    <row r="45" ht="21" customHeight="1">
      <c r="A45" s="46">
        <f>'Room List - Area Tracker'!A45</f>
        <v/>
      </c>
      <c r="B45" s="41">
        <f>'Room List - Area Tracker'!F45</f>
        <v/>
      </c>
      <c r="C45" s="41">
        <f>'Room List - Area Tracker'!G45</f>
        <v/>
      </c>
      <c r="D45" s="41">
        <f>'Room List - Area Tracker'!H45</f>
        <v/>
      </c>
      <c r="E45" s="41">
        <f>'Room List - Area Tracker'!I45</f>
        <v/>
      </c>
      <c r="F45" s="46">
        <f>'Room List - Area Tracker'!E45</f>
        <v/>
      </c>
      <c r="G45" s="46">
        <f>'Room List - Area Tracker'!J45</f>
        <v/>
      </c>
      <c r="H45" s="46">
        <f>'Room List - Area Tracker'!K45</f>
        <v/>
      </c>
    </row>
    <row r="46" ht="21" customHeight="1">
      <c r="A46" s="46">
        <f>'Room List - Area Tracker'!A46</f>
        <v/>
      </c>
      <c r="B46" s="41">
        <f>'Room List - Area Tracker'!F46</f>
        <v/>
      </c>
      <c r="C46" s="41">
        <f>'Room List - Area Tracker'!G46</f>
        <v/>
      </c>
      <c r="D46" s="41">
        <f>'Room List - Area Tracker'!H46</f>
        <v/>
      </c>
      <c r="E46" s="41">
        <f>'Room List - Area Tracker'!I46</f>
        <v/>
      </c>
      <c r="F46" s="46">
        <f>'Room List - Area Tracker'!E46</f>
        <v/>
      </c>
      <c r="G46" s="46">
        <f>'Room List - Area Tracker'!J46</f>
        <v/>
      </c>
      <c r="H46" s="46">
        <f>'Room List - Area Tracker'!K46</f>
        <v/>
      </c>
    </row>
    <row r="47" ht="21" customHeight="1">
      <c r="A47" s="46">
        <f>'Room List - Area Tracker'!A47</f>
        <v/>
      </c>
      <c r="B47" s="41">
        <f>'Room List - Area Tracker'!F47</f>
        <v/>
      </c>
      <c r="C47" s="41">
        <f>'Room List - Area Tracker'!G47</f>
        <v/>
      </c>
      <c r="D47" s="41">
        <f>'Room List - Area Tracker'!H47</f>
        <v/>
      </c>
      <c r="E47" s="41">
        <f>'Room List - Area Tracker'!I47</f>
        <v/>
      </c>
      <c r="F47" s="46">
        <f>'Room List - Area Tracker'!E47</f>
        <v/>
      </c>
      <c r="G47" s="46">
        <f>'Room List - Area Tracker'!J47</f>
        <v/>
      </c>
      <c r="H47" s="46">
        <f>'Room List - Area Tracker'!K47</f>
        <v/>
      </c>
    </row>
    <row r="48" ht="21" customHeight="1">
      <c r="A48" s="46">
        <f>'Room List - Area Tracker'!A48</f>
        <v/>
      </c>
      <c r="B48" s="41">
        <f>'Room List - Area Tracker'!F48</f>
        <v/>
      </c>
      <c r="C48" s="41">
        <f>'Room List - Area Tracker'!G48</f>
        <v/>
      </c>
      <c r="D48" s="41">
        <f>'Room List - Area Tracker'!H48</f>
        <v/>
      </c>
      <c r="E48" s="41">
        <f>'Room List - Area Tracker'!I48</f>
        <v/>
      </c>
      <c r="F48" s="46">
        <f>'Room List - Area Tracker'!E48</f>
        <v/>
      </c>
      <c r="G48" s="46">
        <f>'Room List - Area Tracker'!J48</f>
        <v/>
      </c>
      <c r="H48" s="46">
        <f>'Room List - Area Tracker'!K48</f>
        <v/>
      </c>
    </row>
    <row r="49" ht="21" customHeight="1">
      <c r="A49" s="46">
        <f>'Room List - Area Tracker'!A49</f>
        <v/>
      </c>
      <c r="B49" s="41">
        <f>'Room List - Area Tracker'!F49</f>
        <v/>
      </c>
      <c r="C49" s="41">
        <f>'Room List - Area Tracker'!G49</f>
        <v/>
      </c>
      <c r="D49" s="41">
        <f>'Room List - Area Tracker'!H49</f>
        <v/>
      </c>
      <c r="E49" s="41">
        <f>'Room List - Area Tracker'!I49</f>
        <v/>
      </c>
      <c r="F49" s="46">
        <f>'Room List - Area Tracker'!E49</f>
        <v/>
      </c>
      <c r="G49" s="46">
        <f>'Room List - Area Tracker'!J49</f>
        <v/>
      </c>
      <c r="H49" s="46">
        <f>'Room List - Area Tracker'!K49</f>
        <v/>
      </c>
    </row>
    <row r="50" ht="21" customHeight="1">
      <c r="A50" s="46">
        <f>'Room List - Area Tracker'!A50</f>
        <v/>
      </c>
      <c r="B50" s="41">
        <f>'Room List - Area Tracker'!F50</f>
        <v/>
      </c>
      <c r="C50" s="41">
        <f>'Room List - Area Tracker'!G50</f>
        <v/>
      </c>
      <c r="D50" s="41">
        <f>'Room List - Area Tracker'!H50</f>
        <v/>
      </c>
      <c r="E50" s="41">
        <f>'Room List - Area Tracker'!I50</f>
        <v/>
      </c>
      <c r="F50" s="46">
        <f>'Room List - Area Tracker'!E50</f>
        <v/>
      </c>
      <c r="G50" s="46">
        <f>'Room List - Area Tracker'!J50</f>
        <v/>
      </c>
      <c r="H50" s="46">
        <f>'Room List - Area Tracker'!K50</f>
        <v/>
      </c>
    </row>
    <row r="51" ht="21" customHeight="1">
      <c r="A51" s="46">
        <f>'Room List - Area Tracker'!A51</f>
        <v/>
      </c>
      <c r="B51" s="41">
        <f>'Room List - Area Tracker'!F51</f>
        <v/>
      </c>
      <c r="C51" s="41">
        <f>'Room List - Area Tracker'!G51</f>
        <v/>
      </c>
      <c r="D51" s="41">
        <f>'Room List - Area Tracker'!H51</f>
        <v/>
      </c>
      <c r="E51" s="41">
        <f>'Room List - Area Tracker'!I51</f>
        <v/>
      </c>
      <c r="F51" s="46">
        <f>'Room List - Area Tracker'!E51</f>
        <v/>
      </c>
      <c r="G51" s="46">
        <f>'Room List - Area Tracker'!J51</f>
        <v/>
      </c>
      <c r="H51" s="46">
        <f>'Room List - Area Tracker'!K51</f>
        <v/>
      </c>
    </row>
    <row r="52" ht="21" customHeight="1">
      <c r="A52" s="46">
        <f>'Room List - Area Tracker'!A52</f>
        <v/>
      </c>
      <c r="B52" s="41">
        <f>'Room List - Area Tracker'!F52</f>
        <v/>
      </c>
      <c r="C52" s="41">
        <f>'Room List - Area Tracker'!G52</f>
        <v/>
      </c>
      <c r="D52" s="41">
        <f>'Room List - Area Tracker'!H52</f>
        <v/>
      </c>
      <c r="E52" s="41">
        <f>'Room List - Area Tracker'!I52</f>
        <v/>
      </c>
      <c r="F52" s="46">
        <f>'Room List - Area Tracker'!E52</f>
        <v/>
      </c>
      <c r="G52" s="46">
        <f>'Room List - Area Tracker'!J52</f>
        <v/>
      </c>
      <c r="H52" s="46">
        <f>'Room List - Area Tracker'!K52</f>
        <v/>
      </c>
    </row>
    <row r="53" ht="21" customHeight="1">
      <c r="A53" s="46">
        <f>'Room List - Area Tracker'!A53</f>
        <v/>
      </c>
      <c r="B53" s="41">
        <f>'Room List - Area Tracker'!F53</f>
        <v/>
      </c>
      <c r="C53" s="41">
        <f>'Room List - Area Tracker'!G53</f>
        <v/>
      </c>
      <c r="D53" s="41">
        <f>'Room List - Area Tracker'!H53</f>
        <v/>
      </c>
      <c r="E53" s="41">
        <f>'Room List - Area Tracker'!I53</f>
        <v/>
      </c>
      <c r="F53" s="46">
        <f>'Room List - Area Tracker'!E53</f>
        <v/>
      </c>
      <c r="G53" s="46">
        <f>'Room List - Area Tracker'!J53</f>
        <v/>
      </c>
      <c r="H53" s="46">
        <f>'Room List - Area Tracker'!K53</f>
        <v/>
      </c>
    </row>
    <row r="54" ht="21" customHeight="1">
      <c r="A54" s="46">
        <f>'Room List - Area Tracker'!A54</f>
        <v/>
      </c>
      <c r="B54" s="41">
        <f>'Room List - Area Tracker'!F54</f>
        <v/>
      </c>
      <c r="C54" s="41">
        <f>'Room List - Area Tracker'!G54</f>
        <v/>
      </c>
      <c r="D54" s="41">
        <f>'Room List - Area Tracker'!H54</f>
        <v/>
      </c>
      <c r="E54" s="41">
        <f>'Room List - Area Tracker'!I54</f>
        <v/>
      </c>
      <c r="F54" s="46">
        <f>'Room List - Area Tracker'!E54</f>
        <v/>
      </c>
      <c r="G54" s="46">
        <f>'Room List - Area Tracker'!J54</f>
        <v/>
      </c>
      <c r="H54" s="46">
        <f>'Room List - Area Tracker'!K54</f>
        <v/>
      </c>
    </row>
    <row r="55" ht="21" customHeight="1">
      <c r="A55" s="46">
        <f>'Room List - Area Tracker'!A55</f>
        <v/>
      </c>
      <c r="B55" s="41">
        <f>'Room List - Area Tracker'!F55</f>
        <v/>
      </c>
      <c r="C55" s="41">
        <f>'Room List - Area Tracker'!G55</f>
        <v/>
      </c>
      <c r="D55" s="41">
        <f>'Room List - Area Tracker'!H55</f>
        <v/>
      </c>
      <c r="E55" s="41">
        <f>'Room List - Area Tracker'!I55</f>
        <v/>
      </c>
      <c r="F55" s="46">
        <f>'Room List - Area Tracker'!E55</f>
        <v/>
      </c>
      <c r="G55" s="46">
        <f>'Room List - Area Tracker'!J55</f>
        <v/>
      </c>
      <c r="H55" s="46">
        <f>'Room List - Area Tracker'!K55</f>
        <v/>
      </c>
    </row>
    <row r="56" ht="21" customHeight="1">
      <c r="A56" s="46">
        <f>'Room List - Area Tracker'!A56</f>
        <v/>
      </c>
      <c r="B56" s="41">
        <f>'Room List - Area Tracker'!F56</f>
        <v/>
      </c>
      <c r="C56" s="41">
        <f>'Room List - Area Tracker'!G56</f>
        <v/>
      </c>
      <c r="D56" s="41">
        <f>'Room List - Area Tracker'!H56</f>
        <v/>
      </c>
      <c r="E56" s="41">
        <f>'Room List - Area Tracker'!I56</f>
        <v/>
      </c>
      <c r="F56" s="46">
        <f>'Room List - Area Tracker'!E56</f>
        <v/>
      </c>
      <c r="G56" s="46">
        <f>'Room List - Area Tracker'!J56</f>
        <v/>
      </c>
      <c r="H56" s="46">
        <f>'Room List - Area Tracker'!K56</f>
        <v/>
      </c>
    </row>
  </sheetData>
  <autoFilter ref="A6:H56"/>
  <mergeCells count="3">
    <mergeCell ref="A1:H2"/>
    <mergeCell ref="A3:H3"/>
    <mergeCell ref="A4:H4"/>
  </mergeCells>
  <conditionalFormatting sqref="F7:F56">
    <cfRule type="expression" priority="1" dxfId="2">
      <formula>=OR(F7="Complete",F7="Approved",F7="Delivered",F7="Installed",F7="Good condition",F7="Paid",F7="On budget")</formula>
    </cfRule>
    <cfRule type="expression" priority="2" dxfId="1">
      <formula>=OR(F7="Pending",F7="In progress",F7="Sent",F7="Waiting on client",F7="Waiting on vendor",F7="On hold",F7="Partially paid",F7="Scheduled")</formula>
    </cfRule>
    <cfRule type="expression" priority="3" dxfId="0">
      <formula>=OR(F7="Overdue",F7="Delayed",F7="Damaged",F7="Missing item",F7="Rejected",F7="Revisions requested")</formula>
    </cfRule>
    <cfRule type="expression" priority="4" dxfId="3">
      <formula>=OR(F7="Cancelled",F7="On hold",F7="Returned")</formula>
    </cfRule>
  </conditionalFormatting>
  <conditionalFormatting sqref="G7:G56">
    <cfRule type="expression" priority="5" dxfId="2">
      <formula>=OR(G7="Complete",G7="Approved",G7="Delivered",G7="Installed",G7="Good condition",G7="Paid",G7="On budget")</formula>
    </cfRule>
    <cfRule type="expression" priority="6" dxfId="1">
      <formula>=OR(G7="Pending",G7="In progress",G7="Sent",G7="Waiting on client",G7="Waiting on vendor",G7="On hold",G7="Partially paid",G7="Scheduled")</formula>
    </cfRule>
    <cfRule type="expression" priority="7" dxfId="0">
      <formula>=OR(G7="Overdue",G7="Delayed",G7="Damaged",G7="Missing item",G7="Rejected",G7="Revisions requested")</formula>
    </cfRule>
    <cfRule type="expression" priority="8" dxfId="3">
      <formula>=OR(G7="Cancelled",G7="On hold",G7="Returned")</formula>
    </cfRule>
  </conditionalFormatting>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23.xml><?xml version="1.0" encoding="utf-8"?>
<worksheet xmlns="http://schemas.openxmlformats.org/spreadsheetml/2006/main">
  <sheetPr>
    <tabColor rgb="002F6F73"/>
    <outlinePr summaryBelow="1" summaryRight="1"/>
    <pageSetUpPr fitToPage="1"/>
  </sheetPr>
  <dimension ref="A1:I106"/>
  <sheetViews>
    <sheetView showGridLines="0" zoomScale="85" workbookViewId="0">
      <pane ySplit="6" topLeftCell="A7" activePane="bottomLeft" state="frozen"/>
      <selection pane="bottomLeft" activeCell="A7" sqref="A1"/>
    </sheetView>
  </sheetViews>
  <sheetFormatPr baseColWidth="8" defaultRowHeight="15"/>
  <cols>
    <col width="15" customWidth="1" min="1" max="1"/>
    <col width="22" customWidth="1" min="2" max="2"/>
    <col width="20" customWidth="1" min="3" max="3"/>
    <col width="30" customWidth="1" min="4" max="4"/>
    <col width="21" customWidth="1" min="5" max="5"/>
    <col width="17" customWidth="1" min="6" max="6"/>
    <col width="25" customWidth="1" min="7" max="7"/>
    <col width="15" customWidth="1" min="8" max="8"/>
    <col width="16" customWidth="1" min="9" max="9"/>
  </cols>
  <sheetData>
    <row r="1" ht="26" customHeight="1">
      <c r="A1" s="1" t="inlineStr">
        <is>
          <t>Vendor Order Report</t>
        </is>
      </c>
    </row>
    <row r="2" ht="26" customHeight="1"/>
    <row r="3" ht="26" customHeight="1">
      <c r="A3" s="24" t="inlineStr">
        <is>
          <t>Printable open-order view for vendor follow-up and purchasing meetings.</t>
        </is>
      </c>
    </row>
    <row r="4">
      <c r="A4" s="25" t="inlineStr">
        <is>
          <t>Printable report view • linked to the project tracker. Filter rows before printing or sharing.</t>
        </is>
      </c>
    </row>
    <row r="6" ht="34" customHeight="1">
      <c r="A6" s="37" t="inlineStr">
        <is>
          <t>PO number</t>
        </is>
      </c>
      <c r="B6" s="37" t="inlineStr">
        <is>
          <t>Vendor</t>
        </is>
      </c>
      <c r="C6" s="37" t="inlineStr">
        <is>
          <t>Room</t>
        </is>
      </c>
      <c r="D6" s="37" t="inlineStr">
        <is>
          <t>Item</t>
        </is>
      </c>
      <c r="E6" s="37" t="inlineStr">
        <is>
          <t>Expected delivery</t>
        </is>
      </c>
      <c r="F6" s="37" t="inlineStr">
        <is>
          <t>Order status</t>
        </is>
      </c>
      <c r="G6" s="37" t="inlineStr">
        <is>
          <t>Tracking number</t>
        </is>
      </c>
      <c r="H6" s="37" t="inlineStr">
        <is>
          <t>Amount</t>
        </is>
      </c>
      <c r="I6" s="37" t="inlineStr">
        <is>
          <t>Paid status</t>
        </is>
      </c>
    </row>
    <row r="7" ht="21" customHeight="1">
      <c r="A7" s="46">
        <f>IF('Purchase Order - Order Tracker'!A7="","",'Purchase Order - Order Tracker'!A7)</f>
        <v/>
      </c>
      <c r="B7" s="46">
        <f>IF('Purchase Order - Order Tracker'!A7="","",'Purchase Order - Order Tracker'!B7)</f>
        <v/>
      </c>
      <c r="C7" s="46">
        <f>IF('Purchase Order - Order Tracker'!A7="","",'Purchase Order - Order Tracker'!C7)</f>
        <v/>
      </c>
      <c r="D7" s="46">
        <f>IF('Purchase Order - Order Tracker'!A7="","",'Purchase Order - Order Tracker'!D7)</f>
        <v/>
      </c>
      <c r="E7" s="46">
        <f>IF('Purchase Order - Order Tracker'!A7="","",'Purchase Order - Order Tracker'!H7)</f>
        <v/>
      </c>
      <c r="F7" s="46">
        <f>IF('Purchase Order - Order Tracker'!A7="","",'Purchase Order - Order Tracker'!J7)</f>
        <v/>
      </c>
      <c r="G7" s="46">
        <f>IF('Purchase Order - Order Tracker'!A7="","",'Purchase Order - Order Tracker'!K7)</f>
        <v/>
      </c>
      <c r="H7" s="41">
        <f>IF('Purchase Order - Order Tracker'!A7="","",'Purchase Order - Order Tracker'!N7)</f>
        <v/>
      </c>
      <c r="I7" s="41">
        <f>IF('Purchase Order - Order Tracker'!A7="","",'Purchase Order - Order Tracker'!O7)</f>
        <v/>
      </c>
    </row>
    <row r="8" ht="21" customHeight="1">
      <c r="A8" s="46">
        <f>IF('Purchase Order - Order Tracker'!A8="","",'Purchase Order - Order Tracker'!A8)</f>
        <v/>
      </c>
      <c r="B8" s="46">
        <f>IF('Purchase Order - Order Tracker'!A8="","",'Purchase Order - Order Tracker'!B8)</f>
        <v/>
      </c>
      <c r="C8" s="46">
        <f>IF('Purchase Order - Order Tracker'!A8="","",'Purchase Order - Order Tracker'!C8)</f>
        <v/>
      </c>
      <c r="D8" s="46">
        <f>IF('Purchase Order - Order Tracker'!A8="","",'Purchase Order - Order Tracker'!D8)</f>
        <v/>
      </c>
      <c r="E8" s="46">
        <f>IF('Purchase Order - Order Tracker'!A8="","",'Purchase Order - Order Tracker'!H8)</f>
        <v/>
      </c>
      <c r="F8" s="46">
        <f>IF('Purchase Order - Order Tracker'!A8="","",'Purchase Order - Order Tracker'!J8)</f>
        <v/>
      </c>
      <c r="G8" s="46">
        <f>IF('Purchase Order - Order Tracker'!A8="","",'Purchase Order - Order Tracker'!K8)</f>
        <v/>
      </c>
      <c r="H8" s="41">
        <f>IF('Purchase Order - Order Tracker'!A8="","",'Purchase Order - Order Tracker'!N8)</f>
        <v/>
      </c>
      <c r="I8" s="41">
        <f>IF('Purchase Order - Order Tracker'!A8="","",'Purchase Order - Order Tracker'!O8)</f>
        <v/>
      </c>
    </row>
    <row r="9" ht="21" customHeight="1">
      <c r="A9" s="46">
        <f>IF('Purchase Order - Order Tracker'!A9="","",'Purchase Order - Order Tracker'!A9)</f>
        <v/>
      </c>
      <c r="B9" s="46">
        <f>IF('Purchase Order - Order Tracker'!A9="","",'Purchase Order - Order Tracker'!B9)</f>
        <v/>
      </c>
      <c r="C9" s="46">
        <f>IF('Purchase Order - Order Tracker'!A9="","",'Purchase Order - Order Tracker'!C9)</f>
        <v/>
      </c>
      <c r="D9" s="46">
        <f>IF('Purchase Order - Order Tracker'!A9="","",'Purchase Order - Order Tracker'!D9)</f>
        <v/>
      </c>
      <c r="E9" s="46">
        <f>IF('Purchase Order - Order Tracker'!A9="","",'Purchase Order - Order Tracker'!H9)</f>
        <v/>
      </c>
      <c r="F9" s="46">
        <f>IF('Purchase Order - Order Tracker'!A9="","",'Purchase Order - Order Tracker'!J9)</f>
        <v/>
      </c>
      <c r="G9" s="46">
        <f>IF('Purchase Order - Order Tracker'!A9="","",'Purchase Order - Order Tracker'!K9)</f>
        <v/>
      </c>
      <c r="H9" s="41">
        <f>IF('Purchase Order - Order Tracker'!A9="","",'Purchase Order - Order Tracker'!N9)</f>
        <v/>
      </c>
      <c r="I9" s="41">
        <f>IF('Purchase Order - Order Tracker'!A9="","",'Purchase Order - Order Tracker'!O9)</f>
        <v/>
      </c>
    </row>
    <row r="10" ht="21" customHeight="1">
      <c r="A10" s="46">
        <f>IF('Purchase Order - Order Tracker'!A10="","",'Purchase Order - Order Tracker'!A10)</f>
        <v/>
      </c>
      <c r="B10" s="46">
        <f>IF('Purchase Order - Order Tracker'!A10="","",'Purchase Order - Order Tracker'!B10)</f>
        <v/>
      </c>
      <c r="C10" s="46">
        <f>IF('Purchase Order - Order Tracker'!A10="","",'Purchase Order - Order Tracker'!C10)</f>
        <v/>
      </c>
      <c r="D10" s="46">
        <f>IF('Purchase Order - Order Tracker'!A10="","",'Purchase Order - Order Tracker'!D10)</f>
        <v/>
      </c>
      <c r="E10" s="46">
        <f>IF('Purchase Order - Order Tracker'!A10="","",'Purchase Order - Order Tracker'!H10)</f>
        <v/>
      </c>
      <c r="F10" s="46">
        <f>IF('Purchase Order - Order Tracker'!A10="","",'Purchase Order - Order Tracker'!J10)</f>
        <v/>
      </c>
      <c r="G10" s="46">
        <f>IF('Purchase Order - Order Tracker'!A10="","",'Purchase Order - Order Tracker'!K10)</f>
        <v/>
      </c>
      <c r="H10" s="41">
        <f>IF('Purchase Order - Order Tracker'!A10="","",'Purchase Order - Order Tracker'!N10)</f>
        <v/>
      </c>
      <c r="I10" s="41">
        <f>IF('Purchase Order - Order Tracker'!A10="","",'Purchase Order - Order Tracker'!O10)</f>
        <v/>
      </c>
    </row>
    <row r="11" ht="21" customHeight="1">
      <c r="A11" s="46">
        <f>IF('Purchase Order - Order Tracker'!A11="","",'Purchase Order - Order Tracker'!A11)</f>
        <v/>
      </c>
      <c r="B11" s="46">
        <f>IF('Purchase Order - Order Tracker'!A11="","",'Purchase Order - Order Tracker'!B11)</f>
        <v/>
      </c>
      <c r="C11" s="46">
        <f>IF('Purchase Order - Order Tracker'!A11="","",'Purchase Order - Order Tracker'!C11)</f>
        <v/>
      </c>
      <c r="D11" s="46">
        <f>IF('Purchase Order - Order Tracker'!A11="","",'Purchase Order - Order Tracker'!D11)</f>
        <v/>
      </c>
      <c r="E11" s="46">
        <f>IF('Purchase Order - Order Tracker'!A11="","",'Purchase Order - Order Tracker'!H11)</f>
        <v/>
      </c>
      <c r="F11" s="46">
        <f>IF('Purchase Order - Order Tracker'!A11="","",'Purchase Order - Order Tracker'!J11)</f>
        <v/>
      </c>
      <c r="G11" s="46">
        <f>IF('Purchase Order - Order Tracker'!A11="","",'Purchase Order - Order Tracker'!K11)</f>
        <v/>
      </c>
      <c r="H11" s="41">
        <f>IF('Purchase Order - Order Tracker'!A11="","",'Purchase Order - Order Tracker'!N11)</f>
        <v/>
      </c>
      <c r="I11" s="41">
        <f>IF('Purchase Order - Order Tracker'!A11="","",'Purchase Order - Order Tracker'!O11)</f>
        <v/>
      </c>
    </row>
    <row r="12" ht="21" customHeight="1">
      <c r="A12" s="46">
        <f>IF('Purchase Order - Order Tracker'!A12="","",'Purchase Order - Order Tracker'!A12)</f>
        <v/>
      </c>
      <c r="B12" s="46">
        <f>IF('Purchase Order - Order Tracker'!A12="","",'Purchase Order - Order Tracker'!B12)</f>
        <v/>
      </c>
      <c r="C12" s="46">
        <f>IF('Purchase Order - Order Tracker'!A12="","",'Purchase Order - Order Tracker'!C12)</f>
        <v/>
      </c>
      <c r="D12" s="46">
        <f>IF('Purchase Order - Order Tracker'!A12="","",'Purchase Order - Order Tracker'!D12)</f>
        <v/>
      </c>
      <c r="E12" s="46">
        <f>IF('Purchase Order - Order Tracker'!A12="","",'Purchase Order - Order Tracker'!H12)</f>
        <v/>
      </c>
      <c r="F12" s="46">
        <f>IF('Purchase Order - Order Tracker'!A12="","",'Purchase Order - Order Tracker'!J12)</f>
        <v/>
      </c>
      <c r="G12" s="46">
        <f>IF('Purchase Order - Order Tracker'!A12="","",'Purchase Order - Order Tracker'!K12)</f>
        <v/>
      </c>
      <c r="H12" s="41">
        <f>IF('Purchase Order - Order Tracker'!A12="","",'Purchase Order - Order Tracker'!N12)</f>
        <v/>
      </c>
      <c r="I12" s="41">
        <f>IF('Purchase Order - Order Tracker'!A12="","",'Purchase Order - Order Tracker'!O12)</f>
        <v/>
      </c>
    </row>
    <row r="13" ht="21" customHeight="1">
      <c r="A13" s="46">
        <f>IF('Purchase Order - Order Tracker'!A13="","",'Purchase Order - Order Tracker'!A13)</f>
        <v/>
      </c>
      <c r="B13" s="46">
        <f>IF('Purchase Order - Order Tracker'!A13="","",'Purchase Order - Order Tracker'!B13)</f>
        <v/>
      </c>
      <c r="C13" s="46">
        <f>IF('Purchase Order - Order Tracker'!A13="","",'Purchase Order - Order Tracker'!C13)</f>
        <v/>
      </c>
      <c r="D13" s="46">
        <f>IF('Purchase Order - Order Tracker'!A13="","",'Purchase Order - Order Tracker'!D13)</f>
        <v/>
      </c>
      <c r="E13" s="46">
        <f>IF('Purchase Order - Order Tracker'!A13="","",'Purchase Order - Order Tracker'!H13)</f>
        <v/>
      </c>
      <c r="F13" s="46">
        <f>IF('Purchase Order - Order Tracker'!A13="","",'Purchase Order - Order Tracker'!J13)</f>
        <v/>
      </c>
      <c r="G13" s="46">
        <f>IF('Purchase Order - Order Tracker'!A13="","",'Purchase Order - Order Tracker'!K13)</f>
        <v/>
      </c>
      <c r="H13" s="41">
        <f>IF('Purchase Order - Order Tracker'!A13="","",'Purchase Order - Order Tracker'!N13)</f>
        <v/>
      </c>
      <c r="I13" s="41">
        <f>IF('Purchase Order - Order Tracker'!A13="","",'Purchase Order - Order Tracker'!O13)</f>
        <v/>
      </c>
    </row>
    <row r="14" ht="21" customHeight="1">
      <c r="A14" s="46">
        <f>IF('Purchase Order - Order Tracker'!A14="","",'Purchase Order - Order Tracker'!A14)</f>
        <v/>
      </c>
      <c r="B14" s="46">
        <f>IF('Purchase Order - Order Tracker'!A14="","",'Purchase Order - Order Tracker'!B14)</f>
        <v/>
      </c>
      <c r="C14" s="46">
        <f>IF('Purchase Order - Order Tracker'!A14="","",'Purchase Order - Order Tracker'!C14)</f>
        <v/>
      </c>
      <c r="D14" s="46">
        <f>IF('Purchase Order - Order Tracker'!A14="","",'Purchase Order - Order Tracker'!D14)</f>
        <v/>
      </c>
      <c r="E14" s="46">
        <f>IF('Purchase Order - Order Tracker'!A14="","",'Purchase Order - Order Tracker'!H14)</f>
        <v/>
      </c>
      <c r="F14" s="46">
        <f>IF('Purchase Order - Order Tracker'!A14="","",'Purchase Order - Order Tracker'!J14)</f>
        <v/>
      </c>
      <c r="G14" s="46">
        <f>IF('Purchase Order - Order Tracker'!A14="","",'Purchase Order - Order Tracker'!K14)</f>
        <v/>
      </c>
      <c r="H14" s="41">
        <f>IF('Purchase Order - Order Tracker'!A14="","",'Purchase Order - Order Tracker'!N14)</f>
        <v/>
      </c>
      <c r="I14" s="41">
        <f>IF('Purchase Order - Order Tracker'!A14="","",'Purchase Order - Order Tracker'!O14)</f>
        <v/>
      </c>
    </row>
    <row r="15" ht="21" customHeight="1">
      <c r="A15" s="46">
        <f>IF('Purchase Order - Order Tracker'!A15="","",'Purchase Order - Order Tracker'!A15)</f>
        <v/>
      </c>
      <c r="B15" s="46">
        <f>IF('Purchase Order - Order Tracker'!A15="","",'Purchase Order - Order Tracker'!B15)</f>
        <v/>
      </c>
      <c r="C15" s="46">
        <f>IF('Purchase Order - Order Tracker'!A15="","",'Purchase Order - Order Tracker'!C15)</f>
        <v/>
      </c>
      <c r="D15" s="46">
        <f>IF('Purchase Order - Order Tracker'!A15="","",'Purchase Order - Order Tracker'!D15)</f>
        <v/>
      </c>
      <c r="E15" s="46">
        <f>IF('Purchase Order - Order Tracker'!A15="","",'Purchase Order - Order Tracker'!H15)</f>
        <v/>
      </c>
      <c r="F15" s="46">
        <f>IF('Purchase Order - Order Tracker'!A15="","",'Purchase Order - Order Tracker'!J15)</f>
        <v/>
      </c>
      <c r="G15" s="46">
        <f>IF('Purchase Order - Order Tracker'!A15="","",'Purchase Order - Order Tracker'!K15)</f>
        <v/>
      </c>
      <c r="H15" s="41">
        <f>IF('Purchase Order - Order Tracker'!A15="","",'Purchase Order - Order Tracker'!N15)</f>
        <v/>
      </c>
      <c r="I15" s="41">
        <f>IF('Purchase Order - Order Tracker'!A15="","",'Purchase Order - Order Tracker'!O15)</f>
        <v/>
      </c>
    </row>
    <row r="16" ht="21" customHeight="1">
      <c r="A16" s="46">
        <f>IF('Purchase Order - Order Tracker'!A16="","",'Purchase Order - Order Tracker'!A16)</f>
        <v/>
      </c>
      <c r="B16" s="46">
        <f>IF('Purchase Order - Order Tracker'!A16="","",'Purchase Order - Order Tracker'!B16)</f>
        <v/>
      </c>
      <c r="C16" s="46">
        <f>IF('Purchase Order - Order Tracker'!A16="","",'Purchase Order - Order Tracker'!C16)</f>
        <v/>
      </c>
      <c r="D16" s="46">
        <f>IF('Purchase Order - Order Tracker'!A16="","",'Purchase Order - Order Tracker'!D16)</f>
        <v/>
      </c>
      <c r="E16" s="46">
        <f>IF('Purchase Order - Order Tracker'!A16="","",'Purchase Order - Order Tracker'!H16)</f>
        <v/>
      </c>
      <c r="F16" s="46">
        <f>IF('Purchase Order - Order Tracker'!A16="","",'Purchase Order - Order Tracker'!J16)</f>
        <v/>
      </c>
      <c r="G16" s="46">
        <f>IF('Purchase Order - Order Tracker'!A16="","",'Purchase Order - Order Tracker'!K16)</f>
        <v/>
      </c>
      <c r="H16" s="41">
        <f>IF('Purchase Order - Order Tracker'!A16="","",'Purchase Order - Order Tracker'!N16)</f>
        <v/>
      </c>
      <c r="I16" s="41">
        <f>IF('Purchase Order - Order Tracker'!A16="","",'Purchase Order - Order Tracker'!O16)</f>
        <v/>
      </c>
    </row>
    <row r="17" ht="21" customHeight="1">
      <c r="A17" s="46">
        <f>IF('Purchase Order - Order Tracker'!A17="","",'Purchase Order - Order Tracker'!A17)</f>
        <v/>
      </c>
      <c r="B17" s="46">
        <f>IF('Purchase Order - Order Tracker'!A17="","",'Purchase Order - Order Tracker'!B17)</f>
        <v/>
      </c>
      <c r="C17" s="46">
        <f>IF('Purchase Order - Order Tracker'!A17="","",'Purchase Order - Order Tracker'!C17)</f>
        <v/>
      </c>
      <c r="D17" s="46">
        <f>IF('Purchase Order - Order Tracker'!A17="","",'Purchase Order - Order Tracker'!D17)</f>
        <v/>
      </c>
      <c r="E17" s="46">
        <f>IF('Purchase Order - Order Tracker'!A17="","",'Purchase Order - Order Tracker'!H17)</f>
        <v/>
      </c>
      <c r="F17" s="46">
        <f>IF('Purchase Order - Order Tracker'!A17="","",'Purchase Order - Order Tracker'!J17)</f>
        <v/>
      </c>
      <c r="G17" s="46">
        <f>IF('Purchase Order - Order Tracker'!A17="","",'Purchase Order - Order Tracker'!K17)</f>
        <v/>
      </c>
      <c r="H17" s="41">
        <f>IF('Purchase Order - Order Tracker'!A17="","",'Purchase Order - Order Tracker'!N17)</f>
        <v/>
      </c>
      <c r="I17" s="41">
        <f>IF('Purchase Order - Order Tracker'!A17="","",'Purchase Order - Order Tracker'!O17)</f>
        <v/>
      </c>
    </row>
    <row r="18" ht="21" customHeight="1">
      <c r="A18" s="46">
        <f>IF('Purchase Order - Order Tracker'!A18="","",'Purchase Order - Order Tracker'!A18)</f>
        <v/>
      </c>
      <c r="B18" s="46">
        <f>IF('Purchase Order - Order Tracker'!A18="","",'Purchase Order - Order Tracker'!B18)</f>
        <v/>
      </c>
      <c r="C18" s="46">
        <f>IF('Purchase Order - Order Tracker'!A18="","",'Purchase Order - Order Tracker'!C18)</f>
        <v/>
      </c>
      <c r="D18" s="46">
        <f>IF('Purchase Order - Order Tracker'!A18="","",'Purchase Order - Order Tracker'!D18)</f>
        <v/>
      </c>
      <c r="E18" s="46">
        <f>IF('Purchase Order - Order Tracker'!A18="","",'Purchase Order - Order Tracker'!H18)</f>
        <v/>
      </c>
      <c r="F18" s="46">
        <f>IF('Purchase Order - Order Tracker'!A18="","",'Purchase Order - Order Tracker'!J18)</f>
        <v/>
      </c>
      <c r="G18" s="46">
        <f>IF('Purchase Order - Order Tracker'!A18="","",'Purchase Order - Order Tracker'!K18)</f>
        <v/>
      </c>
      <c r="H18" s="41">
        <f>IF('Purchase Order - Order Tracker'!A18="","",'Purchase Order - Order Tracker'!N18)</f>
        <v/>
      </c>
      <c r="I18" s="41">
        <f>IF('Purchase Order - Order Tracker'!A18="","",'Purchase Order - Order Tracker'!O18)</f>
        <v/>
      </c>
    </row>
    <row r="19" ht="21" customHeight="1">
      <c r="A19" s="46">
        <f>IF('Purchase Order - Order Tracker'!A19="","",'Purchase Order - Order Tracker'!A19)</f>
        <v/>
      </c>
      <c r="B19" s="46">
        <f>IF('Purchase Order - Order Tracker'!A19="","",'Purchase Order - Order Tracker'!B19)</f>
        <v/>
      </c>
      <c r="C19" s="46">
        <f>IF('Purchase Order - Order Tracker'!A19="","",'Purchase Order - Order Tracker'!C19)</f>
        <v/>
      </c>
      <c r="D19" s="46">
        <f>IF('Purchase Order - Order Tracker'!A19="","",'Purchase Order - Order Tracker'!D19)</f>
        <v/>
      </c>
      <c r="E19" s="46">
        <f>IF('Purchase Order - Order Tracker'!A19="","",'Purchase Order - Order Tracker'!H19)</f>
        <v/>
      </c>
      <c r="F19" s="46">
        <f>IF('Purchase Order - Order Tracker'!A19="","",'Purchase Order - Order Tracker'!J19)</f>
        <v/>
      </c>
      <c r="G19" s="46">
        <f>IF('Purchase Order - Order Tracker'!A19="","",'Purchase Order - Order Tracker'!K19)</f>
        <v/>
      </c>
      <c r="H19" s="41">
        <f>IF('Purchase Order - Order Tracker'!A19="","",'Purchase Order - Order Tracker'!N19)</f>
        <v/>
      </c>
      <c r="I19" s="41">
        <f>IF('Purchase Order - Order Tracker'!A19="","",'Purchase Order - Order Tracker'!O19)</f>
        <v/>
      </c>
    </row>
    <row r="20" ht="21" customHeight="1">
      <c r="A20" s="46">
        <f>IF('Purchase Order - Order Tracker'!A20="","",'Purchase Order - Order Tracker'!A20)</f>
        <v/>
      </c>
      <c r="B20" s="46">
        <f>IF('Purchase Order - Order Tracker'!A20="","",'Purchase Order - Order Tracker'!B20)</f>
        <v/>
      </c>
      <c r="C20" s="46">
        <f>IF('Purchase Order - Order Tracker'!A20="","",'Purchase Order - Order Tracker'!C20)</f>
        <v/>
      </c>
      <c r="D20" s="46">
        <f>IF('Purchase Order - Order Tracker'!A20="","",'Purchase Order - Order Tracker'!D20)</f>
        <v/>
      </c>
      <c r="E20" s="46">
        <f>IF('Purchase Order - Order Tracker'!A20="","",'Purchase Order - Order Tracker'!H20)</f>
        <v/>
      </c>
      <c r="F20" s="46">
        <f>IF('Purchase Order - Order Tracker'!A20="","",'Purchase Order - Order Tracker'!J20)</f>
        <v/>
      </c>
      <c r="G20" s="46">
        <f>IF('Purchase Order - Order Tracker'!A20="","",'Purchase Order - Order Tracker'!K20)</f>
        <v/>
      </c>
      <c r="H20" s="41">
        <f>IF('Purchase Order - Order Tracker'!A20="","",'Purchase Order - Order Tracker'!N20)</f>
        <v/>
      </c>
      <c r="I20" s="41">
        <f>IF('Purchase Order - Order Tracker'!A20="","",'Purchase Order - Order Tracker'!O20)</f>
        <v/>
      </c>
    </row>
    <row r="21" ht="21" customHeight="1">
      <c r="A21" s="46">
        <f>IF('Purchase Order - Order Tracker'!A21="","",'Purchase Order - Order Tracker'!A21)</f>
        <v/>
      </c>
      <c r="B21" s="46">
        <f>IF('Purchase Order - Order Tracker'!A21="","",'Purchase Order - Order Tracker'!B21)</f>
        <v/>
      </c>
      <c r="C21" s="46">
        <f>IF('Purchase Order - Order Tracker'!A21="","",'Purchase Order - Order Tracker'!C21)</f>
        <v/>
      </c>
      <c r="D21" s="46">
        <f>IF('Purchase Order - Order Tracker'!A21="","",'Purchase Order - Order Tracker'!D21)</f>
        <v/>
      </c>
      <c r="E21" s="46">
        <f>IF('Purchase Order - Order Tracker'!A21="","",'Purchase Order - Order Tracker'!H21)</f>
        <v/>
      </c>
      <c r="F21" s="46">
        <f>IF('Purchase Order - Order Tracker'!A21="","",'Purchase Order - Order Tracker'!J21)</f>
        <v/>
      </c>
      <c r="G21" s="46">
        <f>IF('Purchase Order - Order Tracker'!A21="","",'Purchase Order - Order Tracker'!K21)</f>
        <v/>
      </c>
      <c r="H21" s="41">
        <f>IF('Purchase Order - Order Tracker'!A21="","",'Purchase Order - Order Tracker'!N21)</f>
        <v/>
      </c>
      <c r="I21" s="41">
        <f>IF('Purchase Order - Order Tracker'!A21="","",'Purchase Order - Order Tracker'!O21)</f>
        <v/>
      </c>
    </row>
    <row r="22" ht="21" customHeight="1">
      <c r="A22" s="46">
        <f>IF('Purchase Order - Order Tracker'!A22="","",'Purchase Order - Order Tracker'!A22)</f>
        <v/>
      </c>
      <c r="B22" s="46">
        <f>IF('Purchase Order - Order Tracker'!A22="","",'Purchase Order - Order Tracker'!B22)</f>
        <v/>
      </c>
      <c r="C22" s="46">
        <f>IF('Purchase Order - Order Tracker'!A22="","",'Purchase Order - Order Tracker'!C22)</f>
        <v/>
      </c>
      <c r="D22" s="46">
        <f>IF('Purchase Order - Order Tracker'!A22="","",'Purchase Order - Order Tracker'!D22)</f>
        <v/>
      </c>
      <c r="E22" s="46">
        <f>IF('Purchase Order - Order Tracker'!A22="","",'Purchase Order - Order Tracker'!H22)</f>
        <v/>
      </c>
      <c r="F22" s="46">
        <f>IF('Purchase Order - Order Tracker'!A22="","",'Purchase Order - Order Tracker'!J22)</f>
        <v/>
      </c>
      <c r="G22" s="46">
        <f>IF('Purchase Order - Order Tracker'!A22="","",'Purchase Order - Order Tracker'!K22)</f>
        <v/>
      </c>
      <c r="H22" s="41">
        <f>IF('Purchase Order - Order Tracker'!A22="","",'Purchase Order - Order Tracker'!N22)</f>
        <v/>
      </c>
      <c r="I22" s="41">
        <f>IF('Purchase Order - Order Tracker'!A22="","",'Purchase Order - Order Tracker'!O22)</f>
        <v/>
      </c>
    </row>
    <row r="23" ht="21" customHeight="1">
      <c r="A23" s="46">
        <f>IF('Purchase Order - Order Tracker'!A23="","",'Purchase Order - Order Tracker'!A23)</f>
        <v/>
      </c>
      <c r="B23" s="46">
        <f>IF('Purchase Order - Order Tracker'!A23="","",'Purchase Order - Order Tracker'!B23)</f>
        <v/>
      </c>
      <c r="C23" s="46">
        <f>IF('Purchase Order - Order Tracker'!A23="","",'Purchase Order - Order Tracker'!C23)</f>
        <v/>
      </c>
      <c r="D23" s="46">
        <f>IF('Purchase Order - Order Tracker'!A23="","",'Purchase Order - Order Tracker'!D23)</f>
        <v/>
      </c>
      <c r="E23" s="46">
        <f>IF('Purchase Order - Order Tracker'!A23="","",'Purchase Order - Order Tracker'!H23)</f>
        <v/>
      </c>
      <c r="F23" s="46">
        <f>IF('Purchase Order - Order Tracker'!A23="","",'Purchase Order - Order Tracker'!J23)</f>
        <v/>
      </c>
      <c r="G23" s="46">
        <f>IF('Purchase Order - Order Tracker'!A23="","",'Purchase Order - Order Tracker'!K23)</f>
        <v/>
      </c>
      <c r="H23" s="41">
        <f>IF('Purchase Order - Order Tracker'!A23="","",'Purchase Order - Order Tracker'!N23)</f>
        <v/>
      </c>
      <c r="I23" s="41">
        <f>IF('Purchase Order - Order Tracker'!A23="","",'Purchase Order - Order Tracker'!O23)</f>
        <v/>
      </c>
    </row>
    <row r="24" ht="21" customHeight="1">
      <c r="A24" s="46">
        <f>IF('Purchase Order - Order Tracker'!A24="","",'Purchase Order - Order Tracker'!A24)</f>
        <v/>
      </c>
      <c r="B24" s="46">
        <f>IF('Purchase Order - Order Tracker'!A24="","",'Purchase Order - Order Tracker'!B24)</f>
        <v/>
      </c>
      <c r="C24" s="46">
        <f>IF('Purchase Order - Order Tracker'!A24="","",'Purchase Order - Order Tracker'!C24)</f>
        <v/>
      </c>
      <c r="D24" s="46">
        <f>IF('Purchase Order - Order Tracker'!A24="","",'Purchase Order - Order Tracker'!D24)</f>
        <v/>
      </c>
      <c r="E24" s="46">
        <f>IF('Purchase Order - Order Tracker'!A24="","",'Purchase Order - Order Tracker'!H24)</f>
        <v/>
      </c>
      <c r="F24" s="46">
        <f>IF('Purchase Order - Order Tracker'!A24="","",'Purchase Order - Order Tracker'!J24)</f>
        <v/>
      </c>
      <c r="G24" s="46">
        <f>IF('Purchase Order - Order Tracker'!A24="","",'Purchase Order - Order Tracker'!K24)</f>
        <v/>
      </c>
      <c r="H24" s="41">
        <f>IF('Purchase Order - Order Tracker'!A24="","",'Purchase Order - Order Tracker'!N24)</f>
        <v/>
      </c>
      <c r="I24" s="41">
        <f>IF('Purchase Order - Order Tracker'!A24="","",'Purchase Order - Order Tracker'!O24)</f>
        <v/>
      </c>
    </row>
    <row r="25" ht="21" customHeight="1">
      <c r="A25" s="46">
        <f>IF('Purchase Order - Order Tracker'!A25="","",'Purchase Order - Order Tracker'!A25)</f>
        <v/>
      </c>
      <c r="B25" s="46">
        <f>IF('Purchase Order - Order Tracker'!A25="","",'Purchase Order - Order Tracker'!B25)</f>
        <v/>
      </c>
      <c r="C25" s="46">
        <f>IF('Purchase Order - Order Tracker'!A25="","",'Purchase Order - Order Tracker'!C25)</f>
        <v/>
      </c>
      <c r="D25" s="46">
        <f>IF('Purchase Order - Order Tracker'!A25="","",'Purchase Order - Order Tracker'!D25)</f>
        <v/>
      </c>
      <c r="E25" s="46">
        <f>IF('Purchase Order - Order Tracker'!A25="","",'Purchase Order - Order Tracker'!H25)</f>
        <v/>
      </c>
      <c r="F25" s="46">
        <f>IF('Purchase Order - Order Tracker'!A25="","",'Purchase Order - Order Tracker'!J25)</f>
        <v/>
      </c>
      <c r="G25" s="46">
        <f>IF('Purchase Order - Order Tracker'!A25="","",'Purchase Order - Order Tracker'!K25)</f>
        <v/>
      </c>
      <c r="H25" s="41">
        <f>IF('Purchase Order - Order Tracker'!A25="","",'Purchase Order - Order Tracker'!N25)</f>
        <v/>
      </c>
      <c r="I25" s="41">
        <f>IF('Purchase Order - Order Tracker'!A25="","",'Purchase Order - Order Tracker'!O25)</f>
        <v/>
      </c>
    </row>
    <row r="26" ht="21" customHeight="1">
      <c r="A26" s="46">
        <f>IF('Purchase Order - Order Tracker'!A26="","",'Purchase Order - Order Tracker'!A26)</f>
        <v/>
      </c>
      <c r="B26" s="46">
        <f>IF('Purchase Order - Order Tracker'!A26="","",'Purchase Order - Order Tracker'!B26)</f>
        <v/>
      </c>
      <c r="C26" s="46">
        <f>IF('Purchase Order - Order Tracker'!A26="","",'Purchase Order - Order Tracker'!C26)</f>
        <v/>
      </c>
      <c r="D26" s="46">
        <f>IF('Purchase Order - Order Tracker'!A26="","",'Purchase Order - Order Tracker'!D26)</f>
        <v/>
      </c>
      <c r="E26" s="46">
        <f>IF('Purchase Order - Order Tracker'!A26="","",'Purchase Order - Order Tracker'!H26)</f>
        <v/>
      </c>
      <c r="F26" s="46">
        <f>IF('Purchase Order - Order Tracker'!A26="","",'Purchase Order - Order Tracker'!J26)</f>
        <v/>
      </c>
      <c r="G26" s="46">
        <f>IF('Purchase Order - Order Tracker'!A26="","",'Purchase Order - Order Tracker'!K26)</f>
        <v/>
      </c>
      <c r="H26" s="41">
        <f>IF('Purchase Order - Order Tracker'!A26="","",'Purchase Order - Order Tracker'!N26)</f>
        <v/>
      </c>
      <c r="I26" s="41">
        <f>IF('Purchase Order - Order Tracker'!A26="","",'Purchase Order - Order Tracker'!O26)</f>
        <v/>
      </c>
    </row>
    <row r="27" ht="21" customHeight="1">
      <c r="A27" s="46">
        <f>IF('Purchase Order - Order Tracker'!A27="","",'Purchase Order - Order Tracker'!A27)</f>
        <v/>
      </c>
      <c r="B27" s="46">
        <f>IF('Purchase Order - Order Tracker'!A27="","",'Purchase Order - Order Tracker'!B27)</f>
        <v/>
      </c>
      <c r="C27" s="46">
        <f>IF('Purchase Order - Order Tracker'!A27="","",'Purchase Order - Order Tracker'!C27)</f>
        <v/>
      </c>
      <c r="D27" s="46">
        <f>IF('Purchase Order - Order Tracker'!A27="","",'Purchase Order - Order Tracker'!D27)</f>
        <v/>
      </c>
      <c r="E27" s="46">
        <f>IF('Purchase Order - Order Tracker'!A27="","",'Purchase Order - Order Tracker'!H27)</f>
        <v/>
      </c>
      <c r="F27" s="46">
        <f>IF('Purchase Order - Order Tracker'!A27="","",'Purchase Order - Order Tracker'!J27)</f>
        <v/>
      </c>
      <c r="G27" s="46">
        <f>IF('Purchase Order - Order Tracker'!A27="","",'Purchase Order - Order Tracker'!K27)</f>
        <v/>
      </c>
      <c r="H27" s="41">
        <f>IF('Purchase Order - Order Tracker'!A27="","",'Purchase Order - Order Tracker'!N27)</f>
        <v/>
      </c>
      <c r="I27" s="41">
        <f>IF('Purchase Order - Order Tracker'!A27="","",'Purchase Order - Order Tracker'!O27)</f>
        <v/>
      </c>
    </row>
    <row r="28" ht="21" customHeight="1">
      <c r="A28" s="46">
        <f>IF('Purchase Order - Order Tracker'!A28="","",'Purchase Order - Order Tracker'!A28)</f>
        <v/>
      </c>
      <c r="B28" s="46">
        <f>IF('Purchase Order - Order Tracker'!A28="","",'Purchase Order - Order Tracker'!B28)</f>
        <v/>
      </c>
      <c r="C28" s="46">
        <f>IF('Purchase Order - Order Tracker'!A28="","",'Purchase Order - Order Tracker'!C28)</f>
        <v/>
      </c>
      <c r="D28" s="46">
        <f>IF('Purchase Order - Order Tracker'!A28="","",'Purchase Order - Order Tracker'!D28)</f>
        <v/>
      </c>
      <c r="E28" s="46">
        <f>IF('Purchase Order - Order Tracker'!A28="","",'Purchase Order - Order Tracker'!H28)</f>
        <v/>
      </c>
      <c r="F28" s="46">
        <f>IF('Purchase Order - Order Tracker'!A28="","",'Purchase Order - Order Tracker'!J28)</f>
        <v/>
      </c>
      <c r="G28" s="46">
        <f>IF('Purchase Order - Order Tracker'!A28="","",'Purchase Order - Order Tracker'!K28)</f>
        <v/>
      </c>
      <c r="H28" s="41">
        <f>IF('Purchase Order - Order Tracker'!A28="","",'Purchase Order - Order Tracker'!N28)</f>
        <v/>
      </c>
      <c r="I28" s="41">
        <f>IF('Purchase Order - Order Tracker'!A28="","",'Purchase Order - Order Tracker'!O28)</f>
        <v/>
      </c>
    </row>
    <row r="29" ht="21" customHeight="1">
      <c r="A29" s="46">
        <f>IF('Purchase Order - Order Tracker'!A29="","",'Purchase Order - Order Tracker'!A29)</f>
        <v/>
      </c>
      <c r="B29" s="46">
        <f>IF('Purchase Order - Order Tracker'!A29="","",'Purchase Order - Order Tracker'!B29)</f>
        <v/>
      </c>
      <c r="C29" s="46">
        <f>IF('Purchase Order - Order Tracker'!A29="","",'Purchase Order - Order Tracker'!C29)</f>
        <v/>
      </c>
      <c r="D29" s="46">
        <f>IF('Purchase Order - Order Tracker'!A29="","",'Purchase Order - Order Tracker'!D29)</f>
        <v/>
      </c>
      <c r="E29" s="46">
        <f>IF('Purchase Order - Order Tracker'!A29="","",'Purchase Order - Order Tracker'!H29)</f>
        <v/>
      </c>
      <c r="F29" s="46">
        <f>IF('Purchase Order - Order Tracker'!A29="","",'Purchase Order - Order Tracker'!J29)</f>
        <v/>
      </c>
      <c r="G29" s="46">
        <f>IF('Purchase Order - Order Tracker'!A29="","",'Purchase Order - Order Tracker'!K29)</f>
        <v/>
      </c>
      <c r="H29" s="41">
        <f>IF('Purchase Order - Order Tracker'!A29="","",'Purchase Order - Order Tracker'!N29)</f>
        <v/>
      </c>
      <c r="I29" s="41">
        <f>IF('Purchase Order - Order Tracker'!A29="","",'Purchase Order - Order Tracker'!O29)</f>
        <v/>
      </c>
    </row>
    <row r="30" ht="21" customHeight="1">
      <c r="A30" s="46">
        <f>IF('Purchase Order - Order Tracker'!A30="","",'Purchase Order - Order Tracker'!A30)</f>
        <v/>
      </c>
      <c r="B30" s="46">
        <f>IF('Purchase Order - Order Tracker'!A30="","",'Purchase Order - Order Tracker'!B30)</f>
        <v/>
      </c>
      <c r="C30" s="46">
        <f>IF('Purchase Order - Order Tracker'!A30="","",'Purchase Order - Order Tracker'!C30)</f>
        <v/>
      </c>
      <c r="D30" s="46">
        <f>IF('Purchase Order - Order Tracker'!A30="","",'Purchase Order - Order Tracker'!D30)</f>
        <v/>
      </c>
      <c r="E30" s="46">
        <f>IF('Purchase Order - Order Tracker'!A30="","",'Purchase Order - Order Tracker'!H30)</f>
        <v/>
      </c>
      <c r="F30" s="46">
        <f>IF('Purchase Order - Order Tracker'!A30="","",'Purchase Order - Order Tracker'!J30)</f>
        <v/>
      </c>
      <c r="G30" s="46">
        <f>IF('Purchase Order - Order Tracker'!A30="","",'Purchase Order - Order Tracker'!K30)</f>
        <v/>
      </c>
      <c r="H30" s="41">
        <f>IF('Purchase Order - Order Tracker'!A30="","",'Purchase Order - Order Tracker'!N30)</f>
        <v/>
      </c>
      <c r="I30" s="41">
        <f>IF('Purchase Order - Order Tracker'!A30="","",'Purchase Order - Order Tracker'!O30)</f>
        <v/>
      </c>
    </row>
    <row r="31" ht="21" customHeight="1">
      <c r="A31" s="46">
        <f>IF('Purchase Order - Order Tracker'!A31="","",'Purchase Order - Order Tracker'!A31)</f>
        <v/>
      </c>
      <c r="B31" s="46">
        <f>IF('Purchase Order - Order Tracker'!A31="","",'Purchase Order - Order Tracker'!B31)</f>
        <v/>
      </c>
      <c r="C31" s="46">
        <f>IF('Purchase Order - Order Tracker'!A31="","",'Purchase Order - Order Tracker'!C31)</f>
        <v/>
      </c>
      <c r="D31" s="46">
        <f>IF('Purchase Order - Order Tracker'!A31="","",'Purchase Order - Order Tracker'!D31)</f>
        <v/>
      </c>
      <c r="E31" s="46">
        <f>IF('Purchase Order - Order Tracker'!A31="","",'Purchase Order - Order Tracker'!H31)</f>
        <v/>
      </c>
      <c r="F31" s="46">
        <f>IF('Purchase Order - Order Tracker'!A31="","",'Purchase Order - Order Tracker'!J31)</f>
        <v/>
      </c>
      <c r="G31" s="46">
        <f>IF('Purchase Order - Order Tracker'!A31="","",'Purchase Order - Order Tracker'!K31)</f>
        <v/>
      </c>
      <c r="H31" s="41">
        <f>IF('Purchase Order - Order Tracker'!A31="","",'Purchase Order - Order Tracker'!N31)</f>
        <v/>
      </c>
      <c r="I31" s="41">
        <f>IF('Purchase Order - Order Tracker'!A31="","",'Purchase Order - Order Tracker'!O31)</f>
        <v/>
      </c>
    </row>
    <row r="32" ht="21" customHeight="1">
      <c r="A32" s="46">
        <f>IF('Purchase Order - Order Tracker'!A32="","",'Purchase Order - Order Tracker'!A32)</f>
        <v/>
      </c>
      <c r="B32" s="46">
        <f>IF('Purchase Order - Order Tracker'!A32="","",'Purchase Order - Order Tracker'!B32)</f>
        <v/>
      </c>
      <c r="C32" s="46">
        <f>IF('Purchase Order - Order Tracker'!A32="","",'Purchase Order - Order Tracker'!C32)</f>
        <v/>
      </c>
      <c r="D32" s="46">
        <f>IF('Purchase Order - Order Tracker'!A32="","",'Purchase Order - Order Tracker'!D32)</f>
        <v/>
      </c>
      <c r="E32" s="46">
        <f>IF('Purchase Order - Order Tracker'!A32="","",'Purchase Order - Order Tracker'!H32)</f>
        <v/>
      </c>
      <c r="F32" s="46">
        <f>IF('Purchase Order - Order Tracker'!A32="","",'Purchase Order - Order Tracker'!J32)</f>
        <v/>
      </c>
      <c r="G32" s="46">
        <f>IF('Purchase Order - Order Tracker'!A32="","",'Purchase Order - Order Tracker'!K32)</f>
        <v/>
      </c>
      <c r="H32" s="41">
        <f>IF('Purchase Order - Order Tracker'!A32="","",'Purchase Order - Order Tracker'!N32)</f>
        <v/>
      </c>
      <c r="I32" s="41">
        <f>IF('Purchase Order - Order Tracker'!A32="","",'Purchase Order - Order Tracker'!O32)</f>
        <v/>
      </c>
    </row>
    <row r="33" ht="21" customHeight="1">
      <c r="A33" s="46">
        <f>IF('Purchase Order - Order Tracker'!A33="","",'Purchase Order - Order Tracker'!A33)</f>
        <v/>
      </c>
      <c r="B33" s="46">
        <f>IF('Purchase Order - Order Tracker'!A33="","",'Purchase Order - Order Tracker'!B33)</f>
        <v/>
      </c>
      <c r="C33" s="46">
        <f>IF('Purchase Order - Order Tracker'!A33="","",'Purchase Order - Order Tracker'!C33)</f>
        <v/>
      </c>
      <c r="D33" s="46">
        <f>IF('Purchase Order - Order Tracker'!A33="","",'Purchase Order - Order Tracker'!D33)</f>
        <v/>
      </c>
      <c r="E33" s="46">
        <f>IF('Purchase Order - Order Tracker'!A33="","",'Purchase Order - Order Tracker'!H33)</f>
        <v/>
      </c>
      <c r="F33" s="46">
        <f>IF('Purchase Order - Order Tracker'!A33="","",'Purchase Order - Order Tracker'!J33)</f>
        <v/>
      </c>
      <c r="G33" s="46">
        <f>IF('Purchase Order - Order Tracker'!A33="","",'Purchase Order - Order Tracker'!K33)</f>
        <v/>
      </c>
      <c r="H33" s="41">
        <f>IF('Purchase Order - Order Tracker'!A33="","",'Purchase Order - Order Tracker'!N33)</f>
        <v/>
      </c>
      <c r="I33" s="41">
        <f>IF('Purchase Order - Order Tracker'!A33="","",'Purchase Order - Order Tracker'!O33)</f>
        <v/>
      </c>
    </row>
    <row r="34" ht="21" customHeight="1">
      <c r="A34" s="46">
        <f>IF('Purchase Order - Order Tracker'!A34="","",'Purchase Order - Order Tracker'!A34)</f>
        <v/>
      </c>
      <c r="B34" s="46">
        <f>IF('Purchase Order - Order Tracker'!A34="","",'Purchase Order - Order Tracker'!B34)</f>
        <v/>
      </c>
      <c r="C34" s="46">
        <f>IF('Purchase Order - Order Tracker'!A34="","",'Purchase Order - Order Tracker'!C34)</f>
        <v/>
      </c>
      <c r="D34" s="46">
        <f>IF('Purchase Order - Order Tracker'!A34="","",'Purchase Order - Order Tracker'!D34)</f>
        <v/>
      </c>
      <c r="E34" s="46">
        <f>IF('Purchase Order - Order Tracker'!A34="","",'Purchase Order - Order Tracker'!H34)</f>
        <v/>
      </c>
      <c r="F34" s="46">
        <f>IF('Purchase Order - Order Tracker'!A34="","",'Purchase Order - Order Tracker'!J34)</f>
        <v/>
      </c>
      <c r="G34" s="46">
        <f>IF('Purchase Order - Order Tracker'!A34="","",'Purchase Order - Order Tracker'!K34)</f>
        <v/>
      </c>
      <c r="H34" s="41">
        <f>IF('Purchase Order - Order Tracker'!A34="","",'Purchase Order - Order Tracker'!N34)</f>
        <v/>
      </c>
      <c r="I34" s="41">
        <f>IF('Purchase Order - Order Tracker'!A34="","",'Purchase Order - Order Tracker'!O34)</f>
        <v/>
      </c>
    </row>
    <row r="35" ht="21" customHeight="1">
      <c r="A35" s="46">
        <f>IF('Purchase Order - Order Tracker'!A35="","",'Purchase Order - Order Tracker'!A35)</f>
        <v/>
      </c>
      <c r="B35" s="46">
        <f>IF('Purchase Order - Order Tracker'!A35="","",'Purchase Order - Order Tracker'!B35)</f>
        <v/>
      </c>
      <c r="C35" s="46">
        <f>IF('Purchase Order - Order Tracker'!A35="","",'Purchase Order - Order Tracker'!C35)</f>
        <v/>
      </c>
      <c r="D35" s="46">
        <f>IF('Purchase Order - Order Tracker'!A35="","",'Purchase Order - Order Tracker'!D35)</f>
        <v/>
      </c>
      <c r="E35" s="46">
        <f>IF('Purchase Order - Order Tracker'!A35="","",'Purchase Order - Order Tracker'!H35)</f>
        <v/>
      </c>
      <c r="F35" s="46">
        <f>IF('Purchase Order - Order Tracker'!A35="","",'Purchase Order - Order Tracker'!J35)</f>
        <v/>
      </c>
      <c r="G35" s="46">
        <f>IF('Purchase Order - Order Tracker'!A35="","",'Purchase Order - Order Tracker'!K35)</f>
        <v/>
      </c>
      <c r="H35" s="41">
        <f>IF('Purchase Order - Order Tracker'!A35="","",'Purchase Order - Order Tracker'!N35)</f>
        <v/>
      </c>
      <c r="I35" s="41">
        <f>IF('Purchase Order - Order Tracker'!A35="","",'Purchase Order - Order Tracker'!O35)</f>
        <v/>
      </c>
    </row>
    <row r="36" ht="21" customHeight="1">
      <c r="A36" s="46">
        <f>IF('Purchase Order - Order Tracker'!A36="","",'Purchase Order - Order Tracker'!A36)</f>
        <v/>
      </c>
      <c r="B36" s="46">
        <f>IF('Purchase Order - Order Tracker'!A36="","",'Purchase Order - Order Tracker'!B36)</f>
        <v/>
      </c>
      <c r="C36" s="46">
        <f>IF('Purchase Order - Order Tracker'!A36="","",'Purchase Order - Order Tracker'!C36)</f>
        <v/>
      </c>
      <c r="D36" s="46">
        <f>IF('Purchase Order - Order Tracker'!A36="","",'Purchase Order - Order Tracker'!D36)</f>
        <v/>
      </c>
      <c r="E36" s="46">
        <f>IF('Purchase Order - Order Tracker'!A36="","",'Purchase Order - Order Tracker'!H36)</f>
        <v/>
      </c>
      <c r="F36" s="46">
        <f>IF('Purchase Order - Order Tracker'!A36="","",'Purchase Order - Order Tracker'!J36)</f>
        <v/>
      </c>
      <c r="G36" s="46">
        <f>IF('Purchase Order - Order Tracker'!A36="","",'Purchase Order - Order Tracker'!K36)</f>
        <v/>
      </c>
      <c r="H36" s="41">
        <f>IF('Purchase Order - Order Tracker'!A36="","",'Purchase Order - Order Tracker'!N36)</f>
        <v/>
      </c>
      <c r="I36" s="41">
        <f>IF('Purchase Order - Order Tracker'!A36="","",'Purchase Order - Order Tracker'!O36)</f>
        <v/>
      </c>
    </row>
    <row r="37" ht="21" customHeight="1">
      <c r="A37" s="46">
        <f>IF('Purchase Order - Order Tracker'!A37="","",'Purchase Order - Order Tracker'!A37)</f>
        <v/>
      </c>
      <c r="B37" s="46">
        <f>IF('Purchase Order - Order Tracker'!A37="","",'Purchase Order - Order Tracker'!B37)</f>
        <v/>
      </c>
      <c r="C37" s="46">
        <f>IF('Purchase Order - Order Tracker'!A37="","",'Purchase Order - Order Tracker'!C37)</f>
        <v/>
      </c>
      <c r="D37" s="46">
        <f>IF('Purchase Order - Order Tracker'!A37="","",'Purchase Order - Order Tracker'!D37)</f>
        <v/>
      </c>
      <c r="E37" s="46">
        <f>IF('Purchase Order - Order Tracker'!A37="","",'Purchase Order - Order Tracker'!H37)</f>
        <v/>
      </c>
      <c r="F37" s="46">
        <f>IF('Purchase Order - Order Tracker'!A37="","",'Purchase Order - Order Tracker'!J37)</f>
        <v/>
      </c>
      <c r="G37" s="46">
        <f>IF('Purchase Order - Order Tracker'!A37="","",'Purchase Order - Order Tracker'!K37)</f>
        <v/>
      </c>
      <c r="H37" s="41">
        <f>IF('Purchase Order - Order Tracker'!A37="","",'Purchase Order - Order Tracker'!N37)</f>
        <v/>
      </c>
      <c r="I37" s="41">
        <f>IF('Purchase Order - Order Tracker'!A37="","",'Purchase Order - Order Tracker'!O37)</f>
        <v/>
      </c>
    </row>
    <row r="38" ht="21" customHeight="1">
      <c r="A38" s="46">
        <f>IF('Purchase Order - Order Tracker'!A38="","",'Purchase Order - Order Tracker'!A38)</f>
        <v/>
      </c>
      <c r="B38" s="46">
        <f>IF('Purchase Order - Order Tracker'!A38="","",'Purchase Order - Order Tracker'!B38)</f>
        <v/>
      </c>
      <c r="C38" s="46">
        <f>IF('Purchase Order - Order Tracker'!A38="","",'Purchase Order - Order Tracker'!C38)</f>
        <v/>
      </c>
      <c r="D38" s="46">
        <f>IF('Purchase Order - Order Tracker'!A38="","",'Purchase Order - Order Tracker'!D38)</f>
        <v/>
      </c>
      <c r="E38" s="46">
        <f>IF('Purchase Order - Order Tracker'!A38="","",'Purchase Order - Order Tracker'!H38)</f>
        <v/>
      </c>
      <c r="F38" s="46">
        <f>IF('Purchase Order - Order Tracker'!A38="","",'Purchase Order - Order Tracker'!J38)</f>
        <v/>
      </c>
      <c r="G38" s="46">
        <f>IF('Purchase Order - Order Tracker'!A38="","",'Purchase Order - Order Tracker'!K38)</f>
        <v/>
      </c>
      <c r="H38" s="41">
        <f>IF('Purchase Order - Order Tracker'!A38="","",'Purchase Order - Order Tracker'!N38)</f>
        <v/>
      </c>
      <c r="I38" s="41">
        <f>IF('Purchase Order - Order Tracker'!A38="","",'Purchase Order - Order Tracker'!O38)</f>
        <v/>
      </c>
    </row>
    <row r="39" ht="21" customHeight="1">
      <c r="A39" s="46">
        <f>IF('Purchase Order - Order Tracker'!A39="","",'Purchase Order - Order Tracker'!A39)</f>
        <v/>
      </c>
      <c r="B39" s="46">
        <f>IF('Purchase Order - Order Tracker'!A39="","",'Purchase Order - Order Tracker'!B39)</f>
        <v/>
      </c>
      <c r="C39" s="46">
        <f>IF('Purchase Order - Order Tracker'!A39="","",'Purchase Order - Order Tracker'!C39)</f>
        <v/>
      </c>
      <c r="D39" s="46">
        <f>IF('Purchase Order - Order Tracker'!A39="","",'Purchase Order - Order Tracker'!D39)</f>
        <v/>
      </c>
      <c r="E39" s="46">
        <f>IF('Purchase Order - Order Tracker'!A39="","",'Purchase Order - Order Tracker'!H39)</f>
        <v/>
      </c>
      <c r="F39" s="46">
        <f>IF('Purchase Order - Order Tracker'!A39="","",'Purchase Order - Order Tracker'!J39)</f>
        <v/>
      </c>
      <c r="G39" s="46">
        <f>IF('Purchase Order - Order Tracker'!A39="","",'Purchase Order - Order Tracker'!K39)</f>
        <v/>
      </c>
      <c r="H39" s="41">
        <f>IF('Purchase Order - Order Tracker'!A39="","",'Purchase Order - Order Tracker'!N39)</f>
        <v/>
      </c>
      <c r="I39" s="41">
        <f>IF('Purchase Order - Order Tracker'!A39="","",'Purchase Order - Order Tracker'!O39)</f>
        <v/>
      </c>
    </row>
    <row r="40" ht="21" customHeight="1">
      <c r="A40" s="46">
        <f>IF('Purchase Order - Order Tracker'!A40="","",'Purchase Order - Order Tracker'!A40)</f>
        <v/>
      </c>
      <c r="B40" s="46">
        <f>IF('Purchase Order - Order Tracker'!A40="","",'Purchase Order - Order Tracker'!B40)</f>
        <v/>
      </c>
      <c r="C40" s="46">
        <f>IF('Purchase Order - Order Tracker'!A40="","",'Purchase Order - Order Tracker'!C40)</f>
        <v/>
      </c>
      <c r="D40" s="46">
        <f>IF('Purchase Order - Order Tracker'!A40="","",'Purchase Order - Order Tracker'!D40)</f>
        <v/>
      </c>
      <c r="E40" s="46">
        <f>IF('Purchase Order - Order Tracker'!A40="","",'Purchase Order - Order Tracker'!H40)</f>
        <v/>
      </c>
      <c r="F40" s="46">
        <f>IF('Purchase Order - Order Tracker'!A40="","",'Purchase Order - Order Tracker'!J40)</f>
        <v/>
      </c>
      <c r="G40" s="46">
        <f>IF('Purchase Order - Order Tracker'!A40="","",'Purchase Order - Order Tracker'!K40)</f>
        <v/>
      </c>
      <c r="H40" s="41">
        <f>IF('Purchase Order - Order Tracker'!A40="","",'Purchase Order - Order Tracker'!N40)</f>
        <v/>
      </c>
      <c r="I40" s="41">
        <f>IF('Purchase Order - Order Tracker'!A40="","",'Purchase Order - Order Tracker'!O40)</f>
        <v/>
      </c>
    </row>
    <row r="41" ht="21" customHeight="1">
      <c r="A41" s="46">
        <f>IF('Purchase Order - Order Tracker'!A41="","",'Purchase Order - Order Tracker'!A41)</f>
        <v/>
      </c>
      <c r="B41" s="46">
        <f>IF('Purchase Order - Order Tracker'!A41="","",'Purchase Order - Order Tracker'!B41)</f>
        <v/>
      </c>
      <c r="C41" s="46">
        <f>IF('Purchase Order - Order Tracker'!A41="","",'Purchase Order - Order Tracker'!C41)</f>
        <v/>
      </c>
      <c r="D41" s="46">
        <f>IF('Purchase Order - Order Tracker'!A41="","",'Purchase Order - Order Tracker'!D41)</f>
        <v/>
      </c>
      <c r="E41" s="46">
        <f>IF('Purchase Order - Order Tracker'!A41="","",'Purchase Order - Order Tracker'!H41)</f>
        <v/>
      </c>
      <c r="F41" s="46">
        <f>IF('Purchase Order - Order Tracker'!A41="","",'Purchase Order - Order Tracker'!J41)</f>
        <v/>
      </c>
      <c r="G41" s="46">
        <f>IF('Purchase Order - Order Tracker'!A41="","",'Purchase Order - Order Tracker'!K41)</f>
        <v/>
      </c>
      <c r="H41" s="41">
        <f>IF('Purchase Order - Order Tracker'!A41="","",'Purchase Order - Order Tracker'!N41)</f>
        <v/>
      </c>
      <c r="I41" s="41">
        <f>IF('Purchase Order - Order Tracker'!A41="","",'Purchase Order - Order Tracker'!O41)</f>
        <v/>
      </c>
    </row>
    <row r="42" ht="21" customHeight="1">
      <c r="A42" s="46">
        <f>IF('Purchase Order - Order Tracker'!A42="","",'Purchase Order - Order Tracker'!A42)</f>
        <v/>
      </c>
      <c r="B42" s="46">
        <f>IF('Purchase Order - Order Tracker'!A42="","",'Purchase Order - Order Tracker'!B42)</f>
        <v/>
      </c>
      <c r="C42" s="46">
        <f>IF('Purchase Order - Order Tracker'!A42="","",'Purchase Order - Order Tracker'!C42)</f>
        <v/>
      </c>
      <c r="D42" s="46">
        <f>IF('Purchase Order - Order Tracker'!A42="","",'Purchase Order - Order Tracker'!D42)</f>
        <v/>
      </c>
      <c r="E42" s="46">
        <f>IF('Purchase Order - Order Tracker'!A42="","",'Purchase Order - Order Tracker'!H42)</f>
        <v/>
      </c>
      <c r="F42" s="46">
        <f>IF('Purchase Order - Order Tracker'!A42="","",'Purchase Order - Order Tracker'!J42)</f>
        <v/>
      </c>
      <c r="G42" s="46">
        <f>IF('Purchase Order - Order Tracker'!A42="","",'Purchase Order - Order Tracker'!K42)</f>
        <v/>
      </c>
      <c r="H42" s="41">
        <f>IF('Purchase Order - Order Tracker'!A42="","",'Purchase Order - Order Tracker'!N42)</f>
        <v/>
      </c>
      <c r="I42" s="41">
        <f>IF('Purchase Order - Order Tracker'!A42="","",'Purchase Order - Order Tracker'!O42)</f>
        <v/>
      </c>
    </row>
    <row r="43" ht="21" customHeight="1">
      <c r="A43" s="46">
        <f>IF('Purchase Order - Order Tracker'!A43="","",'Purchase Order - Order Tracker'!A43)</f>
        <v/>
      </c>
      <c r="B43" s="46">
        <f>IF('Purchase Order - Order Tracker'!A43="","",'Purchase Order - Order Tracker'!B43)</f>
        <v/>
      </c>
      <c r="C43" s="46">
        <f>IF('Purchase Order - Order Tracker'!A43="","",'Purchase Order - Order Tracker'!C43)</f>
        <v/>
      </c>
      <c r="D43" s="46">
        <f>IF('Purchase Order - Order Tracker'!A43="","",'Purchase Order - Order Tracker'!D43)</f>
        <v/>
      </c>
      <c r="E43" s="46">
        <f>IF('Purchase Order - Order Tracker'!A43="","",'Purchase Order - Order Tracker'!H43)</f>
        <v/>
      </c>
      <c r="F43" s="46">
        <f>IF('Purchase Order - Order Tracker'!A43="","",'Purchase Order - Order Tracker'!J43)</f>
        <v/>
      </c>
      <c r="G43" s="46">
        <f>IF('Purchase Order - Order Tracker'!A43="","",'Purchase Order - Order Tracker'!K43)</f>
        <v/>
      </c>
      <c r="H43" s="41">
        <f>IF('Purchase Order - Order Tracker'!A43="","",'Purchase Order - Order Tracker'!N43)</f>
        <v/>
      </c>
      <c r="I43" s="41">
        <f>IF('Purchase Order - Order Tracker'!A43="","",'Purchase Order - Order Tracker'!O43)</f>
        <v/>
      </c>
    </row>
    <row r="44" ht="21" customHeight="1">
      <c r="A44" s="46">
        <f>IF('Purchase Order - Order Tracker'!A44="","",'Purchase Order - Order Tracker'!A44)</f>
        <v/>
      </c>
      <c r="B44" s="46">
        <f>IF('Purchase Order - Order Tracker'!A44="","",'Purchase Order - Order Tracker'!B44)</f>
        <v/>
      </c>
      <c r="C44" s="46">
        <f>IF('Purchase Order - Order Tracker'!A44="","",'Purchase Order - Order Tracker'!C44)</f>
        <v/>
      </c>
      <c r="D44" s="46">
        <f>IF('Purchase Order - Order Tracker'!A44="","",'Purchase Order - Order Tracker'!D44)</f>
        <v/>
      </c>
      <c r="E44" s="46">
        <f>IF('Purchase Order - Order Tracker'!A44="","",'Purchase Order - Order Tracker'!H44)</f>
        <v/>
      </c>
      <c r="F44" s="46">
        <f>IF('Purchase Order - Order Tracker'!A44="","",'Purchase Order - Order Tracker'!J44)</f>
        <v/>
      </c>
      <c r="G44" s="46">
        <f>IF('Purchase Order - Order Tracker'!A44="","",'Purchase Order - Order Tracker'!K44)</f>
        <v/>
      </c>
      <c r="H44" s="41">
        <f>IF('Purchase Order - Order Tracker'!A44="","",'Purchase Order - Order Tracker'!N44)</f>
        <v/>
      </c>
      <c r="I44" s="41">
        <f>IF('Purchase Order - Order Tracker'!A44="","",'Purchase Order - Order Tracker'!O44)</f>
        <v/>
      </c>
    </row>
    <row r="45" ht="21" customHeight="1">
      <c r="A45" s="46">
        <f>IF('Purchase Order - Order Tracker'!A45="","",'Purchase Order - Order Tracker'!A45)</f>
        <v/>
      </c>
      <c r="B45" s="46">
        <f>IF('Purchase Order - Order Tracker'!A45="","",'Purchase Order - Order Tracker'!B45)</f>
        <v/>
      </c>
      <c r="C45" s="46">
        <f>IF('Purchase Order - Order Tracker'!A45="","",'Purchase Order - Order Tracker'!C45)</f>
        <v/>
      </c>
      <c r="D45" s="46">
        <f>IF('Purchase Order - Order Tracker'!A45="","",'Purchase Order - Order Tracker'!D45)</f>
        <v/>
      </c>
      <c r="E45" s="46">
        <f>IF('Purchase Order - Order Tracker'!A45="","",'Purchase Order - Order Tracker'!H45)</f>
        <v/>
      </c>
      <c r="F45" s="46">
        <f>IF('Purchase Order - Order Tracker'!A45="","",'Purchase Order - Order Tracker'!J45)</f>
        <v/>
      </c>
      <c r="G45" s="46">
        <f>IF('Purchase Order - Order Tracker'!A45="","",'Purchase Order - Order Tracker'!K45)</f>
        <v/>
      </c>
      <c r="H45" s="41">
        <f>IF('Purchase Order - Order Tracker'!A45="","",'Purchase Order - Order Tracker'!N45)</f>
        <v/>
      </c>
      <c r="I45" s="41">
        <f>IF('Purchase Order - Order Tracker'!A45="","",'Purchase Order - Order Tracker'!O45)</f>
        <v/>
      </c>
    </row>
    <row r="46" ht="21" customHeight="1">
      <c r="A46" s="46">
        <f>IF('Purchase Order - Order Tracker'!A46="","",'Purchase Order - Order Tracker'!A46)</f>
        <v/>
      </c>
      <c r="B46" s="46">
        <f>IF('Purchase Order - Order Tracker'!A46="","",'Purchase Order - Order Tracker'!B46)</f>
        <v/>
      </c>
      <c r="C46" s="46">
        <f>IF('Purchase Order - Order Tracker'!A46="","",'Purchase Order - Order Tracker'!C46)</f>
        <v/>
      </c>
      <c r="D46" s="46">
        <f>IF('Purchase Order - Order Tracker'!A46="","",'Purchase Order - Order Tracker'!D46)</f>
        <v/>
      </c>
      <c r="E46" s="46">
        <f>IF('Purchase Order - Order Tracker'!A46="","",'Purchase Order - Order Tracker'!H46)</f>
        <v/>
      </c>
      <c r="F46" s="46">
        <f>IF('Purchase Order - Order Tracker'!A46="","",'Purchase Order - Order Tracker'!J46)</f>
        <v/>
      </c>
      <c r="G46" s="46">
        <f>IF('Purchase Order - Order Tracker'!A46="","",'Purchase Order - Order Tracker'!K46)</f>
        <v/>
      </c>
      <c r="H46" s="41">
        <f>IF('Purchase Order - Order Tracker'!A46="","",'Purchase Order - Order Tracker'!N46)</f>
        <v/>
      </c>
      <c r="I46" s="41">
        <f>IF('Purchase Order - Order Tracker'!A46="","",'Purchase Order - Order Tracker'!O46)</f>
        <v/>
      </c>
    </row>
    <row r="47" ht="21" customHeight="1">
      <c r="A47" s="46">
        <f>IF('Purchase Order - Order Tracker'!A47="","",'Purchase Order - Order Tracker'!A47)</f>
        <v/>
      </c>
      <c r="B47" s="46">
        <f>IF('Purchase Order - Order Tracker'!A47="","",'Purchase Order - Order Tracker'!B47)</f>
        <v/>
      </c>
      <c r="C47" s="46">
        <f>IF('Purchase Order - Order Tracker'!A47="","",'Purchase Order - Order Tracker'!C47)</f>
        <v/>
      </c>
      <c r="D47" s="46">
        <f>IF('Purchase Order - Order Tracker'!A47="","",'Purchase Order - Order Tracker'!D47)</f>
        <v/>
      </c>
      <c r="E47" s="46">
        <f>IF('Purchase Order - Order Tracker'!A47="","",'Purchase Order - Order Tracker'!H47)</f>
        <v/>
      </c>
      <c r="F47" s="46">
        <f>IF('Purchase Order - Order Tracker'!A47="","",'Purchase Order - Order Tracker'!J47)</f>
        <v/>
      </c>
      <c r="G47" s="46">
        <f>IF('Purchase Order - Order Tracker'!A47="","",'Purchase Order - Order Tracker'!K47)</f>
        <v/>
      </c>
      <c r="H47" s="41">
        <f>IF('Purchase Order - Order Tracker'!A47="","",'Purchase Order - Order Tracker'!N47)</f>
        <v/>
      </c>
      <c r="I47" s="41">
        <f>IF('Purchase Order - Order Tracker'!A47="","",'Purchase Order - Order Tracker'!O47)</f>
        <v/>
      </c>
    </row>
    <row r="48" ht="21" customHeight="1">
      <c r="A48" s="46">
        <f>IF('Purchase Order - Order Tracker'!A48="","",'Purchase Order - Order Tracker'!A48)</f>
        <v/>
      </c>
      <c r="B48" s="46">
        <f>IF('Purchase Order - Order Tracker'!A48="","",'Purchase Order - Order Tracker'!B48)</f>
        <v/>
      </c>
      <c r="C48" s="46">
        <f>IF('Purchase Order - Order Tracker'!A48="","",'Purchase Order - Order Tracker'!C48)</f>
        <v/>
      </c>
      <c r="D48" s="46">
        <f>IF('Purchase Order - Order Tracker'!A48="","",'Purchase Order - Order Tracker'!D48)</f>
        <v/>
      </c>
      <c r="E48" s="46">
        <f>IF('Purchase Order - Order Tracker'!A48="","",'Purchase Order - Order Tracker'!H48)</f>
        <v/>
      </c>
      <c r="F48" s="46">
        <f>IF('Purchase Order - Order Tracker'!A48="","",'Purchase Order - Order Tracker'!J48)</f>
        <v/>
      </c>
      <c r="G48" s="46">
        <f>IF('Purchase Order - Order Tracker'!A48="","",'Purchase Order - Order Tracker'!K48)</f>
        <v/>
      </c>
      <c r="H48" s="41">
        <f>IF('Purchase Order - Order Tracker'!A48="","",'Purchase Order - Order Tracker'!N48)</f>
        <v/>
      </c>
      <c r="I48" s="41">
        <f>IF('Purchase Order - Order Tracker'!A48="","",'Purchase Order - Order Tracker'!O48)</f>
        <v/>
      </c>
    </row>
    <row r="49" ht="21" customHeight="1">
      <c r="A49" s="46">
        <f>IF('Purchase Order - Order Tracker'!A49="","",'Purchase Order - Order Tracker'!A49)</f>
        <v/>
      </c>
      <c r="B49" s="46">
        <f>IF('Purchase Order - Order Tracker'!A49="","",'Purchase Order - Order Tracker'!B49)</f>
        <v/>
      </c>
      <c r="C49" s="46">
        <f>IF('Purchase Order - Order Tracker'!A49="","",'Purchase Order - Order Tracker'!C49)</f>
        <v/>
      </c>
      <c r="D49" s="46">
        <f>IF('Purchase Order - Order Tracker'!A49="","",'Purchase Order - Order Tracker'!D49)</f>
        <v/>
      </c>
      <c r="E49" s="46">
        <f>IF('Purchase Order - Order Tracker'!A49="","",'Purchase Order - Order Tracker'!H49)</f>
        <v/>
      </c>
      <c r="F49" s="46">
        <f>IF('Purchase Order - Order Tracker'!A49="","",'Purchase Order - Order Tracker'!J49)</f>
        <v/>
      </c>
      <c r="G49" s="46">
        <f>IF('Purchase Order - Order Tracker'!A49="","",'Purchase Order - Order Tracker'!K49)</f>
        <v/>
      </c>
      <c r="H49" s="41">
        <f>IF('Purchase Order - Order Tracker'!A49="","",'Purchase Order - Order Tracker'!N49)</f>
        <v/>
      </c>
      <c r="I49" s="41">
        <f>IF('Purchase Order - Order Tracker'!A49="","",'Purchase Order - Order Tracker'!O49)</f>
        <v/>
      </c>
    </row>
    <row r="50" ht="21" customHeight="1">
      <c r="A50" s="46">
        <f>IF('Purchase Order - Order Tracker'!A50="","",'Purchase Order - Order Tracker'!A50)</f>
        <v/>
      </c>
      <c r="B50" s="46">
        <f>IF('Purchase Order - Order Tracker'!A50="","",'Purchase Order - Order Tracker'!B50)</f>
        <v/>
      </c>
      <c r="C50" s="46">
        <f>IF('Purchase Order - Order Tracker'!A50="","",'Purchase Order - Order Tracker'!C50)</f>
        <v/>
      </c>
      <c r="D50" s="46">
        <f>IF('Purchase Order - Order Tracker'!A50="","",'Purchase Order - Order Tracker'!D50)</f>
        <v/>
      </c>
      <c r="E50" s="46">
        <f>IF('Purchase Order - Order Tracker'!A50="","",'Purchase Order - Order Tracker'!H50)</f>
        <v/>
      </c>
      <c r="F50" s="46">
        <f>IF('Purchase Order - Order Tracker'!A50="","",'Purchase Order - Order Tracker'!J50)</f>
        <v/>
      </c>
      <c r="G50" s="46">
        <f>IF('Purchase Order - Order Tracker'!A50="","",'Purchase Order - Order Tracker'!K50)</f>
        <v/>
      </c>
      <c r="H50" s="41">
        <f>IF('Purchase Order - Order Tracker'!A50="","",'Purchase Order - Order Tracker'!N50)</f>
        <v/>
      </c>
      <c r="I50" s="41">
        <f>IF('Purchase Order - Order Tracker'!A50="","",'Purchase Order - Order Tracker'!O50)</f>
        <v/>
      </c>
    </row>
    <row r="51" ht="21" customHeight="1">
      <c r="A51" s="46">
        <f>IF('Purchase Order - Order Tracker'!A51="","",'Purchase Order - Order Tracker'!A51)</f>
        <v/>
      </c>
      <c r="B51" s="46">
        <f>IF('Purchase Order - Order Tracker'!A51="","",'Purchase Order - Order Tracker'!B51)</f>
        <v/>
      </c>
      <c r="C51" s="46">
        <f>IF('Purchase Order - Order Tracker'!A51="","",'Purchase Order - Order Tracker'!C51)</f>
        <v/>
      </c>
      <c r="D51" s="46">
        <f>IF('Purchase Order - Order Tracker'!A51="","",'Purchase Order - Order Tracker'!D51)</f>
        <v/>
      </c>
      <c r="E51" s="46">
        <f>IF('Purchase Order - Order Tracker'!A51="","",'Purchase Order - Order Tracker'!H51)</f>
        <v/>
      </c>
      <c r="F51" s="46">
        <f>IF('Purchase Order - Order Tracker'!A51="","",'Purchase Order - Order Tracker'!J51)</f>
        <v/>
      </c>
      <c r="G51" s="46">
        <f>IF('Purchase Order - Order Tracker'!A51="","",'Purchase Order - Order Tracker'!K51)</f>
        <v/>
      </c>
      <c r="H51" s="41">
        <f>IF('Purchase Order - Order Tracker'!A51="","",'Purchase Order - Order Tracker'!N51)</f>
        <v/>
      </c>
      <c r="I51" s="41">
        <f>IF('Purchase Order - Order Tracker'!A51="","",'Purchase Order - Order Tracker'!O51)</f>
        <v/>
      </c>
    </row>
    <row r="52" ht="21" customHeight="1">
      <c r="A52" s="46">
        <f>IF('Purchase Order - Order Tracker'!A52="","",'Purchase Order - Order Tracker'!A52)</f>
        <v/>
      </c>
      <c r="B52" s="46">
        <f>IF('Purchase Order - Order Tracker'!A52="","",'Purchase Order - Order Tracker'!B52)</f>
        <v/>
      </c>
      <c r="C52" s="46">
        <f>IF('Purchase Order - Order Tracker'!A52="","",'Purchase Order - Order Tracker'!C52)</f>
        <v/>
      </c>
      <c r="D52" s="46">
        <f>IF('Purchase Order - Order Tracker'!A52="","",'Purchase Order - Order Tracker'!D52)</f>
        <v/>
      </c>
      <c r="E52" s="46">
        <f>IF('Purchase Order - Order Tracker'!A52="","",'Purchase Order - Order Tracker'!H52)</f>
        <v/>
      </c>
      <c r="F52" s="46">
        <f>IF('Purchase Order - Order Tracker'!A52="","",'Purchase Order - Order Tracker'!J52)</f>
        <v/>
      </c>
      <c r="G52" s="46">
        <f>IF('Purchase Order - Order Tracker'!A52="","",'Purchase Order - Order Tracker'!K52)</f>
        <v/>
      </c>
      <c r="H52" s="41">
        <f>IF('Purchase Order - Order Tracker'!A52="","",'Purchase Order - Order Tracker'!N52)</f>
        <v/>
      </c>
      <c r="I52" s="41">
        <f>IF('Purchase Order - Order Tracker'!A52="","",'Purchase Order - Order Tracker'!O52)</f>
        <v/>
      </c>
    </row>
    <row r="53" ht="21" customHeight="1">
      <c r="A53" s="46">
        <f>IF('Purchase Order - Order Tracker'!A53="","",'Purchase Order - Order Tracker'!A53)</f>
        <v/>
      </c>
      <c r="B53" s="46">
        <f>IF('Purchase Order - Order Tracker'!A53="","",'Purchase Order - Order Tracker'!B53)</f>
        <v/>
      </c>
      <c r="C53" s="46">
        <f>IF('Purchase Order - Order Tracker'!A53="","",'Purchase Order - Order Tracker'!C53)</f>
        <v/>
      </c>
      <c r="D53" s="46">
        <f>IF('Purchase Order - Order Tracker'!A53="","",'Purchase Order - Order Tracker'!D53)</f>
        <v/>
      </c>
      <c r="E53" s="46">
        <f>IF('Purchase Order - Order Tracker'!A53="","",'Purchase Order - Order Tracker'!H53)</f>
        <v/>
      </c>
      <c r="F53" s="46">
        <f>IF('Purchase Order - Order Tracker'!A53="","",'Purchase Order - Order Tracker'!J53)</f>
        <v/>
      </c>
      <c r="G53" s="46">
        <f>IF('Purchase Order - Order Tracker'!A53="","",'Purchase Order - Order Tracker'!K53)</f>
        <v/>
      </c>
      <c r="H53" s="41">
        <f>IF('Purchase Order - Order Tracker'!A53="","",'Purchase Order - Order Tracker'!N53)</f>
        <v/>
      </c>
      <c r="I53" s="41">
        <f>IF('Purchase Order - Order Tracker'!A53="","",'Purchase Order - Order Tracker'!O53)</f>
        <v/>
      </c>
    </row>
    <row r="54" ht="21" customHeight="1">
      <c r="A54" s="46">
        <f>IF('Purchase Order - Order Tracker'!A54="","",'Purchase Order - Order Tracker'!A54)</f>
        <v/>
      </c>
      <c r="B54" s="46">
        <f>IF('Purchase Order - Order Tracker'!A54="","",'Purchase Order - Order Tracker'!B54)</f>
        <v/>
      </c>
      <c r="C54" s="46">
        <f>IF('Purchase Order - Order Tracker'!A54="","",'Purchase Order - Order Tracker'!C54)</f>
        <v/>
      </c>
      <c r="D54" s="46">
        <f>IF('Purchase Order - Order Tracker'!A54="","",'Purchase Order - Order Tracker'!D54)</f>
        <v/>
      </c>
      <c r="E54" s="46">
        <f>IF('Purchase Order - Order Tracker'!A54="","",'Purchase Order - Order Tracker'!H54)</f>
        <v/>
      </c>
      <c r="F54" s="46">
        <f>IF('Purchase Order - Order Tracker'!A54="","",'Purchase Order - Order Tracker'!J54)</f>
        <v/>
      </c>
      <c r="G54" s="46">
        <f>IF('Purchase Order - Order Tracker'!A54="","",'Purchase Order - Order Tracker'!K54)</f>
        <v/>
      </c>
      <c r="H54" s="41">
        <f>IF('Purchase Order - Order Tracker'!A54="","",'Purchase Order - Order Tracker'!N54)</f>
        <v/>
      </c>
      <c r="I54" s="41">
        <f>IF('Purchase Order - Order Tracker'!A54="","",'Purchase Order - Order Tracker'!O54)</f>
        <v/>
      </c>
    </row>
    <row r="55" ht="21" customHeight="1">
      <c r="A55" s="46">
        <f>IF('Purchase Order - Order Tracker'!A55="","",'Purchase Order - Order Tracker'!A55)</f>
        <v/>
      </c>
      <c r="B55" s="46">
        <f>IF('Purchase Order - Order Tracker'!A55="","",'Purchase Order - Order Tracker'!B55)</f>
        <v/>
      </c>
      <c r="C55" s="46">
        <f>IF('Purchase Order - Order Tracker'!A55="","",'Purchase Order - Order Tracker'!C55)</f>
        <v/>
      </c>
      <c r="D55" s="46">
        <f>IF('Purchase Order - Order Tracker'!A55="","",'Purchase Order - Order Tracker'!D55)</f>
        <v/>
      </c>
      <c r="E55" s="46">
        <f>IF('Purchase Order - Order Tracker'!A55="","",'Purchase Order - Order Tracker'!H55)</f>
        <v/>
      </c>
      <c r="F55" s="46">
        <f>IF('Purchase Order - Order Tracker'!A55="","",'Purchase Order - Order Tracker'!J55)</f>
        <v/>
      </c>
      <c r="G55" s="46">
        <f>IF('Purchase Order - Order Tracker'!A55="","",'Purchase Order - Order Tracker'!K55)</f>
        <v/>
      </c>
      <c r="H55" s="41">
        <f>IF('Purchase Order - Order Tracker'!A55="","",'Purchase Order - Order Tracker'!N55)</f>
        <v/>
      </c>
      <c r="I55" s="41">
        <f>IF('Purchase Order - Order Tracker'!A55="","",'Purchase Order - Order Tracker'!O55)</f>
        <v/>
      </c>
    </row>
    <row r="56" ht="21" customHeight="1">
      <c r="A56" s="46">
        <f>IF('Purchase Order - Order Tracker'!A56="","",'Purchase Order - Order Tracker'!A56)</f>
        <v/>
      </c>
      <c r="B56" s="46">
        <f>IF('Purchase Order - Order Tracker'!A56="","",'Purchase Order - Order Tracker'!B56)</f>
        <v/>
      </c>
      <c r="C56" s="46">
        <f>IF('Purchase Order - Order Tracker'!A56="","",'Purchase Order - Order Tracker'!C56)</f>
        <v/>
      </c>
      <c r="D56" s="46">
        <f>IF('Purchase Order - Order Tracker'!A56="","",'Purchase Order - Order Tracker'!D56)</f>
        <v/>
      </c>
      <c r="E56" s="46">
        <f>IF('Purchase Order - Order Tracker'!A56="","",'Purchase Order - Order Tracker'!H56)</f>
        <v/>
      </c>
      <c r="F56" s="46">
        <f>IF('Purchase Order - Order Tracker'!A56="","",'Purchase Order - Order Tracker'!J56)</f>
        <v/>
      </c>
      <c r="G56" s="46">
        <f>IF('Purchase Order - Order Tracker'!A56="","",'Purchase Order - Order Tracker'!K56)</f>
        <v/>
      </c>
      <c r="H56" s="41">
        <f>IF('Purchase Order - Order Tracker'!A56="","",'Purchase Order - Order Tracker'!N56)</f>
        <v/>
      </c>
      <c r="I56" s="41">
        <f>IF('Purchase Order - Order Tracker'!A56="","",'Purchase Order - Order Tracker'!O56)</f>
        <v/>
      </c>
    </row>
    <row r="57" ht="21" customHeight="1">
      <c r="A57" s="46">
        <f>IF('Purchase Order - Order Tracker'!A57="","",'Purchase Order - Order Tracker'!A57)</f>
        <v/>
      </c>
      <c r="B57" s="46">
        <f>IF('Purchase Order - Order Tracker'!A57="","",'Purchase Order - Order Tracker'!B57)</f>
        <v/>
      </c>
      <c r="C57" s="46">
        <f>IF('Purchase Order - Order Tracker'!A57="","",'Purchase Order - Order Tracker'!C57)</f>
        <v/>
      </c>
      <c r="D57" s="46">
        <f>IF('Purchase Order - Order Tracker'!A57="","",'Purchase Order - Order Tracker'!D57)</f>
        <v/>
      </c>
      <c r="E57" s="46">
        <f>IF('Purchase Order - Order Tracker'!A57="","",'Purchase Order - Order Tracker'!H57)</f>
        <v/>
      </c>
      <c r="F57" s="46">
        <f>IF('Purchase Order - Order Tracker'!A57="","",'Purchase Order - Order Tracker'!J57)</f>
        <v/>
      </c>
      <c r="G57" s="46">
        <f>IF('Purchase Order - Order Tracker'!A57="","",'Purchase Order - Order Tracker'!K57)</f>
        <v/>
      </c>
      <c r="H57" s="41">
        <f>IF('Purchase Order - Order Tracker'!A57="","",'Purchase Order - Order Tracker'!N57)</f>
        <v/>
      </c>
      <c r="I57" s="41">
        <f>IF('Purchase Order - Order Tracker'!A57="","",'Purchase Order - Order Tracker'!O57)</f>
        <v/>
      </c>
    </row>
    <row r="58" ht="21" customHeight="1">
      <c r="A58" s="46">
        <f>IF('Purchase Order - Order Tracker'!A58="","",'Purchase Order - Order Tracker'!A58)</f>
        <v/>
      </c>
      <c r="B58" s="46">
        <f>IF('Purchase Order - Order Tracker'!A58="","",'Purchase Order - Order Tracker'!B58)</f>
        <v/>
      </c>
      <c r="C58" s="46">
        <f>IF('Purchase Order - Order Tracker'!A58="","",'Purchase Order - Order Tracker'!C58)</f>
        <v/>
      </c>
      <c r="D58" s="46">
        <f>IF('Purchase Order - Order Tracker'!A58="","",'Purchase Order - Order Tracker'!D58)</f>
        <v/>
      </c>
      <c r="E58" s="46">
        <f>IF('Purchase Order - Order Tracker'!A58="","",'Purchase Order - Order Tracker'!H58)</f>
        <v/>
      </c>
      <c r="F58" s="46">
        <f>IF('Purchase Order - Order Tracker'!A58="","",'Purchase Order - Order Tracker'!J58)</f>
        <v/>
      </c>
      <c r="G58" s="46">
        <f>IF('Purchase Order - Order Tracker'!A58="","",'Purchase Order - Order Tracker'!K58)</f>
        <v/>
      </c>
      <c r="H58" s="41">
        <f>IF('Purchase Order - Order Tracker'!A58="","",'Purchase Order - Order Tracker'!N58)</f>
        <v/>
      </c>
      <c r="I58" s="41">
        <f>IF('Purchase Order - Order Tracker'!A58="","",'Purchase Order - Order Tracker'!O58)</f>
        <v/>
      </c>
    </row>
    <row r="59" ht="21" customHeight="1">
      <c r="A59" s="46">
        <f>IF('Purchase Order - Order Tracker'!A59="","",'Purchase Order - Order Tracker'!A59)</f>
        <v/>
      </c>
      <c r="B59" s="46">
        <f>IF('Purchase Order - Order Tracker'!A59="","",'Purchase Order - Order Tracker'!B59)</f>
        <v/>
      </c>
      <c r="C59" s="46">
        <f>IF('Purchase Order - Order Tracker'!A59="","",'Purchase Order - Order Tracker'!C59)</f>
        <v/>
      </c>
      <c r="D59" s="46">
        <f>IF('Purchase Order - Order Tracker'!A59="","",'Purchase Order - Order Tracker'!D59)</f>
        <v/>
      </c>
      <c r="E59" s="46">
        <f>IF('Purchase Order - Order Tracker'!A59="","",'Purchase Order - Order Tracker'!H59)</f>
        <v/>
      </c>
      <c r="F59" s="46">
        <f>IF('Purchase Order - Order Tracker'!A59="","",'Purchase Order - Order Tracker'!J59)</f>
        <v/>
      </c>
      <c r="G59" s="46">
        <f>IF('Purchase Order - Order Tracker'!A59="","",'Purchase Order - Order Tracker'!K59)</f>
        <v/>
      </c>
      <c r="H59" s="41">
        <f>IF('Purchase Order - Order Tracker'!A59="","",'Purchase Order - Order Tracker'!N59)</f>
        <v/>
      </c>
      <c r="I59" s="41">
        <f>IF('Purchase Order - Order Tracker'!A59="","",'Purchase Order - Order Tracker'!O59)</f>
        <v/>
      </c>
    </row>
    <row r="60" ht="21" customHeight="1">
      <c r="A60" s="46">
        <f>IF('Purchase Order - Order Tracker'!A60="","",'Purchase Order - Order Tracker'!A60)</f>
        <v/>
      </c>
      <c r="B60" s="46">
        <f>IF('Purchase Order - Order Tracker'!A60="","",'Purchase Order - Order Tracker'!B60)</f>
        <v/>
      </c>
      <c r="C60" s="46">
        <f>IF('Purchase Order - Order Tracker'!A60="","",'Purchase Order - Order Tracker'!C60)</f>
        <v/>
      </c>
      <c r="D60" s="46">
        <f>IF('Purchase Order - Order Tracker'!A60="","",'Purchase Order - Order Tracker'!D60)</f>
        <v/>
      </c>
      <c r="E60" s="46">
        <f>IF('Purchase Order - Order Tracker'!A60="","",'Purchase Order - Order Tracker'!H60)</f>
        <v/>
      </c>
      <c r="F60" s="46">
        <f>IF('Purchase Order - Order Tracker'!A60="","",'Purchase Order - Order Tracker'!J60)</f>
        <v/>
      </c>
      <c r="G60" s="46">
        <f>IF('Purchase Order - Order Tracker'!A60="","",'Purchase Order - Order Tracker'!K60)</f>
        <v/>
      </c>
      <c r="H60" s="41">
        <f>IF('Purchase Order - Order Tracker'!A60="","",'Purchase Order - Order Tracker'!N60)</f>
        <v/>
      </c>
      <c r="I60" s="41">
        <f>IF('Purchase Order - Order Tracker'!A60="","",'Purchase Order - Order Tracker'!O60)</f>
        <v/>
      </c>
    </row>
    <row r="61" ht="21" customHeight="1">
      <c r="A61" s="46">
        <f>IF('Purchase Order - Order Tracker'!A61="","",'Purchase Order - Order Tracker'!A61)</f>
        <v/>
      </c>
      <c r="B61" s="46">
        <f>IF('Purchase Order - Order Tracker'!A61="","",'Purchase Order - Order Tracker'!B61)</f>
        <v/>
      </c>
      <c r="C61" s="46">
        <f>IF('Purchase Order - Order Tracker'!A61="","",'Purchase Order - Order Tracker'!C61)</f>
        <v/>
      </c>
      <c r="D61" s="46">
        <f>IF('Purchase Order - Order Tracker'!A61="","",'Purchase Order - Order Tracker'!D61)</f>
        <v/>
      </c>
      <c r="E61" s="46">
        <f>IF('Purchase Order - Order Tracker'!A61="","",'Purchase Order - Order Tracker'!H61)</f>
        <v/>
      </c>
      <c r="F61" s="46">
        <f>IF('Purchase Order - Order Tracker'!A61="","",'Purchase Order - Order Tracker'!J61)</f>
        <v/>
      </c>
      <c r="G61" s="46">
        <f>IF('Purchase Order - Order Tracker'!A61="","",'Purchase Order - Order Tracker'!K61)</f>
        <v/>
      </c>
      <c r="H61" s="41">
        <f>IF('Purchase Order - Order Tracker'!A61="","",'Purchase Order - Order Tracker'!N61)</f>
        <v/>
      </c>
      <c r="I61" s="41">
        <f>IF('Purchase Order - Order Tracker'!A61="","",'Purchase Order - Order Tracker'!O61)</f>
        <v/>
      </c>
    </row>
    <row r="62" ht="21" customHeight="1">
      <c r="A62" s="46">
        <f>IF('Purchase Order - Order Tracker'!A62="","",'Purchase Order - Order Tracker'!A62)</f>
        <v/>
      </c>
      <c r="B62" s="46">
        <f>IF('Purchase Order - Order Tracker'!A62="","",'Purchase Order - Order Tracker'!B62)</f>
        <v/>
      </c>
      <c r="C62" s="46">
        <f>IF('Purchase Order - Order Tracker'!A62="","",'Purchase Order - Order Tracker'!C62)</f>
        <v/>
      </c>
      <c r="D62" s="46">
        <f>IF('Purchase Order - Order Tracker'!A62="","",'Purchase Order - Order Tracker'!D62)</f>
        <v/>
      </c>
      <c r="E62" s="46">
        <f>IF('Purchase Order - Order Tracker'!A62="","",'Purchase Order - Order Tracker'!H62)</f>
        <v/>
      </c>
      <c r="F62" s="46">
        <f>IF('Purchase Order - Order Tracker'!A62="","",'Purchase Order - Order Tracker'!J62)</f>
        <v/>
      </c>
      <c r="G62" s="46">
        <f>IF('Purchase Order - Order Tracker'!A62="","",'Purchase Order - Order Tracker'!K62)</f>
        <v/>
      </c>
      <c r="H62" s="41">
        <f>IF('Purchase Order - Order Tracker'!A62="","",'Purchase Order - Order Tracker'!N62)</f>
        <v/>
      </c>
      <c r="I62" s="41">
        <f>IF('Purchase Order - Order Tracker'!A62="","",'Purchase Order - Order Tracker'!O62)</f>
        <v/>
      </c>
    </row>
    <row r="63" ht="21" customHeight="1">
      <c r="A63" s="46">
        <f>IF('Purchase Order - Order Tracker'!A63="","",'Purchase Order - Order Tracker'!A63)</f>
        <v/>
      </c>
      <c r="B63" s="46">
        <f>IF('Purchase Order - Order Tracker'!A63="","",'Purchase Order - Order Tracker'!B63)</f>
        <v/>
      </c>
      <c r="C63" s="46">
        <f>IF('Purchase Order - Order Tracker'!A63="","",'Purchase Order - Order Tracker'!C63)</f>
        <v/>
      </c>
      <c r="D63" s="46">
        <f>IF('Purchase Order - Order Tracker'!A63="","",'Purchase Order - Order Tracker'!D63)</f>
        <v/>
      </c>
      <c r="E63" s="46">
        <f>IF('Purchase Order - Order Tracker'!A63="","",'Purchase Order - Order Tracker'!H63)</f>
        <v/>
      </c>
      <c r="F63" s="46">
        <f>IF('Purchase Order - Order Tracker'!A63="","",'Purchase Order - Order Tracker'!J63)</f>
        <v/>
      </c>
      <c r="G63" s="46">
        <f>IF('Purchase Order - Order Tracker'!A63="","",'Purchase Order - Order Tracker'!K63)</f>
        <v/>
      </c>
      <c r="H63" s="41">
        <f>IF('Purchase Order - Order Tracker'!A63="","",'Purchase Order - Order Tracker'!N63)</f>
        <v/>
      </c>
      <c r="I63" s="41">
        <f>IF('Purchase Order - Order Tracker'!A63="","",'Purchase Order - Order Tracker'!O63)</f>
        <v/>
      </c>
    </row>
    <row r="64" ht="21" customHeight="1">
      <c r="A64" s="46">
        <f>IF('Purchase Order - Order Tracker'!A64="","",'Purchase Order - Order Tracker'!A64)</f>
        <v/>
      </c>
      <c r="B64" s="46">
        <f>IF('Purchase Order - Order Tracker'!A64="","",'Purchase Order - Order Tracker'!B64)</f>
        <v/>
      </c>
      <c r="C64" s="46">
        <f>IF('Purchase Order - Order Tracker'!A64="","",'Purchase Order - Order Tracker'!C64)</f>
        <v/>
      </c>
      <c r="D64" s="46">
        <f>IF('Purchase Order - Order Tracker'!A64="","",'Purchase Order - Order Tracker'!D64)</f>
        <v/>
      </c>
      <c r="E64" s="46">
        <f>IF('Purchase Order - Order Tracker'!A64="","",'Purchase Order - Order Tracker'!H64)</f>
        <v/>
      </c>
      <c r="F64" s="46">
        <f>IF('Purchase Order - Order Tracker'!A64="","",'Purchase Order - Order Tracker'!J64)</f>
        <v/>
      </c>
      <c r="G64" s="46">
        <f>IF('Purchase Order - Order Tracker'!A64="","",'Purchase Order - Order Tracker'!K64)</f>
        <v/>
      </c>
      <c r="H64" s="41">
        <f>IF('Purchase Order - Order Tracker'!A64="","",'Purchase Order - Order Tracker'!N64)</f>
        <v/>
      </c>
      <c r="I64" s="41">
        <f>IF('Purchase Order - Order Tracker'!A64="","",'Purchase Order - Order Tracker'!O64)</f>
        <v/>
      </c>
    </row>
    <row r="65" ht="21" customHeight="1">
      <c r="A65" s="46">
        <f>IF('Purchase Order - Order Tracker'!A65="","",'Purchase Order - Order Tracker'!A65)</f>
        <v/>
      </c>
      <c r="B65" s="46">
        <f>IF('Purchase Order - Order Tracker'!A65="","",'Purchase Order - Order Tracker'!B65)</f>
        <v/>
      </c>
      <c r="C65" s="46">
        <f>IF('Purchase Order - Order Tracker'!A65="","",'Purchase Order - Order Tracker'!C65)</f>
        <v/>
      </c>
      <c r="D65" s="46">
        <f>IF('Purchase Order - Order Tracker'!A65="","",'Purchase Order - Order Tracker'!D65)</f>
        <v/>
      </c>
      <c r="E65" s="46">
        <f>IF('Purchase Order - Order Tracker'!A65="","",'Purchase Order - Order Tracker'!H65)</f>
        <v/>
      </c>
      <c r="F65" s="46">
        <f>IF('Purchase Order - Order Tracker'!A65="","",'Purchase Order - Order Tracker'!J65)</f>
        <v/>
      </c>
      <c r="G65" s="46">
        <f>IF('Purchase Order - Order Tracker'!A65="","",'Purchase Order - Order Tracker'!K65)</f>
        <v/>
      </c>
      <c r="H65" s="41">
        <f>IF('Purchase Order - Order Tracker'!A65="","",'Purchase Order - Order Tracker'!N65)</f>
        <v/>
      </c>
      <c r="I65" s="41">
        <f>IF('Purchase Order - Order Tracker'!A65="","",'Purchase Order - Order Tracker'!O65)</f>
        <v/>
      </c>
    </row>
    <row r="66" ht="21" customHeight="1">
      <c r="A66" s="46">
        <f>IF('Purchase Order - Order Tracker'!A66="","",'Purchase Order - Order Tracker'!A66)</f>
        <v/>
      </c>
      <c r="B66" s="46">
        <f>IF('Purchase Order - Order Tracker'!A66="","",'Purchase Order - Order Tracker'!B66)</f>
        <v/>
      </c>
      <c r="C66" s="46">
        <f>IF('Purchase Order - Order Tracker'!A66="","",'Purchase Order - Order Tracker'!C66)</f>
        <v/>
      </c>
      <c r="D66" s="46">
        <f>IF('Purchase Order - Order Tracker'!A66="","",'Purchase Order - Order Tracker'!D66)</f>
        <v/>
      </c>
      <c r="E66" s="46">
        <f>IF('Purchase Order - Order Tracker'!A66="","",'Purchase Order - Order Tracker'!H66)</f>
        <v/>
      </c>
      <c r="F66" s="46">
        <f>IF('Purchase Order - Order Tracker'!A66="","",'Purchase Order - Order Tracker'!J66)</f>
        <v/>
      </c>
      <c r="G66" s="46">
        <f>IF('Purchase Order - Order Tracker'!A66="","",'Purchase Order - Order Tracker'!K66)</f>
        <v/>
      </c>
      <c r="H66" s="41">
        <f>IF('Purchase Order - Order Tracker'!A66="","",'Purchase Order - Order Tracker'!N66)</f>
        <v/>
      </c>
      <c r="I66" s="41">
        <f>IF('Purchase Order - Order Tracker'!A66="","",'Purchase Order - Order Tracker'!O66)</f>
        <v/>
      </c>
    </row>
    <row r="67" ht="21" customHeight="1">
      <c r="A67" s="46">
        <f>IF('Purchase Order - Order Tracker'!A67="","",'Purchase Order - Order Tracker'!A67)</f>
        <v/>
      </c>
      <c r="B67" s="46">
        <f>IF('Purchase Order - Order Tracker'!A67="","",'Purchase Order - Order Tracker'!B67)</f>
        <v/>
      </c>
      <c r="C67" s="46">
        <f>IF('Purchase Order - Order Tracker'!A67="","",'Purchase Order - Order Tracker'!C67)</f>
        <v/>
      </c>
      <c r="D67" s="46">
        <f>IF('Purchase Order - Order Tracker'!A67="","",'Purchase Order - Order Tracker'!D67)</f>
        <v/>
      </c>
      <c r="E67" s="46">
        <f>IF('Purchase Order - Order Tracker'!A67="","",'Purchase Order - Order Tracker'!H67)</f>
        <v/>
      </c>
      <c r="F67" s="46">
        <f>IF('Purchase Order - Order Tracker'!A67="","",'Purchase Order - Order Tracker'!J67)</f>
        <v/>
      </c>
      <c r="G67" s="46">
        <f>IF('Purchase Order - Order Tracker'!A67="","",'Purchase Order - Order Tracker'!K67)</f>
        <v/>
      </c>
      <c r="H67" s="41">
        <f>IF('Purchase Order - Order Tracker'!A67="","",'Purchase Order - Order Tracker'!N67)</f>
        <v/>
      </c>
      <c r="I67" s="41">
        <f>IF('Purchase Order - Order Tracker'!A67="","",'Purchase Order - Order Tracker'!O67)</f>
        <v/>
      </c>
    </row>
    <row r="68" ht="21" customHeight="1">
      <c r="A68" s="46">
        <f>IF('Purchase Order - Order Tracker'!A68="","",'Purchase Order - Order Tracker'!A68)</f>
        <v/>
      </c>
      <c r="B68" s="46">
        <f>IF('Purchase Order - Order Tracker'!A68="","",'Purchase Order - Order Tracker'!B68)</f>
        <v/>
      </c>
      <c r="C68" s="46">
        <f>IF('Purchase Order - Order Tracker'!A68="","",'Purchase Order - Order Tracker'!C68)</f>
        <v/>
      </c>
      <c r="D68" s="46">
        <f>IF('Purchase Order - Order Tracker'!A68="","",'Purchase Order - Order Tracker'!D68)</f>
        <v/>
      </c>
      <c r="E68" s="46">
        <f>IF('Purchase Order - Order Tracker'!A68="","",'Purchase Order - Order Tracker'!H68)</f>
        <v/>
      </c>
      <c r="F68" s="46">
        <f>IF('Purchase Order - Order Tracker'!A68="","",'Purchase Order - Order Tracker'!J68)</f>
        <v/>
      </c>
      <c r="G68" s="46">
        <f>IF('Purchase Order - Order Tracker'!A68="","",'Purchase Order - Order Tracker'!K68)</f>
        <v/>
      </c>
      <c r="H68" s="41">
        <f>IF('Purchase Order - Order Tracker'!A68="","",'Purchase Order - Order Tracker'!N68)</f>
        <v/>
      </c>
      <c r="I68" s="41">
        <f>IF('Purchase Order - Order Tracker'!A68="","",'Purchase Order - Order Tracker'!O68)</f>
        <v/>
      </c>
    </row>
    <row r="69" ht="21" customHeight="1">
      <c r="A69" s="46">
        <f>IF('Purchase Order - Order Tracker'!A69="","",'Purchase Order - Order Tracker'!A69)</f>
        <v/>
      </c>
      <c r="B69" s="46">
        <f>IF('Purchase Order - Order Tracker'!A69="","",'Purchase Order - Order Tracker'!B69)</f>
        <v/>
      </c>
      <c r="C69" s="46">
        <f>IF('Purchase Order - Order Tracker'!A69="","",'Purchase Order - Order Tracker'!C69)</f>
        <v/>
      </c>
      <c r="D69" s="46">
        <f>IF('Purchase Order - Order Tracker'!A69="","",'Purchase Order - Order Tracker'!D69)</f>
        <v/>
      </c>
      <c r="E69" s="46">
        <f>IF('Purchase Order - Order Tracker'!A69="","",'Purchase Order - Order Tracker'!H69)</f>
        <v/>
      </c>
      <c r="F69" s="46">
        <f>IF('Purchase Order - Order Tracker'!A69="","",'Purchase Order - Order Tracker'!J69)</f>
        <v/>
      </c>
      <c r="G69" s="46">
        <f>IF('Purchase Order - Order Tracker'!A69="","",'Purchase Order - Order Tracker'!K69)</f>
        <v/>
      </c>
      <c r="H69" s="41">
        <f>IF('Purchase Order - Order Tracker'!A69="","",'Purchase Order - Order Tracker'!N69)</f>
        <v/>
      </c>
      <c r="I69" s="41">
        <f>IF('Purchase Order - Order Tracker'!A69="","",'Purchase Order - Order Tracker'!O69)</f>
        <v/>
      </c>
    </row>
    <row r="70" ht="21" customHeight="1">
      <c r="A70" s="46">
        <f>IF('Purchase Order - Order Tracker'!A70="","",'Purchase Order - Order Tracker'!A70)</f>
        <v/>
      </c>
      <c r="B70" s="46">
        <f>IF('Purchase Order - Order Tracker'!A70="","",'Purchase Order - Order Tracker'!B70)</f>
        <v/>
      </c>
      <c r="C70" s="46">
        <f>IF('Purchase Order - Order Tracker'!A70="","",'Purchase Order - Order Tracker'!C70)</f>
        <v/>
      </c>
      <c r="D70" s="46">
        <f>IF('Purchase Order - Order Tracker'!A70="","",'Purchase Order - Order Tracker'!D70)</f>
        <v/>
      </c>
      <c r="E70" s="46">
        <f>IF('Purchase Order - Order Tracker'!A70="","",'Purchase Order - Order Tracker'!H70)</f>
        <v/>
      </c>
      <c r="F70" s="46">
        <f>IF('Purchase Order - Order Tracker'!A70="","",'Purchase Order - Order Tracker'!J70)</f>
        <v/>
      </c>
      <c r="G70" s="46">
        <f>IF('Purchase Order - Order Tracker'!A70="","",'Purchase Order - Order Tracker'!K70)</f>
        <v/>
      </c>
      <c r="H70" s="41">
        <f>IF('Purchase Order - Order Tracker'!A70="","",'Purchase Order - Order Tracker'!N70)</f>
        <v/>
      </c>
      <c r="I70" s="41">
        <f>IF('Purchase Order - Order Tracker'!A70="","",'Purchase Order - Order Tracker'!O70)</f>
        <v/>
      </c>
    </row>
    <row r="71" ht="21" customHeight="1">
      <c r="A71" s="46">
        <f>IF('Purchase Order - Order Tracker'!A71="","",'Purchase Order - Order Tracker'!A71)</f>
        <v/>
      </c>
      <c r="B71" s="46">
        <f>IF('Purchase Order - Order Tracker'!A71="","",'Purchase Order - Order Tracker'!B71)</f>
        <v/>
      </c>
      <c r="C71" s="46">
        <f>IF('Purchase Order - Order Tracker'!A71="","",'Purchase Order - Order Tracker'!C71)</f>
        <v/>
      </c>
      <c r="D71" s="46">
        <f>IF('Purchase Order - Order Tracker'!A71="","",'Purchase Order - Order Tracker'!D71)</f>
        <v/>
      </c>
      <c r="E71" s="46">
        <f>IF('Purchase Order - Order Tracker'!A71="","",'Purchase Order - Order Tracker'!H71)</f>
        <v/>
      </c>
      <c r="F71" s="46">
        <f>IF('Purchase Order - Order Tracker'!A71="","",'Purchase Order - Order Tracker'!J71)</f>
        <v/>
      </c>
      <c r="G71" s="46">
        <f>IF('Purchase Order - Order Tracker'!A71="","",'Purchase Order - Order Tracker'!K71)</f>
        <v/>
      </c>
      <c r="H71" s="41">
        <f>IF('Purchase Order - Order Tracker'!A71="","",'Purchase Order - Order Tracker'!N71)</f>
        <v/>
      </c>
      <c r="I71" s="41">
        <f>IF('Purchase Order - Order Tracker'!A71="","",'Purchase Order - Order Tracker'!O71)</f>
        <v/>
      </c>
    </row>
    <row r="72" ht="21" customHeight="1">
      <c r="A72" s="46">
        <f>IF('Purchase Order - Order Tracker'!A72="","",'Purchase Order - Order Tracker'!A72)</f>
        <v/>
      </c>
      <c r="B72" s="46">
        <f>IF('Purchase Order - Order Tracker'!A72="","",'Purchase Order - Order Tracker'!B72)</f>
        <v/>
      </c>
      <c r="C72" s="46">
        <f>IF('Purchase Order - Order Tracker'!A72="","",'Purchase Order - Order Tracker'!C72)</f>
        <v/>
      </c>
      <c r="D72" s="46">
        <f>IF('Purchase Order - Order Tracker'!A72="","",'Purchase Order - Order Tracker'!D72)</f>
        <v/>
      </c>
      <c r="E72" s="46">
        <f>IF('Purchase Order - Order Tracker'!A72="","",'Purchase Order - Order Tracker'!H72)</f>
        <v/>
      </c>
      <c r="F72" s="46">
        <f>IF('Purchase Order - Order Tracker'!A72="","",'Purchase Order - Order Tracker'!J72)</f>
        <v/>
      </c>
      <c r="G72" s="46">
        <f>IF('Purchase Order - Order Tracker'!A72="","",'Purchase Order - Order Tracker'!K72)</f>
        <v/>
      </c>
      <c r="H72" s="41">
        <f>IF('Purchase Order - Order Tracker'!A72="","",'Purchase Order - Order Tracker'!N72)</f>
        <v/>
      </c>
      <c r="I72" s="41">
        <f>IF('Purchase Order - Order Tracker'!A72="","",'Purchase Order - Order Tracker'!O72)</f>
        <v/>
      </c>
    </row>
    <row r="73" ht="21" customHeight="1">
      <c r="A73" s="46">
        <f>IF('Purchase Order - Order Tracker'!A73="","",'Purchase Order - Order Tracker'!A73)</f>
        <v/>
      </c>
      <c r="B73" s="46">
        <f>IF('Purchase Order - Order Tracker'!A73="","",'Purchase Order - Order Tracker'!B73)</f>
        <v/>
      </c>
      <c r="C73" s="46">
        <f>IF('Purchase Order - Order Tracker'!A73="","",'Purchase Order - Order Tracker'!C73)</f>
        <v/>
      </c>
      <c r="D73" s="46">
        <f>IF('Purchase Order - Order Tracker'!A73="","",'Purchase Order - Order Tracker'!D73)</f>
        <v/>
      </c>
      <c r="E73" s="46">
        <f>IF('Purchase Order - Order Tracker'!A73="","",'Purchase Order - Order Tracker'!H73)</f>
        <v/>
      </c>
      <c r="F73" s="46">
        <f>IF('Purchase Order - Order Tracker'!A73="","",'Purchase Order - Order Tracker'!J73)</f>
        <v/>
      </c>
      <c r="G73" s="46">
        <f>IF('Purchase Order - Order Tracker'!A73="","",'Purchase Order - Order Tracker'!K73)</f>
        <v/>
      </c>
      <c r="H73" s="41">
        <f>IF('Purchase Order - Order Tracker'!A73="","",'Purchase Order - Order Tracker'!N73)</f>
        <v/>
      </c>
      <c r="I73" s="41">
        <f>IF('Purchase Order - Order Tracker'!A73="","",'Purchase Order - Order Tracker'!O73)</f>
        <v/>
      </c>
    </row>
    <row r="74" ht="21" customHeight="1">
      <c r="A74" s="46">
        <f>IF('Purchase Order - Order Tracker'!A74="","",'Purchase Order - Order Tracker'!A74)</f>
        <v/>
      </c>
      <c r="B74" s="46">
        <f>IF('Purchase Order - Order Tracker'!A74="","",'Purchase Order - Order Tracker'!B74)</f>
        <v/>
      </c>
      <c r="C74" s="46">
        <f>IF('Purchase Order - Order Tracker'!A74="","",'Purchase Order - Order Tracker'!C74)</f>
        <v/>
      </c>
      <c r="D74" s="46">
        <f>IF('Purchase Order - Order Tracker'!A74="","",'Purchase Order - Order Tracker'!D74)</f>
        <v/>
      </c>
      <c r="E74" s="46">
        <f>IF('Purchase Order - Order Tracker'!A74="","",'Purchase Order - Order Tracker'!H74)</f>
        <v/>
      </c>
      <c r="F74" s="46">
        <f>IF('Purchase Order - Order Tracker'!A74="","",'Purchase Order - Order Tracker'!J74)</f>
        <v/>
      </c>
      <c r="G74" s="46">
        <f>IF('Purchase Order - Order Tracker'!A74="","",'Purchase Order - Order Tracker'!K74)</f>
        <v/>
      </c>
      <c r="H74" s="41">
        <f>IF('Purchase Order - Order Tracker'!A74="","",'Purchase Order - Order Tracker'!N74)</f>
        <v/>
      </c>
      <c r="I74" s="41">
        <f>IF('Purchase Order - Order Tracker'!A74="","",'Purchase Order - Order Tracker'!O74)</f>
        <v/>
      </c>
    </row>
    <row r="75" ht="21" customHeight="1">
      <c r="A75" s="46">
        <f>IF('Purchase Order - Order Tracker'!A75="","",'Purchase Order - Order Tracker'!A75)</f>
        <v/>
      </c>
      <c r="B75" s="46">
        <f>IF('Purchase Order - Order Tracker'!A75="","",'Purchase Order - Order Tracker'!B75)</f>
        <v/>
      </c>
      <c r="C75" s="46">
        <f>IF('Purchase Order - Order Tracker'!A75="","",'Purchase Order - Order Tracker'!C75)</f>
        <v/>
      </c>
      <c r="D75" s="46">
        <f>IF('Purchase Order - Order Tracker'!A75="","",'Purchase Order - Order Tracker'!D75)</f>
        <v/>
      </c>
      <c r="E75" s="46">
        <f>IF('Purchase Order - Order Tracker'!A75="","",'Purchase Order - Order Tracker'!H75)</f>
        <v/>
      </c>
      <c r="F75" s="46">
        <f>IF('Purchase Order - Order Tracker'!A75="","",'Purchase Order - Order Tracker'!J75)</f>
        <v/>
      </c>
      <c r="G75" s="46">
        <f>IF('Purchase Order - Order Tracker'!A75="","",'Purchase Order - Order Tracker'!K75)</f>
        <v/>
      </c>
      <c r="H75" s="41">
        <f>IF('Purchase Order - Order Tracker'!A75="","",'Purchase Order - Order Tracker'!N75)</f>
        <v/>
      </c>
      <c r="I75" s="41">
        <f>IF('Purchase Order - Order Tracker'!A75="","",'Purchase Order - Order Tracker'!O75)</f>
        <v/>
      </c>
    </row>
    <row r="76" ht="21" customHeight="1">
      <c r="A76" s="46">
        <f>IF('Purchase Order - Order Tracker'!A76="","",'Purchase Order - Order Tracker'!A76)</f>
        <v/>
      </c>
      <c r="B76" s="46">
        <f>IF('Purchase Order - Order Tracker'!A76="","",'Purchase Order - Order Tracker'!B76)</f>
        <v/>
      </c>
      <c r="C76" s="46">
        <f>IF('Purchase Order - Order Tracker'!A76="","",'Purchase Order - Order Tracker'!C76)</f>
        <v/>
      </c>
      <c r="D76" s="46">
        <f>IF('Purchase Order - Order Tracker'!A76="","",'Purchase Order - Order Tracker'!D76)</f>
        <v/>
      </c>
      <c r="E76" s="46">
        <f>IF('Purchase Order - Order Tracker'!A76="","",'Purchase Order - Order Tracker'!H76)</f>
        <v/>
      </c>
      <c r="F76" s="46">
        <f>IF('Purchase Order - Order Tracker'!A76="","",'Purchase Order - Order Tracker'!J76)</f>
        <v/>
      </c>
      <c r="G76" s="46">
        <f>IF('Purchase Order - Order Tracker'!A76="","",'Purchase Order - Order Tracker'!K76)</f>
        <v/>
      </c>
      <c r="H76" s="41">
        <f>IF('Purchase Order - Order Tracker'!A76="","",'Purchase Order - Order Tracker'!N76)</f>
        <v/>
      </c>
      <c r="I76" s="41">
        <f>IF('Purchase Order - Order Tracker'!A76="","",'Purchase Order - Order Tracker'!O76)</f>
        <v/>
      </c>
    </row>
    <row r="77" ht="21" customHeight="1">
      <c r="A77" s="46">
        <f>IF('Purchase Order - Order Tracker'!A77="","",'Purchase Order - Order Tracker'!A77)</f>
        <v/>
      </c>
      <c r="B77" s="46">
        <f>IF('Purchase Order - Order Tracker'!A77="","",'Purchase Order - Order Tracker'!B77)</f>
        <v/>
      </c>
      <c r="C77" s="46">
        <f>IF('Purchase Order - Order Tracker'!A77="","",'Purchase Order - Order Tracker'!C77)</f>
        <v/>
      </c>
      <c r="D77" s="46">
        <f>IF('Purchase Order - Order Tracker'!A77="","",'Purchase Order - Order Tracker'!D77)</f>
        <v/>
      </c>
      <c r="E77" s="46">
        <f>IF('Purchase Order - Order Tracker'!A77="","",'Purchase Order - Order Tracker'!H77)</f>
        <v/>
      </c>
      <c r="F77" s="46">
        <f>IF('Purchase Order - Order Tracker'!A77="","",'Purchase Order - Order Tracker'!J77)</f>
        <v/>
      </c>
      <c r="G77" s="46">
        <f>IF('Purchase Order - Order Tracker'!A77="","",'Purchase Order - Order Tracker'!K77)</f>
        <v/>
      </c>
      <c r="H77" s="41">
        <f>IF('Purchase Order - Order Tracker'!A77="","",'Purchase Order - Order Tracker'!N77)</f>
        <v/>
      </c>
      <c r="I77" s="41">
        <f>IF('Purchase Order - Order Tracker'!A77="","",'Purchase Order - Order Tracker'!O77)</f>
        <v/>
      </c>
    </row>
    <row r="78" ht="21" customHeight="1">
      <c r="A78" s="46">
        <f>IF('Purchase Order - Order Tracker'!A78="","",'Purchase Order - Order Tracker'!A78)</f>
        <v/>
      </c>
      <c r="B78" s="46">
        <f>IF('Purchase Order - Order Tracker'!A78="","",'Purchase Order - Order Tracker'!B78)</f>
        <v/>
      </c>
      <c r="C78" s="46">
        <f>IF('Purchase Order - Order Tracker'!A78="","",'Purchase Order - Order Tracker'!C78)</f>
        <v/>
      </c>
      <c r="D78" s="46">
        <f>IF('Purchase Order - Order Tracker'!A78="","",'Purchase Order - Order Tracker'!D78)</f>
        <v/>
      </c>
      <c r="E78" s="46">
        <f>IF('Purchase Order - Order Tracker'!A78="","",'Purchase Order - Order Tracker'!H78)</f>
        <v/>
      </c>
      <c r="F78" s="46">
        <f>IF('Purchase Order - Order Tracker'!A78="","",'Purchase Order - Order Tracker'!J78)</f>
        <v/>
      </c>
      <c r="G78" s="46">
        <f>IF('Purchase Order - Order Tracker'!A78="","",'Purchase Order - Order Tracker'!K78)</f>
        <v/>
      </c>
      <c r="H78" s="41">
        <f>IF('Purchase Order - Order Tracker'!A78="","",'Purchase Order - Order Tracker'!N78)</f>
        <v/>
      </c>
      <c r="I78" s="41">
        <f>IF('Purchase Order - Order Tracker'!A78="","",'Purchase Order - Order Tracker'!O78)</f>
        <v/>
      </c>
    </row>
    <row r="79" ht="21" customHeight="1">
      <c r="A79" s="46">
        <f>IF('Purchase Order - Order Tracker'!A79="","",'Purchase Order - Order Tracker'!A79)</f>
        <v/>
      </c>
      <c r="B79" s="46">
        <f>IF('Purchase Order - Order Tracker'!A79="","",'Purchase Order - Order Tracker'!B79)</f>
        <v/>
      </c>
      <c r="C79" s="46">
        <f>IF('Purchase Order - Order Tracker'!A79="","",'Purchase Order - Order Tracker'!C79)</f>
        <v/>
      </c>
      <c r="D79" s="46">
        <f>IF('Purchase Order - Order Tracker'!A79="","",'Purchase Order - Order Tracker'!D79)</f>
        <v/>
      </c>
      <c r="E79" s="46">
        <f>IF('Purchase Order - Order Tracker'!A79="","",'Purchase Order - Order Tracker'!H79)</f>
        <v/>
      </c>
      <c r="F79" s="46">
        <f>IF('Purchase Order - Order Tracker'!A79="","",'Purchase Order - Order Tracker'!J79)</f>
        <v/>
      </c>
      <c r="G79" s="46">
        <f>IF('Purchase Order - Order Tracker'!A79="","",'Purchase Order - Order Tracker'!K79)</f>
        <v/>
      </c>
      <c r="H79" s="41">
        <f>IF('Purchase Order - Order Tracker'!A79="","",'Purchase Order - Order Tracker'!N79)</f>
        <v/>
      </c>
      <c r="I79" s="41">
        <f>IF('Purchase Order - Order Tracker'!A79="","",'Purchase Order - Order Tracker'!O79)</f>
        <v/>
      </c>
    </row>
    <row r="80" ht="21" customHeight="1">
      <c r="A80" s="46">
        <f>IF('Purchase Order - Order Tracker'!A80="","",'Purchase Order - Order Tracker'!A80)</f>
        <v/>
      </c>
      <c r="B80" s="46">
        <f>IF('Purchase Order - Order Tracker'!A80="","",'Purchase Order - Order Tracker'!B80)</f>
        <v/>
      </c>
      <c r="C80" s="46">
        <f>IF('Purchase Order - Order Tracker'!A80="","",'Purchase Order - Order Tracker'!C80)</f>
        <v/>
      </c>
      <c r="D80" s="46">
        <f>IF('Purchase Order - Order Tracker'!A80="","",'Purchase Order - Order Tracker'!D80)</f>
        <v/>
      </c>
      <c r="E80" s="46">
        <f>IF('Purchase Order - Order Tracker'!A80="","",'Purchase Order - Order Tracker'!H80)</f>
        <v/>
      </c>
      <c r="F80" s="46">
        <f>IF('Purchase Order - Order Tracker'!A80="","",'Purchase Order - Order Tracker'!J80)</f>
        <v/>
      </c>
      <c r="G80" s="46">
        <f>IF('Purchase Order - Order Tracker'!A80="","",'Purchase Order - Order Tracker'!K80)</f>
        <v/>
      </c>
      <c r="H80" s="41">
        <f>IF('Purchase Order - Order Tracker'!A80="","",'Purchase Order - Order Tracker'!N80)</f>
        <v/>
      </c>
      <c r="I80" s="41">
        <f>IF('Purchase Order - Order Tracker'!A80="","",'Purchase Order - Order Tracker'!O80)</f>
        <v/>
      </c>
    </row>
    <row r="81" ht="21" customHeight="1">
      <c r="A81" s="46">
        <f>IF('Purchase Order - Order Tracker'!A81="","",'Purchase Order - Order Tracker'!A81)</f>
        <v/>
      </c>
      <c r="B81" s="46">
        <f>IF('Purchase Order - Order Tracker'!A81="","",'Purchase Order - Order Tracker'!B81)</f>
        <v/>
      </c>
      <c r="C81" s="46">
        <f>IF('Purchase Order - Order Tracker'!A81="","",'Purchase Order - Order Tracker'!C81)</f>
        <v/>
      </c>
      <c r="D81" s="46">
        <f>IF('Purchase Order - Order Tracker'!A81="","",'Purchase Order - Order Tracker'!D81)</f>
        <v/>
      </c>
      <c r="E81" s="46">
        <f>IF('Purchase Order - Order Tracker'!A81="","",'Purchase Order - Order Tracker'!H81)</f>
        <v/>
      </c>
      <c r="F81" s="46">
        <f>IF('Purchase Order - Order Tracker'!A81="","",'Purchase Order - Order Tracker'!J81)</f>
        <v/>
      </c>
      <c r="G81" s="46">
        <f>IF('Purchase Order - Order Tracker'!A81="","",'Purchase Order - Order Tracker'!K81)</f>
        <v/>
      </c>
      <c r="H81" s="41">
        <f>IF('Purchase Order - Order Tracker'!A81="","",'Purchase Order - Order Tracker'!N81)</f>
        <v/>
      </c>
      <c r="I81" s="41">
        <f>IF('Purchase Order - Order Tracker'!A81="","",'Purchase Order - Order Tracker'!O81)</f>
        <v/>
      </c>
    </row>
    <row r="82" ht="21" customHeight="1">
      <c r="A82" s="46">
        <f>IF('Purchase Order - Order Tracker'!A82="","",'Purchase Order - Order Tracker'!A82)</f>
        <v/>
      </c>
      <c r="B82" s="46">
        <f>IF('Purchase Order - Order Tracker'!A82="","",'Purchase Order - Order Tracker'!B82)</f>
        <v/>
      </c>
      <c r="C82" s="46">
        <f>IF('Purchase Order - Order Tracker'!A82="","",'Purchase Order - Order Tracker'!C82)</f>
        <v/>
      </c>
      <c r="D82" s="46">
        <f>IF('Purchase Order - Order Tracker'!A82="","",'Purchase Order - Order Tracker'!D82)</f>
        <v/>
      </c>
      <c r="E82" s="46">
        <f>IF('Purchase Order - Order Tracker'!A82="","",'Purchase Order - Order Tracker'!H82)</f>
        <v/>
      </c>
      <c r="F82" s="46">
        <f>IF('Purchase Order - Order Tracker'!A82="","",'Purchase Order - Order Tracker'!J82)</f>
        <v/>
      </c>
      <c r="G82" s="46">
        <f>IF('Purchase Order - Order Tracker'!A82="","",'Purchase Order - Order Tracker'!K82)</f>
        <v/>
      </c>
      <c r="H82" s="41">
        <f>IF('Purchase Order - Order Tracker'!A82="","",'Purchase Order - Order Tracker'!N82)</f>
        <v/>
      </c>
      <c r="I82" s="41">
        <f>IF('Purchase Order - Order Tracker'!A82="","",'Purchase Order - Order Tracker'!O82)</f>
        <v/>
      </c>
    </row>
    <row r="83" ht="21" customHeight="1">
      <c r="A83" s="46">
        <f>IF('Purchase Order - Order Tracker'!A83="","",'Purchase Order - Order Tracker'!A83)</f>
        <v/>
      </c>
      <c r="B83" s="46">
        <f>IF('Purchase Order - Order Tracker'!A83="","",'Purchase Order - Order Tracker'!B83)</f>
        <v/>
      </c>
      <c r="C83" s="46">
        <f>IF('Purchase Order - Order Tracker'!A83="","",'Purchase Order - Order Tracker'!C83)</f>
        <v/>
      </c>
      <c r="D83" s="46">
        <f>IF('Purchase Order - Order Tracker'!A83="","",'Purchase Order - Order Tracker'!D83)</f>
        <v/>
      </c>
      <c r="E83" s="46">
        <f>IF('Purchase Order - Order Tracker'!A83="","",'Purchase Order - Order Tracker'!H83)</f>
        <v/>
      </c>
      <c r="F83" s="46">
        <f>IF('Purchase Order - Order Tracker'!A83="","",'Purchase Order - Order Tracker'!J83)</f>
        <v/>
      </c>
      <c r="G83" s="46">
        <f>IF('Purchase Order - Order Tracker'!A83="","",'Purchase Order - Order Tracker'!K83)</f>
        <v/>
      </c>
      <c r="H83" s="41">
        <f>IF('Purchase Order - Order Tracker'!A83="","",'Purchase Order - Order Tracker'!N83)</f>
        <v/>
      </c>
      <c r="I83" s="41">
        <f>IF('Purchase Order - Order Tracker'!A83="","",'Purchase Order - Order Tracker'!O83)</f>
        <v/>
      </c>
    </row>
    <row r="84" ht="21" customHeight="1">
      <c r="A84" s="46">
        <f>IF('Purchase Order - Order Tracker'!A84="","",'Purchase Order - Order Tracker'!A84)</f>
        <v/>
      </c>
      <c r="B84" s="46">
        <f>IF('Purchase Order - Order Tracker'!A84="","",'Purchase Order - Order Tracker'!B84)</f>
        <v/>
      </c>
      <c r="C84" s="46">
        <f>IF('Purchase Order - Order Tracker'!A84="","",'Purchase Order - Order Tracker'!C84)</f>
        <v/>
      </c>
      <c r="D84" s="46">
        <f>IF('Purchase Order - Order Tracker'!A84="","",'Purchase Order - Order Tracker'!D84)</f>
        <v/>
      </c>
      <c r="E84" s="46">
        <f>IF('Purchase Order - Order Tracker'!A84="","",'Purchase Order - Order Tracker'!H84)</f>
        <v/>
      </c>
      <c r="F84" s="46">
        <f>IF('Purchase Order - Order Tracker'!A84="","",'Purchase Order - Order Tracker'!J84)</f>
        <v/>
      </c>
      <c r="G84" s="46">
        <f>IF('Purchase Order - Order Tracker'!A84="","",'Purchase Order - Order Tracker'!K84)</f>
        <v/>
      </c>
      <c r="H84" s="41">
        <f>IF('Purchase Order - Order Tracker'!A84="","",'Purchase Order - Order Tracker'!N84)</f>
        <v/>
      </c>
      <c r="I84" s="41">
        <f>IF('Purchase Order - Order Tracker'!A84="","",'Purchase Order - Order Tracker'!O84)</f>
        <v/>
      </c>
    </row>
    <row r="85" ht="21" customHeight="1">
      <c r="A85" s="46">
        <f>IF('Purchase Order - Order Tracker'!A85="","",'Purchase Order - Order Tracker'!A85)</f>
        <v/>
      </c>
      <c r="B85" s="46">
        <f>IF('Purchase Order - Order Tracker'!A85="","",'Purchase Order - Order Tracker'!B85)</f>
        <v/>
      </c>
      <c r="C85" s="46">
        <f>IF('Purchase Order - Order Tracker'!A85="","",'Purchase Order - Order Tracker'!C85)</f>
        <v/>
      </c>
      <c r="D85" s="46">
        <f>IF('Purchase Order - Order Tracker'!A85="","",'Purchase Order - Order Tracker'!D85)</f>
        <v/>
      </c>
      <c r="E85" s="46">
        <f>IF('Purchase Order - Order Tracker'!A85="","",'Purchase Order - Order Tracker'!H85)</f>
        <v/>
      </c>
      <c r="F85" s="46">
        <f>IF('Purchase Order - Order Tracker'!A85="","",'Purchase Order - Order Tracker'!J85)</f>
        <v/>
      </c>
      <c r="G85" s="46">
        <f>IF('Purchase Order - Order Tracker'!A85="","",'Purchase Order - Order Tracker'!K85)</f>
        <v/>
      </c>
      <c r="H85" s="41">
        <f>IF('Purchase Order - Order Tracker'!A85="","",'Purchase Order - Order Tracker'!N85)</f>
        <v/>
      </c>
      <c r="I85" s="41">
        <f>IF('Purchase Order - Order Tracker'!A85="","",'Purchase Order - Order Tracker'!O85)</f>
        <v/>
      </c>
    </row>
    <row r="86" ht="21" customHeight="1">
      <c r="A86" s="46">
        <f>IF('Purchase Order - Order Tracker'!A86="","",'Purchase Order - Order Tracker'!A86)</f>
        <v/>
      </c>
      <c r="B86" s="46">
        <f>IF('Purchase Order - Order Tracker'!A86="","",'Purchase Order - Order Tracker'!B86)</f>
        <v/>
      </c>
      <c r="C86" s="46">
        <f>IF('Purchase Order - Order Tracker'!A86="","",'Purchase Order - Order Tracker'!C86)</f>
        <v/>
      </c>
      <c r="D86" s="46">
        <f>IF('Purchase Order - Order Tracker'!A86="","",'Purchase Order - Order Tracker'!D86)</f>
        <v/>
      </c>
      <c r="E86" s="46">
        <f>IF('Purchase Order - Order Tracker'!A86="","",'Purchase Order - Order Tracker'!H86)</f>
        <v/>
      </c>
      <c r="F86" s="46">
        <f>IF('Purchase Order - Order Tracker'!A86="","",'Purchase Order - Order Tracker'!J86)</f>
        <v/>
      </c>
      <c r="G86" s="46">
        <f>IF('Purchase Order - Order Tracker'!A86="","",'Purchase Order - Order Tracker'!K86)</f>
        <v/>
      </c>
      <c r="H86" s="41">
        <f>IF('Purchase Order - Order Tracker'!A86="","",'Purchase Order - Order Tracker'!N86)</f>
        <v/>
      </c>
      <c r="I86" s="41">
        <f>IF('Purchase Order - Order Tracker'!A86="","",'Purchase Order - Order Tracker'!O86)</f>
        <v/>
      </c>
    </row>
    <row r="87" ht="21" customHeight="1">
      <c r="A87" s="46">
        <f>IF('Purchase Order - Order Tracker'!A87="","",'Purchase Order - Order Tracker'!A87)</f>
        <v/>
      </c>
      <c r="B87" s="46">
        <f>IF('Purchase Order - Order Tracker'!A87="","",'Purchase Order - Order Tracker'!B87)</f>
        <v/>
      </c>
      <c r="C87" s="46">
        <f>IF('Purchase Order - Order Tracker'!A87="","",'Purchase Order - Order Tracker'!C87)</f>
        <v/>
      </c>
      <c r="D87" s="46">
        <f>IF('Purchase Order - Order Tracker'!A87="","",'Purchase Order - Order Tracker'!D87)</f>
        <v/>
      </c>
      <c r="E87" s="46">
        <f>IF('Purchase Order - Order Tracker'!A87="","",'Purchase Order - Order Tracker'!H87)</f>
        <v/>
      </c>
      <c r="F87" s="46">
        <f>IF('Purchase Order - Order Tracker'!A87="","",'Purchase Order - Order Tracker'!J87)</f>
        <v/>
      </c>
      <c r="G87" s="46">
        <f>IF('Purchase Order - Order Tracker'!A87="","",'Purchase Order - Order Tracker'!K87)</f>
        <v/>
      </c>
      <c r="H87" s="41">
        <f>IF('Purchase Order - Order Tracker'!A87="","",'Purchase Order - Order Tracker'!N87)</f>
        <v/>
      </c>
      <c r="I87" s="41">
        <f>IF('Purchase Order - Order Tracker'!A87="","",'Purchase Order - Order Tracker'!O87)</f>
        <v/>
      </c>
    </row>
    <row r="88" ht="21" customHeight="1">
      <c r="A88" s="46">
        <f>IF('Purchase Order - Order Tracker'!A88="","",'Purchase Order - Order Tracker'!A88)</f>
        <v/>
      </c>
      <c r="B88" s="46">
        <f>IF('Purchase Order - Order Tracker'!A88="","",'Purchase Order - Order Tracker'!B88)</f>
        <v/>
      </c>
      <c r="C88" s="46">
        <f>IF('Purchase Order - Order Tracker'!A88="","",'Purchase Order - Order Tracker'!C88)</f>
        <v/>
      </c>
      <c r="D88" s="46">
        <f>IF('Purchase Order - Order Tracker'!A88="","",'Purchase Order - Order Tracker'!D88)</f>
        <v/>
      </c>
      <c r="E88" s="46">
        <f>IF('Purchase Order - Order Tracker'!A88="","",'Purchase Order - Order Tracker'!H88)</f>
        <v/>
      </c>
      <c r="F88" s="46">
        <f>IF('Purchase Order - Order Tracker'!A88="","",'Purchase Order - Order Tracker'!J88)</f>
        <v/>
      </c>
      <c r="G88" s="46">
        <f>IF('Purchase Order - Order Tracker'!A88="","",'Purchase Order - Order Tracker'!K88)</f>
        <v/>
      </c>
      <c r="H88" s="41">
        <f>IF('Purchase Order - Order Tracker'!A88="","",'Purchase Order - Order Tracker'!N88)</f>
        <v/>
      </c>
      <c r="I88" s="41">
        <f>IF('Purchase Order - Order Tracker'!A88="","",'Purchase Order - Order Tracker'!O88)</f>
        <v/>
      </c>
    </row>
    <row r="89" ht="21" customHeight="1">
      <c r="A89" s="46">
        <f>IF('Purchase Order - Order Tracker'!A89="","",'Purchase Order - Order Tracker'!A89)</f>
        <v/>
      </c>
      <c r="B89" s="46">
        <f>IF('Purchase Order - Order Tracker'!A89="","",'Purchase Order - Order Tracker'!B89)</f>
        <v/>
      </c>
      <c r="C89" s="46">
        <f>IF('Purchase Order - Order Tracker'!A89="","",'Purchase Order - Order Tracker'!C89)</f>
        <v/>
      </c>
      <c r="D89" s="46">
        <f>IF('Purchase Order - Order Tracker'!A89="","",'Purchase Order - Order Tracker'!D89)</f>
        <v/>
      </c>
      <c r="E89" s="46">
        <f>IF('Purchase Order - Order Tracker'!A89="","",'Purchase Order - Order Tracker'!H89)</f>
        <v/>
      </c>
      <c r="F89" s="46">
        <f>IF('Purchase Order - Order Tracker'!A89="","",'Purchase Order - Order Tracker'!J89)</f>
        <v/>
      </c>
      <c r="G89" s="46">
        <f>IF('Purchase Order - Order Tracker'!A89="","",'Purchase Order - Order Tracker'!K89)</f>
        <v/>
      </c>
      <c r="H89" s="41">
        <f>IF('Purchase Order - Order Tracker'!A89="","",'Purchase Order - Order Tracker'!N89)</f>
        <v/>
      </c>
      <c r="I89" s="41">
        <f>IF('Purchase Order - Order Tracker'!A89="","",'Purchase Order - Order Tracker'!O89)</f>
        <v/>
      </c>
    </row>
    <row r="90" ht="21" customHeight="1">
      <c r="A90" s="46">
        <f>IF('Purchase Order - Order Tracker'!A90="","",'Purchase Order - Order Tracker'!A90)</f>
        <v/>
      </c>
      <c r="B90" s="46">
        <f>IF('Purchase Order - Order Tracker'!A90="","",'Purchase Order - Order Tracker'!B90)</f>
        <v/>
      </c>
      <c r="C90" s="46">
        <f>IF('Purchase Order - Order Tracker'!A90="","",'Purchase Order - Order Tracker'!C90)</f>
        <v/>
      </c>
      <c r="D90" s="46">
        <f>IF('Purchase Order - Order Tracker'!A90="","",'Purchase Order - Order Tracker'!D90)</f>
        <v/>
      </c>
      <c r="E90" s="46">
        <f>IF('Purchase Order - Order Tracker'!A90="","",'Purchase Order - Order Tracker'!H90)</f>
        <v/>
      </c>
      <c r="F90" s="46">
        <f>IF('Purchase Order - Order Tracker'!A90="","",'Purchase Order - Order Tracker'!J90)</f>
        <v/>
      </c>
      <c r="G90" s="46">
        <f>IF('Purchase Order - Order Tracker'!A90="","",'Purchase Order - Order Tracker'!K90)</f>
        <v/>
      </c>
      <c r="H90" s="41">
        <f>IF('Purchase Order - Order Tracker'!A90="","",'Purchase Order - Order Tracker'!N90)</f>
        <v/>
      </c>
      <c r="I90" s="41">
        <f>IF('Purchase Order - Order Tracker'!A90="","",'Purchase Order - Order Tracker'!O90)</f>
        <v/>
      </c>
    </row>
    <row r="91" ht="21" customHeight="1">
      <c r="A91" s="46">
        <f>IF('Purchase Order - Order Tracker'!A91="","",'Purchase Order - Order Tracker'!A91)</f>
        <v/>
      </c>
      <c r="B91" s="46">
        <f>IF('Purchase Order - Order Tracker'!A91="","",'Purchase Order - Order Tracker'!B91)</f>
        <v/>
      </c>
      <c r="C91" s="46">
        <f>IF('Purchase Order - Order Tracker'!A91="","",'Purchase Order - Order Tracker'!C91)</f>
        <v/>
      </c>
      <c r="D91" s="46">
        <f>IF('Purchase Order - Order Tracker'!A91="","",'Purchase Order - Order Tracker'!D91)</f>
        <v/>
      </c>
      <c r="E91" s="46">
        <f>IF('Purchase Order - Order Tracker'!A91="","",'Purchase Order - Order Tracker'!H91)</f>
        <v/>
      </c>
      <c r="F91" s="46">
        <f>IF('Purchase Order - Order Tracker'!A91="","",'Purchase Order - Order Tracker'!J91)</f>
        <v/>
      </c>
      <c r="G91" s="46">
        <f>IF('Purchase Order - Order Tracker'!A91="","",'Purchase Order - Order Tracker'!K91)</f>
        <v/>
      </c>
      <c r="H91" s="41">
        <f>IF('Purchase Order - Order Tracker'!A91="","",'Purchase Order - Order Tracker'!N91)</f>
        <v/>
      </c>
      <c r="I91" s="41">
        <f>IF('Purchase Order - Order Tracker'!A91="","",'Purchase Order - Order Tracker'!O91)</f>
        <v/>
      </c>
    </row>
    <row r="92" ht="21" customHeight="1">
      <c r="A92" s="46">
        <f>IF('Purchase Order - Order Tracker'!A92="","",'Purchase Order - Order Tracker'!A92)</f>
        <v/>
      </c>
      <c r="B92" s="46">
        <f>IF('Purchase Order - Order Tracker'!A92="","",'Purchase Order - Order Tracker'!B92)</f>
        <v/>
      </c>
      <c r="C92" s="46">
        <f>IF('Purchase Order - Order Tracker'!A92="","",'Purchase Order - Order Tracker'!C92)</f>
        <v/>
      </c>
      <c r="D92" s="46">
        <f>IF('Purchase Order - Order Tracker'!A92="","",'Purchase Order - Order Tracker'!D92)</f>
        <v/>
      </c>
      <c r="E92" s="46">
        <f>IF('Purchase Order - Order Tracker'!A92="","",'Purchase Order - Order Tracker'!H92)</f>
        <v/>
      </c>
      <c r="F92" s="46">
        <f>IF('Purchase Order - Order Tracker'!A92="","",'Purchase Order - Order Tracker'!J92)</f>
        <v/>
      </c>
      <c r="G92" s="46">
        <f>IF('Purchase Order - Order Tracker'!A92="","",'Purchase Order - Order Tracker'!K92)</f>
        <v/>
      </c>
      <c r="H92" s="41">
        <f>IF('Purchase Order - Order Tracker'!A92="","",'Purchase Order - Order Tracker'!N92)</f>
        <v/>
      </c>
      <c r="I92" s="41">
        <f>IF('Purchase Order - Order Tracker'!A92="","",'Purchase Order - Order Tracker'!O92)</f>
        <v/>
      </c>
    </row>
    <row r="93" ht="21" customHeight="1">
      <c r="A93" s="46">
        <f>IF('Purchase Order - Order Tracker'!A93="","",'Purchase Order - Order Tracker'!A93)</f>
        <v/>
      </c>
      <c r="B93" s="46">
        <f>IF('Purchase Order - Order Tracker'!A93="","",'Purchase Order - Order Tracker'!B93)</f>
        <v/>
      </c>
      <c r="C93" s="46">
        <f>IF('Purchase Order - Order Tracker'!A93="","",'Purchase Order - Order Tracker'!C93)</f>
        <v/>
      </c>
      <c r="D93" s="46">
        <f>IF('Purchase Order - Order Tracker'!A93="","",'Purchase Order - Order Tracker'!D93)</f>
        <v/>
      </c>
      <c r="E93" s="46">
        <f>IF('Purchase Order - Order Tracker'!A93="","",'Purchase Order - Order Tracker'!H93)</f>
        <v/>
      </c>
      <c r="F93" s="46">
        <f>IF('Purchase Order - Order Tracker'!A93="","",'Purchase Order - Order Tracker'!J93)</f>
        <v/>
      </c>
      <c r="G93" s="46">
        <f>IF('Purchase Order - Order Tracker'!A93="","",'Purchase Order - Order Tracker'!K93)</f>
        <v/>
      </c>
      <c r="H93" s="41">
        <f>IF('Purchase Order - Order Tracker'!A93="","",'Purchase Order - Order Tracker'!N93)</f>
        <v/>
      </c>
      <c r="I93" s="41">
        <f>IF('Purchase Order - Order Tracker'!A93="","",'Purchase Order - Order Tracker'!O93)</f>
        <v/>
      </c>
    </row>
    <row r="94" ht="21" customHeight="1">
      <c r="A94" s="46">
        <f>IF('Purchase Order - Order Tracker'!A94="","",'Purchase Order - Order Tracker'!A94)</f>
        <v/>
      </c>
      <c r="B94" s="46">
        <f>IF('Purchase Order - Order Tracker'!A94="","",'Purchase Order - Order Tracker'!B94)</f>
        <v/>
      </c>
      <c r="C94" s="46">
        <f>IF('Purchase Order - Order Tracker'!A94="","",'Purchase Order - Order Tracker'!C94)</f>
        <v/>
      </c>
      <c r="D94" s="46">
        <f>IF('Purchase Order - Order Tracker'!A94="","",'Purchase Order - Order Tracker'!D94)</f>
        <v/>
      </c>
      <c r="E94" s="46">
        <f>IF('Purchase Order - Order Tracker'!A94="","",'Purchase Order - Order Tracker'!H94)</f>
        <v/>
      </c>
      <c r="F94" s="46">
        <f>IF('Purchase Order - Order Tracker'!A94="","",'Purchase Order - Order Tracker'!J94)</f>
        <v/>
      </c>
      <c r="G94" s="46">
        <f>IF('Purchase Order - Order Tracker'!A94="","",'Purchase Order - Order Tracker'!K94)</f>
        <v/>
      </c>
      <c r="H94" s="41">
        <f>IF('Purchase Order - Order Tracker'!A94="","",'Purchase Order - Order Tracker'!N94)</f>
        <v/>
      </c>
      <c r="I94" s="41">
        <f>IF('Purchase Order - Order Tracker'!A94="","",'Purchase Order - Order Tracker'!O94)</f>
        <v/>
      </c>
    </row>
    <row r="95" ht="21" customHeight="1">
      <c r="A95" s="46">
        <f>IF('Purchase Order - Order Tracker'!A95="","",'Purchase Order - Order Tracker'!A95)</f>
        <v/>
      </c>
      <c r="B95" s="46">
        <f>IF('Purchase Order - Order Tracker'!A95="","",'Purchase Order - Order Tracker'!B95)</f>
        <v/>
      </c>
      <c r="C95" s="46">
        <f>IF('Purchase Order - Order Tracker'!A95="","",'Purchase Order - Order Tracker'!C95)</f>
        <v/>
      </c>
      <c r="D95" s="46">
        <f>IF('Purchase Order - Order Tracker'!A95="","",'Purchase Order - Order Tracker'!D95)</f>
        <v/>
      </c>
      <c r="E95" s="46">
        <f>IF('Purchase Order - Order Tracker'!A95="","",'Purchase Order - Order Tracker'!H95)</f>
        <v/>
      </c>
      <c r="F95" s="46">
        <f>IF('Purchase Order - Order Tracker'!A95="","",'Purchase Order - Order Tracker'!J95)</f>
        <v/>
      </c>
      <c r="G95" s="46">
        <f>IF('Purchase Order - Order Tracker'!A95="","",'Purchase Order - Order Tracker'!K95)</f>
        <v/>
      </c>
      <c r="H95" s="41">
        <f>IF('Purchase Order - Order Tracker'!A95="","",'Purchase Order - Order Tracker'!N95)</f>
        <v/>
      </c>
      <c r="I95" s="41">
        <f>IF('Purchase Order - Order Tracker'!A95="","",'Purchase Order - Order Tracker'!O95)</f>
        <v/>
      </c>
    </row>
    <row r="96" ht="21" customHeight="1">
      <c r="A96" s="46">
        <f>IF('Purchase Order - Order Tracker'!A96="","",'Purchase Order - Order Tracker'!A96)</f>
        <v/>
      </c>
      <c r="B96" s="46">
        <f>IF('Purchase Order - Order Tracker'!A96="","",'Purchase Order - Order Tracker'!B96)</f>
        <v/>
      </c>
      <c r="C96" s="46">
        <f>IF('Purchase Order - Order Tracker'!A96="","",'Purchase Order - Order Tracker'!C96)</f>
        <v/>
      </c>
      <c r="D96" s="46">
        <f>IF('Purchase Order - Order Tracker'!A96="","",'Purchase Order - Order Tracker'!D96)</f>
        <v/>
      </c>
      <c r="E96" s="46">
        <f>IF('Purchase Order - Order Tracker'!A96="","",'Purchase Order - Order Tracker'!H96)</f>
        <v/>
      </c>
      <c r="F96" s="46">
        <f>IF('Purchase Order - Order Tracker'!A96="","",'Purchase Order - Order Tracker'!J96)</f>
        <v/>
      </c>
      <c r="G96" s="46">
        <f>IF('Purchase Order - Order Tracker'!A96="","",'Purchase Order - Order Tracker'!K96)</f>
        <v/>
      </c>
      <c r="H96" s="41">
        <f>IF('Purchase Order - Order Tracker'!A96="","",'Purchase Order - Order Tracker'!N96)</f>
        <v/>
      </c>
      <c r="I96" s="41">
        <f>IF('Purchase Order - Order Tracker'!A96="","",'Purchase Order - Order Tracker'!O96)</f>
        <v/>
      </c>
    </row>
    <row r="97" ht="21" customHeight="1">
      <c r="A97" s="46">
        <f>IF('Purchase Order - Order Tracker'!A97="","",'Purchase Order - Order Tracker'!A97)</f>
        <v/>
      </c>
      <c r="B97" s="46">
        <f>IF('Purchase Order - Order Tracker'!A97="","",'Purchase Order - Order Tracker'!B97)</f>
        <v/>
      </c>
      <c r="C97" s="46">
        <f>IF('Purchase Order - Order Tracker'!A97="","",'Purchase Order - Order Tracker'!C97)</f>
        <v/>
      </c>
      <c r="D97" s="46">
        <f>IF('Purchase Order - Order Tracker'!A97="","",'Purchase Order - Order Tracker'!D97)</f>
        <v/>
      </c>
      <c r="E97" s="46">
        <f>IF('Purchase Order - Order Tracker'!A97="","",'Purchase Order - Order Tracker'!H97)</f>
        <v/>
      </c>
      <c r="F97" s="46">
        <f>IF('Purchase Order - Order Tracker'!A97="","",'Purchase Order - Order Tracker'!J97)</f>
        <v/>
      </c>
      <c r="G97" s="46">
        <f>IF('Purchase Order - Order Tracker'!A97="","",'Purchase Order - Order Tracker'!K97)</f>
        <v/>
      </c>
      <c r="H97" s="41">
        <f>IF('Purchase Order - Order Tracker'!A97="","",'Purchase Order - Order Tracker'!N97)</f>
        <v/>
      </c>
      <c r="I97" s="41">
        <f>IF('Purchase Order - Order Tracker'!A97="","",'Purchase Order - Order Tracker'!O97)</f>
        <v/>
      </c>
    </row>
    <row r="98" ht="21" customHeight="1">
      <c r="A98" s="46">
        <f>IF('Purchase Order - Order Tracker'!A98="","",'Purchase Order - Order Tracker'!A98)</f>
        <v/>
      </c>
      <c r="B98" s="46">
        <f>IF('Purchase Order - Order Tracker'!A98="","",'Purchase Order - Order Tracker'!B98)</f>
        <v/>
      </c>
      <c r="C98" s="46">
        <f>IF('Purchase Order - Order Tracker'!A98="","",'Purchase Order - Order Tracker'!C98)</f>
        <v/>
      </c>
      <c r="D98" s="46">
        <f>IF('Purchase Order - Order Tracker'!A98="","",'Purchase Order - Order Tracker'!D98)</f>
        <v/>
      </c>
      <c r="E98" s="46">
        <f>IF('Purchase Order - Order Tracker'!A98="","",'Purchase Order - Order Tracker'!H98)</f>
        <v/>
      </c>
      <c r="F98" s="46">
        <f>IF('Purchase Order - Order Tracker'!A98="","",'Purchase Order - Order Tracker'!J98)</f>
        <v/>
      </c>
      <c r="G98" s="46">
        <f>IF('Purchase Order - Order Tracker'!A98="","",'Purchase Order - Order Tracker'!K98)</f>
        <v/>
      </c>
      <c r="H98" s="41">
        <f>IF('Purchase Order - Order Tracker'!A98="","",'Purchase Order - Order Tracker'!N98)</f>
        <v/>
      </c>
      <c r="I98" s="41">
        <f>IF('Purchase Order - Order Tracker'!A98="","",'Purchase Order - Order Tracker'!O98)</f>
        <v/>
      </c>
    </row>
    <row r="99" ht="21" customHeight="1">
      <c r="A99" s="46">
        <f>IF('Purchase Order - Order Tracker'!A99="","",'Purchase Order - Order Tracker'!A99)</f>
        <v/>
      </c>
      <c r="B99" s="46">
        <f>IF('Purchase Order - Order Tracker'!A99="","",'Purchase Order - Order Tracker'!B99)</f>
        <v/>
      </c>
      <c r="C99" s="46">
        <f>IF('Purchase Order - Order Tracker'!A99="","",'Purchase Order - Order Tracker'!C99)</f>
        <v/>
      </c>
      <c r="D99" s="46">
        <f>IF('Purchase Order - Order Tracker'!A99="","",'Purchase Order - Order Tracker'!D99)</f>
        <v/>
      </c>
      <c r="E99" s="46">
        <f>IF('Purchase Order - Order Tracker'!A99="","",'Purchase Order - Order Tracker'!H99)</f>
        <v/>
      </c>
      <c r="F99" s="46">
        <f>IF('Purchase Order - Order Tracker'!A99="","",'Purchase Order - Order Tracker'!J99)</f>
        <v/>
      </c>
      <c r="G99" s="46">
        <f>IF('Purchase Order - Order Tracker'!A99="","",'Purchase Order - Order Tracker'!K99)</f>
        <v/>
      </c>
      <c r="H99" s="41">
        <f>IF('Purchase Order - Order Tracker'!A99="","",'Purchase Order - Order Tracker'!N99)</f>
        <v/>
      </c>
      <c r="I99" s="41">
        <f>IF('Purchase Order - Order Tracker'!A99="","",'Purchase Order - Order Tracker'!O99)</f>
        <v/>
      </c>
    </row>
    <row r="100" ht="21" customHeight="1">
      <c r="A100" s="46">
        <f>IF('Purchase Order - Order Tracker'!A100="","",'Purchase Order - Order Tracker'!A100)</f>
        <v/>
      </c>
      <c r="B100" s="46">
        <f>IF('Purchase Order - Order Tracker'!A100="","",'Purchase Order - Order Tracker'!B100)</f>
        <v/>
      </c>
      <c r="C100" s="46">
        <f>IF('Purchase Order - Order Tracker'!A100="","",'Purchase Order - Order Tracker'!C100)</f>
        <v/>
      </c>
      <c r="D100" s="46">
        <f>IF('Purchase Order - Order Tracker'!A100="","",'Purchase Order - Order Tracker'!D100)</f>
        <v/>
      </c>
      <c r="E100" s="46">
        <f>IF('Purchase Order - Order Tracker'!A100="","",'Purchase Order - Order Tracker'!H100)</f>
        <v/>
      </c>
      <c r="F100" s="46">
        <f>IF('Purchase Order - Order Tracker'!A100="","",'Purchase Order - Order Tracker'!J100)</f>
        <v/>
      </c>
      <c r="G100" s="46">
        <f>IF('Purchase Order - Order Tracker'!A100="","",'Purchase Order - Order Tracker'!K100)</f>
        <v/>
      </c>
      <c r="H100" s="41">
        <f>IF('Purchase Order - Order Tracker'!A100="","",'Purchase Order - Order Tracker'!N100)</f>
        <v/>
      </c>
      <c r="I100" s="41">
        <f>IF('Purchase Order - Order Tracker'!A100="","",'Purchase Order - Order Tracker'!O100)</f>
        <v/>
      </c>
    </row>
    <row r="101" ht="21" customHeight="1">
      <c r="A101" s="46">
        <f>IF('Purchase Order - Order Tracker'!A101="","",'Purchase Order - Order Tracker'!A101)</f>
        <v/>
      </c>
      <c r="B101" s="46">
        <f>IF('Purchase Order - Order Tracker'!A101="","",'Purchase Order - Order Tracker'!B101)</f>
        <v/>
      </c>
      <c r="C101" s="46">
        <f>IF('Purchase Order - Order Tracker'!A101="","",'Purchase Order - Order Tracker'!C101)</f>
        <v/>
      </c>
      <c r="D101" s="46">
        <f>IF('Purchase Order - Order Tracker'!A101="","",'Purchase Order - Order Tracker'!D101)</f>
        <v/>
      </c>
      <c r="E101" s="46">
        <f>IF('Purchase Order - Order Tracker'!A101="","",'Purchase Order - Order Tracker'!H101)</f>
        <v/>
      </c>
      <c r="F101" s="46">
        <f>IF('Purchase Order - Order Tracker'!A101="","",'Purchase Order - Order Tracker'!J101)</f>
        <v/>
      </c>
      <c r="G101" s="46">
        <f>IF('Purchase Order - Order Tracker'!A101="","",'Purchase Order - Order Tracker'!K101)</f>
        <v/>
      </c>
      <c r="H101" s="41">
        <f>IF('Purchase Order - Order Tracker'!A101="","",'Purchase Order - Order Tracker'!N101)</f>
        <v/>
      </c>
      <c r="I101" s="41">
        <f>IF('Purchase Order - Order Tracker'!A101="","",'Purchase Order - Order Tracker'!O101)</f>
        <v/>
      </c>
    </row>
    <row r="102" ht="21" customHeight="1">
      <c r="A102" s="46">
        <f>IF('Purchase Order - Order Tracker'!A102="","",'Purchase Order - Order Tracker'!A102)</f>
        <v/>
      </c>
      <c r="B102" s="46">
        <f>IF('Purchase Order - Order Tracker'!A102="","",'Purchase Order - Order Tracker'!B102)</f>
        <v/>
      </c>
      <c r="C102" s="46">
        <f>IF('Purchase Order - Order Tracker'!A102="","",'Purchase Order - Order Tracker'!C102)</f>
        <v/>
      </c>
      <c r="D102" s="46">
        <f>IF('Purchase Order - Order Tracker'!A102="","",'Purchase Order - Order Tracker'!D102)</f>
        <v/>
      </c>
      <c r="E102" s="46">
        <f>IF('Purchase Order - Order Tracker'!A102="","",'Purchase Order - Order Tracker'!H102)</f>
        <v/>
      </c>
      <c r="F102" s="46">
        <f>IF('Purchase Order - Order Tracker'!A102="","",'Purchase Order - Order Tracker'!J102)</f>
        <v/>
      </c>
      <c r="G102" s="46">
        <f>IF('Purchase Order - Order Tracker'!A102="","",'Purchase Order - Order Tracker'!K102)</f>
        <v/>
      </c>
      <c r="H102" s="41">
        <f>IF('Purchase Order - Order Tracker'!A102="","",'Purchase Order - Order Tracker'!N102)</f>
        <v/>
      </c>
      <c r="I102" s="41">
        <f>IF('Purchase Order - Order Tracker'!A102="","",'Purchase Order - Order Tracker'!O102)</f>
        <v/>
      </c>
    </row>
    <row r="103" ht="21" customHeight="1">
      <c r="A103" s="46">
        <f>IF('Purchase Order - Order Tracker'!A103="","",'Purchase Order - Order Tracker'!A103)</f>
        <v/>
      </c>
      <c r="B103" s="46">
        <f>IF('Purchase Order - Order Tracker'!A103="","",'Purchase Order - Order Tracker'!B103)</f>
        <v/>
      </c>
      <c r="C103" s="46">
        <f>IF('Purchase Order - Order Tracker'!A103="","",'Purchase Order - Order Tracker'!C103)</f>
        <v/>
      </c>
      <c r="D103" s="46">
        <f>IF('Purchase Order - Order Tracker'!A103="","",'Purchase Order - Order Tracker'!D103)</f>
        <v/>
      </c>
      <c r="E103" s="46">
        <f>IF('Purchase Order - Order Tracker'!A103="","",'Purchase Order - Order Tracker'!H103)</f>
        <v/>
      </c>
      <c r="F103" s="46">
        <f>IF('Purchase Order - Order Tracker'!A103="","",'Purchase Order - Order Tracker'!J103)</f>
        <v/>
      </c>
      <c r="G103" s="46">
        <f>IF('Purchase Order - Order Tracker'!A103="","",'Purchase Order - Order Tracker'!K103)</f>
        <v/>
      </c>
      <c r="H103" s="41">
        <f>IF('Purchase Order - Order Tracker'!A103="","",'Purchase Order - Order Tracker'!N103)</f>
        <v/>
      </c>
      <c r="I103" s="41">
        <f>IF('Purchase Order - Order Tracker'!A103="","",'Purchase Order - Order Tracker'!O103)</f>
        <v/>
      </c>
    </row>
    <row r="104" ht="21" customHeight="1">
      <c r="A104" s="46">
        <f>IF('Purchase Order - Order Tracker'!A104="","",'Purchase Order - Order Tracker'!A104)</f>
        <v/>
      </c>
      <c r="B104" s="46">
        <f>IF('Purchase Order - Order Tracker'!A104="","",'Purchase Order - Order Tracker'!B104)</f>
        <v/>
      </c>
      <c r="C104" s="46">
        <f>IF('Purchase Order - Order Tracker'!A104="","",'Purchase Order - Order Tracker'!C104)</f>
        <v/>
      </c>
      <c r="D104" s="46">
        <f>IF('Purchase Order - Order Tracker'!A104="","",'Purchase Order - Order Tracker'!D104)</f>
        <v/>
      </c>
      <c r="E104" s="46">
        <f>IF('Purchase Order - Order Tracker'!A104="","",'Purchase Order - Order Tracker'!H104)</f>
        <v/>
      </c>
      <c r="F104" s="46">
        <f>IF('Purchase Order - Order Tracker'!A104="","",'Purchase Order - Order Tracker'!J104)</f>
        <v/>
      </c>
      <c r="G104" s="46">
        <f>IF('Purchase Order - Order Tracker'!A104="","",'Purchase Order - Order Tracker'!K104)</f>
        <v/>
      </c>
      <c r="H104" s="41">
        <f>IF('Purchase Order - Order Tracker'!A104="","",'Purchase Order - Order Tracker'!N104)</f>
        <v/>
      </c>
      <c r="I104" s="41">
        <f>IF('Purchase Order - Order Tracker'!A104="","",'Purchase Order - Order Tracker'!O104)</f>
        <v/>
      </c>
    </row>
    <row r="105" ht="21" customHeight="1">
      <c r="A105" s="46">
        <f>IF('Purchase Order - Order Tracker'!A105="","",'Purchase Order - Order Tracker'!A105)</f>
        <v/>
      </c>
      <c r="B105" s="46">
        <f>IF('Purchase Order - Order Tracker'!A105="","",'Purchase Order - Order Tracker'!B105)</f>
        <v/>
      </c>
      <c r="C105" s="46">
        <f>IF('Purchase Order - Order Tracker'!A105="","",'Purchase Order - Order Tracker'!C105)</f>
        <v/>
      </c>
      <c r="D105" s="46">
        <f>IF('Purchase Order - Order Tracker'!A105="","",'Purchase Order - Order Tracker'!D105)</f>
        <v/>
      </c>
      <c r="E105" s="46">
        <f>IF('Purchase Order - Order Tracker'!A105="","",'Purchase Order - Order Tracker'!H105)</f>
        <v/>
      </c>
      <c r="F105" s="46">
        <f>IF('Purchase Order - Order Tracker'!A105="","",'Purchase Order - Order Tracker'!J105)</f>
        <v/>
      </c>
      <c r="G105" s="46">
        <f>IF('Purchase Order - Order Tracker'!A105="","",'Purchase Order - Order Tracker'!K105)</f>
        <v/>
      </c>
      <c r="H105" s="41">
        <f>IF('Purchase Order - Order Tracker'!A105="","",'Purchase Order - Order Tracker'!N105)</f>
        <v/>
      </c>
      <c r="I105" s="41">
        <f>IF('Purchase Order - Order Tracker'!A105="","",'Purchase Order - Order Tracker'!O105)</f>
        <v/>
      </c>
    </row>
    <row r="106" ht="21" customHeight="1">
      <c r="A106" s="46">
        <f>IF('Purchase Order - Order Tracker'!A106="","",'Purchase Order - Order Tracker'!A106)</f>
        <v/>
      </c>
      <c r="B106" s="46">
        <f>IF('Purchase Order - Order Tracker'!A106="","",'Purchase Order - Order Tracker'!B106)</f>
        <v/>
      </c>
      <c r="C106" s="46">
        <f>IF('Purchase Order - Order Tracker'!A106="","",'Purchase Order - Order Tracker'!C106)</f>
        <v/>
      </c>
      <c r="D106" s="46">
        <f>IF('Purchase Order - Order Tracker'!A106="","",'Purchase Order - Order Tracker'!D106)</f>
        <v/>
      </c>
      <c r="E106" s="46">
        <f>IF('Purchase Order - Order Tracker'!A106="","",'Purchase Order - Order Tracker'!H106)</f>
        <v/>
      </c>
      <c r="F106" s="46">
        <f>IF('Purchase Order - Order Tracker'!A106="","",'Purchase Order - Order Tracker'!J106)</f>
        <v/>
      </c>
      <c r="G106" s="46">
        <f>IF('Purchase Order - Order Tracker'!A106="","",'Purchase Order - Order Tracker'!K106)</f>
        <v/>
      </c>
      <c r="H106" s="41">
        <f>IF('Purchase Order - Order Tracker'!A106="","",'Purchase Order - Order Tracker'!N106)</f>
        <v/>
      </c>
      <c r="I106" s="41">
        <f>IF('Purchase Order - Order Tracker'!A106="","",'Purchase Order - Order Tracker'!O106)</f>
        <v/>
      </c>
    </row>
  </sheetData>
  <autoFilter ref="A6:I106"/>
  <mergeCells count="3">
    <mergeCell ref="A1:I2"/>
    <mergeCell ref="A4:I4"/>
    <mergeCell ref="A3:I3"/>
  </mergeCells>
  <conditionalFormatting sqref="F7:F106">
    <cfRule type="expression" priority="1" dxfId="2">
      <formula>=OR(F7="Complete",F7="Approved",F7="Delivered",F7="Installed",F7="Good condition",F7="Paid",F7="On budget")</formula>
    </cfRule>
    <cfRule type="expression" priority="2" dxfId="1">
      <formula>=OR(F7="Pending",F7="In progress",F7="Sent",F7="Waiting on client",F7="Waiting on vendor",F7="On hold",F7="Partially paid",F7="Scheduled")</formula>
    </cfRule>
    <cfRule type="expression" priority="3" dxfId="0">
      <formula>=OR(F7="Overdue",F7="Delayed",F7="Damaged",F7="Missing item",F7="Rejected",F7="Revisions requested")</formula>
    </cfRule>
    <cfRule type="expression" priority="4" dxfId="3">
      <formula>=OR(F7="Cancelled",F7="On hold",F7="Returned")</formula>
    </cfRule>
  </conditionalFormatting>
  <conditionalFormatting sqref="I7:I106">
    <cfRule type="expression" priority="5" dxfId="2">
      <formula>=OR(I7="Complete",I7="Approved",I7="Delivered",I7="Installed",I7="Good condition",I7="Paid",I7="On budget")</formula>
    </cfRule>
    <cfRule type="expression" priority="6" dxfId="1">
      <formula>=OR(I7="Pending",I7="In progress",I7="Sent",I7="Waiting on client",I7="Waiting on vendor",I7="On hold",I7="Partially paid",I7="Scheduled")</formula>
    </cfRule>
    <cfRule type="expression" priority="7" dxfId="0">
      <formula>=OR(I7="Overdue",I7="Delayed",I7="Damaged",I7="Missing item",I7="Rejected",I7="Revisions requested")</formula>
    </cfRule>
    <cfRule type="expression" priority="8" dxfId="3">
      <formula>=OR(I7="Cancelled",I7="On hold",I7="Returned")</formula>
    </cfRule>
  </conditionalFormatting>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24.xml><?xml version="1.0" encoding="utf-8"?>
<worksheet xmlns="http://schemas.openxmlformats.org/spreadsheetml/2006/main">
  <sheetPr>
    <tabColor rgb="00D6A756"/>
    <outlinePr summaryBelow="1" summaryRight="1"/>
    <pageSetUpPr fitToPage="1"/>
  </sheetPr>
  <dimension ref="A1:J106"/>
  <sheetViews>
    <sheetView showGridLines="0" zoomScale="85" workbookViewId="0">
      <pane ySplit="6" topLeftCell="A7" activePane="bottomLeft" state="frozen"/>
      <selection pane="bottomLeft" activeCell="A7" sqref="A1"/>
    </sheetView>
  </sheetViews>
  <sheetFormatPr baseColWidth="8" defaultRowHeight="15"/>
  <cols>
    <col width="28" customWidth="1" min="1" max="1"/>
    <col width="20" customWidth="1" min="2" max="2"/>
    <col width="22" customWidth="1" min="3" max="3"/>
    <col width="21" customWidth="1" min="4" max="4"/>
    <col width="17" customWidth="1" min="5" max="5"/>
    <col width="17" customWidth="1" min="6" max="6"/>
    <col width="15" customWidth="1" min="7" max="7"/>
    <col width="22" customWidth="1" min="8" max="8"/>
    <col width="19" customWidth="1" min="9" max="9"/>
    <col width="38" customWidth="1" min="10" max="10"/>
  </cols>
  <sheetData>
    <row r="1" ht="26" customHeight="1">
      <c r="A1" s="1" t="inlineStr">
        <is>
          <t>Installation Checklist</t>
        </is>
      </c>
    </row>
    <row r="2" ht="26" customHeight="1"/>
    <row r="3" ht="26" customHeight="1">
      <c r="A3" s="24" t="inlineStr">
        <is>
          <t>Printable receiving and installation checklist linked to Delivery &amp; Installation Tracker.</t>
        </is>
      </c>
    </row>
    <row r="4">
      <c r="A4" s="25" t="inlineStr">
        <is>
          <t>Printable report view • linked to the project tracker. Filter rows before printing or sharing.</t>
        </is>
      </c>
    </row>
    <row r="6" ht="34" customHeight="1">
      <c r="A6" s="37" t="inlineStr">
        <is>
          <t>Item</t>
        </is>
      </c>
      <c r="B6" s="37" t="inlineStr">
        <is>
          <t>Room</t>
        </is>
      </c>
      <c r="C6" s="37" t="inlineStr">
        <is>
          <t>Vendor</t>
        </is>
      </c>
      <c r="D6" s="37" t="inlineStr">
        <is>
          <t>Expected delivery</t>
        </is>
      </c>
      <c r="E6" s="37" t="inlineStr">
        <is>
          <t>Delivery status</t>
        </is>
      </c>
      <c r="F6" s="37" t="inlineStr">
        <is>
          <t>Damage check</t>
        </is>
      </c>
      <c r="G6" s="37" t="inlineStr">
        <is>
          <t>Install date</t>
        </is>
      </c>
      <c r="H6" s="37" t="inlineStr">
        <is>
          <t>Installer</t>
        </is>
      </c>
      <c r="I6" s="37" t="inlineStr">
        <is>
          <t>Installation status</t>
        </is>
      </c>
      <c r="J6" s="37" t="inlineStr">
        <is>
          <t>Punch list notes</t>
        </is>
      </c>
    </row>
    <row r="7" ht="21" customHeight="1">
      <c r="A7" s="46">
        <f>IF('Delivery &amp; Installation Tracker'!A7="","",'Delivery &amp; Installation Tracker'!A7)</f>
        <v/>
      </c>
      <c r="B7" s="46">
        <f>IF('Delivery &amp; Installation Tracker'!A7="","",'Delivery &amp; Installation Tracker'!B7)</f>
        <v/>
      </c>
      <c r="C7" s="46">
        <f>IF('Delivery &amp; Installation Tracker'!A7="","",'Delivery &amp; Installation Tracker'!C7)</f>
        <v/>
      </c>
      <c r="D7" s="46">
        <f>IF('Delivery &amp; Installation Tracker'!A7="","",'Delivery &amp; Installation Tracker'!E7)</f>
        <v/>
      </c>
      <c r="E7" s="46">
        <f>IF('Delivery &amp; Installation Tracker'!A7="","",'Delivery &amp; Installation Tracker'!G7)</f>
        <v/>
      </c>
      <c r="F7" s="46">
        <f>IF('Delivery &amp; Installation Tracker'!A7="","",'Delivery &amp; Installation Tracker'!I7)</f>
        <v/>
      </c>
      <c r="G7" s="47">
        <f>IF('Delivery &amp; Installation Tracker'!A7="","",'Delivery &amp; Installation Tracker'!L7)</f>
        <v/>
      </c>
      <c r="H7" s="46">
        <f>IF('Delivery &amp; Installation Tracker'!A7="","",'Delivery &amp; Installation Tracker'!M7)</f>
        <v/>
      </c>
      <c r="I7" s="46">
        <f>IF('Delivery &amp; Installation Tracker'!A7="","",'Delivery &amp; Installation Tracker'!N7)</f>
        <v/>
      </c>
      <c r="J7" s="46">
        <f>IF('Delivery &amp; Installation Tracker'!A7="","",'Delivery &amp; Installation Tracker'!O7)</f>
        <v/>
      </c>
    </row>
    <row r="8" ht="21" customHeight="1">
      <c r="A8" s="46">
        <f>IF('Delivery &amp; Installation Tracker'!A8="","",'Delivery &amp; Installation Tracker'!A8)</f>
        <v/>
      </c>
      <c r="B8" s="46">
        <f>IF('Delivery &amp; Installation Tracker'!A8="","",'Delivery &amp; Installation Tracker'!B8)</f>
        <v/>
      </c>
      <c r="C8" s="46">
        <f>IF('Delivery &amp; Installation Tracker'!A8="","",'Delivery &amp; Installation Tracker'!C8)</f>
        <v/>
      </c>
      <c r="D8" s="46">
        <f>IF('Delivery &amp; Installation Tracker'!A8="","",'Delivery &amp; Installation Tracker'!E8)</f>
        <v/>
      </c>
      <c r="E8" s="46">
        <f>IF('Delivery &amp; Installation Tracker'!A8="","",'Delivery &amp; Installation Tracker'!G8)</f>
        <v/>
      </c>
      <c r="F8" s="46">
        <f>IF('Delivery &amp; Installation Tracker'!A8="","",'Delivery &amp; Installation Tracker'!I8)</f>
        <v/>
      </c>
      <c r="G8" s="47">
        <f>IF('Delivery &amp; Installation Tracker'!A8="","",'Delivery &amp; Installation Tracker'!L8)</f>
        <v/>
      </c>
      <c r="H8" s="46">
        <f>IF('Delivery &amp; Installation Tracker'!A8="","",'Delivery &amp; Installation Tracker'!M8)</f>
        <v/>
      </c>
      <c r="I8" s="46">
        <f>IF('Delivery &amp; Installation Tracker'!A8="","",'Delivery &amp; Installation Tracker'!N8)</f>
        <v/>
      </c>
      <c r="J8" s="46">
        <f>IF('Delivery &amp; Installation Tracker'!A8="","",'Delivery &amp; Installation Tracker'!O8)</f>
        <v/>
      </c>
    </row>
    <row r="9" ht="21" customHeight="1">
      <c r="A9" s="46">
        <f>IF('Delivery &amp; Installation Tracker'!A9="","",'Delivery &amp; Installation Tracker'!A9)</f>
        <v/>
      </c>
      <c r="B9" s="46">
        <f>IF('Delivery &amp; Installation Tracker'!A9="","",'Delivery &amp; Installation Tracker'!B9)</f>
        <v/>
      </c>
      <c r="C9" s="46">
        <f>IF('Delivery &amp; Installation Tracker'!A9="","",'Delivery &amp; Installation Tracker'!C9)</f>
        <v/>
      </c>
      <c r="D9" s="46">
        <f>IF('Delivery &amp; Installation Tracker'!A9="","",'Delivery &amp; Installation Tracker'!E9)</f>
        <v/>
      </c>
      <c r="E9" s="46">
        <f>IF('Delivery &amp; Installation Tracker'!A9="","",'Delivery &amp; Installation Tracker'!G9)</f>
        <v/>
      </c>
      <c r="F9" s="46">
        <f>IF('Delivery &amp; Installation Tracker'!A9="","",'Delivery &amp; Installation Tracker'!I9)</f>
        <v/>
      </c>
      <c r="G9" s="47">
        <f>IF('Delivery &amp; Installation Tracker'!A9="","",'Delivery &amp; Installation Tracker'!L9)</f>
        <v/>
      </c>
      <c r="H9" s="46">
        <f>IF('Delivery &amp; Installation Tracker'!A9="","",'Delivery &amp; Installation Tracker'!M9)</f>
        <v/>
      </c>
      <c r="I9" s="46">
        <f>IF('Delivery &amp; Installation Tracker'!A9="","",'Delivery &amp; Installation Tracker'!N9)</f>
        <v/>
      </c>
      <c r="J9" s="46">
        <f>IF('Delivery &amp; Installation Tracker'!A9="","",'Delivery &amp; Installation Tracker'!O9)</f>
        <v/>
      </c>
    </row>
    <row r="10" ht="21" customHeight="1">
      <c r="A10" s="46">
        <f>IF('Delivery &amp; Installation Tracker'!A10="","",'Delivery &amp; Installation Tracker'!A10)</f>
        <v/>
      </c>
      <c r="B10" s="46">
        <f>IF('Delivery &amp; Installation Tracker'!A10="","",'Delivery &amp; Installation Tracker'!B10)</f>
        <v/>
      </c>
      <c r="C10" s="46">
        <f>IF('Delivery &amp; Installation Tracker'!A10="","",'Delivery &amp; Installation Tracker'!C10)</f>
        <v/>
      </c>
      <c r="D10" s="46">
        <f>IF('Delivery &amp; Installation Tracker'!A10="","",'Delivery &amp; Installation Tracker'!E10)</f>
        <v/>
      </c>
      <c r="E10" s="46">
        <f>IF('Delivery &amp; Installation Tracker'!A10="","",'Delivery &amp; Installation Tracker'!G10)</f>
        <v/>
      </c>
      <c r="F10" s="46">
        <f>IF('Delivery &amp; Installation Tracker'!A10="","",'Delivery &amp; Installation Tracker'!I10)</f>
        <v/>
      </c>
      <c r="G10" s="47">
        <f>IF('Delivery &amp; Installation Tracker'!A10="","",'Delivery &amp; Installation Tracker'!L10)</f>
        <v/>
      </c>
      <c r="H10" s="46">
        <f>IF('Delivery &amp; Installation Tracker'!A10="","",'Delivery &amp; Installation Tracker'!M10)</f>
        <v/>
      </c>
      <c r="I10" s="46">
        <f>IF('Delivery &amp; Installation Tracker'!A10="","",'Delivery &amp; Installation Tracker'!N10)</f>
        <v/>
      </c>
      <c r="J10" s="46">
        <f>IF('Delivery &amp; Installation Tracker'!A10="","",'Delivery &amp; Installation Tracker'!O10)</f>
        <v/>
      </c>
    </row>
    <row r="11" ht="21" customHeight="1">
      <c r="A11" s="46">
        <f>IF('Delivery &amp; Installation Tracker'!A11="","",'Delivery &amp; Installation Tracker'!A11)</f>
        <v/>
      </c>
      <c r="B11" s="46">
        <f>IF('Delivery &amp; Installation Tracker'!A11="","",'Delivery &amp; Installation Tracker'!B11)</f>
        <v/>
      </c>
      <c r="C11" s="46">
        <f>IF('Delivery &amp; Installation Tracker'!A11="","",'Delivery &amp; Installation Tracker'!C11)</f>
        <v/>
      </c>
      <c r="D11" s="46">
        <f>IF('Delivery &amp; Installation Tracker'!A11="","",'Delivery &amp; Installation Tracker'!E11)</f>
        <v/>
      </c>
      <c r="E11" s="46">
        <f>IF('Delivery &amp; Installation Tracker'!A11="","",'Delivery &amp; Installation Tracker'!G11)</f>
        <v/>
      </c>
      <c r="F11" s="46">
        <f>IF('Delivery &amp; Installation Tracker'!A11="","",'Delivery &amp; Installation Tracker'!I11)</f>
        <v/>
      </c>
      <c r="G11" s="47">
        <f>IF('Delivery &amp; Installation Tracker'!A11="","",'Delivery &amp; Installation Tracker'!L11)</f>
        <v/>
      </c>
      <c r="H11" s="46">
        <f>IF('Delivery &amp; Installation Tracker'!A11="","",'Delivery &amp; Installation Tracker'!M11)</f>
        <v/>
      </c>
      <c r="I11" s="46">
        <f>IF('Delivery &amp; Installation Tracker'!A11="","",'Delivery &amp; Installation Tracker'!N11)</f>
        <v/>
      </c>
      <c r="J11" s="46">
        <f>IF('Delivery &amp; Installation Tracker'!A11="","",'Delivery &amp; Installation Tracker'!O11)</f>
        <v/>
      </c>
    </row>
    <row r="12" ht="21" customHeight="1">
      <c r="A12" s="46">
        <f>IF('Delivery &amp; Installation Tracker'!A12="","",'Delivery &amp; Installation Tracker'!A12)</f>
        <v/>
      </c>
      <c r="B12" s="46">
        <f>IF('Delivery &amp; Installation Tracker'!A12="","",'Delivery &amp; Installation Tracker'!B12)</f>
        <v/>
      </c>
      <c r="C12" s="46">
        <f>IF('Delivery &amp; Installation Tracker'!A12="","",'Delivery &amp; Installation Tracker'!C12)</f>
        <v/>
      </c>
      <c r="D12" s="46">
        <f>IF('Delivery &amp; Installation Tracker'!A12="","",'Delivery &amp; Installation Tracker'!E12)</f>
        <v/>
      </c>
      <c r="E12" s="46">
        <f>IF('Delivery &amp; Installation Tracker'!A12="","",'Delivery &amp; Installation Tracker'!G12)</f>
        <v/>
      </c>
      <c r="F12" s="46">
        <f>IF('Delivery &amp; Installation Tracker'!A12="","",'Delivery &amp; Installation Tracker'!I12)</f>
        <v/>
      </c>
      <c r="G12" s="47">
        <f>IF('Delivery &amp; Installation Tracker'!A12="","",'Delivery &amp; Installation Tracker'!L12)</f>
        <v/>
      </c>
      <c r="H12" s="46">
        <f>IF('Delivery &amp; Installation Tracker'!A12="","",'Delivery &amp; Installation Tracker'!M12)</f>
        <v/>
      </c>
      <c r="I12" s="46">
        <f>IF('Delivery &amp; Installation Tracker'!A12="","",'Delivery &amp; Installation Tracker'!N12)</f>
        <v/>
      </c>
      <c r="J12" s="46">
        <f>IF('Delivery &amp; Installation Tracker'!A12="","",'Delivery &amp; Installation Tracker'!O12)</f>
        <v/>
      </c>
    </row>
    <row r="13" ht="21" customHeight="1">
      <c r="A13" s="46">
        <f>IF('Delivery &amp; Installation Tracker'!A13="","",'Delivery &amp; Installation Tracker'!A13)</f>
        <v/>
      </c>
      <c r="B13" s="46">
        <f>IF('Delivery &amp; Installation Tracker'!A13="","",'Delivery &amp; Installation Tracker'!B13)</f>
        <v/>
      </c>
      <c r="C13" s="46">
        <f>IF('Delivery &amp; Installation Tracker'!A13="","",'Delivery &amp; Installation Tracker'!C13)</f>
        <v/>
      </c>
      <c r="D13" s="46">
        <f>IF('Delivery &amp; Installation Tracker'!A13="","",'Delivery &amp; Installation Tracker'!E13)</f>
        <v/>
      </c>
      <c r="E13" s="46">
        <f>IF('Delivery &amp; Installation Tracker'!A13="","",'Delivery &amp; Installation Tracker'!G13)</f>
        <v/>
      </c>
      <c r="F13" s="46">
        <f>IF('Delivery &amp; Installation Tracker'!A13="","",'Delivery &amp; Installation Tracker'!I13)</f>
        <v/>
      </c>
      <c r="G13" s="47">
        <f>IF('Delivery &amp; Installation Tracker'!A13="","",'Delivery &amp; Installation Tracker'!L13)</f>
        <v/>
      </c>
      <c r="H13" s="46">
        <f>IF('Delivery &amp; Installation Tracker'!A13="","",'Delivery &amp; Installation Tracker'!M13)</f>
        <v/>
      </c>
      <c r="I13" s="46">
        <f>IF('Delivery &amp; Installation Tracker'!A13="","",'Delivery &amp; Installation Tracker'!N13)</f>
        <v/>
      </c>
      <c r="J13" s="46">
        <f>IF('Delivery &amp; Installation Tracker'!A13="","",'Delivery &amp; Installation Tracker'!O13)</f>
        <v/>
      </c>
    </row>
    <row r="14" ht="21" customHeight="1">
      <c r="A14" s="46">
        <f>IF('Delivery &amp; Installation Tracker'!A14="","",'Delivery &amp; Installation Tracker'!A14)</f>
        <v/>
      </c>
      <c r="B14" s="46">
        <f>IF('Delivery &amp; Installation Tracker'!A14="","",'Delivery &amp; Installation Tracker'!B14)</f>
        <v/>
      </c>
      <c r="C14" s="46">
        <f>IF('Delivery &amp; Installation Tracker'!A14="","",'Delivery &amp; Installation Tracker'!C14)</f>
        <v/>
      </c>
      <c r="D14" s="46">
        <f>IF('Delivery &amp; Installation Tracker'!A14="","",'Delivery &amp; Installation Tracker'!E14)</f>
        <v/>
      </c>
      <c r="E14" s="46">
        <f>IF('Delivery &amp; Installation Tracker'!A14="","",'Delivery &amp; Installation Tracker'!G14)</f>
        <v/>
      </c>
      <c r="F14" s="46">
        <f>IF('Delivery &amp; Installation Tracker'!A14="","",'Delivery &amp; Installation Tracker'!I14)</f>
        <v/>
      </c>
      <c r="G14" s="47">
        <f>IF('Delivery &amp; Installation Tracker'!A14="","",'Delivery &amp; Installation Tracker'!L14)</f>
        <v/>
      </c>
      <c r="H14" s="46">
        <f>IF('Delivery &amp; Installation Tracker'!A14="","",'Delivery &amp; Installation Tracker'!M14)</f>
        <v/>
      </c>
      <c r="I14" s="46">
        <f>IF('Delivery &amp; Installation Tracker'!A14="","",'Delivery &amp; Installation Tracker'!N14)</f>
        <v/>
      </c>
      <c r="J14" s="46">
        <f>IF('Delivery &amp; Installation Tracker'!A14="","",'Delivery &amp; Installation Tracker'!O14)</f>
        <v/>
      </c>
    </row>
    <row r="15" ht="21" customHeight="1">
      <c r="A15" s="46">
        <f>IF('Delivery &amp; Installation Tracker'!A15="","",'Delivery &amp; Installation Tracker'!A15)</f>
        <v/>
      </c>
      <c r="B15" s="46">
        <f>IF('Delivery &amp; Installation Tracker'!A15="","",'Delivery &amp; Installation Tracker'!B15)</f>
        <v/>
      </c>
      <c r="C15" s="46">
        <f>IF('Delivery &amp; Installation Tracker'!A15="","",'Delivery &amp; Installation Tracker'!C15)</f>
        <v/>
      </c>
      <c r="D15" s="46">
        <f>IF('Delivery &amp; Installation Tracker'!A15="","",'Delivery &amp; Installation Tracker'!E15)</f>
        <v/>
      </c>
      <c r="E15" s="46">
        <f>IF('Delivery &amp; Installation Tracker'!A15="","",'Delivery &amp; Installation Tracker'!G15)</f>
        <v/>
      </c>
      <c r="F15" s="46">
        <f>IF('Delivery &amp; Installation Tracker'!A15="","",'Delivery &amp; Installation Tracker'!I15)</f>
        <v/>
      </c>
      <c r="G15" s="47">
        <f>IF('Delivery &amp; Installation Tracker'!A15="","",'Delivery &amp; Installation Tracker'!L15)</f>
        <v/>
      </c>
      <c r="H15" s="46">
        <f>IF('Delivery &amp; Installation Tracker'!A15="","",'Delivery &amp; Installation Tracker'!M15)</f>
        <v/>
      </c>
      <c r="I15" s="46">
        <f>IF('Delivery &amp; Installation Tracker'!A15="","",'Delivery &amp; Installation Tracker'!N15)</f>
        <v/>
      </c>
      <c r="J15" s="46">
        <f>IF('Delivery &amp; Installation Tracker'!A15="","",'Delivery &amp; Installation Tracker'!O15)</f>
        <v/>
      </c>
    </row>
    <row r="16" ht="21" customHeight="1">
      <c r="A16" s="46">
        <f>IF('Delivery &amp; Installation Tracker'!A16="","",'Delivery &amp; Installation Tracker'!A16)</f>
        <v/>
      </c>
      <c r="B16" s="46">
        <f>IF('Delivery &amp; Installation Tracker'!A16="","",'Delivery &amp; Installation Tracker'!B16)</f>
        <v/>
      </c>
      <c r="C16" s="46">
        <f>IF('Delivery &amp; Installation Tracker'!A16="","",'Delivery &amp; Installation Tracker'!C16)</f>
        <v/>
      </c>
      <c r="D16" s="46">
        <f>IF('Delivery &amp; Installation Tracker'!A16="","",'Delivery &amp; Installation Tracker'!E16)</f>
        <v/>
      </c>
      <c r="E16" s="46">
        <f>IF('Delivery &amp; Installation Tracker'!A16="","",'Delivery &amp; Installation Tracker'!G16)</f>
        <v/>
      </c>
      <c r="F16" s="46">
        <f>IF('Delivery &amp; Installation Tracker'!A16="","",'Delivery &amp; Installation Tracker'!I16)</f>
        <v/>
      </c>
      <c r="G16" s="47">
        <f>IF('Delivery &amp; Installation Tracker'!A16="","",'Delivery &amp; Installation Tracker'!L16)</f>
        <v/>
      </c>
      <c r="H16" s="46">
        <f>IF('Delivery &amp; Installation Tracker'!A16="","",'Delivery &amp; Installation Tracker'!M16)</f>
        <v/>
      </c>
      <c r="I16" s="46">
        <f>IF('Delivery &amp; Installation Tracker'!A16="","",'Delivery &amp; Installation Tracker'!N16)</f>
        <v/>
      </c>
      <c r="J16" s="46">
        <f>IF('Delivery &amp; Installation Tracker'!A16="","",'Delivery &amp; Installation Tracker'!O16)</f>
        <v/>
      </c>
    </row>
    <row r="17" ht="21" customHeight="1">
      <c r="A17" s="46">
        <f>IF('Delivery &amp; Installation Tracker'!A17="","",'Delivery &amp; Installation Tracker'!A17)</f>
        <v/>
      </c>
      <c r="B17" s="46">
        <f>IF('Delivery &amp; Installation Tracker'!A17="","",'Delivery &amp; Installation Tracker'!B17)</f>
        <v/>
      </c>
      <c r="C17" s="46">
        <f>IF('Delivery &amp; Installation Tracker'!A17="","",'Delivery &amp; Installation Tracker'!C17)</f>
        <v/>
      </c>
      <c r="D17" s="46">
        <f>IF('Delivery &amp; Installation Tracker'!A17="","",'Delivery &amp; Installation Tracker'!E17)</f>
        <v/>
      </c>
      <c r="E17" s="46">
        <f>IF('Delivery &amp; Installation Tracker'!A17="","",'Delivery &amp; Installation Tracker'!G17)</f>
        <v/>
      </c>
      <c r="F17" s="46">
        <f>IF('Delivery &amp; Installation Tracker'!A17="","",'Delivery &amp; Installation Tracker'!I17)</f>
        <v/>
      </c>
      <c r="G17" s="47">
        <f>IF('Delivery &amp; Installation Tracker'!A17="","",'Delivery &amp; Installation Tracker'!L17)</f>
        <v/>
      </c>
      <c r="H17" s="46">
        <f>IF('Delivery &amp; Installation Tracker'!A17="","",'Delivery &amp; Installation Tracker'!M17)</f>
        <v/>
      </c>
      <c r="I17" s="46">
        <f>IF('Delivery &amp; Installation Tracker'!A17="","",'Delivery &amp; Installation Tracker'!N17)</f>
        <v/>
      </c>
      <c r="J17" s="46">
        <f>IF('Delivery &amp; Installation Tracker'!A17="","",'Delivery &amp; Installation Tracker'!O17)</f>
        <v/>
      </c>
    </row>
    <row r="18" ht="21" customHeight="1">
      <c r="A18" s="46">
        <f>IF('Delivery &amp; Installation Tracker'!A18="","",'Delivery &amp; Installation Tracker'!A18)</f>
        <v/>
      </c>
      <c r="B18" s="46">
        <f>IF('Delivery &amp; Installation Tracker'!A18="","",'Delivery &amp; Installation Tracker'!B18)</f>
        <v/>
      </c>
      <c r="C18" s="46">
        <f>IF('Delivery &amp; Installation Tracker'!A18="","",'Delivery &amp; Installation Tracker'!C18)</f>
        <v/>
      </c>
      <c r="D18" s="46">
        <f>IF('Delivery &amp; Installation Tracker'!A18="","",'Delivery &amp; Installation Tracker'!E18)</f>
        <v/>
      </c>
      <c r="E18" s="46">
        <f>IF('Delivery &amp; Installation Tracker'!A18="","",'Delivery &amp; Installation Tracker'!G18)</f>
        <v/>
      </c>
      <c r="F18" s="46">
        <f>IF('Delivery &amp; Installation Tracker'!A18="","",'Delivery &amp; Installation Tracker'!I18)</f>
        <v/>
      </c>
      <c r="G18" s="47">
        <f>IF('Delivery &amp; Installation Tracker'!A18="","",'Delivery &amp; Installation Tracker'!L18)</f>
        <v/>
      </c>
      <c r="H18" s="46">
        <f>IF('Delivery &amp; Installation Tracker'!A18="","",'Delivery &amp; Installation Tracker'!M18)</f>
        <v/>
      </c>
      <c r="I18" s="46">
        <f>IF('Delivery &amp; Installation Tracker'!A18="","",'Delivery &amp; Installation Tracker'!N18)</f>
        <v/>
      </c>
      <c r="J18" s="46">
        <f>IF('Delivery &amp; Installation Tracker'!A18="","",'Delivery &amp; Installation Tracker'!O18)</f>
        <v/>
      </c>
    </row>
    <row r="19" ht="21" customHeight="1">
      <c r="A19" s="46">
        <f>IF('Delivery &amp; Installation Tracker'!A19="","",'Delivery &amp; Installation Tracker'!A19)</f>
        <v/>
      </c>
      <c r="B19" s="46">
        <f>IF('Delivery &amp; Installation Tracker'!A19="","",'Delivery &amp; Installation Tracker'!B19)</f>
        <v/>
      </c>
      <c r="C19" s="46">
        <f>IF('Delivery &amp; Installation Tracker'!A19="","",'Delivery &amp; Installation Tracker'!C19)</f>
        <v/>
      </c>
      <c r="D19" s="46">
        <f>IF('Delivery &amp; Installation Tracker'!A19="","",'Delivery &amp; Installation Tracker'!E19)</f>
        <v/>
      </c>
      <c r="E19" s="46">
        <f>IF('Delivery &amp; Installation Tracker'!A19="","",'Delivery &amp; Installation Tracker'!G19)</f>
        <v/>
      </c>
      <c r="F19" s="46">
        <f>IF('Delivery &amp; Installation Tracker'!A19="","",'Delivery &amp; Installation Tracker'!I19)</f>
        <v/>
      </c>
      <c r="G19" s="47">
        <f>IF('Delivery &amp; Installation Tracker'!A19="","",'Delivery &amp; Installation Tracker'!L19)</f>
        <v/>
      </c>
      <c r="H19" s="46">
        <f>IF('Delivery &amp; Installation Tracker'!A19="","",'Delivery &amp; Installation Tracker'!M19)</f>
        <v/>
      </c>
      <c r="I19" s="46">
        <f>IF('Delivery &amp; Installation Tracker'!A19="","",'Delivery &amp; Installation Tracker'!N19)</f>
        <v/>
      </c>
      <c r="J19" s="46">
        <f>IF('Delivery &amp; Installation Tracker'!A19="","",'Delivery &amp; Installation Tracker'!O19)</f>
        <v/>
      </c>
    </row>
    <row r="20" ht="21" customHeight="1">
      <c r="A20" s="46">
        <f>IF('Delivery &amp; Installation Tracker'!A20="","",'Delivery &amp; Installation Tracker'!A20)</f>
        <v/>
      </c>
      <c r="B20" s="46">
        <f>IF('Delivery &amp; Installation Tracker'!A20="","",'Delivery &amp; Installation Tracker'!B20)</f>
        <v/>
      </c>
      <c r="C20" s="46">
        <f>IF('Delivery &amp; Installation Tracker'!A20="","",'Delivery &amp; Installation Tracker'!C20)</f>
        <v/>
      </c>
      <c r="D20" s="46">
        <f>IF('Delivery &amp; Installation Tracker'!A20="","",'Delivery &amp; Installation Tracker'!E20)</f>
        <v/>
      </c>
      <c r="E20" s="46">
        <f>IF('Delivery &amp; Installation Tracker'!A20="","",'Delivery &amp; Installation Tracker'!G20)</f>
        <v/>
      </c>
      <c r="F20" s="46">
        <f>IF('Delivery &amp; Installation Tracker'!A20="","",'Delivery &amp; Installation Tracker'!I20)</f>
        <v/>
      </c>
      <c r="G20" s="47">
        <f>IF('Delivery &amp; Installation Tracker'!A20="","",'Delivery &amp; Installation Tracker'!L20)</f>
        <v/>
      </c>
      <c r="H20" s="46">
        <f>IF('Delivery &amp; Installation Tracker'!A20="","",'Delivery &amp; Installation Tracker'!M20)</f>
        <v/>
      </c>
      <c r="I20" s="46">
        <f>IF('Delivery &amp; Installation Tracker'!A20="","",'Delivery &amp; Installation Tracker'!N20)</f>
        <v/>
      </c>
      <c r="J20" s="46">
        <f>IF('Delivery &amp; Installation Tracker'!A20="","",'Delivery &amp; Installation Tracker'!O20)</f>
        <v/>
      </c>
    </row>
    <row r="21" ht="21" customHeight="1">
      <c r="A21" s="46">
        <f>IF('Delivery &amp; Installation Tracker'!A21="","",'Delivery &amp; Installation Tracker'!A21)</f>
        <v/>
      </c>
      <c r="B21" s="46">
        <f>IF('Delivery &amp; Installation Tracker'!A21="","",'Delivery &amp; Installation Tracker'!B21)</f>
        <v/>
      </c>
      <c r="C21" s="46">
        <f>IF('Delivery &amp; Installation Tracker'!A21="","",'Delivery &amp; Installation Tracker'!C21)</f>
        <v/>
      </c>
      <c r="D21" s="46">
        <f>IF('Delivery &amp; Installation Tracker'!A21="","",'Delivery &amp; Installation Tracker'!E21)</f>
        <v/>
      </c>
      <c r="E21" s="46">
        <f>IF('Delivery &amp; Installation Tracker'!A21="","",'Delivery &amp; Installation Tracker'!G21)</f>
        <v/>
      </c>
      <c r="F21" s="46">
        <f>IF('Delivery &amp; Installation Tracker'!A21="","",'Delivery &amp; Installation Tracker'!I21)</f>
        <v/>
      </c>
      <c r="G21" s="47">
        <f>IF('Delivery &amp; Installation Tracker'!A21="","",'Delivery &amp; Installation Tracker'!L21)</f>
        <v/>
      </c>
      <c r="H21" s="46">
        <f>IF('Delivery &amp; Installation Tracker'!A21="","",'Delivery &amp; Installation Tracker'!M21)</f>
        <v/>
      </c>
      <c r="I21" s="46">
        <f>IF('Delivery &amp; Installation Tracker'!A21="","",'Delivery &amp; Installation Tracker'!N21)</f>
        <v/>
      </c>
      <c r="J21" s="46">
        <f>IF('Delivery &amp; Installation Tracker'!A21="","",'Delivery &amp; Installation Tracker'!O21)</f>
        <v/>
      </c>
    </row>
    <row r="22" ht="21" customHeight="1">
      <c r="A22" s="46">
        <f>IF('Delivery &amp; Installation Tracker'!A22="","",'Delivery &amp; Installation Tracker'!A22)</f>
        <v/>
      </c>
      <c r="B22" s="46">
        <f>IF('Delivery &amp; Installation Tracker'!A22="","",'Delivery &amp; Installation Tracker'!B22)</f>
        <v/>
      </c>
      <c r="C22" s="46">
        <f>IF('Delivery &amp; Installation Tracker'!A22="","",'Delivery &amp; Installation Tracker'!C22)</f>
        <v/>
      </c>
      <c r="D22" s="46">
        <f>IF('Delivery &amp; Installation Tracker'!A22="","",'Delivery &amp; Installation Tracker'!E22)</f>
        <v/>
      </c>
      <c r="E22" s="46">
        <f>IF('Delivery &amp; Installation Tracker'!A22="","",'Delivery &amp; Installation Tracker'!G22)</f>
        <v/>
      </c>
      <c r="F22" s="46">
        <f>IF('Delivery &amp; Installation Tracker'!A22="","",'Delivery &amp; Installation Tracker'!I22)</f>
        <v/>
      </c>
      <c r="G22" s="47">
        <f>IF('Delivery &amp; Installation Tracker'!A22="","",'Delivery &amp; Installation Tracker'!L22)</f>
        <v/>
      </c>
      <c r="H22" s="46">
        <f>IF('Delivery &amp; Installation Tracker'!A22="","",'Delivery &amp; Installation Tracker'!M22)</f>
        <v/>
      </c>
      <c r="I22" s="46">
        <f>IF('Delivery &amp; Installation Tracker'!A22="","",'Delivery &amp; Installation Tracker'!N22)</f>
        <v/>
      </c>
      <c r="J22" s="46">
        <f>IF('Delivery &amp; Installation Tracker'!A22="","",'Delivery &amp; Installation Tracker'!O22)</f>
        <v/>
      </c>
    </row>
    <row r="23" ht="21" customHeight="1">
      <c r="A23" s="46">
        <f>IF('Delivery &amp; Installation Tracker'!A23="","",'Delivery &amp; Installation Tracker'!A23)</f>
        <v/>
      </c>
      <c r="B23" s="46">
        <f>IF('Delivery &amp; Installation Tracker'!A23="","",'Delivery &amp; Installation Tracker'!B23)</f>
        <v/>
      </c>
      <c r="C23" s="46">
        <f>IF('Delivery &amp; Installation Tracker'!A23="","",'Delivery &amp; Installation Tracker'!C23)</f>
        <v/>
      </c>
      <c r="D23" s="46">
        <f>IF('Delivery &amp; Installation Tracker'!A23="","",'Delivery &amp; Installation Tracker'!E23)</f>
        <v/>
      </c>
      <c r="E23" s="46">
        <f>IF('Delivery &amp; Installation Tracker'!A23="","",'Delivery &amp; Installation Tracker'!G23)</f>
        <v/>
      </c>
      <c r="F23" s="46">
        <f>IF('Delivery &amp; Installation Tracker'!A23="","",'Delivery &amp; Installation Tracker'!I23)</f>
        <v/>
      </c>
      <c r="G23" s="47">
        <f>IF('Delivery &amp; Installation Tracker'!A23="","",'Delivery &amp; Installation Tracker'!L23)</f>
        <v/>
      </c>
      <c r="H23" s="46">
        <f>IF('Delivery &amp; Installation Tracker'!A23="","",'Delivery &amp; Installation Tracker'!M23)</f>
        <v/>
      </c>
      <c r="I23" s="46">
        <f>IF('Delivery &amp; Installation Tracker'!A23="","",'Delivery &amp; Installation Tracker'!N23)</f>
        <v/>
      </c>
      <c r="J23" s="46">
        <f>IF('Delivery &amp; Installation Tracker'!A23="","",'Delivery &amp; Installation Tracker'!O23)</f>
        <v/>
      </c>
    </row>
    <row r="24" ht="21" customHeight="1">
      <c r="A24" s="46">
        <f>IF('Delivery &amp; Installation Tracker'!A24="","",'Delivery &amp; Installation Tracker'!A24)</f>
        <v/>
      </c>
      <c r="B24" s="46">
        <f>IF('Delivery &amp; Installation Tracker'!A24="","",'Delivery &amp; Installation Tracker'!B24)</f>
        <v/>
      </c>
      <c r="C24" s="46">
        <f>IF('Delivery &amp; Installation Tracker'!A24="","",'Delivery &amp; Installation Tracker'!C24)</f>
        <v/>
      </c>
      <c r="D24" s="46">
        <f>IF('Delivery &amp; Installation Tracker'!A24="","",'Delivery &amp; Installation Tracker'!E24)</f>
        <v/>
      </c>
      <c r="E24" s="46">
        <f>IF('Delivery &amp; Installation Tracker'!A24="","",'Delivery &amp; Installation Tracker'!G24)</f>
        <v/>
      </c>
      <c r="F24" s="46">
        <f>IF('Delivery &amp; Installation Tracker'!A24="","",'Delivery &amp; Installation Tracker'!I24)</f>
        <v/>
      </c>
      <c r="G24" s="47">
        <f>IF('Delivery &amp; Installation Tracker'!A24="","",'Delivery &amp; Installation Tracker'!L24)</f>
        <v/>
      </c>
      <c r="H24" s="46">
        <f>IF('Delivery &amp; Installation Tracker'!A24="","",'Delivery &amp; Installation Tracker'!M24)</f>
        <v/>
      </c>
      <c r="I24" s="46">
        <f>IF('Delivery &amp; Installation Tracker'!A24="","",'Delivery &amp; Installation Tracker'!N24)</f>
        <v/>
      </c>
      <c r="J24" s="46">
        <f>IF('Delivery &amp; Installation Tracker'!A24="","",'Delivery &amp; Installation Tracker'!O24)</f>
        <v/>
      </c>
    </row>
    <row r="25" ht="21" customHeight="1">
      <c r="A25" s="46">
        <f>IF('Delivery &amp; Installation Tracker'!A25="","",'Delivery &amp; Installation Tracker'!A25)</f>
        <v/>
      </c>
      <c r="B25" s="46">
        <f>IF('Delivery &amp; Installation Tracker'!A25="","",'Delivery &amp; Installation Tracker'!B25)</f>
        <v/>
      </c>
      <c r="C25" s="46">
        <f>IF('Delivery &amp; Installation Tracker'!A25="","",'Delivery &amp; Installation Tracker'!C25)</f>
        <v/>
      </c>
      <c r="D25" s="46">
        <f>IF('Delivery &amp; Installation Tracker'!A25="","",'Delivery &amp; Installation Tracker'!E25)</f>
        <v/>
      </c>
      <c r="E25" s="46">
        <f>IF('Delivery &amp; Installation Tracker'!A25="","",'Delivery &amp; Installation Tracker'!G25)</f>
        <v/>
      </c>
      <c r="F25" s="46">
        <f>IF('Delivery &amp; Installation Tracker'!A25="","",'Delivery &amp; Installation Tracker'!I25)</f>
        <v/>
      </c>
      <c r="G25" s="47">
        <f>IF('Delivery &amp; Installation Tracker'!A25="","",'Delivery &amp; Installation Tracker'!L25)</f>
        <v/>
      </c>
      <c r="H25" s="46">
        <f>IF('Delivery &amp; Installation Tracker'!A25="","",'Delivery &amp; Installation Tracker'!M25)</f>
        <v/>
      </c>
      <c r="I25" s="46">
        <f>IF('Delivery &amp; Installation Tracker'!A25="","",'Delivery &amp; Installation Tracker'!N25)</f>
        <v/>
      </c>
      <c r="J25" s="46">
        <f>IF('Delivery &amp; Installation Tracker'!A25="","",'Delivery &amp; Installation Tracker'!O25)</f>
        <v/>
      </c>
    </row>
    <row r="26" ht="21" customHeight="1">
      <c r="A26" s="46">
        <f>IF('Delivery &amp; Installation Tracker'!A26="","",'Delivery &amp; Installation Tracker'!A26)</f>
        <v/>
      </c>
      <c r="B26" s="46">
        <f>IF('Delivery &amp; Installation Tracker'!A26="","",'Delivery &amp; Installation Tracker'!B26)</f>
        <v/>
      </c>
      <c r="C26" s="46">
        <f>IF('Delivery &amp; Installation Tracker'!A26="","",'Delivery &amp; Installation Tracker'!C26)</f>
        <v/>
      </c>
      <c r="D26" s="46">
        <f>IF('Delivery &amp; Installation Tracker'!A26="","",'Delivery &amp; Installation Tracker'!E26)</f>
        <v/>
      </c>
      <c r="E26" s="46">
        <f>IF('Delivery &amp; Installation Tracker'!A26="","",'Delivery &amp; Installation Tracker'!G26)</f>
        <v/>
      </c>
      <c r="F26" s="46">
        <f>IF('Delivery &amp; Installation Tracker'!A26="","",'Delivery &amp; Installation Tracker'!I26)</f>
        <v/>
      </c>
      <c r="G26" s="47">
        <f>IF('Delivery &amp; Installation Tracker'!A26="","",'Delivery &amp; Installation Tracker'!L26)</f>
        <v/>
      </c>
      <c r="H26" s="46">
        <f>IF('Delivery &amp; Installation Tracker'!A26="","",'Delivery &amp; Installation Tracker'!M26)</f>
        <v/>
      </c>
      <c r="I26" s="46">
        <f>IF('Delivery &amp; Installation Tracker'!A26="","",'Delivery &amp; Installation Tracker'!N26)</f>
        <v/>
      </c>
      <c r="J26" s="46">
        <f>IF('Delivery &amp; Installation Tracker'!A26="","",'Delivery &amp; Installation Tracker'!O26)</f>
        <v/>
      </c>
    </row>
    <row r="27" ht="21" customHeight="1">
      <c r="A27" s="46">
        <f>IF('Delivery &amp; Installation Tracker'!A27="","",'Delivery &amp; Installation Tracker'!A27)</f>
        <v/>
      </c>
      <c r="B27" s="46">
        <f>IF('Delivery &amp; Installation Tracker'!A27="","",'Delivery &amp; Installation Tracker'!B27)</f>
        <v/>
      </c>
      <c r="C27" s="46">
        <f>IF('Delivery &amp; Installation Tracker'!A27="","",'Delivery &amp; Installation Tracker'!C27)</f>
        <v/>
      </c>
      <c r="D27" s="46">
        <f>IF('Delivery &amp; Installation Tracker'!A27="","",'Delivery &amp; Installation Tracker'!E27)</f>
        <v/>
      </c>
      <c r="E27" s="46">
        <f>IF('Delivery &amp; Installation Tracker'!A27="","",'Delivery &amp; Installation Tracker'!G27)</f>
        <v/>
      </c>
      <c r="F27" s="46">
        <f>IF('Delivery &amp; Installation Tracker'!A27="","",'Delivery &amp; Installation Tracker'!I27)</f>
        <v/>
      </c>
      <c r="G27" s="47">
        <f>IF('Delivery &amp; Installation Tracker'!A27="","",'Delivery &amp; Installation Tracker'!L27)</f>
        <v/>
      </c>
      <c r="H27" s="46">
        <f>IF('Delivery &amp; Installation Tracker'!A27="","",'Delivery &amp; Installation Tracker'!M27)</f>
        <v/>
      </c>
      <c r="I27" s="46">
        <f>IF('Delivery &amp; Installation Tracker'!A27="","",'Delivery &amp; Installation Tracker'!N27)</f>
        <v/>
      </c>
      <c r="J27" s="46">
        <f>IF('Delivery &amp; Installation Tracker'!A27="","",'Delivery &amp; Installation Tracker'!O27)</f>
        <v/>
      </c>
    </row>
    <row r="28" ht="21" customHeight="1">
      <c r="A28" s="46">
        <f>IF('Delivery &amp; Installation Tracker'!A28="","",'Delivery &amp; Installation Tracker'!A28)</f>
        <v/>
      </c>
      <c r="B28" s="46">
        <f>IF('Delivery &amp; Installation Tracker'!A28="","",'Delivery &amp; Installation Tracker'!B28)</f>
        <v/>
      </c>
      <c r="C28" s="46">
        <f>IF('Delivery &amp; Installation Tracker'!A28="","",'Delivery &amp; Installation Tracker'!C28)</f>
        <v/>
      </c>
      <c r="D28" s="46">
        <f>IF('Delivery &amp; Installation Tracker'!A28="","",'Delivery &amp; Installation Tracker'!E28)</f>
        <v/>
      </c>
      <c r="E28" s="46">
        <f>IF('Delivery &amp; Installation Tracker'!A28="","",'Delivery &amp; Installation Tracker'!G28)</f>
        <v/>
      </c>
      <c r="F28" s="46">
        <f>IF('Delivery &amp; Installation Tracker'!A28="","",'Delivery &amp; Installation Tracker'!I28)</f>
        <v/>
      </c>
      <c r="G28" s="47">
        <f>IF('Delivery &amp; Installation Tracker'!A28="","",'Delivery &amp; Installation Tracker'!L28)</f>
        <v/>
      </c>
      <c r="H28" s="46">
        <f>IF('Delivery &amp; Installation Tracker'!A28="","",'Delivery &amp; Installation Tracker'!M28)</f>
        <v/>
      </c>
      <c r="I28" s="46">
        <f>IF('Delivery &amp; Installation Tracker'!A28="","",'Delivery &amp; Installation Tracker'!N28)</f>
        <v/>
      </c>
      <c r="J28" s="46">
        <f>IF('Delivery &amp; Installation Tracker'!A28="","",'Delivery &amp; Installation Tracker'!O28)</f>
        <v/>
      </c>
    </row>
    <row r="29" ht="21" customHeight="1">
      <c r="A29" s="46">
        <f>IF('Delivery &amp; Installation Tracker'!A29="","",'Delivery &amp; Installation Tracker'!A29)</f>
        <v/>
      </c>
      <c r="B29" s="46">
        <f>IF('Delivery &amp; Installation Tracker'!A29="","",'Delivery &amp; Installation Tracker'!B29)</f>
        <v/>
      </c>
      <c r="C29" s="46">
        <f>IF('Delivery &amp; Installation Tracker'!A29="","",'Delivery &amp; Installation Tracker'!C29)</f>
        <v/>
      </c>
      <c r="D29" s="46">
        <f>IF('Delivery &amp; Installation Tracker'!A29="","",'Delivery &amp; Installation Tracker'!E29)</f>
        <v/>
      </c>
      <c r="E29" s="46">
        <f>IF('Delivery &amp; Installation Tracker'!A29="","",'Delivery &amp; Installation Tracker'!G29)</f>
        <v/>
      </c>
      <c r="F29" s="46">
        <f>IF('Delivery &amp; Installation Tracker'!A29="","",'Delivery &amp; Installation Tracker'!I29)</f>
        <v/>
      </c>
      <c r="G29" s="47">
        <f>IF('Delivery &amp; Installation Tracker'!A29="","",'Delivery &amp; Installation Tracker'!L29)</f>
        <v/>
      </c>
      <c r="H29" s="46">
        <f>IF('Delivery &amp; Installation Tracker'!A29="","",'Delivery &amp; Installation Tracker'!M29)</f>
        <v/>
      </c>
      <c r="I29" s="46">
        <f>IF('Delivery &amp; Installation Tracker'!A29="","",'Delivery &amp; Installation Tracker'!N29)</f>
        <v/>
      </c>
      <c r="J29" s="46">
        <f>IF('Delivery &amp; Installation Tracker'!A29="","",'Delivery &amp; Installation Tracker'!O29)</f>
        <v/>
      </c>
    </row>
    <row r="30" ht="21" customHeight="1">
      <c r="A30" s="46">
        <f>IF('Delivery &amp; Installation Tracker'!A30="","",'Delivery &amp; Installation Tracker'!A30)</f>
        <v/>
      </c>
      <c r="B30" s="46">
        <f>IF('Delivery &amp; Installation Tracker'!A30="","",'Delivery &amp; Installation Tracker'!B30)</f>
        <v/>
      </c>
      <c r="C30" s="46">
        <f>IF('Delivery &amp; Installation Tracker'!A30="","",'Delivery &amp; Installation Tracker'!C30)</f>
        <v/>
      </c>
      <c r="D30" s="46">
        <f>IF('Delivery &amp; Installation Tracker'!A30="","",'Delivery &amp; Installation Tracker'!E30)</f>
        <v/>
      </c>
      <c r="E30" s="46">
        <f>IF('Delivery &amp; Installation Tracker'!A30="","",'Delivery &amp; Installation Tracker'!G30)</f>
        <v/>
      </c>
      <c r="F30" s="46">
        <f>IF('Delivery &amp; Installation Tracker'!A30="","",'Delivery &amp; Installation Tracker'!I30)</f>
        <v/>
      </c>
      <c r="G30" s="47">
        <f>IF('Delivery &amp; Installation Tracker'!A30="","",'Delivery &amp; Installation Tracker'!L30)</f>
        <v/>
      </c>
      <c r="H30" s="46">
        <f>IF('Delivery &amp; Installation Tracker'!A30="","",'Delivery &amp; Installation Tracker'!M30)</f>
        <v/>
      </c>
      <c r="I30" s="46">
        <f>IF('Delivery &amp; Installation Tracker'!A30="","",'Delivery &amp; Installation Tracker'!N30)</f>
        <v/>
      </c>
      <c r="J30" s="46">
        <f>IF('Delivery &amp; Installation Tracker'!A30="","",'Delivery &amp; Installation Tracker'!O30)</f>
        <v/>
      </c>
    </row>
    <row r="31" ht="21" customHeight="1">
      <c r="A31" s="46">
        <f>IF('Delivery &amp; Installation Tracker'!A31="","",'Delivery &amp; Installation Tracker'!A31)</f>
        <v/>
      </c>
      <c r="B31" s="46">
        <f>IF('Delivery &amp; Installation Tracker'!A31="","",'Delivery &amp; Installation Tracker'!B31)</f>
        <v/>
      </c>
      <c r="C31" s="46">
        <f>IF('Delivery &amp; Installation Tracker'!A31="","",'Delivery &amp; Installation Tracker'!C31)</f>
        <v/>
      </c>
      <c r="D31" s="46">
        <f>IF('Delivery &amp; Installation Tracker'!A31="","",'Delivery &amp; Installation Tracker'!E31)</f>
        <v/>
      </c>
      <c r="E31" s="46">
        <f>IF('Delivery &amp; Installation Tracker'!A31="","",'Delivery &amp; Installation Tracker'!G31)</f>
        <v/>
      </c>
      <c r="F31" s="46">
        <f>IF('Delivery &amp; Installation Tracker'!A31="","",'Delivery &amp; Installation Tracker'!I31)</f>
        <v/>
      </c>
      <c r="G31" s="47">
        <f>IF('Delivery &amp; Installation Tracker'!A31="","",'Delivery &amp; Installation Tracker'!L31)</f>
        <v/>
      </c>
      <c r="H31" s="46">
        <f>IF('Delivery &amp; Installation Tracker'!A31="","",'Delivery &amp; Installation Tracker'!M31)</f>
        <v/>
      </c>
      <c r="I31" s="46">
        <f>IF('Delivery &amp; Installation Tracker'!A31="","",'Delivery &amp; Installation Tracker'!N31)</f>
        <v/>
      </c>
      <c r="J31" s="46">
        <f>IF('Delivery &amp; Installation Tracker'!A31="","",'Delivery &amp; Installation Tracker'!O31)</f>
        <v/>
      </c>
    </row>
    <row r="32" ht="21" customHeight="1">
      <c r="A32" s="46">
        <f>IF('Delivery &amp; Installation Tracker'!A32="","",'Delivery &amp; Installation Tracker'!A32)</f>
        <v/>
      </c>
      <c r="B32" s="46">
        <f>IF('Delivery &amp; Installation Tracker'!A32="","",'Delivery &amp; Installation Tracker'!B32)</f>
        <v/>
      </c>
      <c r="C32" s="46">
        <f>IF('Delivery &amp; Installation Tracker'!A32="","",'Delivery &amp; Installation Tracker'!C32)</f>
        <v/>
      </c>
      <c r="D32" s="46">
        <f>IF('Delivery &amp; Installation Tracker'!A32="","",'Delivery &amp; Installation Tracker'!E32)</f>
        <v/>
      </c>
      <c r="E32" s="46">
        <f>IF('Delivery &amp; Installation Tracker'!A32="","",'Delivery &amp; Installation Tracker'!G32)</f>
        <v/>
      </c>
      <c r="F32" s="46">
        <f>IF('Delivery &amp; Installation Tracker'!A32="","",'Delivery &amp; Installation Tracker'!I32)</f>
        <v/>
      </c>
      <c r="G32" s="47">
        <f>IF('Delivery &amp; Installation Tracker'!A32="","",'Delivery &amp; Installation Tracker'!L32)</f>
        <v/>
      </c>
      <c r="H32" s="46">
        <f>IF('Delivery &amp; Installation Tracker'!A32="","",'Delivery &amp; Installation Tracker'!M32)</f>
        <v/>
      </c>
      <c r="I32" s="46">
        <f>IF('Delivery &amp; Installation Tracker'!A32="","",'Delivery &amp; Installation Tracker'!N32)</f>
        <v/>
      </c>
      <c r="J32" s="46">
        <f>IF('Delivery &amp; Installation Tracker'!A32="","",'Delivery &amp; Installation Tracker'!O32)</f>
        <v/>
      </c>
    </row>
    <row r="33" ht="21" customHeight="1">
      <c r="A33" s="46">
        <f>IF('Delivery &amp; Installation Tracker'!A33="","",'Delivery &amp; Installation Tracker'!A33)</f>
        <v/>
      </c>
      <c r="B33" s="46">
        <f>IF('Delivery &amp; Installation Tracker'!A33="","",'Delivery &amp; Installation Tracker'!B33)</f>
        <v/>
      </c>
      <c r="C33" s="46">
        <f>IF('Delivery &amp; Installation Tracker'!A33="","",'Delivery &amp; Installation Tracker'!C33)</f>
        <v/>
      </c>
      <c r="D33" s="46">
        <f>IF('Delivery &amp; Installation Tracker'!A33="","",'Delivery &amp; Installation Tracker'!E33)</f>
        <v/>
      </c>
      <c r="E33" s="46">
        <f>IF('Delivery &amp; Installation Tracker'!A33="","",'Delivery &amp; Installation Tracker'!G33)</f>
        <v/>
      </c>
      <c r="F33" s="46">
        <f>IF('Delivery &amp; Installation Tracker'!A33="","",'Delivery &amp; Installation Tracker'!I33)</f>
        <v/>
      </c>
      <c r="G33" s="47">
        <f>IF('Delivery &amp; Installation Tracker'!A33="","",'Delivery &amp; Installation Tracker'!L33)</f>
        <v/>
      </c>
      <c r="H33" s="46">
        <f>IF('Delivery &amp; Installation Tracker'!A33="","",'Delivery &amp; Installation Tracker'!M33)</f>
        <v/>
      </c>
      <c r="I33" s="46">
        <f>IF('Delivery &amp; Installation Tracker'!A33="","",'Delivery &amp; Installation Tracker'!N33)</f>
        <v/>
      </c>
      <c r="J33" s="46">
        <f>IF('Delivery &amp; Installation Tracker'!A33="","",'Delivery &amp; Installation Tracker'!O33)</f>
        <v/>
      </c>
    </row>
    <row r="34" ht="21" customHeight="1">
      <c r="A34" s="46">
        <f>IF('Delivery &amp; Installation Tracker'!A34="","",'Delivery &amp; Installation Tracker'!A34)</f>
        <v/>
      </c>
      <c r="B34" s="46">
        <f>IF('Delivery &amp; Installation Tracker'!A34="","",'Delivery &amp; Installation Tracker'!B34)</f>
        <v/>
      </c>
      <c r="C34" s="46">
        <f>IF('Delivery &amp; Installation Tracker'!A34="","",'Delivery &amp; Installation Tracker'!C34)</f>
        <v/>
      </c>
      <c r="D34" s="46">
        <f>IF('Delivery &amp; Installation Tracker'!A34="","",'Delivery &amp; Installation Tracker'!E34)</f>
        <v/>
      </c>
      <c r="E34" s="46">
        <f>IF('Delivery &amp; Installation Tracker'!A34="","",'Delivery &amp; Installation Tracker'!G34)</f>
        <v/>
      </c>
      <c r="F34" s="46">
        <f>IF('Delivery &amp; Installation Tracker'!A34="","",'Delivery &amp; Installation Tracker'!I34)</f>
        <v/>
      </c>
      <c r="G34" s="47">
        <f>IF('Delivery &amp; Installation Tracker'!A34="","",'Delivery &amp; Installation Tracker'!L34)</f>
        <v/>
      </c>
      <c r="H34" s="46">
        <f>IF('Delivery &amp; Installation Tracker'!A34="","",'Delivery &amp; Installation Tracker'!M34)</f>
        <v/>
      </c>
      <c r="I34" s="46">
        <f>IF('Delivery &amp; Installation Tracker'!A34="","",'Delivery &amp; Installation Tracker'!N34)</f>
        <v/>
      </c>
      <c r="J34" s="46">
        <f>IF('Delivery &amp; Installation Tracker'!A34="","",'Delivery &amp; Installation Tracker'!O34)</f>
        <v/>
      </c>
    </row>
    <row r="35" ht="21" customHeight="1">
      <c r="A35" s="46">
        <f>IF('Delivery &amp; Installation Tracker'!A35="","",'Delivery &amp; Installation Tracker'!A35)</f>
        <v/>
      </c>
      <c r="B35" s="46">
        <f>IF('Delivery &amp; Installation Tracker'!A35="","",'Delivery &amp; Installation Tracker'!B35)</f>
        <v/>
      </c>
      <c r="C35" s="46">
        <f>IF('Delivery &amp; Installation Tracker'!A35="","",'Delivery &amp; Installation Tracker'!C35)</f>
        <v/>
      </c>
      <c r="D35" s="46">
        <f>IF('Delivery &amp; Installation Tracker'!A35="","",'Delivery &amp; Installation Tracker'!E35)</f>
        <v/>
      </c>
      <c r="E35" s="46">
        <f>IF('Delivery &amp; Installation Tracker'!A35="","",'Delivery &amp; Installation Tracker'!G35)</f>
        <v/>
      </c>
      <c r="F35" s="46">
        <f>IF('Delivery &amp; Installation Tracker'!A35="","",'Delivery &amp; Installation Tracker'!I35)</f>
        <v/>
      </c>
      <c r="G35" s="47">
        <f>IF('Delivery &amp; Installation Tracker'!A35="","",'Delivery &amp; Installation Tracker'!L35)</f>
        <v/>
      </c>
      <c r="H35" s="46">
        <f>IF('Delivery &amp; Installation Tracker'!A35="","",'Delivery &amp; Installation Tracker'!M35)</f>
        <v/>
      </c>
      <c r="I35" s="46">
        <f>IF('Delivery &amp; Installation Tracker'!A35="","",'Delivery &amp; Installation Tracker'!N35)</f>
        <v/>
      </c>
      <c r="J35" s="46">
        <f>IF('Delivery &amp; Installation Tracker'!A35="","",'Delivery &amp; Installation Tracker'!O35)</f>
        <v/>
      </c>
    </row>
    <row r="36" ht="21" customHeight="1">
      <c r="A36" s="46">
        <f>IF('Delivery &amp; Installation Tracker'!A36="","",'Delivery &amp; Installation Tracker'!A36)</f>
        <v/>
      </c>
      <c r="B36" s="46">
        <f>IF('Delivery &amp; Installation Tracker'!A36="","",'Delivery &amp; Installation Tracker'!B36)</f>
        <v/>
      </c>
      <c r="C36" s="46">
        <f>IF('Delivery &amp; Installation Tracker'!A36="","",'Delivery &amp; Installation Tracker'!C36)</f>
        <v/>
      </c>
      <c r="D36" s="46">
        <f>IF('Delivery &amp; Installation Tracker'!A36="","",'Delivery &amp; Installation Tracker'!E36)</f>
        <v/>
      </c>
      <c r="E36" s="46">
        <f>IF('Delivery &amp; Installation Tracker'!A36="","",'Delivery &amp; Installation Tracker'!G36)</f>
        <v/>
      </c>
      <c r="F36" s="46">
        <f>IF('Delivery &amp; Installation Tracker'!A36="","",'Delivery &amp; Installation Tracker'!I36)</f>
        <v/>
      </c>
      <c r="G36" s="47">
        <f>IF('Delivery &amp; Installation Tracker'!A36="","",'Delivery &amp; Installation Tracker'!L36)</f>
        <v/>
      </c>
      <c r="H36" s="46">
        <f>IF('Delivery &amp; Installation Tracker'!A36="","",'Delivery &amp; Installation Tracker'!M36)</f>
        <v/>
      </c>
      <c r="I36" s="46">
        <f>IF('Delivery &amp; Installation Tracker'!A36="","",'Delivery &amp; Installation Tracker'!N36)</f>
        <v/>
      </c>
      <c r="J36" s="46">
        <f>IF('Delivery &amp; Installation Tracker'!A36="","",'Delivery &amp; Installation Tracker'!O36)</f>
        <v/>
      </c>
    </row>
    <row r="37" ht="21" customHeight="1">
      <c r="A37" s="46">
        <f>IF('Delivery &amp; Installation Tracker'!A37="","",'Delivery &amp; Installation Tracker'!A37)</f>
        <v/>
      </c>
      <c r="B37" s="46">
        <f>IF('Delivery &amp; Installation Tracker'!A37="","",'Delivery &amp; Installation Tracker'!B37)</f>
        <v/>
      </c>
      <c r="C37" s="46">
        <f>IF('Delivery &amp; Installation Tracker'!A37="","",'Delivery &amp; Installation Tracker'!C37)</f>
        <v/>
      </c>
      <c r="D37" s="46">
        <f>IF('Delivery &amp; Installation Tracker'!A37="","",'Delivery &amp; Installation Tracker'!E37)</f>
        <v/>
      </c>
      <c r="E37" s="46">
        <f>IF('Delivery &amp; Installation Tracker'!A37="","",'Delivery &amp; Installation Tracker'!G37)</f>
        <v/>
      </c>
      <c r="F37" s="46">
        <f>IF('Delivery &amp; Installation Tracker'!A37="","",'Delivery &amp; Installation Tracker'!I37)</f>
        <v/>
      </c>
      <c r="G37" s="47">
        <f>IF('Delivery &amp; Installation Tracker'!A37="","",'Delivery &amp; Installation Tracker'!L37)</f>
        <v/>
      </c>
      <c r="H37" s="46">
        <f>IF('Delivery &amp; Installation Tracker'!A37="","",'Delivery &amp; Installation Tracker'!M37)</f>
        <v/>
      </c>
      <c r="I37" s="46">
        <f>IF('Delivery &amp; Installation Tracker'!A37="","",'Delivery &amp; Installation Tracker'!N37)</f>
        <v/>
      </c>
      <c r="J37" s="46">
        <f>IF('Delivery &amp; Installation Tracker'!A37="","",'Delivery &amp; Installation Tracker'!O37)</f>
        <v/>
      </c>
    </row>
    <row r="38" ht="21" customHeight="1">
      <c r="A38" s="46">
        <f>IF('Delivery &amp; Installation Tracker'!A38="","",'Delivery &amp; Installation Tracker'!A38)</f>
        <v/>
      </c>
      <c r="B38" s="46">
        <f>IF('Delivery &amp; Installation Tracker'!A38="","",'Delivery &amp; Installation Tracker'!B38)</f>
        <v/>
      </c>
      <c r="C38" s="46">
        <f>IF('Delivery &amp; Installation Tracker'!A38="","",'Delivery &amp; Installation Tracker'!C38)</f>
        <v/>
      </c>
      <c r="D38" s="46">
        <f>IF('Delivery &amp; Installation Tracker'!A38="","",'Delivery &amp; Installation Tracker'!E38)</f>
        <v/>
      </c>
      <c r="E38" s="46">
        <f>IF('Delivery &amp; Installation Tracker'!A38="","",'Delivery &amp; Installation Tracker'!G38)</f>
        <v/>
      </c>
      <c r="F38" s="46">
        <f>IF('Delivery &amp; Installation Tracker'!A38="","",'Delivery &amp; Installation Tracker'!I38)</f>
        <v/>
      </c>
      <c r="G38" s="47">
        <f>IF('Delivery &amp; Installation Tracker'!A38="","",'Delivery &amp; Installation Tracker'!L38)</f>
        <v/>
      </c>
      <c r="H38" s="46">
        <f>IF('Delivery &amp; Installation Tracker'!A38="","",'Delivery &amp; Installation Tracker'!M38)</f>
        <v/>
      </c>
      <c r="I38" s="46">
        <f>IF('Delivery &amp; Installation Tracker'!A38="","",'Delivery &amp; Installation Tracker'!N38)</f>
        <v/>
      </c>
      <c r="J38" s="46">
        <f>IF('Delivery &amp; Installation Tracker'!A38="","",'Delivery &amp; Installation Tracker'!O38)</f>
        <v/>
      </c>
    </row>
    <row r="39" ht="21" customHeight="1">
      <c r="A39" s="46">
        <f>IF('Delivery &amp; Installation Tracker'!A39="","",'Delivery &amp; Installation Tracker'!A39)</f>
        <v/>
      </c>
      <c r="B39" s="46">
        <f>IF('Delivery &amp; Installation Tracker'!A39="","",'Delivery &amp; Installation Tracker'!B39)</f>
        <v/>
      </c>
      <c r="C39" s="46">
        <f>IF('Delivery &amp; Installation Tracker'!A39="","",'Delivery &amp; Installation Tracker'!C39)</f>
        <v/>
      </c>
      <c r="D39" s="46">
        <f>IF('Delivery &amp; Installation Tracker'!A39="","",'Delivery &amp; Installation Tracker'!E39)</f>
        <v/>
      </c>
      <c r="E39" s="46">
        <f>IF('Delivery &amp; Installation Tracker'!A39="","",'Delivery &amp; Installation Tracker'!G39)</f>
        <v/>
      </c>
      <c r="F39" s="46">
        <f>IF('Delivery &amp; Installation Tracker'!A39="","",'Delivery &amp; Installation Tracker'!I39)</f>
        <v/>
      </c>
      <c r="G39" s="47">
        <f>IF('Delivery &amp; Installation Tracker'!A39="","",'Delivery &amp; Installation Tracker'!L39)</f>
        <v/>
      </c>
      <c r="H39" s="46">
        <f>IF('Delivery &amp; Installation Tracker'!A39="","",'Delivery &amp; Installation Tracker'!M39)</f>
        <v/>
      </c>
      <c r="I39" s="46">
        <f>IF('Delivery &amp; Installation Tracker'!A39="","",'Delivery &amp; Installation Tracker'!N39)</f>
        <v/>
      </c>
      <c r="J39" s="46">
        <f>IF('Delivery &amp; Installation Tracker'!A39="","",'Delivery &amp; Installation Tracker'!O39)</f>
        <v/>
      </c>
    </row>
    <row r="40" ht="21" customHeight="1">
      <c r="A40" s="46">
        <f>IF('Delivery &amp; Installation Tracker'!A40="","",'Delivery &amp; Installation Tracker'!A40)</f>
        <v/>
      </c>
      <c r="B40" s="46">
        <f>IF('Delivery &amp; Installation Tracker'!A40="","",'Delivery &amp; Installation Tracker'!B40)</f>
        <v/>
      </c>
      <c r="C40" s="46">
        <f>IF('Delivery &amp; Installation Tracker'!A40="","",'Delivery &amp; Installation Tracker'!C40)</f>
        <v/>
      </c>
      <c r="D40" s="46">
        <f>IF('Delivery &amp; Installation Tracker'!A40="","",'Delivery &amp; Installation Tracker'!E40)</f>
        <v/>
      </c>
      <c r="E40" s="46">
        <f>IF('Delivery &amp; Installation Tracker'!A40="","",'Delivery &amp; Installation Tracker'!G40)</f>
        <v/>
      </c>
      <c r="F40" s="46">
        <f>IF('Delivery &amp; Installation Tracker'!A40="","",'Delivery &amp; Installation Tracker'!I40)</f>
        <v/>
      </c>
      <c r="G40" s="47">
        <f>IF('Delivery &amp; Installation Tracker'!A40="","",'Delivery &amp; Installation Tracker'!L40)</f>
        <v/>
      </c>
      <c r="H40" s="46">
        <f>IF('Delivery &amp; Installation Tracker'!A40="","",'Delivery &amp; Installation Tracker'!M40)</f>
        <v/>
      </c>
      <c r="I40" s="46">
        <f>IF('Delivery &amp; Installation Tracker'!A40="","",'Delivery &amp; Installation Tracker'!N40)</f>
        <v/>
      </c>
      <c r="J40" s="46">
        <f>IF('Delivery &amp; Installation Tracker'!A40="","",'Delivery &amp; Installation Tracker'!O40)</f>
        <v/>
      </c>
    </row>
    <row r="41" ht="21" customHeight="1">
      <c r="A41" s="46">
        <f>IF('Delivery &amp; Installation Tracker'!A41="","",'Delivery &amp; Installation Tracker'!A41)</f>
        <v/>
      </c>
      <c r="B41" s="46">
        <f>IF('Delivery &amp; Installation Tracker'!A41="","",'Delivery &amp; Installation Tracker'!B41)</f>
        <v/>
      </c>
      <c r="C41" s="46">
        <f>IF('Delivery &amp; Installation Tracker'!A41="","",'Delivery &amp; Installation Tracker'!C41)</f>
        <v/>
      </c>
      <c r="D41" s="46">
        <f>IF('Delivery &amp; Installation Tracker'!A41="","",'Delivery &amp; Installation Tracker'!E41)</f>
        <v/>
      </c>
      <c r="E41" s="46">
        <f>IF('Delivery &amp; Installation Tracker'!A41="","",'Delivery &amp; Installation Tracker'!G41)</f>
        <v/>
      </c>
      <c r="F41" s="46">
        <f>IF('Delivery &amp; Installation Tracker'!A41="","",'Delivery &amp; Installation Tracker'!I41)</f>
        <v/>
      </c>
      <c r="G41" s="47">
        <f>IF('Delivery &amp; Installation Tracker'!A41="","",'Delivery &amp; Installation Tracker'!L41)</f>
        <v/>
      </c>
      <c r="H41" s="46">
        <f>IF('Delivery &amp; Installation Tracker'!A41="","",'Delivery &amp; Installation Tracker'!M41)</f>
        <v/>
      </c>
      <c r="I41" s="46">
        <f>IF('Delivery &amp; Installation Tracker'!A41="","",'Delivery &amp; Installation Tracker'!N41)</f>
        <v/>
      </c>
      <c r="J41" s="46">
        <f>IF('Delivery &amp; Installation Tracker'!A41="","",'Delivery &amp; Installation Tracker'!O41)</f>
        <v/>
      </c>
    </row>
    <row r="42" ht="21" customHeight="1">
      <c r="A42" s="46">
        <f>IF('Delivery &amp; Installation Tracker'!A42="","",'Delivery &amp; Installation Tracker'!A42)</f>
        <v/>
      </c>
      <c r="B42" s="46">
        <f>IF('Delivery &amp; Installation Tracker'!A42="","",'Delivery &amp; Installation Tracker'!B42)</f>
        <v/>
      </c>
      <c r="C42" s="46">
        <f>IF('Delivery &amp; Installation Tracker'!A42="","",'Delivery &amp; Installation Tracker'!C42)</f>
        <v/>
      </c>
      <c r="D42" s="46">
        <f>IF('Delivery &amp; Installation Tracker'!A42="","",'Delivery &amp; Installation Tracker'!E42)</f>
        <v/>
      </c>
      <c r="E42" s="46">
        <f>IF('Delivery &amp; Installation Tracker'!A42="","",'Delivery &amp; Installation Tracker'!G42)</f>
        <v/>
      </c>
      <c r="F42" s="46">
        <f>IF('Delivery &amp; Installation Tracker'!A42="","",'Delivery &amp; Installation Tracker'!I42)</f>
        <v/>
      </c>
      <c r="G42" s="47">
        <f>IF('Delivery &amp; Installation Tracker'!A42="","",'Delivery &amp; Installation Tracker'!L42)</f>
        <v/>
      </c>
      <c r="H42" s="46">
        <f>IF('Delivery &amp; Installation Tracker'!A42="","",'Delivery &amp; Installation Tracker'!M42)</f>
        <v/>
      </c>
      <c r="I42" s="46">
        <f>IF('Delivery &amp; Installation Tracker'!A42="","",'Delivery &amp; Installation Tracker'!N42)</f>
        <v/>
      </c>
      <c r="J42" s="46">
        <f>IF('Delivery &amp; Installation Tracker'!A42="","",'Delivery &amp; Installation Tracker'!O42)</f>
        <v/>
      </c>
    </row>
    <row r="43" ht="21" customHeight="1">
      <c r="A43" s="46">
        <f>IF('Delivery &amp; Installation Tracker'!A43="","",'Delivery &amp; Installation Tracker'!A43)</f>
        <v/>
      </c>
      <c r="B43" s="46">
        <f>IF('Delivery &amp; Installation Tracker'!A43="","",'Delivery &amp; Installation Tracker'!B43)</f>
        <v/>
      </c>
      <c r="C43" s="46">
        <f>IF('Delivery &amp; Installation Tracker'!A43="","",'Delivery &amp; Installation Tracker'!C43)</f>
        <v/>
      </c>
      <c r="D43" s="46">
        <f>IF('Delivery &amp; Installation Tracker'!A43="","",'Delivery &amp; Installation Tracker'!E43)</f>
        <v/>
      </c>
      <c r="E43" s="46">
        <f>IF('Delivery &amp; Installation Tracker'!A43="","",'Delivery &amp; Installation Tracker'!G43)</f>
        <v/>
      </c>
      <c r="F43" s="46">
        <f>IF('Delivery &amp; Installation Tracker'!A43="","",'Delivery &amp; Installation Tracker'!I43)</f>
        <v/>
      </c>
      <c r="G43" s="47">
        <f>IF('Delivery &amp; Installation Tracker'!A43="","",'Delivery &amp; Installation Tracker'!L43)</f>
        <v/>
      </c>
      <c r="H43" s="46">
        <f>IF('Delivery &amp; Installation Tracker'!A43="","",'Delivery &amp; Installation Tracker'!M43)</f>
        <v/>
      </c>
      <c r="I43" s="46">
        <f>IF('Delivery &amp; Installation Tracker'!A43="","",'Delivery &amp; Installation Tracker'!N43)</f>
        <v/>
      </c>
      <c r="J43" s="46">
        <f>IF('Delivery &amp; Installation Tracker'!A43="","",'Delivery &amp; Installation Tracker'!O43)</f>
        <v/>
      </c>
    </row>
    <row r="44" ht="21" customHeight="1">
      <c r="A44" s="46">
        <f>IF('Delivery &amp; Installation Tracker'!A44="","",'Delivery &amp; Installation Tracker'!A44)</f>
        <v/>
      </c>
      <c r="B44" s="46">
        <f>IF('Delivery &amp; Installation Tracker'!A44="","",'Delivery &amp; Installation Tracker'!B44)</f>
        <v/>
      </c>
      <c r="C44" s="46">
        <f>IF('Delivery &amp; Installation Tracker'!A44="","",'Delivery &amp; Installation Tracker'!C44)</f>
        <v/>
      </c>
      <c r="D44" s="46">
        <f>IF('Delivery &amp; Installation Tracker'!A44="","",'Delivery &amp; Installation Tracker'!E44)</f>
        <v/>
      </c>
      <c r="E44" s="46">
        <f>IF('Delivery &amp; Installation Tracker'!A44="","",'Delivery &amp; Installation Tracker'!G44)</f>
        <v/>
      </c>
      <c r="F44" s="46">
        <f>IF('Delivery &amp; Installation Tracker'!A44="","",'Delivery &amp; Installation Tracker'!I44)</f>
        <v/>
      </c>
      <c r="G44" s="47">
        <f>IF('Delivery &amp; Installation Tracker'!A44="","",'Delivery &amp; Installation Tracker'!L44)</f>
        <v/>
      </c>
      <c r="H44" s="46">
        <f>IF('Delivery &amp; Installation Tracker'!A44="","",'Delivery &amp; Installation Tracker'!M44)</f>
        <v/>
      </c>
      <c r="I44" s="46">
        <f>IF('Delivery &amp; Installation Tracker'!A44="","",'Delivery &amp; Installation Tracker'!N44)</f>
        <v/>
      </c>
      <c r="J44" s="46">
        <f>IF('Delivery &amp; Installation Tracker'!A44="","",'Delivery &amp; Installation Tracker'!O44)</f>
        <v/>
      </c>
    </row>
    <row r="45" ht="21" customHeight="1">
      <c r="A45" s="46">
        <f>IF('Delivery &amp; Installation Tracker'!A45="","",'Delivery &amp; Installation Tracker'!A45)</f>
        <v/>
      </c>
      <c r="B45" s="46">
        <f>IF('Delivery &amp; Installation Tracker'!A45="","",'Delivery &amp; Installation Tracker'!B45)</f>
        <v/>
      </c>
      <c r="C45" s="46">
        <f>IF('Delivery &amp; Installation Tracker'!A45="","",'Delivery &amp; Installation Tracker'!C45)</f>
        <v/>
      </c>
      <c r="D45" s="46">
        <f>IF('Delivery &amp; Installation Tracker'!A45="","",'Delivery &amp; Installation Tracker'!E45)</f>
        <v/>
      </c>
      <c r="E45" s="46">
        <f>IF('Delivery &amp; Installation Tracker'!A45="","",'Delivery &amp; Installation Tracker'!G45)</f>
        <v/>
      </c>
      <c r="F45" s="46">
        <f>IF('Delivery &amp; Installation Tracker'!A45="","",'Delivery &amp; Installation Tracker'!I45)</f>
        <v/>
      </c>
      <c r="G45" s="47">
        <f>IF('Delivery &amp; Installation Tracker'!A45="","",'Delivery &amp; Installation Tracker'!L45)</f>
        <v/>
      </c>
      <c r="H45" s="46">
        <f>IF('Delivery &amp; Installation Tracker'!A45="","",'Delivery &amp; Installation Tracker'!M45)</f>
        <v/>
      </c>
      <c r="I45" s="46">
        <f>IF('Delivery &amp; Installation Tracker'!A45="","",'Delivery &amp; Installation Tracker'!N45)</f>
        <v/>
      </c>
      <c r="J45" s="46">
        <f>IF('Delivery &amp; Installation Tracker'!A45="","",'Delivery &amp; Installation Tracker'!O45)</f>
        <v/>
      </c>
    </row>
    <row r="46" ht="21" customHeight="1">
      <c r="A46" s="46">
        <f>IF('Delivery &amp; Installation Tracker'!A46="","",'Delivery &amp; Installation Tracker'!A46)</f>
        <v/>
      </c>
      <c r="B46" s="46">
        <f>IF('Delivery &amp; Installation Tracker'!A46="","",'Delivery &amp; Installation Tracker'!B46)</f>
        <v/>
      </c>
      <c r="C46" s="46">
        <f>IF('Delivery &amp; Installation Tracker'!A46="","",'Delivery &amp; Installation Tracker'!C46)</f>
        <v/>
      </c>
      <c r="D46" s="46">
        <f>IF('Delivery &amp; Installation Tracker'!A46="","",'Delivery &amp; Installation Tracker'!E46)</f>
        <v/>
      </c>
      <c r="E46" s="46">
        <f>IF('Delivery &amp; Installation Tracker'!A46="","",'Delivery &amp; Installation Tracker'!G46)</f>
        <v/>
      </c>
      <c r="F46" s="46">
        <f>IF('Delivery &amp; Installation Tracker'!A46="","",'Delivery &amp; Installation Tracker'!I46)</f>
        <v/>
      </c>
      <c r="G46" s="47">
        <f>IF('Delivery &amp; Installation Tracker'!A46="","",'Delivery &amp; Installation Tracker'!L46)</f>
        <v/>
      </c>
      <c r="H46" s="46">
        <f>IF('Delivery &amp; Installation Tracker'!A46="","",'Delivery &amp; Installation Tracker'!M46)</f>
        <v/>
      </c>
      <c r="I46" s="46">
        <f>IF('Delivery &amp; Installation Tracker'!A46="","",'Delivery &amp; Installation Tracker'!N46)</f>
        <v/>
      </c>
      <c r="J46" s="46">
        <f>IF('Delivery &amp; Installation Tracker'!A46="","",'Delivery &amp; Installation Tracker'!O46)</f>
        <v/>
      </c>
    </row>
    <row r="47" ht="21" customHeight="1">
      <c r="A47" s="46">
        <f>IF('Delivery &amp; Installation Tracker'!A47="","",'Delivery &amp; Installation Tracker'!A47)</f>
        <v/>
      </c>
      <c r="B47" s="46">
        <f>IF('Delivery &amp; Installation Tracker'!A47="","",'Delivery &amp; Installation Tracker'!B47)</f>
        <v/>
      </c>
      <c r="C47" s="46">
        <f>IF('Delivery &amp; Installation Tracker'!A47="","",'Delivery &amp; Installation Tracker'!C47)</f>
        <v/>
      </c>
      <c r="D47" s="46">
        <f>IF('Delivery &amp; Installation Tracker'!A47="","",'Delivery &amp; Installation Tracker'!E47)</f>
        <v/>
      </c>
      <c r="E47" s="46">
        <f>IF('Delivery &amp; Installation Tracker'!A47="","",'Delivery &amp; Installation Tracker'!G47)</f>
        <v/>
      </c>
      <c r="F47" s="46">
        <f>IF('Delivery &amp; Installation Tracker'!A47="","",'Delivery &amp; Installation Tracker'!I47)</f>
        <v/>
      </c>
      <c r="G47" s="47">
        <f>IF('Delivery &amp; Installation Tracker'!A47="","",'Delivery &amp; Installation Tracker'!L47)</f>
        <v/>
      </c>
      <c r="H47" s="46">
        <f>IF('Delivery &amp; Installation Tracker'!A47="","",'Delivery &amp; Installation Tracker'!M47)</f>
        <v/>
      </c>
      <c r="I47" s="46">
        <f>IF('Delivery &amp; Installation Tracker'!A47="","",'Delivery &amp; Installation Tracker'!N47)</f>
        <v/>
      </c>
      <c r="J47" s="46">
        <f>IF('Delivery &amp; Installation Tracker'!A47="","",'Delivery &amp; Installation Tracker'!O47)</f>
        <v/>
      </c>
    </row>
    <row r="48" ht="21" customHeight="1">
      <c r="A48" s="46">
        <f>IF('Delivery &amp; Installation Tracker'!A48="","",'Delivery &amp; Installation Tracker'!A48)</f>
        <v/>
      </c>
      <c r="B48" s="46">
        <f>IF('Delivery &amp; Installation Tracker'!A48="","",'Delivery &amp; Installation Tracker'!B48)</f>
        <v/>
      </c>
      <c r="C48" s="46">
        <f>IF('Delivery &amp; Installation Tracker'!A48="","",'Delivery &amp; Installation Tracker'!C48)</f>
        <v/>
      </c>
      <c r="D48" s="46">
        <f>IF('Delivery &amp; Installation Tracker'!A48="","",'Delivery &amp; Installation Tracker'!E48)</f>
        <v/>
      </c>
      <c r="E48" s="46">
        <f>IF('Delivery &amp; Installation Tracker'!A48="","",'Delivery &amp; Installation Tracker'!G48)</f>
        <v/>
      </c>
      <c r="F48" s="46">
        <f>IF('Delivery &amp; Installation Tracker'!A48="","",'Delivery &amp; Installation Tracker'!I48)</f>
        <v/>
      </c>
      <c r="G48" s="47">
        <f>IF('Delivery &amp; Installation Tracker'!A48="","",'Delivery &amp; Installation Tracker'!L48)</f>
        <v/>
      </c>
      <c r="H48" s="46">
        <f>IF('Delivery &amp; Installation Tracker'!A48="","",'Delivery &amp; Installation Tracker'!M48)</f>
        <v/>
      </c>
      <c r="I48" s="46">
        <f>IF('Delivery &amp; Installation Tracker'!A48="","",'Delivery &amp; Installation Tracker'!N48)</f>
        <v/>
      </c>
      <c r="J48" s="46">
        <f>IF('Delivery &amp; Installation Tracker'!A48="","",'Delivery &amp; Installation Tracker'!O48)</f>
        <v/>
      </c>
    </row>
    <row r="49" ht="21" customHeight="1">
      <c r="A49" s="46">
        <f>IF('Delivery &amp; Installation Tracker'!A49="","",'Delivery &amp; Installation Tracker'!A49)</f>
        <v/>
      </c>
      <c r="B49" s="46">
        <f>IF('Delivery &amp; Installation Tracker'!A49="","",'Delivery &amp; Installation Tracker'!B49)</f>
        <v/>
      </c>
      <c r="C49" s="46">
        <f>IF('Delivery &amp; Installation Tracker'!A49="","",'Delivery &amp; Installation Tracker'!C49)</f>
        <v/>
      </c>
      <c r="D49" s="46">
        <f>IF('Delivery &amp; Installation Tracker'!A49="","",'Delivery &amp; Installation Tracker'!E49)</f>
        <v/>
      </c>
      <c r="E49" s="46">
        <f>IF('Delivery &amp; Installation Tracker'!A49="","",'Delivery &amp; Installation Tracker'!G49)</f>
        <v/>
      </c>
      <c r="F49" s="46">
        <f>IF('Delivery &amp; Installation Tracker'!A49="","",'Delivery &amp; Installation Tracker'!I49)</f>
        <v/>
      </c>
      <c r="G49" s="47">
        <f>IF('Delivery &amp; Installation Tracker'!A49="","",'Delivery &amp; Installation Tracker'!L49)</f>
        <v/>
      </c>
      <c r="H49" s="46">
        <f>IF('Delivery &amp; Installation Tracker'!A49="","",'Delivery &amp; Installation Tracker'!M49)</f>
        <v/>
      </c>
      <c r="I49" s="46">
        <f>IF('Delivery &amp; Installation Tracker'!A49="","",'Delivery &amp; Installation Tracker'!N49)</f>
        <v/>
      </c>
      <c r="J49" s="46">
        <f>IF('Delivery &amp; Installation Tracker'!A49="","",'Delivery &amp; Installation Tracker'!O49)</f>
        <v/>
      </c>
    </row>
    <row r="50" ht="21" customHeight="1">
      <c r="A50" s="46">
        <f>IF('Delivery &amp; Installation Tracker'!A50="","",'Delivery &amp; Installation Tracker'!A50)</f>
        <v/>
      </c>
      <c r="B50" s="46">
        <f>IF('Delivery &amp; Installation Tracker'!A50="","",'Delivery &amp; Installation Tracker'!B50)</f>
        <v/>
      </c>
      <c r="C50" s="46">
        <f>IF('Delivery &amp; Installation Tracker'!A50="","",'Delivery &amp; Installation Tracker'!C50)</f>
        <v/>
      </c>
      <c r="D50" s="46">
        <f>IF('Delivery &amp; Installation Tracker'!A50="","",'Delivery &amp; Installation Tracker'!E50)</f>
        <v/>
      </c>
      <c r="E50" s="46">
        <f>IF('Delivery &amp; Installation Tracker'!A50="","",'Delivery &amp; Installation Tracker'!G50)</f>
        <v/>
      </c>
      <c r="F50" s="46">
        <f>IF('Delivery &amp; Installation Tracker'!A50="","",'Delivery &amp; Installation Tracker'!I50)</f>
        <v/>
      </c>
      <c r="G50" s="47">
        <f>IF('Delivery &amp; Installation Tracker'!A50="","",'Delivery &amp; Installation Tracker'!L50)</f>
        <v/>
      </c>
      <c r="H50" s="46">
        <f>IF('Delivery &amp; Installation Tracker'!A50="","",'Delivery &amp; Installation Tracker'!M50)</f>
        <v/>
      </c>
      <c r="I50" s="46">
        <f>IF('Delivery &amp; Installation Tracker'!A50="","",'Delivery &amp; Installation Tracker'!N50)</f>
        <v/>
      </c>
      <c r="J50" s="46">
        <f>IF('Delivery &amp; Installation Tracker'!A50="","",'Delivery &amp; Installation Tracker'!O50)</f>
        <v/>
      </c>
    </row>
    <row r="51" ht="21" customHeight="1">
      <c r="A51" s="46">
        <f>IF('Delivery &amp; Installation Tracker'!A51="","",'Delivery &amp; Installation Tracker'!A51)</f>
        <v/>
      </c>
      <c r="B51" s="46">
        <f>IF('Delivery &amp; Installation Tracker'!A51="","",'Delivery &amp; Installation Tracker'!B51)</f>
        <v/>
      </c>
      <c r="C51" s="46">
        <f>IF('Delivery &amp; Installation Tracker'!A51="","",'Delivery &amp; Installation Tracker'!C51)</f>
        <v/>
      </c>
      <c r="D51" s="46">
        <f>IF('Delivery &amp; Installation Tracker'!A51="","",'Delivery &amp; Installation Tracker'!E51)</f>
        <v/>
      </c>
      <c r="E51" s="46">
        <f>IF('Delivery &amp; Installation Tracker'!A51="","",'Delivery &amp; Installation Tracker'!G51)</f>
        <v/>
      </c>
      <c r="F51" s="46">
        <f>IF('Delivery &amp; Installation Tracker'!A51="","",'Delivery &amp; Installation Tracker'!I51)</f>
        <v/>
      </c>
      <c r="G51" s="47">
        <f>IF('Delivery &amp; Installation Tracker'!A51="","",'Delivery &amp; Installation Tracker'!L51)</f>
        <v/>
      </c>
      <c r="H51" s="46">
        <f>IF('Delivery &amp; Installation Tracker'!A51="","",'Delivery &amp; Installation Tracker'!M51)</f>
        <v/>
      </c>
      <c r="I51" s="46">
        <f>IF('Delivery &amp; Installation Tracker'!A51="","",'Delivery &amp; Installation Tracker'!N51)</f>
        <v/>
      </c>
      <c r="J51" s="46">
        <f>IF('Delivery &amp; Installation Tracker'!A51="","",'Delivery &amp; Installation Tracker'!O51)</f>
        <v/>
      </c>
    </row>
    <row r="52" ht="21" customHeight="1">
      <c r="A52" s="46">
        <f>IF('Delivery &amp; Installation Tracker'!A52="","",'Delivery &amp; Installation Tracker'!A52)</f>
        <v/>
      </c>
      <c r="B52" s="46">
        <f>IF('Delivery &amp; Installation Tracker'!A52="","",'Delivery &amp; Installation Tracker'!B52)</f>
        <v/>
      </c>
      <c r="C52" s="46">
        <f>IF('Delivery &amp; Installation Tracker'!A52="","",'Delivery &amp; Installation Tracker'!C52)</f>
        <v/>
      </c>
      <c r="D52" s="46">
        <f>IF('Delivery &amp; Installation Tracker'!A52="","",'Delivery &amp; Installation Tracker'!E52)</f>
        <v/>
      </c>
      <c r="E52" s="46">
        <f>IF('Delivery &amp; Installation Tracker'!A52="","",'Delivery &amp; Installation Tracker'!G52)</f>
        <v/>
      </c>
      <c r="F52" s="46">
        <f>IF('Delivery &amp; Installation Tracker'!A52="","",'Delivery &amp; Installation Tracker'!I52)</f>
        <v/>
      </c>
      <c r="G52" s="47">
        <f>IF('Delivery &amp; Installation Tracker'!A52="","",'Delivery &amp; Installation Tracker'!L52)</f>
        <v/>
      </c>
      <c r="H52" s="46">
        <f>IF('Delivery &amp; Installation Tracker'!A52="","",'Delivery &amp; Installation Tracker'!M52)</f>
        <v/>
      </c>
      <c r="I52" s="46">
        <f>IF('Delivery &amp; Installation Tracker'!A52="","",'Delivery &amp; Installation Tracker'!N52)</f>
        <v/>
      </c>
      <c r="J52" s="46">
        <f>IF('Delivery &amp; Installation Tracker'!A52="","",'Delivery &amp; Installation Tracker'!O52)</f>
        <v/>
      </c>
    </row>
    <row r="53" ht="21" customHeight="1">
      <c r="A53" s="46">
        <f>IF('Delivery &amp; Installation Tracker'!A53="","",'Delivery &amp; Installation Tracker'!A53)</f>
        <v/>
      </c>
      <c r="B53" s="46">
        <f>IF('Delivery &amp; Installation Tracker'!A53="","",'Delivery &amp; Installation Tracker'!B53)</f>
        <v/>
      </c>
      <c r="C53" s="46">
        <f>IF('Delivery &amp; Installation Tracker'!A53="","",'Delivery &amp; Installation Tracker'!C53)</f>
        <v/>
      </c>
      <c r="D53" s="46">
        <f>IF('Delivery &amp; Installation Tracker'!A53="","",'Delivery &amp; Installation Tracker'!E53)</f>
        <v/>
      </c>
      <c r="E53" s="46">
        <f>IF('Delivery &amp; Installation Tracker'!A53="","",'Delivery &amp; Installation Tracker'!G53)</f>
        <v/>
      </c>
      <c r="F53" s="46">
        <f>IF('Delivery &amp; Installation Tracker'!A53="","",'Delivery &amp; Installation Tracker'!I53)</f>
        <v/>
      </c>
      <c r="G53" s="47">
        <f>IF('Delivery &amp; Installation Tracker'!A53="","",'Delivery &amp; Installation Tracker'!L53)</f>
        <v/>
      </c>
      <c r="H53" s="46">
        <f>IF('Delivery &amp; Installation Tracker'!A53="","",'Delivery &amp; Installation Tracker'!M53)</f>
        <v/>
      </c>
      <c r="I53" s="46">
        <f>IF('Delivery &amp; Installation Tracker'!A53="","",'Delivery &amp; Installation Tracker'!N53)</f>
        <v/>
      </c>
      <c r="J53" s="46">
        <f>IF('Delivery &amp; Installation Tracker'!A53="","",'Delivery &amp; Installation Tracker'!O53)</f>
        <v/>
      </c>
    </row>
    <row r="54" ht="21" customHeight="1">
      <c r="A54" s="46">
        <f>IF('Delivery &amp; Installation Tracker'!A54="","",'Delivery &amp; Installation Tracker'!A54)</f>
        <v/>
      </c>
      <c r="B54" s="46">
        <f>IF('Delivery &amp; Installation Tracker'!A54="","",'Delivery &amp; Installation Tracker'!B54)</f>
        <v/>
      </c>
      <c r="C54" s="46">
        <f>IF('Delivery &amp; Installation Tracker'!A54="","",'Delivery &amp; Installation Tracker'!C54)</f>
        <v/>
      </c>
      <c r="D54" s="46">
        <f>IF('Delivery &amp; Installation Tracker'!A54="","",'Delivery &amp; Installation Tracker'!E54)</f>
        <v/>
      </c>
      <c r="E54" s="46">
        <f>IF('Delivery &amp; Installation Tracker'!A54="","",'Delivery &amp; Installation Tracker'!G54)</f>
        <v/>
      </c>
      <c r="F54" s="46">
        <f>IF('Delivery &amp; Installation Tracker'!A54="","",'Delivery &amp; Installation Tracker'!I54)</f>
        <v/>
      </c>
      <c r="G54" s="47">
        <f>IF('Delivery &amp; Installation Tracker'!A54="","",'Delivery &amp; Installation Tracker'!L54)</f>
        <v/>
      </c>
      <c r="H54" s="46">
        <f>IF('Delivery &amp; Installation Tracker'!A54="","",'Delivery &amp; Installation Tracker'!M54)</f>
        <v/>
      </c>
      <c r="I54" s="46">
        <f>IF('Delivery &amp; Installation Tracker'!A54="","",'Delivery &amp; Installation Tracker'!N54)</f>
        <v/>
      </c>
      <c r="J54" s="46">
        <f>IF('Delivery &amp; Installation Tracker'!A54="","",'Delivery &amp; Installation Tracker'!O54)</f>
        <v/>
      </c>
    </row>
    <row r="55" ht="21" customHeight="1">
      <c r="A55" s="46">
        <f>IF('Delivery &amp; Installation Tracker'!A55="","",'Delivery &amp; Installation Tracker'!A55)</f>
        <v/>
      </c>
      <c r="B55" s="46">
        <f>IF('Delivery &amp; Installation Tracker'!A55="","",'Delivery &amp; Installation Tracker'!B55)</f>
        <v/>
      </c>
      <c r="C55" s="46">
        <f>IF('Delivery &amp; Installation Tracker'!A55="","",'Delivery &amp; Installation Tracker'!C55)</f>
        <v/>
      </c>
      <c r="D55" s="46">
        <f>IF('Delivery &amp; Installation Tracker'!A55="","",'Delivery &amp; Installation Tracker'!E55)</f>
        <v/>
      </c>
      <c r="E55" s="46">
        <f>IF('Delivery &amp; Installation Tracker'!A55="","",'Delivery &amp; Installation Tracker'!G55)</f>
        <v/>
      </c>
      <c r="F55" s="46">
        <f>IF('Delivery &amp; Installation Tracker'!A55="","",'Delivery &amp; Installation Tracker'!I55)</f>
        <v/>
      </c>
      <c r="G55" s="47">
        <f>IF('Delivery &amp; Installation Tracker'!A55="","",'Delivery &amp; Installation Tracker'!L55)</f>
        <v/>
      </c>
      <c r="H55" s="46">
        <f>IF('Delivery &amp; Installation Tracker'!A55="","",'Delivery &amp; Installation Tracker'!M55)</f>
        <v/>
      </c>
      <c r="I55" s="46">
        <f>IF('Delivery &amp; Installation Tracker'!A55="","",'Delivery &amp; Installation Tracker'!N55)</f>
        <v/>
      </c>
      <c r="J55" s="46">
        <f>IF('Delivery &amp; Installation Tracker'!A55="","",'Delivery &amp; Installation Tracker'!O55)</f>
        <v/>
      </c>
    </row>
    <row r="56" ht="21" customHeight="1">
      <c r="A56" s="46">
        <f>IF('Delivery &amp; Installation Tracker'!A56="","",'Delivery &amp; Installation Tracker'!A56)</f>
        <v/>
      </c>
      <c r="B56" s="46">
        <f>IF('Delivery &amp; Installation Tracker'!A56="","",'Delivery &amp; Installation Tracker'!B56)</f>
        <v/>
      </c>
      <c r="C56" s="46">
        <f>IF('Delivery &amp; Installation Tracker'!A56="","",'Delivery &amp; Installation Tracker'!C56)</f>
        <v/>
      </c>
      <c r="D56" s="46">
        <f>IF('Delivery &amp; Installation Tracker'!A56="","",'Delivery &amp; Installation Tracker'!E56)</f>
        <v/>
      </c>
      <c r="E56" s="46">
        <f>IF('Delivery &amp; Installation Tracker'!A56="","",'Delivery &amp; Installation Tracker'!G56)</f>
        <v/>
      </c>
      <c r="F56" s="46">
        <f>IF('Delivery &amp; Installation Tracker'!A56="","",'Delivery &amp; Installation Tracker'!I56)</f>
        <v/>
      </c>
      <c r="G56" s="47">
        <f>IF('Delivery &amp; Installation Tracker'!A56="","",'Delivery &amp; Installation Tracker'!L56)</f>
        <v/>
      </c>
      <c r="H56" s="46">
        <f>IF('Delivery &amp; Installation Tracker'!A56="","",'Delivery &amp; Installation Tracker'!M56)</f>
        <v/>
      </c>
      <c r="I56" s="46">
        <f>IF('Delivery &amp; Installation Tracker'!A56="","",'Delivery &amp; Installation Tracker'!N56)</f>
        <v/>
      </c>
      <c r="J56" s="46">
        <f>IF('Delivery &amp; Installation Tracker'!A56="","",'Delivery &amp; Installation Tracker'!O56)</f>
        <v/>
      </c>
    </row>
    <row r="57" ht="21" customHeight="1">
      <c r="A57" s="46">
        <f>IF('Delivery &amp; Installation Tracker'!A57="","",'Delivery &amp; Installation Tracker'!A57)</f>
        <v/>
      </c>
      <c r="B57" s="46">
        <f>IF('Delivery &amp; Installation Tracker'!A57="","",'Delivery &amp; Installation Tracker'!B57)</f>
        <v/>
      </c>
      <c r="C57" s="46">
        <f>IF('Delivery &amp; Installation Tracker'!A57="","",'Delivery &amp; Installation Tracker'!C57)</f>
        <v/>
      </c>
      <c r="D57" s="46">
        <f>IF('Delivery &amp; Installation Tracker'!A57="","",'Delivery &amp; Installation Tracker'!E57)</f>
        <v/>
      </c>
      <c r="E57" s="46">
        <f>IF('Delivery &amp; Installation Tracker'!A57="","",'Delivery &amp; Installation Tracker'!G57)</f>
        <v/>
      </c>
      <c r="F57" s="46">
        <f>IF('Delivery &amp; Installation Tracker'!A57="","",'Delivery &amp; Installation Tracker'!I57)</f>
        <v/>
      </c>
      <c r="G57" s="47">
        <f>IF('Delivery &amp; Installation Tracker'!A57="","",'Delivery &amp; Installation Tracker'!L57)</f>
        <v/>
      </c>
      <c r="H57" s="46">
        <f>IF('Delivery &amp; Installation Tracker'!A57="","",'Delivery &amp; Installation Tracker'!M57)</f>
        <v/>
      </c>
      <c r="I57" s="46">
        <f>IF('Delivery &amp; Installation Tracker'!A57="","",'Delivery &amp; Installation Tracker'!N57)</f>
        <v/>
      </c>
      <c r="J57" s="46">
        <f>IF('Delivery &amp; Installation Tracker'!A57="","",'Delivery &amp; Installation Tracker'!O57)</f>
        <v/>
      </c>
    </row>
    <row r="58" ht="21" customHeight="1">
      <c r="A58" s="46">
        <f>IF('Delivery &amp; Installation Tracker'!A58="","",'Delivery &amp; Installation Tracker'!A58)</f>
        <v/>
      </c>
      <c r="B58" s="46">
        <f>IF('Delivery &amp; Installation Tracker'!A58="","",'Delivery &amp; Installation Tracker'!B58)</f>
        <v/>
      </c>
      <c r="C58" s="46">
        <f>IF('Delivery &amp; Installation Tracker'!A58="","",'Delivery &amp; Installation Tracker'!C58)</f>
        <v/>
      </c>
      <c r="D58" s="46">
        <f>IF('Delivery &amp; Installation Tracker'!A58="","",'Delivery &amp; Installation Tracker'!E58)</f>
        <v/>
      </c>
      <c r="E58" s="46">
        <f>IF('Delivery &amp; Installation Tracker'!A58="","",'Delivery &amp; Installation Tracker'!G58)</f>
        <v/>
      </c>
      <c r="F58" s="46">
        <f>IF('Delivery &amp; Installation Tracker'!A58="","",'Delivery &amp; Installation Tracker'!I58)</f>
        <v/>
      </c>
      <c r="G58" s="47">
        <f>IF('Delivery &amp; Installation Tracker'!A58="","",'Delivery &amp; Installation Tracker'!L58)</f>
        <v/>
      </c>
      <c r="H58" s="46">
        <f>IF('Delivery &amp; Installation Tracker'!A58="","",'Delivery &amp; Installation Tracker'!M58)</f>
        <v/>
      </c>
      <c r="I58" s="46">
        <f>IF('Delivery &amp; Installation Tracker'!A58="","",'Delivery &amp; Installation Tracker'!N58)</f>
        <v/>
      </c>
      <c r="J58" s="46">
        <f>IF('Delivery &amp; Installation Tracker'!A58="","",'Delivery &amp; Installation Tracker'!O58)</f>
        <v/>
      </c>
    </row>
    <row r="59" ht="21" customHeight="1">
      <c r="A59" s="46">
        <f>IF('Delivery &amp; Installation Tracker'!A59="","",'Delivery &amp; Installation Tracker'!A59)</f>
        <v/>
      </c>
      <c r="B59" s="46">
        <f>IF('Delivery &amp; Installation Tracker'!A59="","",'Delivery &amp; Installation Tracker'!B59)</f>
        <v/>
      </c>
      <c r="C59" s="46">
        <f>IF('Delivery &amp; Installation Tracker'!A59="","",'Delivery &amp; Installation Tracker'!C59)</f>
        <v/>
      </c>
      <c r="D59" s="46">
        <f>IF('Delivery &amp; Installation Tracker'!A59="","",'Delivery &amp; Installation Tracker'!E59)</f>
        <v/>
      </c>
      <c r="E59" s="46">
        <f>IF('Delivery &amp; Installation Tracker'!A59="","",'Delivery &amp; Installation Tracker'!G59)</f>
        <v/>
      </c>
      <c r="F59" s="46">
        <f>IF('Delivery &amp; Installation Tracker'!A59="","",'Delivery &amp; Installation Tracker'!I59)</f>
        <v/>
      </c>
      <c r="G59" s="47">
        <f>IF('Delivery &amp; Installation Tracker'!A59="","",'Delivery &amp; Installation Tracker'!L59)</f>
        <v/>
      </c>
      <c r="H59" s="46">
        <f>IF('Delivery &amp; Installation Tracker'!A59="","",'Delivery &amp; Installation Tracker'!M59)</f>
        <v/>
      </c>
      <c r="I59" s="46">
        <f>IF('Delivery &amp; Installation Tracker'!A59="","",'Delivery &amp; Installation Tracker'!N59)</f>
        <v/>
      </c>
      <c r="J59" s="46">
        <f>IF('Delivery &amp; Installation Tracker'!A59="","",'Delivery &amp; Installation Tracker'!O59)</f>
        <v/>
      </c>
    </row>
    <row r="60" ht="21" customHeight="1">
      <c r="A60" s="46">
        <f>IF('Delivery &amp; Installation Tracker'!A60="","",'Delivery &amp; Installation Tracker'!A60)</f>
        <v/>
      </c>
      <c r="B60" s="46">
        <f>IF('Delivery &amp; Installation Tracker'!A60="","",'Delivery &amp; Installation Tracker'!B60)</f>
        <v/>
      </c>
      <c r="C60" s="46">
        <f>IF('Delivery &amp; Installation Tracker'!A60="","",'Delivery &amp; Installation Tracker'!C60)</f>
        <v/>
      </c>
      <c r="D60" s="46">
        <f>IF('Delivery &amp; Installation Tracker'!A60="","",'Delivery &amp; Installation Tracker'!E60)</f>
        <v/>
      </c>
      <c r="E60" s="46">
        <f>IF('Delivery &amp; Installation Tracker'!A60="","",'Delivery &amp; Installation Tracker'!G60)</f>
        <v/>
      </c>
      <c r="F60" s="46">
        <f>IF('Delivery &amp; Installation Tracker'!A60="","",'Delivery &amp; Installation Tracker'!I60)</f>
        <v/>
      </c>
      <c r="G60" s="47">
        <f>IF('Delivery &amp; Installation Tracker'!A60="","",'Delivery &amp; Installation Tracker'!L60)</f>
        <v/>
      </c>
      <c r="H60" s="46">
        <f>IF('Delivery &amp; Installation Tracker'!A60="","",'Delivery &amp; Installation Tracker'!M60)</f>
        <v/>
      </c>
      <c r="I60" s="46">
        <f>IF('Delivery &amp; Installation Tracker'!A60="","",'Delivery &amp; Installation Tracker'!N60)</f>
        <v/>
      </c>
      <c r="J60" s="46">
        <f>IF('Delivery &amp; Installation Tracker'!A60="","",'Delivery &amp; Installation Tracker'!O60)</f>
        <v/>
      </c>
    </row>
    <row r="61" ht="21" customHeight="1">
      <c r="A61" s="46">
        <f>IF('Delivery &amp; Installation Tracker'!A61="","",'Delivery &amp; Installation Tracker'!A61)</f>
        <v/>
      </c>
      <c r="B61" s="46">
        <f>IF('Delivery &amp; Installation Tracker'!A61="","",'Delivery &amp; Installation Tracker'!B61)</f>
        <v/>
      </c>
      <c r="C61" s="46">
        <f>IF('Delivery &amp; Installation Tracker'!A61="","",'Delivery &amp; Installation Tracker'!C61)</f>
        <v/>
      </c>
      <c r="D61" s="46">
        <f>IF('Delivery &amp; Installation Tracker'!A61="","",'Delivery &amp; Installation Tracker'!E61)</f>
        <v/>
      </c>
      <c r="E61" s="46">
        <f>IF('Delivery &amp; Installation Tracker'!A61="","",'Delivery &amp; Installation Tracker'!G61)</f>
        <v/>
      </c>
      <c r="F61" s="46">
        <f>IF('Delivery &amp; Installation Tracker'!A61="","",'Delivery &amp; Installation Tracker'!I61)</f>
        <v/>
      </c>
      <c r="G61" s="47">
        <f>IF('Delivery &amp; Installation Tracker'!A61="","",'Delivery &amp; Installation Tracker'!L61)</f>
        <v/>
      </c>
      <c r="H61" s="46">
        <f>IF('Delivery &amp; Installation Tracker'!A61="","",'Delivery &amp; Installation Tracker'!M61)</f>
        <v/>
      </c>
      <c r="I61" s="46">
        <f>IF('Delivery &amp; Installation Tracker'!A61="","",'Delivery &amp; Installation Tracker'!N61)</f>
        <v/>
      </c>
      <c r="J61" s="46">
        <f>IF('Delivery &amp; Installation Tracker'!A61="","",'Delivery &amp; Installation Tracker'!O61)</f>
        <v/>
      </c>
    </row>
    <row r="62" ht="21" customHeight="1">
      <c r="A62" s="46">
        <f>IF('Delivery &amp; Installation Tracker'!A62="","",'Delivery &amp; Installation Tracker'!A62)</f>
        <v/>
      </c>
      <c r="B62" s="46">
        <f>IF('Delivery &amp; Installation Tracker'!A62="","",'Delivery &amp; Installation Tracker'!B62)</f>
        <v/>
      </c>
      <c r="C62" s="46">
        <f>IF('Delivery &amp; Installation Tracker'!A62="","",'Delivery &amp; Installation Tracker'!C62)</f>
        <v/>
      </c>
      <c r="D62" s="46">
        <f>IF('Delivery &amp; Installation Tracker'!A62="","",'Delivery &amp; Installation Tracker'!E62)</f>
        <v/>
      </c>
      <c r="E62" s="46">
        <f>IF('Delivery &amp; Installation Tracker'!A62="","",'Delivery &amp; Installation Tracker'!G62)</f>
        <v/>
      </c>
      <c r="F62" s="46">
        <f>IF('Delivery &amp; Installation Tracker'!A62="","",'Delivery &amp; Installation Tracker'!I62)</f>
        <v/>
      </c>
      <c r="G62" s="47">
        <f>IF('Delivery &amp; Installation Tracker'!A62="","",'Delivery &amp; Installation Tracker'!L62)</f>
        <v/>
      </c>
      <c r="H62" s="46">
        <f>IF('Delivery &amp; Installation Tracker'!A62="","",'Delivery &amp; Installation Tracker'!M62)</f>
        <v/>
      </c>
      <c r="I62" s="46">
        <f>IF('Delivery &amp; Installation Tracker'!A62="","",'Delivery &amp; Installation Tracker'!N62)</f>
        <v/>
      </c>
      <c r="J62" s="46">
        <f>IF('Delivery &amp; Installation Tracker'!A62="","",'Delivery &amp; Installation Tracker'!O62)</f>
        <v/>
      </c>
    </row>
    <row r="63" ht="21" customHeight="1">
      <c r="A63" s="46">
        <f>IF('Delivery &amp; Installation Tracker'!A63="","",'Delivery &amp; Installation Tracker'!A63)</f>
        <v/>
      </c>
      <c r="B63" s="46">
        <f>IF('Delivery &amp; Installation Tracker'!A63="","",'Delivery &amp; Installation Tracker'!B63)</f>
        <v/>
      </c>
      <c r="C63" s="46">
        <f>IF('Delivery &amp; Installation Tracker'!A63="","",'Delivery &amp; Installation Tracker'!C63)</f>
        <v/>
      </c>
      <c r="D63" s="46">
        <f>IF('Delivery &amp; Installation Tracker'!A63="","",'Delivery &amp; Installation Tracker'!E63)</f>
        <v/>
      </c>
      <c r="E63" s="46">
        <f>IF('Delivery &amp; Installation Tracker'!A63="","",'Delivery &amp; Installation Tracker'!G63)</f>
        <v/>
      </c>
      <c r="F63" s="46">
        <f>IF('Delivery &amp; Installation Tracker'!A63="","",'Delivery &amp; Installation Tracker'!I63)</f>
        <v/>
      </c>
      <c r="G63" s="47">
        <f>IF('Delivery &amp; Installation Tracker'!A63="","",'Delivery &amp; Installation Tracker'!L63)</f>
        <v/>
      </c>
      <c r="H63" s="46">
        <f>IF('Delivery &amp; Installation Tracker'!A63="","",'Delivery &amp; Installation Tracker'!M63)</f>
        <v/>
      </c>
      <c r="I63" s="46">
        <f>IF('Delivery &amp; Installation Tracker'!A63="","",'Delivery &amp; Installation Tracker'!N63)</f>
        <v/>
      </c>
      <c r="J63" s="46">
        <f>IF('Delivery &amp; Installation Tracker'!A63="","",'Delivery &amp; Installation Tracker'!O63)</f>
        <v/>
      </c>
    </row>
    <row r="64" ht="21" customHeight="1">
      <c r="A64" s="46">
        <f>IF('Delivery &amp; Installation Tracker'!A64="","",'Delivery &amp; Installation Tracker'!A64)</f>
        <v/>
      </c>
      <c r="B64" s="46">
        <f>IF('Delivery &amp; Installation Tracker'!A64="","",'Delivery &amp; Installation Tracker'!B64)</f>
        <v/>
      </c>
      <c r="C64" s="46">
        <f>IF('Delivery &amp; Installation Tracker'!A64="","",'Delivery &amp; Installation Tracker'!C64)</f>
        <v/>
      </c>
      <c r="D64" s="46">
        <f>IF('Delivery &amp; Installation Tracker'!A64="","",'Delivery &amp; Installation Tracker'!E64)</f>
        <v/>
      </c>
      <c r="E64" s="46">
        <f>IF('Delivery &amp; Installation Tracker'!A64="","",'Delivery &amp; Installation Tracker'!G64)</f>
        <v/>
      </c>
      <c r="F64" s="46">
        <f>IF('Delivery &amp; Installation Tracker'!A64="","",'Delivery &amp; Installation Tracker'!I64)</f>
        <v/>
      </c>
      <c r="G64" s="47">
        <f>IF('Delivery &amp; Installation Tracker'!A64="","",'Delivery &amp; Installation Tracker'!L64)</f>
        <v/>
      </c>
      <c r="H64" s="46">
        <f>IF('Delivery &amp; Installation Tracker'!A64="","",'Delivery &amp; Installation Tracker'!M64)</f>
        <v/>
      </c>
      <c r="I64" s="46">
        <f>IF('Delivery &amp; Installation Tracker'!A64="","",'Delivery &amp; Installation Tracker'!N64)</f>
        <v/>
      </c>
      <c r="J64" s="46">
        <f>IF('Delivery &amp; Installation Tracker'!A64="","",'Delivery &amp; Installation Tracker'!O64)</f>
        <v/>
      </c>
    </row>
    <row r="65" ht="21" customHeight="1">
      <c r="A65" s="46">
        <f>IF('Delivery &amp; Installation Tracker'!A65="","",'Delivery &amp; Installation Tracker'!A65)</f>
        <v/>
      </c>
      <c r="B65" s="46">
        <f>IF('Delivery &amp; Installation Tracker'!A65="","",'Delivery &amp; Installation Tracker'!B65)</f>
        <v/>
      </c>
      <c r="C65" s="46">
        <f>IF('Delivery &amp; Installation Tracker'!A65="","",'Delivery &amp; Installation Tracker'!C65)</f>
        <v/>
      </c>
      <c r="D65" s="46">
        <f>IF('Delivery &amp; Installation Tracker'!A65="","",'Delivery &amp; Installation Tracker'!E65)</f>
        <v/>
      </c>
      <c r="E65" s="46">
        <f>IF('Delivery &amp; Installation Tracker'!A65="","",'Delivery &amp; Installation Tracker'!G65)</f>
        <v/>
      </c>
      <c r="F65" s="46">
        <f>IF('Delivery &amp; Installation Tracker'!A65="","",'Delivery &amp; Installation Tracker'!I65)</f>
        <v/>
      </c>
      <c r="G65" s="47">
        <f>IF('Delivery &amp; Installation Tracker'!A65="","",'Delivery &amp; Installation Tracker'!L65)</f>
        <v/>
      </c>
      <c r="H65" s="46">
        <f>IF('Delivery &amp; Installation Tracker'!A65="","",'Delivery &amp; Installation Tracker'!M65)</f>
        <v/>
      </c>
      <c r="I65" s="46">
        <f>IF('Delivery &amp; Installation Tracker'!A65="","",'Delivery &amp; Installation Tracker'!N65)</f>
        <v/>
      </c>
      <c r="J65" s="46">
        <f>IF('Delivery &amp; Installation Tracker'!A65="","",'Delivery &amp; Installation Tracker'!O65)</f>
        <v/>
      </c>
    </row>
    <row r="66" ht="21" customHeight="1">
      <c r="A66" s="46">
        <f>IF('Delivery &amp; Installation Tracker'!A66="","",'Delivery &amp; Installation Tracker'!A66)</f>
        <v/>
      </c>
      <c r="B66" s="46">
        <f>IF('Delivery &amp; Installation Tracker'!A66="","",'Delivery &amp; Installation Tracker'!B66)</f>
        <v/>
      </c>
      <c r="C66" s="46">
        <f>IF('Delivery &amp; Installation Tracker'!A66="","",'Delivery &amp; Installation Tracker'!C66)</f>
        <v/>
      </c>
      <c r="D66" s="46">
        <f>IF('Delivery &amp; Installation Tracker'!A66="","",'Delivery &amp; Installation Tracker'!E66)</f>
        <v/>
      </c>
      <c r="E66" s="46">
        <f>IF('Delivery &amp; Installation Tracker'!A66="","",'Delivery &amp; Installation Tracker'!G66)</f>
        <v/>
      </c>
      <c r="F66" s="46">
        <f>IF('Delivery &amp; Installation Tracker'!A66="","",'Delivery &amp; Installation Tracker'!I66)</f>
        <v/>
      </c>
      <c r="G66" s="47">
        <f>IF('Delivery &amp; Installation Tracker'!A66="","",'Delivery &amp; Installation Tracker'!L66)</f>
        <v/>
      </c>
      <c r="H66" s="46">
        <f>IF('Delivery &amp; Installation Tracker'!A66="","",'Delivery &amp; Installation Tracker'!M66)</f>
        <v/>
      </c>
      <c r="I66" s="46">
        <f>IF('Delivery &amp; Installation Tracker'!A66="","",'Delivery &amp; Installation Tracker'!N66)</f>
        <v/>
      </c>
      <c r="J66" s="46">
        <f>IF('Delivery &amp; Installation Tracker'!A66="","",'Delivery &amp; Installation Tracker'!O66)</f>
        <v/>
      </c>
    </row>
    <row r="67" ht="21" customHeight="1">
      <c r="A67" s="46">
        <f>IF('Delivery &amp; Installation Tracker'!A67="","",'Delivery &amp; Installation Tracker'!A67)</f>
        <v/>
      </c>
      <c r="B67" s="46">
        <f>IF('Delivery &amp; Installation Tracker'!A67="","",'Delivery &amp; Installation Tracker'!B67)</f>
        <v/>
      </c>
      <c r="C67" s="46">
        <f>IF('Delivery &amp; Installation Tracker'!A67="","",'Delivery &amp; Installation Tracker'!C67)</f>
        <v/>
      </c>
      <c r="D67" s="46">
        <f>IF('Delivery &amp; Installation Tracker'!A67="","",'Delivery &amp; Installation Tracker'!E67)</f>
        <v/>
      </c>
      <c r="E67" s="46">
        <f>IF('Delivery &amp; Installation Tracker'!A67="","",'Delivery &amp; Installation Tracker'!G67)</f>
        <v/>
      </c>
      <c r="F67" s="46">
        <f>IF('Delivery &amp; Installation Tracker'!A67="","",'Delivery &amp; Installation Tracker'!I67)</f>
        <v/>
      </c>
      <c r="G67" s="47">
        <f>IF('Delivery &amp; Installation Tracker'!A67="","",'Delivery &amp; Installation Tracker'!L67)</f>
        <v/>
      </c>
      <c r="H67" s="46">
        <f>IF('Delivery &amp; Installation Tracker'!A67="","",'Delivery &amp; Installation Tracker'!M67)</f>
        <v/>
      </c>
      <c r="I67" s="46">
        <f>IF('Delivery &amp; Installation Tracker'!A67="","",'Delivery &amp; Installation Tracker'!N67)</f>
        <v/>
      </c>
      <c r="J67" s="46">
        <f>IF('Delivery &amp; Installation Tracker'!A67="","",'Delivery &amp; Installation Tracker'!O67)</f>
        <v/>
      </c>
    </row>
    <row r="68" ht="21" customHeight="1">
      <c r="A68" s="46">
        <f>IF('Delivery &amp; Installation Tracker'!A68="","",'Delivery &amp; Installation Tracker'!A68)</f>
        <v/>
      </c>
      <c r="B68" s="46">
        <f>IF('Delivery &amp; Installation Tracker'!A68="","",'Delivery &amp; Installation Tracker'!B68)</f>
        <v/>
      </c>
      <c r="C68" s="46">
        <f>IF('Delivery &amp; Installation Tracker'!A68="","",'Delivery &amp; Installation Tracker'!C68)</f>
        <v/>
      </c>
      <c r="D68" s="46">
        <f>IF('Delivery &amp; Installation Tracker'!A68="","",'Delivery &amp; Installation Tracker'!E68)</f>
        <v/>
      </c>
      <c r="E68" s="46">
        <f>IF('Delivery &amp; Installation Tracker'!A68="","",'Delivery &amp; Installation Tracker'!G68)</f>
        <v/>
      </c>
      <c r="F68" s="46">
        <f>IF('Delivery &amp; Installation Tracker'!A68="","",'Delivery &amp; Installation Tracker'!I68)</f>
        <v/>
      </c>
      <c r="G68" s="47">
        <f>IF('Delivery &amp; Installation Tracker'!A68="","",'Delivery &amp; Installation Tracker'!L68)</f>
        <v/>
      </c>
      <c r="H68" s="46">
        <f>IF('Delivery &amp; Installation Tracker'!A68="","",'Delivery &amp; Installation Tracker'!M68)</f>
        <v/>
      </c>
      <c r="I68" s="46">
        <f>IF('Delivery &amp; Installation Tracker'!A68="","",'Delivery &amp; Installation Tracker'!N68)</f>
        <v/>
      </c>
      <c r="J68" s="46">
        <f>IF('Delivery &amp; Installation Tracker'!A68="","",'Delivery &amp; Installation Tracker'!O68)</f>
        <v/>
      </c>
    </row>
    <row r="69" ht="21" customHeight="1">
      <c r="A69" s="46">
        <f>IF('Delivery &amp; Installation Tracker'!A69="","",'Delivery &amp; Installation Tracker'!A69)</f>
        <v/>
      </c>
      <c r="B69" s="46">
        <f>IF('Delivery &amp; Installation Tracker'!A69="","",'Delivery &amp; Installation Tracker'!B69)</f>
        <v/>
      </c>
      <c r="C69" s="46">
        <f>IF('Delivery &amp; Installation Tracker'!A69="","",'Delivery &amp; Installation Tracker'!C69)</f>
        <v/>
      </c>
      <c r="D69" s="46">
        <f>IF('Delivery &amp; Installation Tracker'!A69="","",'Delivery &amp; Installation Tracker'!E69)</f>
        <v/>
      </c>
      <c r="E69" s="46">
        <f>IF('Delivery &amp; Installation Tracker'!A69="","",'Delivery &amp; Installation Tracker'!G69)</f>
        <v/>
      </c>
      <c r="F69" s="46">
        <f>IF('Delivery &amp; Installation Tracker'!A69="","",'Delivery &amp; Installation Tracker'!I69)</f>
        <v/>
      </c>
      <c r="G69" s="47">
        <f>IF('Delivery &amp; Installation Tracker'!A69="","",'Delivery &amp; Installation Tracker'!L69)</f>
        <v/>
      </c>
      <c r="H69" s="46">
        <f>IF('Delivery &amp; Installation Tracker'!A69="","",'Delivery &amp; Installation Tracker'!M69)</f>
        <v/>
      </c>
      <c r="I69" s="46">
        <f>IF('Delivery &amp; Installation Tracker'!A69="","",'Delivery &amp; Installation Tracker'!N69)</f>
        <v/>
      </c>
      <c r="J69" s="46">
        <f>IF('Delivery &amp; Installation Tracker'!A69="","",'Delivery &amp; Installation Tracker'!O69)</f>
        <v/>
      </c>
    </row>
    <row r="70" ht="21" customHeight="1">
      <c r="A70" s="46">
        <f>IF('Delivery &amp; Installation Tracker'!A70="","",'Delivery &amp; Installation Tracker'!A70)</f>
        <v/>
      </c>
      <c r="B70" s="46">
        <f>IF('Delivery &amp; Installation Tracker'!A70="","",'Delivery &amp; Installation Tracker'!B70)</f>
        <v/>
      </c>
      <c r="C70" s="46">
        <f>IF('Delivery &amp; Installation Tracker'!A70="","",'Delivery &amp; Installation Tracker'!C70)</f>
        <v/>
      </c>
      <c r="D70" s="46">
        <f>IF('Delivery &amp; Installation Tracker'!A70="","",'Delivery &amp; Installation Tracker'!E70)</f>
        <v/>
      </c>
      <c r="E70" s="46">
        <f>IF('Delivery &amp; Installation Tracker'!A70="","",'Delivery &amp; Installation Tracker'!G70)</f>
        <v/>
      </c>
      <c r="F70" s="46">
        <f>IF('Delivery &amp; Installation Tracker'!A70="","",'Delivery &amp; Installation Tracker'!I70)</f>
        <v/>
      </c>
      <c r="G70" s="47">
        <f>IF('Delivery &amp; Installation Tracker'!A70="","",'Delivery &amp; Installation Tracker'!L70)</f>
        <v/>
      </c>
      <c r="H70" s="46">
        <f>IF('Delivery &amp; Installation Tracker'!A70="","",'Delivery &amp; Installation Tracker'!M70)</f>
        <v/>
      </c>
      <c r="I70" s="46">
        <f>IF('Delivery &amp; Installation Tracker'!A70="","",'Delivery &amp; Installation Tracker'!N70)</f>
        <v/>
      </c>
      <c r="J70" s="46">
        <f>IF('Delivery &amp; Installation Tracker'!A70="","",'Delivery &amp; Installation Tracker'!O70)</f>
        <v/>
      </c>
    </row>
    <row r="71" ht="21" customHeight="1">
      <c r="A71" s="46">
        <f>IF('Delivery &amp; Installation Tracker'!A71="","",'Delivery &amp; Installation Tracker'!A71)</f>
        <v/>
      </c>
      <c r="B71" s="46">
        <f>IF('Delivery &amp; Installation Tracker'!A71="","",'Delivery &amp; Installation Tracker'!B71)</f>
        <v/>
      </c>
      <c r="C71" s="46">
        <f>IF('Delivery &amp; Installation Tracker'!A71="","",'Delivery &amp; Installation Tracker'!C71)</f>
        <v/>
      </c>
      <c r="D71" s="46">
        <f>IF('Delivery &amp; Installation Tracker'!A71="","",'Delivery &amp; Installation Tracker'!E71)</f>
        <v/>
      </c>
      <c r="E71" s="46">
        <f>IF('Delivery &amp; Installation Tracker'!A71="","",'Delivery &amp; Installation Tracker'!G71)</f>
        <v/>
      </c>
      <c r="F71" s="46">
        <f>IF('Delivery &amp; Installation Tracker'!A71="","",'Delivery &amp; Installation Tracker'!I71)</f>
        <v/>
      </c>
      <c r="G71" s="47">
        <f>IF('Delivery &amp; Installation Tracker'!A71="","",'Delivery &amp; Installation Tracker'!L71)</f>
        <v/>
      </c>
      <c r="H71" s="46">
        <f>IF('Delivery &amp; Installation Tracker'!A71="","",'Delivery &amp; Installation Tracker'!M71)</f>
        <v/>
      </c>
      <c r="I71" s="46">
        <f>IF('Delivery &amp; Installation Tracker'!A71="","",'Delivery &amp; Installation Tracker'!N71)</f>
        <v/>
      </c>
      <c r="J71" s="46">
        <f>IF('Delivery &amp; Installation Tracker'!A71="","",'Delivery &amp; Installation Tracker'!O71)</f>
        <v/>
      </c>
    </row>
    <row r="72" ht="21" customHeight="1">
      <c r="A72" s="46">
        <f>IF('Delivery &amp; Installation Tracker'!A72="","",'Delivery &amp; Installation Tracker'!A72)</f>
        <v/>
      </c>
      <c r="B72" s="46">
        <f>IF('Delivery &amp; Installation Tracker'!A72="","",'Delivery &amp; Installation Tracker'!B72)</f>
        <v/>
      </c>
      <c r="C72" s="46">
        <f>IF('Delivery &amp; Installation Tracker'!A72="","",'Delivery &amp; Installation Tracker'!C72)</f>
        <v/>
      </c>
      <c r="D72" s="46">
        <f>IF('Delivery &amp; Installation Tracker'!A72="","",'Delivery &amp; Installation Tracker'!E72)</f>
        <v/>
      </c>
      <c r="E72" s="46">
        <f>IF('Delivery &amp; Installation Tracker'!A72="","",'Delivery &amp; Installation Tracker'!G72)</f>
        <v/>
      </c>
      <c r="F72" s="46">
        <f>IF('Delivery &amp; Installation Tracker'!A72="","",'Delivery &amp; Installation Tracker'!I72)</f>
        <v/>
      </c>
      <c r="G72" s="47">
        <f>IF('Delivery &amp; Installation Tracker'!A72="","",'Delivery &amp; Installation Tracker'!L72)</f>
        <v/>
      </c>
      <c r="H72" s="46">
        <f>IF('Delivery &amp; Installation Tracker'!A72="","",'Delivery &amp; Installation Tracker'!M72)</f>
        <v/>
      </c>
      <c r="I72" s="46">
        <f>IF('Delivery &amp; Installation Tracker'!A72="","",'Delivery &amp; Installation Tracker'!N72)</f>
        <v/>
      </c>
      <c r="J72" s="46">
        <f>IF('Delivery &amp; Installation Tracker'!A72="","",'Delivery &amp; Installation Tracker'!O72)</f>
        <v/>
      </c>
    </row>
    <row r="73" ht="21" customHeight="1">
      <c r="A73" s="46">
        <f>IF('Delivery &amp; Installation Tracker'!A73="","",'Delivery &amp; Installation Tracker'!A73)</f>
        <v/>
      </c>
      <c r="B73" s="46">
        <f>IF('Delivery &amp; Installation Tracker'!A73="","",'Delivery &amp; Installation Tracker'!B73)</f>
        <v/>
      </c>
      <c r="C73" s="46">
        <f>IF('Delivery &amp; Installation Tracker'!A73="","",'Delivery &amp; Installation Tracker'!C73)</f>
        <v/>
      </c>
      <c r="D73" s="46">
        <f>IF('Delivery &amp; Installation Tracker'!A73="","",'Delivery &amp; Installation Tracker'!E73)</f>
        <v/>
      </c>
      <c r="E73" s="46">
        <f>IF('Delivery &amp; Installation Tracker'!A73="","",'Delivery &amp; Installation Tracker'!G73)</f>
        <v/>
      </c>
      <c r="F73" s="46">
        <f>IF('Delivery &amp; Installation Tracker'!A73="","",'Delivery &amp; Installation Tracker'!I73)</f>
        <v/>
      </c>
      <c r="G73" s="47">
        <f>IF('Delivery &amp; Installation Tracker'!A73="","",'Delivery &amp; Installation Tracker'!L73)</f>
        <v/>
      </c>
      <c r="H73" s="46">
        <f>IF('Delivery &amp; Installation Tracker'!A73="","",'Delivery &amp; Installation Tracker'!M73)</f>
        <v/>
      </c>
      <c r="I73" s="46">
        <f>IF('Delivery &amp; Installation Tracker'!A73="","",'Delivery &amp; Installation Tracker'!N73)</f>
        <v/>
      </c>
      <c r="J73" s="46">
        <f>IF('Delivery &amp; Installation Tracker'!A73="","",'Delivery &amp; Installation Tracker'!O73)</f>
        <v/>
      </c>
    </row>
    <row r="74" ht="21" customHeight="1">
      <c r="A74" s="46">
        <f>IF('Delivery &amp; Installation Tracker'!A74="","",'Delivery &amp; Installation Tracker'!A74)</f>
        <v/>
      </c>
      <c r="B74" s="46">
        <f>IF('Delivery &amp; Installation Tracker'!A74="","",'Delivery &amp; Installation Tracker'!B74)</f>
        <v/>
      </c>
      <c r="C74" s="46">
        <f>IF('Delivery &amp; Installation Tracker'!A74="","",'Delivery &amp; Installation Tracker'!C74)</f>
        <v/>
      </c>
      <c r="D74" s="46">
        <f>IF('Delivery &amp; Installation Tracker'!A74="","",'Delivery &amp; Installation Tracker'!E74)</f>
        <v/>
      </c>
      <c r="E74" s="46">
        <f>IF('Delivery &amp; Installation Tracker'!A74="","",'Delivery &amp; Installation Tracker'!G74)</f>
        <v/>
      </c>
      <c r="F74" s="46">
        <f>IF('Delivery &amp; Installation Tracker'!A74="","",'Delivery &amp; Installation Tracker'!I74)</f>
        <v/>
      </c>
      <c r="G74" s="47">
        <f>IF('Delivery &amp; Installation Tracker'!A74="","",'Delivery &amp; Installation Tracker'!L74)</f>
        <v/>
      </c>
      <c r="H74" s="46">
        <f>IF('Delivery &amp; Installation Tracker'!A74="","",'Delivery &amp; Installation Tracker'!M74)</f>
        <v/>
      </c>
      <c r="I74" s="46">
        <f>IF('Delivery &amp; Installation Tracker'!A74="","",'Delivery &amp; Installation Tracker'!N74)</f>
        <v/>
      </c>
      <c r="J74" s="46">
        <f>IF('Delivery &amp; Installation Tracker'!A74="","",'Delivery &amp; Installation Tracker'!O74)</f>
        <v/>
      </c>
    </row>
    <row r="75" ht="21" customHeight="1">
      <c r="A75" s="46">
        <f>IF('Delivery &amp; Installation Tracker'!A75="","",'Delivery &amp; Installation Tracker'!A75)</f>
        <v/>
      </c>
      <c r="B75" s="46">
        <f>IF('Delivery &amp; Installation Tracker'!A75="","",'Delivery &amp; Installation Tracker'!B75)</f>
        <v/>
      </c>
      <c r="C75" s="46">
        <f>IF('Delivery &amp; Installation Tracker'!A75="","",'Delivery &amp; Installation Tracker'!C75)</f>
        <v/>
      </c>
      <c r="D75" s="46">
        <f>IF('Delivery &amp; Installation Tracker'!A75="","",'Delivery &amp; Installation Tracker'!E75)</f>
        <v/>
      </c>
      <c r="E75" s="46">
        <f>IF('Delivery &amp; Installation Tracker'!A75="","",'Delivery &amp; Installation Tracker'!G75)</f>
        <v/>
      </c>
      <c r="F75" s="46">
        <f>IF('Delivery &amp; Installation Tracker'!A75="","",'Delivery &amp; Installation Tracker'!I75)</f>
        <v/>
      </c>
      <c r="G75" s="47">
        <f>IF('Delivery &amp; Installation Tracker'!A75="","",'Delivery &amp; Installation Tracker'!L75)</f>
        <v/>
      </c>
      <c r="H75" s="46">
        <f>IF('Delivery &amp; Installation Tracker'!A75="","",'Delivery &amp; Installation Tracker'!M75)</f>
        <v/>
      </c>
      <c r="I75" s="46">
        <f>IF('Delivery &amp; Installation Tracker'!A75="","",'Delivery &amp; Installation Tracker'!N75)</f>
        <v/>
      </c>
      <c r="J75" s="46">
        <f>IF('Delivery &amp; Installation Tracker'!A75="","",'Delivery &amp; Installation Tracker'!O75)</f>
        <v/>
      </c>
    </row>
    <row r="76" ht="21" customHeight="1">
      <c r="A76" s="46">
        <f>IF('Delivery &amp; Installation Tracker'!A76="","",'Delivery &amp; Installation Tracker'!A76)</f>
        <v/>
      </c>
      <c r="B76" s="46">
        <f>IF('Delivery &amp; Installation Tracker'!A76="","",'Delivery &amp; Installation Tracker'!B76)</f>
        <v/>
      </c>
      <c r="C76" s="46">
        <f>IF('Delivery &amp; Installation Tracker'!A76="","",'Delivery &amp; Installation Tracker'!C76)</f>
        <v/>
      </c>
      <c r="D76" s="46">
        <f>IF('Delivery &amp; Installation Tracker'!A76="","",'Delivery &amp; Installation Tracker'!E76)</f>
        <v/>
      </c>
      <c r="E76" s="46">
        <f>IF('Delivery &amp; Installation Tracker'!A76="","",'Delivery &amp; Installation Tracker'!G76)</f>
        <v/>
      </c>
      <c r="F76" s="46">
        <f>IF('Delivery &amp; Installation Tracker'!A76="","",'Delivery &amp; Installation Tracker'!I76)</f>
        <v/>
      </c>
      <c r="G76" s="47">
        <f>IF('Delivery &amp; Installation Tracker'!A76="","",'Delivery &amp; Installation Tracker'!L76)</f>
        <v/>
      </c>
      <c r="H76" s="46">
        <f>IF('Delivery &amp; Installation Tracker'!A76="","",'Delivery &amp; Installation Tracker'!M76)</f>
        <v/>
      </c>
      <c r="I76" s="46">
        <f>IF('Delivery &amp; Installation Tracker'!A76="","",'Delivery &amp; Installation Tracker'!N76)</f>
        <v/>
      </c>
      <c r="J76" s="46">
        <f>IF('Delivery &amp; Installation Tracker'!A76="","",'Delivery &amp; Installation Tracker'!O76)</f>
        <v/>
      </c>
    </row>
    <row r="77" ht="21" customHeight="1">
      <c r="A77" s="46">
        <f>IF('Delivery &amp; Installation Tracker'!A77="","",'Delivery &amp; Installation Tracker'!A77)</f>
        <v/>
      </c>
      <c r="B77" s="46">
        <f>IF('Delivery &amp; Installation Tracker'!A77="","",'Delivery &amp; Installation Tracker'!B77)</f>
        <v/>
      </c>
      <c r="C77" s="46">
        <f>IF('Delivery &amp; Installation Tracker'!A77="","",'Delivery &amp; Installation Tracker'!C77)</f>
        <v/>
      </c>
      <c r="D77" s="46">
        <f>IF('Delivery &amp; Installation Tracker'!A77="","",'Delivery &amp; Installation Tracker'!E77)</f>
        <v/>
      </c>
      <c r="E77" s="46">
        <f>IF('Delivery &amp; Installation Tracker'!A77="","",'Delivery &amp; Installation Tracker'!G77)</f>
        <v/>
      </c>
      <c r="F77" s="46">
        <f>IF('Delivery &amp; Installation Tracker'!A77="","",'Delivery &amp; Installation Tracker'!I77)</f>
        <v/>
      </c>
      <c r="G77" s="47">
        <f>IF('Delivery &amp; Installation Tracker'!A77="","",'Delivery &amp; Installation Tracker'!L77)</f>
        <v/>
      </c>
      <c r="H77" s="46">
        <f>IF('Delivery &amp; Installation Tracker'!A77="","",'Delivery &amp; Installation Tracker'!M77)</f>
        <v/>
      </c>
      <c r="I77" s="46">
        <f>IF('Delivery &amp; Installation Tracker'!A77="","",'Delivery &amp; Installation Tracker'!N77)</f>
        <v/>
      </c>
      <c r="J77" s="46">
        <f>IF('Delivery &amp; Installation Tracker'!A77="","",'Delivery &amp; Installation Tracker'!O77)</f>
        <v/>
      </c>
    </row>
    <row r="78" ht="21" customHeight="1">
      <c r="A78" s="46">
        <f>IF('Delivery &amp; Installation Tracker'!A78="","",'Delivery &amp; Installation Tracker'!A78)</f>
        <v/>
      </c>
      <c r="B78" s="46">
        <f>IF('Delivery &amp; Installation Tracker'!A78="","",'Delivery &amp; Installation Tracker'!B78)</f>
        <v/>
      </c>
      <c r="C78" s="46">
        <f>IF('Delivery &amp; Installation Tracker'!A78="","",'Delivery &amp; Installation Tracker'!C78)</f>
        <v/>
      </c>
      <c r="D78" s="46">
        <f>IF('Delivery &amp; Installation Tracker'!A78="","",'Delivery &amp; Installation Tracker'!E78)</f>
        <v/>
      </c>
      <c r="E78" s="46">
        <f>IF('Delivery &amp; Installation Tracker'!A78="","",'Delivery &amp; Installation Tracker'!G78)</f>
        <v/>
      </c>
      <c r="F78" s="46">
        <f>IF('Delivery &amp; Installation Tracker'!A78="","",'Delivery &amp; Installation Tracker'!I78)</f>
        <v/>
      </c>
      <c r="G78" s="47">
        <f>IF('Delivery &amp; Installation Tracker'!A78="","",'Delivery &amp; Installation Tracker'!L78)</f>
        <v/>
      </c>
      <c r="H78" s="46">
        <f>IF('Delivery &amp; Installation Tracker'!A78="","",'Delivery &amp; Installation Tracker'!M78)</f>
        <v/>
      </c>
      <c r="I78" s="46">
        <f>IF('Delivery &amp; Installation Tracker'!A78="","",'Delivery &amp; Installation Tracker'!N78)</f>
        <v/>
      </c>
      <c r="J78" s="46">
        <f>IF('Delivery &amp; Installation Tracker'!A78="","",'Delivery &amp; Installation Tracker'!O78)</f>
        <v/>
      </c>
    </row>
    <row r="79" ht="21" customHeight="1">
      <c r="A79" s="46">
        <f>IF('Delivery &amp; Installation Tracker'!A79="","",'Delivery &amp; Installation Tracker'!A79)</f>
        <v/>
      </c>
      <c r="B79" s="46">
        <f>IF('Delivery &amp; Installation Tracker'!A79="","",'Delivery &amp; Installation Tracker'!B79)</f>
        <v/>
      </c>
      <c r="C79" s="46">
        <f>IF('Delivery &amp; Installation Tracker'!A79="","",'Delivery &amp; Installation Tracker'!C79)</f>
        <v/>
      </c>
      <c r="D79" s="46">
        <f>IF('Delivery &amp; Installation Tracker'!A79="","",'Delivery &amp; Installation Tracker'!E79)</f>
        <v/>
      </c>
      <c r="E79" s="46">
        <f>IF('Delivery &amp; Installation Tracker'!A79="","",'Delivery &amp; Installation Tracker'!G79)</f>
        <v/>
      </c>
      <c r="F79" s="46">
        <f>IF('Delivery &amp; Installation Tracker'!A79="","",'Delivery &amp; Installation Tracker'!I79)</f>
        <v/>
      </c>
      <c r="G79" s="47">
        <f>IF('Delivery &amp; Installation Tracker'!A79="","",'Delivery &amp; Installation Tracker'!L79)</f>
        <v/>
      </c>
      <c r="H79" s="46">
        <f>IF('Delivery &amp; Installation Tracker'!A79="","",'Delivery &amp; Installation Tracker'!M79)</f>
        <v/>
      </c>
      <c r="I79" s="46">
        <f>IF('Delivery &amp; Installation Tracker'!A79="","",'Delivery &amp; Installation Tracker'!N79)</f>
        <v/>
      </c>
      <c r="J79" s="46">
        <f>IF('Delivery &amp; Installation Tracker'!A79="","",'Delivery &amp; Installation Tracker'!O79)</f>
        <v/>
      </c>
    </row>
    <row r="80" ht="21" customHeight="1">
      <c r="A80" s="46">
        <f>IF('Delivery &amp; Installation Tracker'!A80="","",'Delivery &amp; Installation Tracker'!A80)</f>
        <v/>
      </c>
      <c r="B80" s="46">
        <f>IF('Delivery &amp; Installation Tracker'!A80="","",'Delivery &amp; Installation Tracker'!B80)</f>
        <v/>
      </c>
      <c r="C80" s="46">
        <f>IF('Delivery &amp; Installation Tracker'!A80="","",'Delivery &amp; Installation Tracker'!C80)</f>
        <v/>
      </c>
      <c r="D80" s="46">
        <f>IF('Delivery &amp; Installation Tracker'!A80="","",'Delivery &amp; Installation Tracker'!E80)</f>
        <v/>
      </c>
      <c r="E80" s="46">
        <f>IF('Delivery &amp; Installation Tracker'!A80="","",'Delivery &amp; Installation Tracker'!G80)</f>
        <v/>
      </c>
      <c r="F80" s="46">
        <f>IF('Delivery &amp; Installation Tracker'!A80="","",'Delivery &amp; Installation Tracker'!I80)</f>
        <v/>
      </c>
      <c r="G80" s="47">
        <f>IF('Delivery &amp; Installation Tracker'!A80="","",'Delivery &amp; Installation Tracker'!L80)</f>
        <v/>
      </c>
      <c r="H80" s="46">
        <f>IF('Delivery &amp; Installation Tracker'!A80="","",'Delivery &amp; Installation Tracker'!M80)</f>
        <v/>
      </c>
      <c r="I80" s="46">
        <f>IF('Delivery &amp; Installation Tracker'!A80="","",'Delivery &amp; Installation Tracker'!N80)</f>
        <v/>
      </c>
      <c r="J80" s="46">
        <f>IF('Delivery &amp; Installation Tracker'!A80="","",'Delivery &amp; Installation Tracker'!O80)</f>
        <v/>
      </c>
    </row>
    <row r="81" ht="21" customHeight="1">
      <c r="A81" s="46">
        <f>IF('Delivery &amp; Installation Tracker'!A81="","",'Delivery &amp; Installation Tracker'!A81)</f>
        <v/>
      </c>
      <c r="B81" s="46">
        <f>IF('Delivery &amp; Installation Tracker'!A81="","",'Delivery &amp; Installation Tracker'!B81)</f>
        <v/>
      </c>
      <c r="C81" s="46">
        <f>IF('Delivery &amp; Installation Tracker'!A81="","",'Delivery &amp; Installation Tracker'!C81)</f>
        <v/>
      </c>
      <c r="D81" s="46">
        <f>IF('Delivery &amp; Installation Tracker'!A81="","",'Delivery &amp; Installation Tracker'!E81)</f>
        <v/>
      </c>
      <c r="E81" s="46">
        <f>IF('Delivery &amp; Installation Tracker'!A81="","",'Delivery &amp; Installation Tracker'!G81)</f>
        <v/>
      </c>
      <c r="F81" s="46">
        <f>IF('Delivery &amp; Installation Tracker'!A81="","",'Delivery &amp; Installation Tracker'!I81)</f>
        <v/>
      </c>
      <c r="G81" s="47">
        <f>IF('Delivery &amp; Installation Tracker'!A81="","",'Delivery &amp; Installation Tracker'!L81)</f>
        <v/>
      </c>
      <c r="H81" s="46">
        <f>IF('Delivery &amp; Installation Tracker'!A81="","",'Delivery &amp; Installation Tracker'!M81)</f>
        <v/>
      </c>
      <c r="I81" s="46">
        <f>IF('Delivery &amp; Installation Tracker'!A81="","",'Delivery &amp; Installation Tracker'!N81)</f>
        <v/>
      </c>
      <c r="J81" s="46">
        <f>IF('Delivery &amp; Installation Tracker'!A81="","",'Delivery &amp; Installation Tracker'!O81)</f>
        <v/>
      </c>
    </row>
    <row r="82" ht="21" customHeight="1">
      <c r="A82" s="46">
        <f>IF('Delivery &amp; Installation Tracker'!A82="","",'Delivery &amp; Installation Tracker'!A82)</f>
        <v/>
      </c>
      <c r="B82" s="46">
        <f>IF('Delivery &amp; Installation Tracker'!A82="","",'Delivery &amp; Installation Tracker'!B82)</f>
        <v/>
      </c>
      <c r="C82" s="46">
        <f>IF('Delivery &amp; Installation Tracker'!A82="","",'Delivery &amp; Installation Tracker'!C82)</f>
        <v/>
      </c>
      <c r="D82" s="46">
        <f>IF('Delivery &amp; Installation Tracker'!A82="","",'Delivery &amp; Installation Tracker'!E82)</f>
        <v/>
      </c>
      <c r="E82" s="46">
        <f>IF('Delivery &amp; Installation Tracker'!A82="","",'Delivery &amp; Installation Tracker'!G82)</f>
        <v/>
      </c>
      <c r="F82" s="46">
        <f>IF('Delivery &amp; Installation Tracker'!A82="","",'Delivery &amp; Installation Tracker'!I82)</f>
        <v/>
      </c>
      <c r="G82" s="47">
        <f>IF('Delivery &amp; Installation Tracker'!A82="","",'Delivery &amp; Installation Tracker'!L82)</f>
        <v/>
      </c>
      <c r="H82" s="46">
        <f>IF('Delivery &amp; Installation Tracker'!A82="","",'Delivery &amp; Installation Tracker'!M82)</f>
        <v/>
      </c>
      <c r="I82" s="46">
        <f>IF('Delivery &amp; Installation Tracker'!A82="","",'Delivery &amp; Installation Tracker'!N82)</f>
        <v/>
      </c>
      <c r="J82" s="46">
        <f>IF('Delivery &amp; Installation Tracker'!A82="","",'Delivery &amp; Installation Tracker'!O82)</f>
        <v/>
      </c>
    </row>
    <row r="83" ht="21" customHeight="1">
      <c r="A83" s="46">
        <f>IF('Delivery &amp; Installation Tracker'!A83="","",'Delivery &amp; Installation Tracker'!A83)</f>
        <v/>
      </c>
      <c r="B83" s="46">
        <f>IF('Delivery &amp; Installation Tracker'!A83="","",'Delivery &amp; Installation Tracker'!B83)</f>
        <v/>
      </c>
      <c r="C83" s="46">
        <f>IF('Delivery &amp; Installation Tracker'!A83="","",'Delivery &amp; Installation Tracker'!C83)</f>
        <v/>
      </c>
      <c r="D83" s="46">
        <f>IF('Delivery &amp; Installation Tracker'!A83="","",'Delivery &amp; Installation Tracker'!E83)</f>
        <v/>
      </c>
      <c r="E83" s="46">
        <f>IF('Delivery &amp; Installation Tracker'!A83="","",'Delivery &amp; Installation Tracker'!G83)</f>
        <v/>
      </c>
      <c r="F83" s="46">
        <f>IF('Delivery &amp; Installation Tracker'!A83="","",'Delivery &amp; Installation Tracker'!I83)</f>
        <v/>
      </c>
      <c r="G83" s="47">
        <f>IF('Delivery &amp; Installation Tracker'!A83="","",'Delivery &amp; Installation Tracker'!L83)</f>
        <v/>
      </c>
      <c r="H83" s="46">
        <f>IF('Delivery &amp; Installation Tracker'!A83="","",'Delivery &amp; Installation Tracker'!M83)</f>
        <v/>
      </c>
      <c r="I83" s="46">
        <f>IF('Delivery &amp; Installation Tracker'!A83="","",'Delivery &amp; Installation Tracker'!N83)</f>
        <v/>
      </c>
      <c r="J83" s="46">
        <f>IF('Delivery &amp; Installation Tracker'!A83="","",'Delivery &amp; Installation Tracker'!O83)</f>
        <v/>
      </c>
    </row>
    <row r="84" ht="21" customHeight="1">
      <c r="A84" s="46">
        <f>IF('Delivery &amp; Installation Tracker'!A84="","",'Delivery &amp; Installation Tracker'!A84)</f>
        <v/>
      </c>
      <c r="B84" s="46">
        <f>IF('Delivery &amp; Installation Tracker'!A84="","",'Delivery &amp; Installation Tracker'!B84)</f>
        <v/>
      </c>
      <c r="C84" s="46">
        <f>IF('Delivery &amp; Installation Tracker'!A84="","",'Delivery &amp; Installation Tracker'!C84)</f>
        <v/>
      </c>
      <c r="D84" s="46">
        <f>IF('Delivery &amp; Installation Tracker'!A84="","",'Delivery &amp; Installation Tracker'!E84)</f>
        <v/>
      </c>
      <c r="E84" s="46">
        <f>IF('Delivery &amp; Installation Tracker'!A84="","",'Delivery &amp; Installation Tracker'!G84)</f>
        <v/>
      </c>
      <c r="F84" s="46">
        <f>IF('Delivery &amp; Installation Tracker'!A84="","",'Delivery &amp; Installation Tracker'!I84)</f>
        <v/>
      </c>
      <c r="G84" s="47">
        <f>IF('Delivery &amp; Installation Tracker'!A84="","",'Delivery &amp; Installation Tracker'!L84)</f>
        <v/>
      </c>
      <c r="H84" s="46">
        <f>IF('Delivery &amp; Installation Tracker'!A84="","",'Delivery &amp; Installation Tracker'!M84)</f>
        <v/>
      </c>
      <c r="I84" s="46">
        <f>IF('Delivery &amp; Installation Tracker'!A84="","",'Delivery &amp; Installation Tracker'!N84)</f>
        <v/>
      </c>
      <c r="J84" s="46">
        <f>IF('Delivery &amp; Installation Tracker'!A84="","",'Delivery &amp; Installation Tracker'!O84)</f>
        <v/>
      </c>
    </row>
    <row r="85" ht="21" customHeight="1">
      <c r="A85" s="46">
        <f>IF('Delivery &amp; Installation Tracker'!A85="","",'Delivery &amp; Installation Tracker'!A85)</f>
        <v/>
      </c>
      <c r="B85" s="46">
        <f>IF('Delivery &amp; Installation Tracker'!A85="","",'Delivery &amp; Installation Tracker'!B85)</f>
        <v/>
      </c>
      <c r="C85" s="46">
        <f>IF('Delivery &amp; Installation Tracker'!A85="","",'Delivery &amp; Installation Tracker'!C85)</f>
        <v/>
      </c>
      <c r="D85" s="46">
        <f>IF('Delivery &amp; Installation Tracker'!A85="","",'Delivery &amp; Installation Tracker'!E85)</f>
        <v/>
      </c>
      <c r="E85" s="46">
        <f>IF('Delivery &amp; Installation Tracker'!A85="","",'Delivery &amp; Installation Tracker'!G85)</f>
        <v/>
      </c>
      <c r="F85" s="46">
        <f>IF('Delivery &amp; Installation Tracker'!A85="","",'Delivery &amp; Installation Tracker'!I85)</f>
        <v/>
      </c>
      <c r="G85" s="47">
        <f>IF('Delivery &amp; Installation Tracker'!A85="","",'Delivery &amp; Installation Tracker'!L85)</f>
        <v/>
      </c>
      <c r="H85" s="46">
        <f>IF('Delivery &amp; Installation Tracker'!A85="","",'Delivery &amp; Installation Tracker'!M85)</f>
        <v/>
      </c>
      <c r="I85" s="46">
        <f>IF('Delivery &amp; Installation Tracker'!A85="","",'Delivery &amp; Installation Tracker'!N85)</f>
        <v/>
      </c>
      <c r="J85" s="46">
        <f>IF('Delivery &amp; Installation Tracker'!A85="","",'Delivery &amp; Installation Tracker'!O85)</f>
        <v/>
      </c>
    </row>
    <row r="86" ht="21" customHeight="1">
      <c r="A86" s="46">
        <f>IF('Delivery &amp; Installation Tracker'!A86="","",'Delivery &amp; Installation Tracker'!A86)</f>
        <v/>
      </c>
      <c r="B86" s="46">
        <f>IF('Delivery &amp; Installation Tracker'!A86="","",'Delivery &amp; Installation Tracker'!B86)</f>
        <v/>
      </c>
      <c r="C86" s="46">
        <f>IF('Delivery &amp; Installation Tracker'!A86="","",'Delivery &amp; Installation Tracker'!C86)</f>
        <v/>
      </c>
      <c r="D86" s="46">
        <f>IF('Delivery &amp; Installation Tracker'!A86="","",'Delivery &amp; Installation Tracker'!E86)</f>
        <v/>
      </c>
      <c r="E86" s="46">
        <f>IF('Delivery &amp; Installation Tracker'!A86="","",'Delivery &amp; Installation Tracker'!G86)</f>
        <v/>
      </c>
      <c r="F86" s="46">
        <f>IF('Delivery &amp; Installation Tracker'!A86="","",'Delivery &amp; Installation Tracker'!I86)</f>
        <v/>
      </c>
      <c r="G86" s="47">
        <f>IF('Delivery &amp; Installation Tracker'!A86="","",'Delivery &amp; Installation Tracker'!L86)</f>
        <v/>
      </c>
      <c r="H86" s="46">
        <f>IF('Delivery &amp; Installation Tracker'!A86="","",'Delivery &amp; Installation Tracker'!M86)</f>
        <v/>
      </c>
      <c r="I86" s="46">
        <f>IF('Delivery &amp; Installation Tracker'!A86="","",'Delivery &amp; Installation Tracker'!N86)</f>
        <v/>
      </c>
      <c r="J86" s="46">
        <f>IF('Delivery &amp; Installation Tracker'!A86="","",'Delivery &amp; Installation Tracker'!O86)</f>
        <v/>
      </c>
    </row>
    <row r="87" ht="21" customHeight="1">
      <c r="A87" s="46">
        <f>IF('Delivery &amp; Installation Tracker'!A87="","",'Delivery &amp; Installation Tracker'!A87)</f>
        <v/>
      </c>
      <c r="B87" s="46">
        <f>IF('Delivery &amp; Installation Tracker'!A87="","",'Delivery &amp; Installation Tracker'!B87)</f>
        <v/>
      </c>
      <c r="C87" s="46">
        <f>IF('Delivery &amp; Installation Tracker'!A87="","",'Delivery &amp; Installation Tracker'!C87)</f>
        <v/>
      </c>
      <c r="D87" s="46">
        <f>IF('Delivery &amp; Installation Tracker'!A87="","",'Delivery &amp; Installation Tracker'!E87)</f>
        <v/>
      </c>
      <c r="E87" s="46">
        <f>IF('Delivery &amp; Installation Tracker'!A87="","",'Delivery &amp; Installation Tracker'!G87)</f>
        <v/>
      </c>
      <c r="F87" s="46">
        <f>IF('Delivery &amp; Installation Tracker'!A87="","",'Delivery &amp; Installation Tracker'!I87)</f>
        <v/>
      </c>
      <c r="G87" s="47">
        <f>IF('Delivery &amp; Installation Tracker'!A87="","",'Delivery &amp; Installation Tracker'!L87)</f>
        <v/>
      </c>
      <c r="H87" s="46">
        <f>IF('Delivery &amp; Installation Tracker'!A87="","",'Delivery &amp; Installation Tracker'!M87)</f>
        <v/>
      </c>
      <c r="I87" s="46">
        <f>IF('Delivery &amp; Installation Tracker'!A87="","",'Delivery &amp; Installation Tracker'!N87)</f>
        <v/>
      </c>
      <c r="J87" s="46">
        <f>IF('Delivery &amp; Installation Tracker'!A87="","",'Delivery &amp; Installation Tracker'!O87)</f>
        <v/>
      </c>
    </row>
    <row r="88" ht="21" customHeight="1">
      <c r="A88" s="46">
        <f>IF('Delivery &amp; Installation Tracker'!A88="","",'Delivery &amp; Installation Tracker'!A88)</f>
        <v/>
      </c>
      <c r="B88" s="46">
        <f>IF('Delivery &amp; Installation Tracker'!A88="","",'Delivery &amp; Installation Tracker'!B88)</f>
        <v/>
      </c>
      <c r="C88" s="46">
        <f>IF('Delivery &amp; Installation Tracker'!A88="","",'Delivery &amp; Installation Tracker'!C88)</f>
        <v/>
      </c>
      <c r="D88" s="46">
        <f>IF('Delivery &amp; Installation Tracker'!A88="","",'Delivery &amp; Installation Tracker'!E88)</f>
        <v/>
      </c>
      <c r="E88" s="46">
        <f>IF('Delivery &amp; Installation Tracker'!A88="","",'Delivery &amp; Installation Tracker'!G88)</f>
        <v/>
      </c>
      <c r="F88" s="46">
        <f>IF('Delivery &amp; Installation Tracker'!A88="","",'Delivery &amp; Installation Tracker'!I88)</f>
        <v/>
      </c>
      <c r="G88" s="47">
        <f>IF('Delivery &amp; Installation Tracker'!A88="","",'Delivery &amp; Installation Tracker'!L88)</f>
        <v/>
      </c>
      <c r="H88" s="46">
        <f>IF('Delivery &amp; Installation Tracker'!A88="","",'Delivery &amp; Installation Tracker'!M88)</f>
        <v/>
      </c>
      <c r="I88" s="46">
        <f>IF('Delivery &amp; Installation Tracker'!A88="","",'Delivery &amp; Installation Tracker'!N88)</f>
        <v/>
      </c>
      <c r="J88" s="46">
        <f>IF('Delivery &amp; Installation Tracker'!A88="","",'Delivery &amp; Installation Tracker'!O88)</f>
        <v/>
      </c>
    </row>
    <row r="89" ht="21" customHeight="1">
      <c r="A89" s="46">
        <f>IF('Delivery &amp; Installation Tracker'!A89="","",'Delivery &amp; Installation Tracker'!A89)</f>
        <v/>
      </c>
      <c r="B89" s="46">
        <f>IF('Delivery &amp; Installation Tracker'!A89="","",'Delivery &amp; Installation Tracker'!B89)</f>
        <v/>
      </c>
      <c r="C89" s="46">
        <f>IF('Delivery &amp; Installation Tracker'!A89="","",'Delivery &amp; Installation Tracker'!C89)</f>
        <v/>
      </c>
      <c r="D89" s="46">
        <f>IF('Delivery &amp; Installation Tracker'!A89="","",'Delivery &amp; Installation Tracker'!E89)</f>
        <v/>
      </c>
      <c r="E89" s="46">
        <f>IF('Delivery &amp; Installation Tracker'!A89="","",'Delivery &amp; Installation Tracker'!G89)</f>
        <v/>
      </c>
      <c r="F89" s="46">
        <f>IF('Delivery &amp; Installation Tracker'!A89="","",'Delivery &amp; Installation Tracker'!I89)</f>
        <v/>
      </c>
      <c r="G89" s="47">
        <f>IF('Delivery &amp; Installation Tracker'!A89="","",'Delivery &amp; Installation Tracker'!L89)</f>
        <v/>
      </c>
      <c r="H89" s="46">
        <f>IF('Delivery &amp; Installation Tracker'!A89="","",'Delivery &amp; Installation Tracker'!M89)</f>
        <v/>
      </c>
      <c r="I89" s="46">
        <f>IF('Delivery &amp; Installation Tracker'!A89="","",'Delivery &amp; Installation Tracker'!N89)</f>
        <v/>
      </c>
      <c r="J89" s="46">
        <f>IF('Delivery &amp; Installation Tracker'!A89="","",'Delivery &amp; Installation Tracker'!O89)</f>
        <v/>
      </c>
    </row>
    <row r="90" ht="21" customHeight="1">
      <c r="A90" s="46">
        <f>IF('Delivery &amp; Installation Tracker'!A90="","",'Delivery &amp; Installation Tracker'!A90)</f>
        <v/>
      </c>
      <c r="B90" s="46">
        <f>IF('Delivery &amp; Installation Tracker'!A90="","",'Delivery &amp; Installation Tracker'!B90)</f>
        <v/>
      </c>
      <c r="C90" s="46">
        <f>IF('Delivery &amp; Installation Tracker'!A90="","",'Delivery &amp; Installation Tracker'!C90)</f>
        <v/>
      </c>
      <c r="D90" s="46">
        <f>IF('Delivery &amp; Installation Tracker'!A90="","",'Delivery &amp; Installation Tracker'!E90)</f>
        <v/>
      </c>
      <c r="E90" s="46">
        <f>IF('Delivery &amp; Installation Tracker'!A90="","",'Delivery &amp; Installation Tracker'!G90)</f>
        <v/>
      </c>
      <c r="F90" s="46">
        <f>IF('Delivery &amp; Installation Tracker'!A90="","",'Delivery &amp; Installation Tracker'!I90)</f>
        <v/>
      </c>
      <c r="G90" s="47">
        <f>IF('Delivery &amp; Installation Tracker'!A90="","",'Delivery &amp; Installation Tracker'!L90)</f>
        <v/>
      </c>
      <c r="H90" s="46">
        <f>IF('Delivery &amp; Installation Tracker'!A90="","",'Delivery &amp; Installation Tracker'!M90)</f>
        <v/>
      </c>
      <c r="I90" s="46">
        <f>IF('Delivery &amp; Installation Tracker'!A90="","",'Delivery &amp; Installation Tracker'!N90)</f>
        <v/>
      </c>
      <c r="J90" s="46">
        <f>IF('Delivery &amp; Installation Tracker'!A90="","",'Delivery &amp; Installation Tracker'!O90)</f>
        <v/>
      </c>
    </row>
    <row r="91" ht="21" customHeight="1">
      <c r="A91" s="46">
        <f>IF('Delivery &amp; Installation Tracker'!A91="","",'Delivery &amp; Installation Tracker'!A91)</f>
        <v/>
      </c>
      <c r="B91" s="46">
        <f>IF('Delivery &amp; Installation Tracker'!A91="","",'Delivery &amp; Installation Tracker'!B91)</f>
        <v/>
      </c>
      <c r="C91" s="46">
        <f>IF('Delivery &amp; Installation Tracker'!A91="","",'Delivery &amp; Installation Tracker'!C91)</f>
        <v/>
      </c>
      <c r="D91" s="46">
        <f>IF('Delivery &amp; Installation Tracker'!A91="","",'Delivery &amp; Installation Tracker'!E91)</f>
        <v/>
      </c>
      <c r="E91" s="46">
        <f>IF('Delivery &amp; Installation Tracker'!A91="","",'Delivery &amp; Installation Tracker'!G91)</f>
        <v/>
      </c>
      <c r="F91" s="46">
        <f>IF('Delivery &amp; Installation Tracker'!A91="","",'Delivery &amp; Installation Tracker'!I91)</f>
        <v/>
      </c>
      <c r="G91" s="47">
        <f>IF('Delivery &amp; Installation Tracker'!A91="","",'Delivery &amp; Installation Tracker'!L91)</f>
        <v/>
      </c>
      <c r="H91" s="46">
        <f>IF('Delivery &amp; Installation Tracker'!A91="","",'Delivery &amp; Installation Tracker'!M91)</f>
        <v/>
      </c>
      <c r="I91" s="46">
        <f>IF('Delivery &amp; Installation Tracker'!A91="","",'Delivery &amp; Installation Tracker'!N91)</f>
        <v/>
      </c>
      <c r="J91" s="46">
        <f>IF('Delivery &amp; Installation Tracker'!A91="","",'Delivery &amp; Installation Tracker'!O91)</f>
        <v/>
      </c>
    </row>
    <row r="92" ht="21" customHeight="1">
      <c r="A92" s="46">
        <f>IF('Delivery &amp; Installation Tracker'!A92="","",'Delivery &amp; Installation Tracker'!A92)</f>
        <v/>
      </c>
      <c r="B92" s="46">
        <f>IF('Delivery &amp; Installation Tracker'!A92="","",'Delivery &amp; Installation Tracker'!B92)</f>
        <v/>
      </c>
      <c r="C92" s="46">
        <f>IF('Delivery &amp; Installation Tracker'!A92="","",'Delivery &amp; Installation Tracker'!C92)</f>
        <v/>
      </c>
      <c r="D92" s="46">
        <f>IF('Delivery &amp; Installation Tracker'!A92="","",'Delivery &amp; Installation Tracker'!E92)</f>
        <v/>
      </c>
      <c r="E92" s="46">
        <f>IF('Delivery &amp; Installation Tracker'!A92="","",'Delivery &amp; Installation Tracker'!G92)</f>
        <v/>
      </c>
      <c r="F92" s="46">
        <f>IF('Delivery &amp; Installation Tracker'!A92="","",'Delivery &amp; Installation Tracker'!I92)</f>
        <v/>
      </c>
      <c r="G92" s="47">
        <f>IF('Delivery &amp; Installation Tracker'!A92="","",'Delivery &amp; Installation Tracker'!L92)</f>
        <v/>
      </c>
      <c r="H92" s="46">
        <f>IF('Delivery &amp; Installation Tracker'!A92="","",'Delivery &amp; Installation Tracker'!M92)</f>
        <v/>
      </c>
      <c r="I92" s="46">
        <f>IF('Delivery &amp; Installation Tracker'!A92="","",'Delivery &amp; Installation Tracker'!N92)</f>
        <v/>
      </c>
      <c r="J92" s="46">
        <f>IF('Delivery &amp; Installation Tracker'!A92="","",'Delivery &amp; Installation Tracker'!O92)</f>
        <v/>
      </c>
    </row>
    <row r="93" ht="21" customHeight="1">
      <c r="A93" s="46">
        <f>IF('Delivery &amp; Installation Tracker'!A93="","",'Delivery &amp; Installation Tracker'!A93)</f>
        <v/>
      </c>
      <c r="B93" s="46">
        <f>IF('Delivery &amp; Installation Tracker'!A93="","",'Delivery &amp; Installation Tracker'!B93)</f>
        <v/>
      </c>
      <c r="C93" s="46">
        <f>IF('Delivery &amp; Installation Tracker'!A93="","",'Delivery &amp; Installation Tracker'!C93)</f>
        <v/>
      </c>
      <c r="D93" s="46">
        <f>IF('Delivery &amp; Installation Tracker'!A93="","",'Delivery &amp; Installation Tracker'!E93)</f>
        <v/>
      </c>
      <c r="E93" s="46">
        <f>IF('Delivery &amp; Installation Tracker'!A93="","",'Delivery &amp; Installation Tracker'!G93)</f>
        <v/>
      </c>
      <c r="F93" s="46">
        <f>IF('Delivery &amp; Installation Tracker'!A93="","",'Delivery &amp; Installation Tracker'!I93)</f>
        <v/>
      </c>
      <c r="G93" s="47">
        <f>IF('Delivery &amp; Installation Tracker'!A93="","",'Delivery &amp; Installation Tracker'!L93)</f>
        <v/>
      </c>
      <c r="H93" s="46">
        <f>IF('Delivery &amp; Installation Tracker'!A93="","",'Delivery &amp; Installation Tracker'!M93)</f>
        <v/>
      </c>
      <c r="I93" s="46">
        <f>IF('Delivery &amp; Installation Tracker'!A93="","",'Delivery &amp; Installation Tracker'!N93)</f>
        <v/>
      </c>
      <c r="J93" s="46">
        <f>IF('Delivery &amp; Installation Tracker'!A93="","",'Delivery &amp; Installation Tracker'!O93)</f>
        <v/>
      </c>
    </row>
    <row r="94" ht="21" customHeight="1">
      <c r="A94" s="46">
        <f>IF('Delivery &amp; Installation Tracker'!A94="","",'Delivery &amp; Installation Tracker'!A94)</f>
        <v/>
      </c>
      <c r="B94" s="46">
        <f>IF('Delivery &amp; Installation Tracker'!A94="","",'Delivery &amp; Installation Tracker'!B94)</f>
        <v/>
      </c>
      <c r="C94" s="46">
        <f>IF('Delivery &amp; Installation Tracker'!A94="","",'Delivery &amp; Installation Tracker'!C94)</f>
        <v/>
      </c>
      <c r="D94" s="46">
        <f>IF('Delivery &amp; Installation Tracker'!A94="","",'Delivery &amp; Installation Tracker'!E94)</f>
        <v/>
      </c>
      <c r="E94" s="46">
        <f>IF('Delivery &amp; Installation Tracker'!A94="","",'Delivery &amp; Installation Tracker'!G94)</f>
        <v/>
      </c>
      <c r="F94" s="46">
        <f>IF('Delivery &amp; Installation Tracker'!A94="","",'Delivery &amp; Installation Tracker'!I94)</f>
        <v/>
      </c>
      <c r="G94" s="47">
        <f>IF('Delivery &amp; Installation Tracker'!A94="","",'Delivery &amp; Installation Tracker'!L94)</f>
        <v/>
      </c>
      <c r="H94" s="46">
        <f>IF('Delivery &amp; Installation Tracker'!A94="","",'Delivery &amp; Installation Tracker'!M94)</f>
        <v/>
      </c>
      <c r="I94" s="46">
        <f>IF('Delivery &amp; Installation Tracker'!A94="","",'Delivery &amp; Installation Tracker'!N94)</f>
        <v/>
      </c>
      <c r="J94" s="46">
        <f>IF('Delivery &amp; Installation Tracker'!A94="","",'Delivery &amp; Installation Tracker'!O94)</f>
        <v/>
      </c>
    </row>
    <row r="95" ht="21" customHeight="1">
      <c r="A95" s="46">
        <f>IF('Delivery &amp; Installation Tracker'!A95="","",'Delivery &amp; Installation Tracker'!A95)</f>
        <v/>
      </c>
      <c r="B95" s="46">
        <f>IF('Delivery &amp; Installation Tracker'!A95="","",'Delivery &amp; Installation Tracker'!B95)</f>
        <v/>
      </c>
      <c r="C95" s="46">
        <f>IF('Delivery &amp; Installation Tracker'!A95="","",'Delivery &amp; Installation Tracker'!C95)</f>
        <v/>
      </c>
      <c r="D95" s="46">
        <f>IF('Delivery &amp; Installation Tracker'!A95="","",'Delivery &amp; Installation Tracker'!E95)</f>
        <v/>
      </c>
      <c r="E95" s="46">
        <f>IF('Delivery &amp; Installation Tracker'!A95="","",'Delivery &amp; Installation Tracker'!G95)</f>
        <v/>
      </c>
      <c r="F95" s="46">
        <f>IF('Delivery &amp; Installation Tracker'!A95="","",'Delivery &amp; Installation Tracker'!I95)</f>
        <v/>
      </c>
      <c r="G95" s="47">
        <f>IF('Delivery &amp; Installation Tracker'!A95="","",'Delivery &amp; Installation Tracker'!L95)</f>
        <v/>
      </c>
      <c r="H95" s="46">
        <f>IF('Delivery &amp; Installation Tracker'!A95="","",'Delivery &amp; Installation Tracker'!M95)</f>
        <v/>
      </c>
      <c r="I95" s="46">
        <f>IF('Delivery &amp; Installation Tracker'!A95="","",'Delivery &amp; Installation Tracker'!N95)</f>
        <v/>
      </c>
      <c r="J95" s="46">
        <f>IF('Delivery &amp; Installation Tracker'!A95="","",'Delivery &amp; Installation Tracker'!O95)</f>
        <v/>
      </c>
    </row>
    <row r="96" ht="21" customHeight="1">
      <c r="A96" s="46">
        <f>IF('Delivery &amp; Installation Tracker'!A96="","",'Delivery &amp; Installation Tracker'!A96)</f>
        <v/>
      </c>
      <c r="B96" s="46">
        <f>IF('Delivery &amp; Installation Tracker'!A96="","",'Delivery &amp; Installation Tracker'!B96)</f>
        <v/>
      </c>
      <c r="C96" s="46">
        <f>IF('Delivery &amp; Installation Tracker'!A96="","",'Delivery &amp; Installation Tracker'!C96)</f>
        <v/>
      </c>
      <c r="D96" s="46">
        <f>IF('Delivery &amp; Installation Tracker'!A96="","",'Delivery &amp; Installation Tracker'!E96)</f>
        <v/>
      </c>
      <c r="E96" s="46">
        <f>IF('Delivery &amp; Installation Tracker'!A96="","",'Delivery &amp; Installation Tracker'!G96)</f>
        <v/>
      </c>
      <c r="F96" s="46">
        <f>IF('Delivery &amp; Installation Tracker'!A96="","",'Delivery &amp; Installation Tracker'!I96)</f>
        <v/>
      </c>
      <c r="G96" s="47">
        <f>IF('Delivery &amp; Installation Tracker'!A96="","",'Delivery &amp; Installation Tracker'!L96)</f>
        <v/>
      </c>
      <c r="H96" s="46">
        <f>IF('Delivery &amp; Installation Tracker'!A96="","",'Delivery &amp; Installation Tracker'!M96)</f>
        <v/>
      </c>
      <c r="I96" s="46">
        <f>IF('Delivery &amp; Installation Tracker'!A96="","",'Delivery &amp; Installation Tracker'!N96)</f>
        <v/>
      </c>
      <c r="J96" s="46">
        <f>IF('Delivery &amp; Installation Tracker'!A96="","",'Delivery &amp; Installation Tracker'!O96)</f>
        <v/>
      </c>
    </row>
    <row r="97" ht="21" customHeight="1">
      <c r="A97" s="46">
        <f>IF('Delivery &amp; Installation Tracker'!A97="","",'Delivery &amp; Installation Tracker'!A97)</f>
        <v/>
      </c>
      <c r="B97" s="46">
        <f>IF('Delivery &amp; Installation Tracker'!A97="","",'Delivery &amp; Installation Tracker'!B97)</f>
        <v/>
      </c>
      <c r="C97" s="46">
        <f>IF('Delivery &amp; Installation Tracker'!A97="","",'Delivery &amp; Installation Tracker'!C97)</f>
        <v/>
      </c>
      <c r="D97" s="46">
        <f>IF('Delivery &amp; Installation Tracker'!A97="","",'Delivery &amp; Installation Tracker'!E97)</f>
        <v/>
      </c>
      <c r="E97" s="46">
        <f>IF('Delivery &amp; Installation Tracker'!A97="","",'Delivery &amp; Installation Tracker'!G97)</f>
        <v/>
      </c>
      <c r="F97" s="46">
        <f>IF('Delivery &amp; Installation Tracker'!A97="","",'Delivery &amp; Installation Tracker'!I97)</f>
        <v/>
      </c>
      <c r="G97" s="47">
        <f>IF('Delivery &amp; Installation Tracker'!A97="","",'Delivery &amp; Installation Tracker'!L97)</f>
        <v/>
      </c>
      <c r="H97" s="46">
        <f>IF('Delivery &amp; Installation Tracker'!A97="","",'Delivery &amp; Installation Tracker'!M97)</f>
        <v/>
      </c>
      <c r="I97" s="46">
        <f>IF('Delivery &amp; Installation Tracker'!A97="","",'Delivery &amp; Installation Tracker'!N97)</f>
        <v/>
      </c>
      <c r="J97" s="46">
        <f>IF('Delivery &amp; Installation Tracker'!A97="","",'Delivery &amp; Installation Tracker'!O97)</f>
        <v/>
      </c>
    </row>
    <row r="98" ht="21" customHeight="1">
      <c r="A98" s="46">
        <f>IF('Delivery &amp; Installation Tracker'!A98="","",'Delivery &amp; Installation Tracker'!A98)</f>
        <v/>
      </c>
      <c r="B98" s="46">
        <f>IF('Delivery &amp; Installation Tracker'!A98="","",'Delivery &amp; Installation Tracker'!B98)</f>
        <v/>
      </c>
      <c r="C98" s="46">
        <f>IF('Delivery &amp; Installation Tracker'!A98="","",'Delivery &amp; Installation Tracker'!C98)</f>
        <v/>
      </c>
      <c r="D98" s="46">
        <f>IF('Delivery &amp; Installation Tracker'!A98="","",'Delivery &amp; Installation Tracker'!E98)</f>
        <v/>
      </c>
      <c r="E98" s="46">
        <f>IF('Delivery &amp; Installation Tracker'!A98="","",'Delivery &amp; Installation Tracker'!G98)</f>
        <v/>
      </c>
      <c r="F98" s="46">
        <f>IF('Delivery &amp; Installation Tracker'!A98="","",'Delivery &amp; Installation Tracker'!I98)</f>
        <v/>
      </c>
      <c r="G98" s="47">
        <f>IF('Delivery &amp; Installation Tracker'!A98="","",'Delivery &amp; Installation Tracker'!L98)</f>
        <v/>
      </c>
      <c r="H98" s="46">
        <f>IF('Delivery &amp; Installation Tracker'!A98="","",'Delivery &amp; Installation Tracker'!M98)</f>
        <v/>
      </c>
      <c r="I98" s="46">
        <f>IF('Delivery &amp; Installation Tracker'!A98="","",'Delivery &amp; Installation Tracker'!N98)</f>
        <v/>
      </c>
      <c r="J98" s="46">
        <f>IF('Delivery &amp; Installation Tracker'!A98="","",'Delivery &amp; Installation Tracker'!O98)</f>
        <v/>
      </c>
    </row>
    <row r="99" ht="21" customHeight="1">
      <c r="A99" s="46">
        <f>IF('Delivery &amp; Installation Tracker'!A99="","",'Delivery &amp; Installation Tracker'!A99)</f>
        <v/>
      </c>
      <c r="B99" s="46">
        <f>IF('Delivery &amp; Installation Tracker'!A99="","",'Delivery &amp; Installation Tracker'!B99)</f>
        <v/>
      </c>
      <c r="C99" s="46">
        <f>IF('Delivery &amp; Installation Tracker'!A99="","",'Delivery &amp; Installation Tracker'!C99)</f>
        <v/>
      </c>
      <c r="D99" s="46">
        <f>IF('Delivery &amp; Installation Tracker'!A99="","",'Delivery &amp; Installation Tracker'!E99)</f>
        <v/>
      </c>
      <c r="E99" s="46">
        <f>IF('Delivery &amp; Installation Tracker'!A99="","",'Delivery &amp; Installation Tracker'!G99)</f>
        <v/>
      </c>
      <c r="F99" s="46">
        <f>IF('Delivery &amp; Installation Tracker'!A99="","",'Delivery &amp; Installation Tracker'!I99)</f>
        <v/>
      </c>
      <c r="G99" s="47">
        <f>IF('Delivery &amp; Installation Tracker'!A99="","",'Delivery &amp; Installation Tracker'!L99)</f>
        <v/>
      </c>
      <c r="H99" s="46">
        <f>IF('Delivery &amp; Installation Tracker'!A99="","",'Delivery &amp; Installation Tracker'!M99)</f>
        <v/>
      </c>
      <c r="I99" s="46">
        <f>IF('Delivery &amp; Installation Tracker'!A99="","",'Delivery &amp; Installation Tracker'!N99)</f>
        <v/>
      </c>
      <c r="J99" s="46">
        <f>IF('Delivery &amp; Installation Tracker'!A99="","",'Delivery &amp; Installation Tracker'!O99)</f>
        <v/>
      </c>
    </row>
    <row r="100" ht="21" customHeight="1">
      <c r="A100" s="46">
        <f>IF('Delivery &amp; Installation Tracker'!A100="","",'Delivery &amp; Installation Tracker'!A100)</f>
        <v/>
      </c>
      <c r="B100" s="46">
        <f>IF('Delivery &amp; Installation Tracker'!A100="","",'Delivery &amp; Installation Tracker'!B100)</f>
        <v/>
      </c>
      <c r="C100" s="46">
        <f>IF('Delivery &amp; Installation Tracker'!A100="","",'Delivery &amp; Installation Tracker'!C100)</f>
        <v/>
      </c>
      <c r="D100" s="46">
        <f>IF('Delivery &amp; Installation Tracker'!A100="","",'Delivery &amp; Installation Tracker'!E100)</f>
        <v/>
      </c>
      <c r="E100" s="46">
        <f>IF('Delivery &amp; Installation Tracker'!A100="","",'Delivery &amp; Installation Tracker'!G100)</f>
        <v/>
      </c>
      <c r="F100" s="46">
        <f>IF('Delivery &amp; Installation Tracker'!A100="","",'Delivery &amp; Installation Tracker'!I100)</f>
        <v/>
      </c>
      <c r="G100" s="47">
        <f>IF('Delivery &amp; Installation Tracker'!A100="","",'Delivery &amp; Installation Tracker'!L100)</f>
        <v/>
      </c>
      <c r="H100" s="46">
        <f>IF('Delivery &amp; Installation Tracker'!A100="","",'Delivery &amp; Installation Tracker'!M100)</f>
        <v/>
      </c>
      <c r="I100" s="46">
        <f>IF('Delivery &amp; Installation Tracker'!A100="","",'Delivery &amp; Installation Tracker'!N100)</f>
        <v/>
      </c>
      <c r="J100" s="46">
        <f>IF('Delivery &amp; Installation Tracker'!A100="","",'Delivery &amp; Installation Tracker'!O100)</f>
        <v/>
      </c>
    </row>
    <row r="101" ht="21" customHeight="1">
      <c r="A101" s="46">
        <f>IF('Delivery &amp; Installation Tracker'!A101="","",'Delivery &amp; Installation Tracker'!A101)</f>
        <v/>
      </c>
      <c r="B101" s="46">
        <f>IF('Delivery &amp; Installation Tracker'!A101="","",'Delivery &amp; Installation Tracker'!B101)</f>
        <v/>
      </c>
      <c r="C101" s="46">
        <f>IF('Delivery &amp; Installation Tracker'!A101="","",'Delivery &amp; Installation Tracker'!C101)</f>
        <v/>
      </c>
      <c r="D101" s="46">
        <f>IF('Delivery &amp; Installation Tracker'!A101="","",'Delivery &amp; Installation Tracker'!E101)</f>
        <v/>
      </c>
      <c r="E101" s="46">
        <f>IF('Delivery &amp; Installation Tracker'!A101="","",'Delivery &amp; Installation Tracker'!G101)</f>
        <v/>
      </c>
      <c r="F101" s="46">
        <f>IF('Delivery &amp; Installation Tracker'!A101="","",'Delivery &amp; Installation Tracker'!I101)</f>
        <v/>
      </c>
      <c r="G101" s="47">
        <f>IF('Delivery &amp; Installation Tracker'!A101="","",'Delivery &amp; Installation Tracker'!L101)</f>
        <v/>
      </c>
      <c r="H101" s="46">
        <f>IF('Delivery &amp; Installation Tracker'!A101="","",'Delivery &amp; Installation Tracker'!M101)</f>
        <v/>
      </c>
      <c r="I101" s="46">
        <f>IF('Delivery &amp; Installation Tracker'!A101="","",'Delivery &amp; Installation Tracker'!N101)</f>
        <v/>
      </c>
      <c r="J101" s="46">
        <f>IF('Delivery &amp; Installation Tracker'!A101="","",'Delivery &amp; Installation Tracker'!O101)</f>
        <v/>
      </c>
    </row>
    <row r="102" ht="21" customHeight="1">
      <c r="A102" s="46">
        <f>IF('Delivery &amp; Installation Tracker'!A102="","",'Delivery &amp; Installation Tracker'!A102)</f>
        <v/>
      </c>
      <c r="B102" s="46">
        <f>IF('Delivery &amp; Installation Tracker'!A102="","",'Delivery &amp; Installation Tracker'!B102)</f>
        <v/>
      </c>
      <c r="C102" s="46">
        <f>IF('Delivery &amp; Installation Tracker'!A102="","",'Delivery &amp; Installation Tracker'!C102)</f>
        <v/>
      </c>
      <c r="D102" s="46">
        <f>IF('Delivery &amp; Installation Tracker'!A102="","",'Delivery &amp; Installation Tracker'!E102)</f>
        <v/>
      </c>
      <c r="E102" s="46">
        <f>IF('Delivery &amp; Installation Tracker'!A102="","",'Delivery &amp; Installation Tracker'!G102)</f>
        <v/>
      </c>
      <c r="F102" s="46">
        <f>IF('Delivery &amp; Installation Tracker'!A102="","",'Delivery &amp; Installation Tracker'!I102)</f>
        <v/>
      </c>
      <c r="G102" s="47">
        <f>IF('Delivery &amp; Installation Tracker'!A102="","",'Delivery &amp; Installation Tracker'!L102)</f>
        <v/>
      </c>
      <c r="H102" s="46">
        <f>IF('Delivery &amp; Installation Tracker'!A102="","",'Delivery &amp; Installation Tracker'!M102)</f>
        <v/>
      </c>
      <c r="I102" s="46">
        <f>IF('Delivery &amp; Installation Tracker'!A102="","",'Delivery &amp; Installation Tracker'!N102)</f>
        <v/>
      </c>
      <c r="J102" s="46">
        <f>IF('Delivery &amp; Installation Tracker'!A102="","",'Delivery &amp; Installation Tracker'!O102)</f>
        <v/>
      </c>
    </row>
    <row r="103" ht="21" customHeight="1">
      <c r="A103" s="46">
        <f>IF('Delivery &amp; Installation Tracker'!A103="","",'Delivery &amp; Installation Tracker'!A103)</f>
        <v/>
      </c>
      <c r="B103" s="46">
        <f>IF('Delivery &amp; Installation Tracker'!A103="","",'Delivery &amp; Installation Tracker'!B103)</f>
        <v/>
      </c>
      <c r="C103" s="46">
        <f>IF('Delivery &amp; Installation Tracker'!A103="","",'Delivery &amp; Installation Tracker'!C103)</f>
        <v/>
      </c>
      <c r="D103" s="46">
        <f>IF('Delivery &amp; Installation Tracker'!A103="","",'Delivery &amp; Installation Tracker'!E103)</f>
        <v/>
      </c>
      <c r="E103" s="46">
        <f>IF('Delivery &amp; Installation Tracker'!A103="","",'Delivery &amp; Installation Tracker'!G103)</f>
        <v/>
      </c>
      <c r="F103" s="46">
        <f>IF('Delivery &amp; Installation Tracker'!A103="","",'Delivery &amp; Installation Tracker'!I103)</f>
        <v/>
      </c>
      <c r="G103" s="47">
        <f>IF('Delivery &amp; Installation Tracker'!A103="","",'Delivery &amp; Installation Tracker'!L103)</f>
        <v/>
      </c>
      <c r="H103" s="46">
        <f>IF('Delivery &amp; Installation Tracker'!A103="","",'Delivery &amp; Installation Tracker'!M103)</f>
        <v/>
      </c>
      <c r="I103" s="46">
        <f>IF('Delivery &amp; Installation Tracker'!A103="","",'Delivery &amp; Installation Tracker'!N103)</f>
        <v/>
      </c>
      <c r="J103" s="46">
        <f>IF('Delivery &amp; Installation Tracker'!A103="","",'Delivery &amp; Installation Tracker'!O103)</f>
        <v/>
      </c>
    </row>
    <row r="104" ht="21" customHeight="1">
      <c r="A104" s="46">
        <f>IF('Delivery &amp; Installation Tracker'!A104="","",'Delivery &amp; Installation Tracker'!A104)</f>
        <v/>
      </c>
      <c r="B104" s="46">
        <f>IF('Delivery &amp; Installation Tracker'!A104="","",'Delivery &amp; Installation Tracker'!B104)</f>
        <v/>
      </c>
      <c r="C104" s="46">
        <f>IF('Delivery &amp; Installation Tracker'!A104="","",'Delivery &amp; Installation Tracker'!C104)</f>
        <v/>
      </c>
      <c r="D104" s="46">
        <f>IF('Delivery &amp; Installation Tracker'!A104="","",'Delivery &amp; Installation Tracker'!E104)</f>
        <v/>
      </c>
      <c r="E104" s="46">
        <f>IF('Delivery &amp; Installation Tracker'!A104="","",'Delivery &amp; Installation Tracker'!G104)</f>
        <v/>
      </c>
      <c r="F104" s="46">
        <f>IF('Delivery &amp; Installation Tracker'!A104="","",'Delivery &amp; Installation Tracker'!I104)</f>
        <v/>
      </c>
      <c r="G104" s="47">
        <f>IF('Delivery &amp; Installation Tracker'!A104="","",'Delivery &amp; Installation Tracker'!L104)</f>
        <v/>
      </c>
      <c r="H104" s="46">
        <f>IF('Delivery &amp; Installation Tracker'!A104="","",'Delivery &amp; Installation Tracker'!M104)</f>
        <v/>
      </c>
      <c r="I104" s="46">
        <f>IF('Delivery &amp; Installation Tracker'!A104="","",'Delivery &amp; Installation Tracker'!N104)</f>
        <v/>
      </c>
      <c r="J104" s="46">
        <f>IF('Delivery &amp; Installation Tracker'!A104="","",'Delivery &amp; Installation Tracker'!O104)</f>
        <v/>
      </c>
    </row>
    <row r="105" ht="21" customHeight="1">
      <c r="A105" s="46">
        <f>IF('Delivery &amp; Installation Tracker'!A105="","",'Delivery &amp; Installation Tracker'!A105)</f>
        <v/>
      </c>
      <c r="B105" s="46">
        <f>IF('Delivery &amp; Installation Tracker'!A105="","",'Delivery &amp; Installation Tracker'!B105)</f>
        <v/>
      </c>
      <c r="C105" s="46">
        <f>IF('Delivery &amp; Installation Tracker'!A105="","",'Delivery &amp; Installation Tracker'!C105)</f>
        <v/>
      </c>
      <c r="D105" s="46">
        <f>IF('Delivery &amp; Installation Tracker'!A105="","",'Delivery &amp; Installation Tracker'!E105)</f>
        <v/>
      </c>
      <c r="E105" s="46">
        <f>IF('Delivery &amp; Installation Tracker'!A105="","",'Delivery &amp; Installation Tracker'!G105)</f>
        <v/>
      </c>
      <c r="F105" s="46">
        <f>IF('Delivery &amp; Installation Tracker'!A105="","",'Delivery &amp; Installation Tracker'!I105)</f>
        <v/>
      </c>
      <c r="G105" s="47">
        <f>IF('Delivery &amp; Installation Tracker'!A105="","",'Delivery &amp; Installation Tracker'!L105)</f>
        <v/>
      </c>
      <c r="H105" s="46">
        <f>IF('Delivery &amp; Installation Tracker'!A105="","",'Delivery &amp; Installation Tracker'!M105)</f>
        <v/>
      </c>
      <c r="I105" s="46">
        <f>IF('Delivery &amp; Installation Tracker'!A105="","",'Delivery &amp; Installation Tracker'!N105)</f>
        <v/>
      </c>
      <c r="J105" s="46">
        <f>IF('Delivery &amp; Installation Tracker'!A105="","",'Delivery &amp; Installation Tracker'!O105)</f>
        <v/>
      </c>
    </row>
    <row r="106" ht="21" customHeight="1">
      <c r="A106" s="46">
        <f>IF('Delivery &amp; Installation Tracker'!A106="","",'Delivery &amp; Installation Tracker'!A106)</f>
        <v/>
      </c>
      <c r="B106" s="46">
        <f>IF('Delivery &amp; Installation Tracker'!A106="","",'Delivery &amp; Installation Tracker'!B106)</f>
        <v/>
      </c>
      <c r="C106" s="46">
        <f>IF('Delivery &amp; Installation Tracker'!A106="","",'Delivery &amp; Installation Tracker'!C106)</f>
        <v/>
      </c>
      <c r="D106" s="46">
        <f>IF('Delivery &amp; Installation Tracker'!A106="","",'Delivery &amp; Installation Tracker'!E106)</f>
        <v/>
      </c>
      <c r="E106" s="46">
        <f>IF('Delivery &amp; Installation Tracker'!A106="","",'Delivery &amp; Installation Tracker'!G106)</f>
        <v/>
      </c>
      <c r="F106" s="46">
        <f>IF('Delivery &amp; Installation Tracker'!A106="","",'Delivery &amp; Installation Tracker'!I106)</f>
        <v/>
      </c>
      <c r="G106" s="47">
        <f>IF('Delivery &amp; Installation Tracker'!A106="","",'Delivery &amp; Installation Tracker'!L106)</f>
        <v/>
      </c>
      <c r="H106" s="46">
        <f>IF('Delivery &amp; Installation Tracker'!A106="","",'Delivery &amp; Installation Tracker'!M106)</f>
        <v/>
      </c>
      <c r="I106" s="46">
        <f>IF('Delivery &amp; Installation Tracker'!A106="","",'Delivery &amp; Installation Tracker'!N106)</f>
        <v/>
      </c>
      <c r="J106" s="46">
        <f>IF('Delivery &amp; Installation Tracker'!A106="","",'Delivery &amp; Installation Tracker'!O106)</f>
        <v/>
      </c>
    </row>
  </sheetData>
  <autoFilter ref="A6:J106"/>
  <mergeCells count="3">
    <mergeCell ref="A4:J4"/>
    <mergeCell ref="A1:J2"/>
    <mergeCell ref="A3:J3"/>
  </mergeCells>
  <conditionalFormatting sqref="E7:E106">
    <cfRule type="expression" priority="1" dxfId="2">
      <formula>=OR(E7="Complete",E7="Approved",E7="Delivered",E7="Installed",E7="Good condition",E7="Paid",E7="On budget")</formula>
    </cfRule>
    <cfRule type="expression" priority="2" dxfId="1">
      <formula>=OR(E7="Pending",E7="In progress",E7="Sent",E7="Waiting on client",E7="Waiting on vendor",E7="On hold",E7="Partially paid",E7="Scheduled")</formula>
    </cfRule>
    <cfRule type="expression" priority="3" dxfId="0">
      <formula>=OR(E7="Overdue",E7="Delayed",E7="Damaged",E7="Missing item",E7="Rejected",E7="Revisions requested")</formula>
    </cfRule>
    <cfRule type="expression" priority="4" dxfId="3">
      <formula>=OR(E7="Cancelled",E7="On hold",E7="Returned")</formula>
    </cfRule>
  </conditionalFormatting>
  <conditionalFormatting sqref="F7:F106">
    <cfRule type="expression" priority="5" dxfId="2">
      <formula>=OR(F7="Complete",F7="Approved",F7="Delivered",F7="Installed",F7="Good condition",F7="Paid",F7="On budget")</formula>
    </cfRule>
    <cfRule type="expression" priority="6" dxfId="1">
      <formula>=OR(F7="Pending",F7="In progress",F7="Sent",F7="Waiting on client",F7="Waiting on vendor",F7="On hold",F7="Partially paid",F7="Scheduled")</formula>
    </cfRule>
    <cfRule type="expression" priority="7" dxfId="0">
      <formula>=OR(F7="Overdue",F7="Delayed",F7="Damaged",F7="Missing item",F7="Rejected",F7="Revisions requested")</formula>
    </cfRule>
    <cfRule type="expression" priority="8" dxfId="3">
      <formula>=OR(F7="Cancelled",F7="On hold",F7="Returned")</formula>
    </cfRule>
  </conditionalFormatting>
  <conditionalFormatting sqref="I7:I106">
    <cfRule type="expression" priority="9" dxfId="2">
      <formula>=OR(I7="Complete",I7="Approved",I7="Delivered",I7="Installed",I7="Good condition",I7="Paid",I7="On budget")</formula>
    </cfRule>
    <cfRule type="expression" priority="10" dxfId="1">
      <formula>=OR(I7="Pending",I7="In progress",I7="Sent",I7="Waiting on client",I7="Waiting on vendor",I7="On hold",I7="Partially paid",I7="Scheduled")</formula>
    </cfRule>
    <cfRule type="expression" priority="11" dxfId="0">
      <formula>=OR(I7="Overdue",I7="Delayed",I7="Damaged",I7="Missing item",I7="Rejected",I7="Revisions requested")</formula>
    </cfRule>
    <cfRule type="expression" priority="12" dxfId="3">
      <formula>=OR(I7="Cancelled",I7="On hold",I7="Returned")</formula>
    </cfRule>
  </conditionalFormatting>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25.xml><?xml version="1.0" encoding="utf-8"?>
<worksheet xmlns="http://schemas.openxmlformats.org/spreadsheetml/2006/main">
  <sheetPr>
    <tabColor rgb="002F6F73"/>
    <outlinePr summaryBelow="1" summaryRight="1"/>
    <pageSetUpPr fitToPage="1"/>
  </sheetPr>
  <dimension ref="A1:F106"/>
  <sheetViews>
    <sheetView showGridLines="0" zoomScale="85" workbookViewId="0">
      <pane ySplit="6" topLeftCell="A7" activePane="bottomLeft" state="frozen"/>
      <selection pane="bottomLeft" activeCell="A7" sqref="A1"/>
    </sheetView>
  </sheetViews>
  <sheetFormatPr baseColWidth="8" defaultRowHeight="15"/>
  <cols>
    <col width="34" customWidth="1" min="1" max="1"/>
    <col width="20" customWidth="1" min="2" max="2"/>
    <col width="15" customWidth="1" min="3" max="3"/>
    <col width="24" customWidth="1" min="4" max="4"/>
    <col width="18" customWidth="1" min="5" max="5"/>
    <col width="42" customWidth="1" min="6" max="6"/>
  </cols>
  <sheetData>
    <row r="1" ht="26" customHeight="1">
      <c r="A1" s="1" t="inlineStr">
        <is>
          <t>Final Punch List</t>
        </is>
      </c>
    </row>
    <row r="2" ht="26" customHeight="1"/>
    <row r="3" ht="26" customHeight="1">
      <c r="A3" s="24" t="inlineStr">
        <is>
          <t>Printable closeout checklist for final walkthrough, installation corrections, and handover.</t>
        </is>
      </c>
    </row>
    <row r="4">
      <c r="A4" s="25" t="inlineStr">
        <is>
          <t>Printable report view • linked to the project tracker. Filter rows before printing or sharing.</t>
        </is>
      </c>
    </row>
    <row r="6" ht="34" customHeight="1">
      <c r="A6" s="37" t="inlineStr">
        <is>
          <t>Punch-list item</t>
        </is>
      </c>
      <c r="B6" s="37" t="inlineStr">
        <is>
          <t>Room</t>
        </is>
      </c>
      <c r="C6" s="37" t="inlineStr">
        <is>
          <t>Due date</t>
        </is>
      </c>
      <c r="D6" s="37" t="inlineStr">
        <is>
          <t>Assigned to</t>
        </is>
      </c>
      <c r="E6" s="37" t="inlineStr">
        <is>
          <t>Status</t>
        </is>
      </c>
      <c r="F6" s="37" t="inlineStr">
        <is>
          <t>Notes</t>
        </is>
      </c>
    </row>
    <row r="7" ht="21" customHeight="1">
      <c r="A7" s="38" t="n"/>
      <c r="B7" s="38" t="n"/>
      <c r="C7" s="42" t="n"/>
      <c r="D7" s="38" t="n"/>
      <c r="E7" s="38" t="n"/>
      <c r="F7" s="38" t="n"/>
    </row>
    <row r="8" ht="21" customHeight="1">
      <c r="A8" s="38" t="n"/>
      <c r="B8" s="38" t="n"/>
      <c r="C8" s="42" t="n"/>
      <c r="D8" s="38" t="n"/>
      <c r="E8" s="38" t="n"/>
      <c r="F8" s="38" t="n"/>
    </row>
    <row r="9" ht="21" customHeight="1">
      <c r="A9" s="38" t="n"/>
      <c r="B9" s="38" t="n"/>
      <c r="C9" s="42" t="n"/>
      <c r="D9" s="38" t="n"/>
      <c r="E9" s="38" t="n"/>
      <c r="F9" s="38" t="n"/>
    </row>
    <row r="10" ht="21" customHeight="1">
      <c r="A10" s="38" t="n"/>
      <c r="B10" s="38" t="n"/>
      <c r="C10" s="42" t="n"/>
      <c r="D10" s="38" t="n"/>
      <c r="E10" s="38" t="n"/>
      <c r="F10" s="38" t="n"/>
    </row>
    <row r="11" ht="21" customHeight="1">
      <c r="A11" s="38" t="n"/>
      <c r="B11" s="38" t="n"/>
      <c r="C11" s="42" t="n"/>
      <c r="D11" s="38" t="n"/>
      <c r="E11" s="38" t="n"/>
      <c r="F11" s="38" t="n"/>
    </row>
    <row r="12" ht="21" customHeight="1">
      <c r="A12" s="38" t="n"/>
      <c r="B12" s="38" t="n"/>
      <c r="C12" s="42" t="n"/>
      <c r="D12" s="38" t="n"/>
      <c r="E12" s="38" t="n"/>
      <c r="F12" s="38" t="n"/>
    </row>
    <row r="13" ht="21" customHeight="1">
      <c r="A13" s="38" t="n"/>
      <c r="B13" s="38" t="n"/>
      <c r="C13" s="42" t="n"/>
      <c r="D13" s="38" t="n"/>
      <c r="E13" s="38" t="n"/>
      <c r="F13" s="38" t="n"/>
    </row>
    <row r="14" ht="21" customHeight="1">
      <c r="A14" s="38" t="n"/>
      <c r="B14" s="38" t="n"/>
      <c r="C14" s="42" t="n"/>
      <c r="D14" s="38" t="n"/>
      <c r="E14" s="38" t="n"/>
      <c r="F14" s="38" t="n"/>
    </row>
    <row r="15" ht="21" customHeight="1">
      <c r="A15" s="38" t="n"/>
      <c r="B15" s="38" t="n"/>
      <c r="C15" s="42" t="n"/>
      <c r="D15" s="38" t="n"/>
      <c r="E15" s="38" t="n"/>
      <c r="F15" s="38" t="n"/>
    </row>
    <row r="16" ht="21" customHeight="1">
      <c r="A16" s="38" t="n"/>
      <c r="B16" s="38" t="n"/>
      <c r="C16" s="42" t="n"/>
      <c r="D16" s="38" t="n"/>
      <c r="E16" s="38" t="n"/>
      <c r="F16" s="38" t="n"/>
    </row>
    <row r="17" ht="21" customHeight="1">
      <c r="A17" s="38" t="n"/>
      <c r="B17" s="38" t="n"/>
      <c r="C17" s="42" t="n"/>
      <c r="D17" s="38" t="n"/>
      <c r="E17" s="38" t="n"/>
      <c r="F17" s="38" t="n"/>
    </row>
    <row r="18" ht="21" customHeight="1">
      <c r="A18" s="38" t="n"/>
      <c r="B18" s="38" t="n"/>
      <c r="C18" s="42" t="n"/>
      <c r="D18" s="38" t="n"/>
      <c r="E18" s="38" t="n"/>
      <c r="F18" s="38" t="n"/>
    </row>
    <row r="19" ht="21" customHeight="1">
      <c r="A19" s="38" t="n"/>
      <c r="B19" s="38" t="n"/>
      <c r="C19" s="42" t="n"/>
      <c r="D19" s="38" t="n"/>
      <c r="E19" s="38" t="n"/>
      <c r="F19" s="38" t="n"/>
    </row>
    <row r="20" ht="21" customHeight="1">
      <c r="A20" s="38" t="n"/>
      <c r="B20" s="38" t="n"/>
      <c r="C20" s="42" t="n"/>
      <c r="D20" s="38" t="n"/>
      <c r="E20" s="38" t="n"/>
      <c r="F20" s="38" t="n"/>
    </row>
    <row r="21" ht="21" customHeight="1">
      <c r="A21" s="38" t="n"/>
      <c r="B21" s="38" t="n"/>
      <c r="C21" s="42" t="n"/>
      <c r="D21" s="38" t="n"/>
      <c r="E21" s="38" t="n"/>
      <c r="F21" s="38" t="n"/>
    </row>
    <row r="22" ht="21" customHeight="1">
      <c r="A22" s="38" t="n"/>
      <c r="B22" s="38" t="n"/>
      <c r="C22" s="42" t="n"/>
      <c r="D22" s="38" t="n"/>
      <c r="E22" s="38" t="n"/>
      <c r="F22" s="38" t="n"/>
    </row>
    <row r="23" ht="21" customHeight="1">
      <c r="A23" s="38" t="n"/>
      <c r="B23" s="38" t="n"/>
      <c r="C23" s="42" t="n"/>
      <c r="D23" s="38" t="n"/>
      <c r="E23" s="38" t="n"/>
      <c r="F23" s="38" t="n"/>
    </row>
    <row r="24" ht="21" customHeight="1">
      <c r="A24" s="38" t="n"/>
      <c r="B24" s="38" t="n"/>
      <c r="C24" s="42" t="n"/>
      <c r="D24" s="38" t="n"/>
      <c r="E24" s="38" t="n"/>
      <c r="F24" s="38" t="n"/>
    </row>
    <row r="25" ht="21" customHeight="1">
      <c r="A25" s="38" t="n"/>
      <c r="B25" s="38" t="n"/>
      <c r="C25" s="42" t="n"/>
      <c r="D25" s="38" t="n"/>
      <c r="E25" s="38" t="n"/>
      <c r="F25" s="38" t="n"/>
    </row>
    <row r="26" ht="21" customHeight="1">
      <c r="A26" s="38" t="n"/>
      <c r="B26" s="38" t="n"/>
      <c r="C26" s="42" t="n"/>
      <c r="D26" s="38" t="n"/>
      <c r="E26" s="38" t="n"/>
      <c r="F26" s="38" t="n"/>
    </row>
    <row r="27" ht="21" customHeight="1">
      <c r="A27" s="38" t="n"/>
      <c r="B27" s="38" t="n"/>
      <c r="C27" s="42" t="n"/>
      <c r="D27" s="38" t="n"/>
      <c r="E27" s="38" t="n"/>
      <c r="F27" s="38" t="n"/>
    </row>
    <row r="28" ht="21" customHeight="1">
      <c r="A28" s="38" t="n"/>
      <c r="B28" s="38" t="n"/>
      <c r="C28" s="42" t="n"/>
      <c r="D28" s="38" t="n"/>
      <c r="E28" s="38" t="n"/>
      <c r="F28" s="38" t="n"/>
    </row>
    <row r="29" ht="21" customHeight="1">
      <c r="A29" s="38" t="n"/>
      <c r="B29" s="38" t="n"/>
      <c r="C29" s="42" t="n"/>
      <c r="D29" s="38" t="n"/>
      <c r="E29" s="38" t="n"/>
      <c r="F29" s="38" t="n"/>
    </row>
    <row r="30" ht="21" customHeight="1">
      <c r="A30" s="38" t="n"/>
      <c r="B30" s="38" t="n"/>
      <c r="C30" s="42" t="n"/>
      <c r="D30" s="38" t="n"/>
      <c r="E30" s="38" t="n"/>
      <c r="F30" s="38" t="n"/>
    </row>
    <row r="31" ht="21" customHeight="1">
      <c r="A31" s="38" t="n"/>
      <c r="B31" s="38" t="n"/>
      <c r="C31" s="42" t="n"/>
      <c r="D31" s="38" t="n"/>
      <c r="E31" s="38" t="n"/>
      <c r="F31" s="38" t="n"/>
    </row>
    <row r="32" ht="21" customHeight="1">
      <c r="A32" s="38" t="n"/>
      <c r="B32" s="38" t="n"/>
      <c r="C32" s="42" t="n"/>
      <c r="D32" s="38" t="n"/>
      <c r="E32" s="38" t="n"/>
      <c r="F32" s="38" t="n"/>
    </row>
    <row r="33" ht="21" customHeight="1">
      <c r="A33" s="38" t="n"/>
      <c r="B33" s="38" t="n"/>
      <c r="C33" s="42" t="n"/>
      <c r="D33" s="38" t="n"/>
      <c r="E33" s="38" t="n"/>
      <c r="F33" s="38" t="n"/>
    </row>
    <row r="34" ht="21" customHeight="1">
      <c r="A34" s="38" t="n"/>
      <c r="B34" s="38" t="n"/>
      <c r="C34" s="42" t="n"/>
      <c r="D34" s="38" t="n"/>
      <c r="E34" s="38" t="n"/>
      <c r="F34" s="38" t="n"/>
    </row>
    <row r="35" ht="21" customHeight="1">
      <c r="A35" s="38" t="n"/>
      <c r="B35" s="38" t="n"/>
      <c r="C35" s="42" t="n"/>
      <c r="D35" s="38" t="n"/>
      <c r="E35" s="38" t="n"/>
      <c r="F35" s="38" t="n"/>
    </row>
    <row r="36" ht="21" customHeight="1">
      <c r="A36" s="38" t="n"/>
      <c r="B36" s="38" t="n"/>
      <c r="C36" s="42" t="n"/>
      <c r="D36" s="38" t="n"/>
      <c r="E36" s="38" t="n"/>
      <c r="F36" s="38" t="n"/>
    </row>
    <row r="37" ht="21" customHeight="1">
      <c r="A37" s="38" t="n"/>
      <c r="B37" s="38" t="n"/>
      <c r="C37" s="42" t="n"/>
      <c r="D37" s="38" t="n"/>
      <c r="E37" s="38" t="n"/>
      <c r="F37" s="38" t="n"/>
    </row>
    <row r="38" ht="21" customHeight="1">
      <c r="A38" s="38" t="n"/>
      <c r="B38" s="38" t="n"/>
      <c r="C38" s="42" t="n"/>
      <c r="D38" s="38" t="n"/>
      <c r="E38" s="38" t="n"/>
      <c r="F38" s="38" t="n"/>
    </row>
    <row r="39" ht="21" customHeight="1">
      <c r="A39" s="38" t="n"/>
      <c r="B39" s="38" t="n"/>
      <c r="C39" s="42" t="n"/>
      <c r="D39" s="38" t="n"/>
      <c r="E39" s="38" t="n"/>
      <c r="F39" s="38" t="n"/>
    </row>
    <row r="40" ht="21" customHeight="1">
      <c r="A40" s="38" t="n"/>
      <c r="B40" s="38" t="n"/>
      <c r="C40" s="42" t="n"/>
      <c r="D40" s="38" t="n"/>
      <c r="E40" s="38" t="n"/>
      <c r="F40" s="38" t="n"/>
    </row>
    <row r="41" ht="21" customHeight="1">
      <c r="A41" s="38" t="n"/>
      <c r="B41" s="38" t="n"/>
      <c r="C41" s="42" t="n"/>
      <c r="D41" s="38" t="n"/>
      <c r="E41" s="38" t="n"/>
      <c r="F41" s="38" t="n"/>
    </row>
    <row r="42" ht="21" customHeight="1">
      <c r="A42" s="38" t="n"/>
      <c r="B42" s="38" t="n"/>
      <c r="C42" s="42" t="n"/>
      <c r="D42" s="38" t="n"/>
      <c r="E42" s="38" t="n"/>
      <c r="F42" s="38" t="n"/>
    </row>
    <row r="43" ht="21" customHeight="1">
      <c r="A43" s="38" t="n"/>
      <c r="B43" s="38" t="n"/>
      <c r="C43" s="42" t="n"/>
      <c r="D43" s="38" t="n"/>
      <c r="E43" s="38" t="n"/>
      <c r="F43" s="38" t="n"/>
    </row>
    <row r="44" ht="21" customHeight="1">
      <c r="A44" s="38" t="n"/>
      <c r="B44" s="38" t="n"/>
      <c r="C44" s="42" t="n"/>
      <c r="D44" s="38" t="n"/>
      <c r="E44" s="38" t="n"/>
      <c r="F44" s="38" t="n"/>
    </row>
    <row r="45" ht="21" customHeight="1">
      <c r="A45" s="38" t="n"/>
      <c r="B45" s="38" t="n"/>
      <c r="C45" s="42" t="n"/>
      <c r="D45" s="38" t="n"/>
      <c r="E45" s="38" t="n"/>
      <c r="F45" s="38" t="n"/>
    </row>
    <row r="46" ht="21" customHeight="1">
      <c r="A46" s="38" t="n"/>
      <c r="B46" s="38" t="n"/>
      <c r="C46" s="42" t="n"/>
      <c r="D46" s="38" t="n"/>
      <c r="E46" s="38" t="n"/>
      <c r="F46" s="38" t="n"/>
    </row>
    <row r="47" ht="21" customHeight="1">
      <c r="A47" s="38" t="n"/>
      <c r="B47" s="38" t="n"/>
      <c r="C47" s="42" t="n"/>
      <c r="D47" s="38" t="n"/>
      <c r="E47" s="38" t="n"/>
      <c r="F47" s="38" t="n"/>
    </row>
    <row r="48" ht="21" customHeight="1">
      <c r="A48" s="38" t="n"/>
      <c r="B48" s="38" t="n"/>
      <c r="C48" s="42" t="n"/>
      <c r="D48" s="38" t="n"/>
      <c r="E48" s="38" t="n"/>
      <c r="F48" s="38" t="n"/>
    </row>
    <row r="49" ht="21" customHeight="1">
      <c r="A49" s="38" t="n"/>
      <c r="B49" s="38" t="n"/>
      <c r="C49" s="42" t="n"/>
      <c r="D49" s="38" t="n"/>
      <c r="E49" s="38" t="n"/>
      <c r="F49" s="38" t="n"/>
    </row>
    <row r="50" ht="21" customHeight="1">
      <c r="A50" s="38" t="n"/>
      <c r="B50" s="38" t="n"/>
      <c r="C50" s="42" t="n"/>
      <c r="D50" s="38" t="n"/>
      <c r="E50" s="38" t="n"/>
      <c r="F50" s="38" t="n"/>
    </row>
    <row r="51" ht="21" customHeight="1">
      <c r="A51" s="38" t="n"/>
      <c r="B51" s="38" t="n"/>
      <c r="C51" s="42" t="n"/>
      <c r="D51" s="38" t="n"/>
      <c r="E51" s="38" t="n"/>
      <c r="F51" s="38" t="n"/>
    </row>
    <row r="52" ht="21" customHeight="1">
      <c r="A52" s="38" t="n"/>
      <c r="B52" s="38" t="n"/>
      <c r="C52" s="42" t="n"/>
      <c r="D52" s="38" t="n"/>
      <c r="E52" s="38" t="n"/>
      <c r="F52" s="38" t="n"/>
    </row>
    <row r="53" ht="21" customHeight="1">
      <c r="A53" s="38" t="n"/>
      <c r="B53" s="38" t="n"/>
      <c r="C53" s="42" t="n"/>
      <c r="D53" s="38" t="n"/>
      <c r="E53" s="38" t="n"/>
      <c r="F53" s="38" t="n"/>
    </row>
    <row r="54" ht="21" customHeight="1">
      <c r="A54" s="38" t="n"/>
      <c r="B54" s="38" t="n"/>
      <c r="C54" s="42" t="n"/>
      <c r="D54" s="38" t="n"/>
      <c r="E54" s="38" t="n"/>
      <c r="F54" s="38" t="n"/>
    </row>
    <row r="55" ht="21" customHeight="1">
      <c r="A55" s="38" t="n"/>
      <c r="B55" s="38" t="n"/>
      <c r="C55" s="42" t="n"/>
      <c r="D55" s="38" t="n"/>
      <c r="E55" s="38" t="n"/>
      <c r="F55" s="38" t="n"/>
    </row>
    <row r="56" ht="21" customHeight="1">
      <c r="A56" s="38" t="n"/>
      <c r="B56" s="38" t="n"/>
      <c r="C56" s="42" t="n"/>
      <c r="D56" s="38" t="n"/>
      <c r="E56" s="38" t="n"/>
      <c r="F56" s="38" t="n"/>
    </row>
    <row r="57" ht="21" customHeight="1">
      <c r="A57" s="38" t="n"/>
      <c r="B57" s="38" t="n"/>
      <c r="C57" s="42" t="n"/>
      <c r="D57" s="38" t="n"/>
      <c r="E57" s="38" t="n"/>
      <c r="F57" s="38" t="n"/>
    </row>
    <row r="58" ht="21" customHeight="1">
      <c r="A58" s="38" t="n"/>
      <c r="B58" s="38" t="n"/>
      <c r="C58" s="42" t="n"/>
      <c r="D58" s="38" t="n"/>
      <c r="E58" s="38" t="n"/>
      <c r="F58" s="38" t="n"/>
    </row>
    <row r="59" ht="21" customHeight="1">
      <c r="A59" s="38" t="n"/>
      <c r="B59" s="38" t="n"/>
      <c r="C59" s="42" t="n"/>
      <c r="D59" s="38" t="n"/>
      <c r="E59" s="38" t="n"/>
      <c r="F59" s="38" t="n"/>
    </row>
    <row r="60" ht="21" customHeight="1">
      <c r="A60" s="38" t="n"/>
      <c r="B60" s="38" t="n"/>
      <c r="C60" s="42" t="n"/>
      <c r="D60" s="38" t="n"/>
      <c r="E60" s="38" t="n"/>
      <c r="F60" s="38" t="n"/>
    </row>
    <row r="61" ht="21" customHeight="1">
      <c r="A61" s="38" t="n"/>
      <c r="B61" s="38" t="n"/>
      <c r="C61" s="42" t="n"/>
      <c r="D61" s="38" t="n"/>
      <c r="E61" s="38" t="n"/>
      <c r="F61" s="38" t="n"/>
    </row>
    <row r="62" ht="21" customHeight="1">
      <c r="A62" s="38" t="n"/>
      <c r="B62" s="38" t="n"/>
      <c r="C62" s="42" t="n"/>
      <c r="D62" s="38" t="n"/>
      <c r="E62" s="38" t="n"/>
      <c r="F62" s="38" t="n"/>
    </row>
    <row r="63" ht="21" customHeight="1">
      <c r="A63" s="38" t="n"/>
      <c r="B63" s="38" t="n"/>
      <c r="C63" s="42" t="n"/>
      <c r="D63" s="38" t="n"/>
      <c r="E63" s="38" t="n"/>
      <c r="F63" s="38" t="n"/>
    </row>
    <row r="64" ht="21" customHeight="1">
      <c r="A64" s="38" t="n"/>
      <c r="B64" s="38" t="n"/>
      <c r="C64" s="42" t="n"/>
      <c r="D64" s="38" t="n"/>
      <c r="E64" s="38" t="n"/>
      <c r="F64" s="38" t="n"/>
    </row>
    <row r="65" ht="21" customHeight="1">
      <c r="A65" s="38" t="n"/>
      <c r="B65" s="38" t="n"/>
      <c r="C65" s="42" t="n"/>
      <c r="D65" s="38" t="n"/>
      <c r="E65" s="38" t="n"/>
      <c r="F65" s="38" t="n"/>
    </row>
    <row r="66" ht="21" customHeight="1">
      <c r="A66" s="38" t="n"/>
      <c r="B66" s="38" t="n"/>
      <c r="C66" s="42" t="n"/>
      <c r="D66" s="38" t="n"/>
      <c r="E66" s="38" t="n"/>
      <c r="F66" s="38" t="n"/>
    </row>
    <row r="67" ht="21" customHeight="1">
      <c r="A67" s="38" t="n"/>
      <c r="B67" s="38" t="n"/>
      <c r="C67" s="42" t="n"/>
      <c r="D67" s="38" t="n"/>
      <c r="E67" s="38" t="n"/>
      <c r="F67" s="38" t="n"/>
    </row>
    <row r="68" ht="21" customHeight="1">
      <c r="A68" s="38" t="n"/>
      <c r="B68" s="38" t="n"/>
      <c r="C68" s="42" t="n"/>
      <c r="D68" s="38" t="n"/>
      <c r="E68" s="38" t="n"/>
      <c r="F68" s="38" t="n"/>
    </row>
    <row r="69" ht="21" customHeight="1">
      <c r="A69" s="38" t="n"/>
      <c r="B69" s="38" t="n"/>
      <c r="C69" s="42" t="n"/>
      <c r="D69" s="38" t="n"/>
      <c r="E69" s="38" t="n"/>
      <c r="F69" s="38" t="n"/>
    </row>
    <row r="70" ht="21" customHeight="1">
      <c r="A70" s="38" t="n"/>
      <c r="B70" s="38" t="n"/>
      <c r="C70" s="42" t="n"/>
      <c r="D70" s="38" t="n"/>
      <c r="E70" s="38" t="n"/>
      <c r="F70" s="38" t="n"/>
    </row>
    <row r="71" ht="21" customHeight="1">
      <c r="A71" s="38" t="n"/>
      <c r="B71" s="38" t="n"/>
      <c r="C71" s="42" t="n"/>
      <c r="D71" s="38" t="n"/>
      <c r="E71" s="38" t="n"/>
      <c r="F71" s="38" t="n"/>
    </row>
    <row r="72" ht="21" customHeight="1">
      <c r="A72" s="38" t="n"/>
      <c r="B72" s="38" t="n"/>
      <c r="C72" s="42" t="n"/>
      <c r="D72" s="38" t="n"/>
      <c r="E72" s="38" t="n"/>
      <c r="F72" s="38" t="n"/>
    </row>
    <row r="73" ht="21" customHeight="1">
      <c r="A73" s="38" t="n"/>
      <c r="B73" s="38" t="n"/>
      <c r="C73" s="42" t="n"/>
      <c r="D73" s="38" t="n"/>
      <c r="E73" s="38" t="n"/>
      <c r="F73" s="38" t="n"/>
    </row>
    <row r="74" ht="21" customHeight="1">
      <c r="A74" s="38" t="n"/>
      <c r="B74" s="38" t="n"/>
      <c r="C74" s="42" t="n"/>
      <c r="D74" s="38" t="n"/>
      <c r="E74" s="38" t="n"/>
      <c r="F74" s="38" t="n"/>
    </row>
    <row r="75" ht="21" customHeight="1">
      <c r="A75" s="38" t="n"/>
      <c r="B75" s="38" t="n"/>
      <c r="C75" s="42" t="n"/>
      <c r="D75" s="38" t="n"/>
      <c r="E75" s="38" t="n"/>
      <c r="F75" s="38" t="n"/>
    </row>
    <row r="76" ht="21" customHeight="1">
      <c r="A76" s="38" t="n"/>
      <c r="B76" s="38" t="n"/>
      <c r="C76" s="42" t="n"/>
      <c r="D76" s="38" t="n"/>
      <c r="E76" s="38" t="n"/>
      <c r="F76" s="38" t="n"/>
    </row>
    <row r="77" ht="21" customHeight="1">
      <c r="A77" s="38" t="n"/>
      <c r="B77" s="38" t="n"/>
      <c r="C77" s="42" t="n"/>
      <c r="D77" s="38" t="n"/>
      <c r="E77" s="38" t="n"/>
      <c r="F77" s="38" t="n"/>
    </row>
    <row r="78" ht="21" customHeight="1">
      <c r="A78" s="38" t="n"/>
      <c r="B78" s="38" t="n"/>
      <c r="C78" s="42" t="n"/>
      <c r="D78" s="38" t="n"/>
      <c r="E78" s="38" t="n"/>
      <c r="F78" s="38" t="n"/>
    </row>
    <row r="79" ht="21" customHeight="1">
      <c r="A79" s="38" t="n"/>
      <c r="B79" s="38" t="n"/>
      <c r="C79" s="42" t="n"/>
      <c r="D79" s="38" t="n"/>
      <c r="E79" s="38" t="n"/>
      <c r="F79" s="38" t="n"/>
    </row>
    <row r="80" ht="21" customHeight="1">
      <c r="A80" s="38" t="n"/>
      <c r="B80" s="38" t="n"/>
      <c r="C80" s="42" t="n"/>
      <c r="D80" s="38" t="n"/>
      <c r="E80" s="38" t="n"/>
      <c r="F80" s="38" t="n"/>
    </row>
    <row r="81" ht="21" customHeight="1">
      <c r="A81" s="38" t="n"/>
      <c r="B81" s="38" t="n"/>
      <c r="C81" s="42" t="n"/>
      <c r="D81" s="38" t="n"/>
      <c r="E81" s="38" t="n"/>
      <c r="F81" s="38" t="n"/>
    </row>
    <row r="82" ht="21" customHeight="1">
      <c r="A82" s="38" t="n"/>
      <c r="B82" s="38" t="n"/>
      <c r="C82" s="42" t="n"/>
      <c r="D82" s="38" t="n"/>
      <c r="E82" s="38" t="n"/>
      <c r="F82" s="38" t="n"/>
    </row>
    <row r="83" ht="21" customHeight="1">
      <c r="A83" s="38" t="n"/>
      <c r="B83" s="38" t="n"/>
      <c r="C83" s="42" t="n"/>
      <c r="D83" s="38" t="n"/>
      <c r="E83" s="38" t="n"/>
      <c r="F83" s="38" t="n"/>
    </row>
    <row r="84" ht="21" customHeight="1">
      <c r="A84" s="38" t="n"/>
      <c r="B84" s="38" t="n"/>
      <c r="C84" s="42" t="n"/>
      <c r="D84" s="38" t="n"/>
      <c r="E84" s="38" t="n"/>
      <c r="F84" s="38" t="n"/>
    </row>
    <row r="85" ht="21" customHeight="1">
      <c r="A85" s="38" t="n"/>
      <c r="B85" s="38" t="n"/>
      <c r="C85" s="42" t="n"/>
      <c r="D85" s="38" t="n"/>
      <c r="E85" s="38" t="n"/>
      <c r="F85" s="38" t="n"/>
    </row>
    <row r="86" ht="21" customHeight="1">
      <c r="A86" s="38" t="n"/>
      <c r="B86" s="38" t="n"/>
      <c r="C86" s="42" t="n"/>
      <c r="D86" s="38" t="n"/>
      <c r="E86" s="38" t="n"/>
      <c r="F86" s="38" t="n"/>
    </row>
    <row r="87" ht="21" customHeight="1">
      <c r="A87" s="38" t="n"/>
      <c r="B87" s="38" t="n"/>
      <c r="C87" s="42" t="n"/>
      <c r="D87" s="38" t="n"/>
      <c r="E87" s="38" t="n"/>
      <c r="F87" s="38" t="n"/>
    </row>
    <row r="88" ht="21" customHeight="1">
      <c r="A88" s="38" t="n"/>
      <c r="B88" s="38" t="n"/>
      <c r="C88" s="42" t="n"/>
      <c r="D88" s="38" t="n"/>
      <c r="E88" s="38" t="n"/>
      <c r="F88" s="38" t="n"/>
    </row>
    <row r="89" ht="21" customHeight="1">
      <c r="A89" s="38" t="n"/>
      <c r="B89" s="38" t="n"/>
      <c r="C89" s="42" t="n"/>
      <c r="D89" s="38" t="n"/>
      <c r="E89" s="38" t="n"/>
      <c r="F89" s="38" t="n"/>
    </row>
    <row r="90" ht="21" customHeight="1">
      <c r="A90" s="38" t="n"/>
      <c r="B90" s="38" t="n"/>
      <c r="C90" s="42" t="n"/>
      <c r="D90" s="38" t="n"/>
      <c r="E90" s="38" t="n"/>
      <c r="F90" s="38" t="n"/>
    </row>
    <row r="91" ht="21" customHeight="1">
      <c r="A91" s="38" t="n"/>
      <c r="B91" s="38" t="n"/>
      <c r="C91" s="42" t="n"/>
      <c r="D91" s="38" t="n"/>
      <c r="E91" s="38" t="n"/>
      <c r="F91" s="38" t="n"/>
    </row>
    <row r="92" ht="21" customHeight="1">
      <c r="A92" s="38" t="n"/>
      <c r="B92" s="38" t="n"/>
      <c r="C92" s="42" t="n"/>
      <c r="D92" s="38" t="n"/>
      <c r="E92" s="38" t="n"/>
      <c r="F92" s="38" t="n"/>
    </row>
    <row r="93" ht="21" customHeight="1">
      <c r="A93" s="38" t="n"/>
      <c r="B93" s="38" t="n"/>
      <c r="C93" s="42" t="n"/>
      <c r="D93" s="38" t="n"/>
      <c r="E93" s="38" t="n"/>
      <c r="F93" s="38" t="n"/>
    </row>
    <row r="94" ht="21" customHeight="1">
      <c r="A94" s="38" t="n"/>
      <c r="B94" s="38" t="n"/>
      <c r="C94" s="42" t="n"/>
      <c r="D94" s="38" t="n"/>
      <c r="E94" s="38" t="n"/>
      <c r="F94" s="38" t="n"/>
    </row>
    <row r="95" ht="21" customHeight="1">
      <c r="A95" s="38" t="n"/>
      <c r="B95" s="38" t="n"/>
      <c r="C95" s="42" t="n"/>
      <c r="D95" s="38" t="n"/>
      <c r="E95" s="38" t="n"/>
      <c r="F95" s="38" t="n"/>
    </row>
    <row r="96" ht="21" customHeight="1">
      <c r="A96" s="38" t="n"/>
      <c r="B96" s="38" t="n"/>
      <c r="C96" s="42" t="n"/>
      <c r="D96" s="38" t="n"/>
      <c r="E96" s="38" t="n"/>
      <c r="F96" s="38" t="n"/>
    </row>
    <row r="97" ht="21" customHeight="1">
      <c r="A97" s="38" t="n"/>
      <c r="B97" s="38" t="n"/>
      <c r="C97" s="42" t="n"/>
      <c r="D97" s="38" t="n"/>
      <c r="E97" s="38" t="n"/>
      <c r="F97" s="38" t="n"/>
    </row>
    <row r="98" ht="21" customHeight="1">
      <c r="A98" s="38" t="n"/>
      <c r="B98" s="38" t="n"/>
      <c r="C98" s="42" t="n"/>
      <c r="D98" s="38" t="n"/>
      <c r="E98" s="38" t="n"/>
      <c r="F98" s="38" t="n"/>
    </row>
    <row r="99" ht="21" customHeight="1">
      <c r="A99" s="38" t="n"/>
      <c r="B99" s="38" t="n"/>
      <c r="C99" s="42" t="n"/>
      <c r="D99" s="38" t="n"/>
      <c r="E99" s="38" t="n"/>
      <c r="F99" s="38" t="n"/>
    </row>
    <row r="100" ht="21" customHeight="1">
      <c r="A100" s="38" t="n"/>
      <c r="B100" s="38" t="n"/>
      <c r="C100" s="42" t="n"/>
      <c r="D100" s="38" t="n"/>
      <c r="E100" s="38" t="n"/>
      <c r="F100" s="38" t="n"/>
    </row>
    <row r="101" ht="21" customHeight="1">
      <c r="A101" s="38" t="n"/>
      <c r="B101" s="38" t="n"/>
      <c r="C101" s="42" t="n"/>
      <c r="D101" s="38" t="n"/>
      <c r="E101" s="38" t="n"/>
      <c r="F101" s="38" t="n"/>
    </row>
    <row r="102" ht="21" customHeight="1">
      <c r="A102" s="38" t="n"/>
      <c r="B102" s="38" t="n"/>
      <c r="C102" s="42" t="n"/>
      <c r="D102" s="38" t="n"/>
      <c r="E102" s="38" t="n"/>
      <c r="F102" s="38" t="n"/>
    </row>
    <row r="103" ht="21" customHeight="1">
      <c r="A103" s="38" t="n"/>
      <c r="B103" s="38" t="n"/>
      <c r="C103" s="42" t="n"/>
      <c r="D103" s="38" t="n"/>
      <c r="E103" s="38" t="n"/>
      <c r="F103" s="38" t="n"/>
    </row>
    <row r="104" ht="21" customHeight="1">
      <c r="A104" s="38" t="n"/>
      <c r="B104" s="38" t="n"/>
      <c r="C104" s="42" t="n"/>
      <c r="D104" s="38" t="n"/>
      <c r="E104" s="38" t="n"/>
      <c r="F104" s="38" t="n"/>
    </row>
    <row r="105" ht="21" customHeight="1">
      <c r="A105" s="38" t="n"/>
      <c r="B105" s="38" t="n"/>
      <c r="C105" s="42" t="n"/>
      <c r="D105" s="38" t="n"/>
      <c r="E105" s="38" t="n"/>
      <c r="F105" s="38" t="n"/>
    </row>
    <row r="106" ht="21" customHeight="1">
      <c r="A106" s="38" t="n"/>
      <c r="B106" s="38" t="n"/>
      <c r="C106" s="42" t="n"/>
      <c r="D106" s="38" t="n"/>
      <c r="E106" s="38" t="n"/>
      <c r="F106" s="38" t="n"/>
    </row>
  </sheetData>
  <autoFilter ref="A6:F106"/>
  <mergeCells count="3">
    <mergeCell ref="A3:F3"/>
    <mergeCell ref="A4:F4"/>
    <mergeCell ref="A1:F2"/>
  </mergeCells>
  <conditionalFormatting sqref="E7:E106">
    <cfRule type="expression" priority="1" dxfId="2">
      <formula>=OR(E7="Complete",E7="Approved",E7="Delivered",E7="Installed",E7="Good condition",E7="Paid",E7="On budget")</formula>
    </cfRule>
    <cfRule type="expression" priority="2" dxfId="1">
      <formula>=OR(E7="Pending",E7="In progress",E7="Sent",E7="Waiting on client",E7="Waiting on vendor",E7="On hold",E7="Partially paid",E7="Scheduled")</formula>
    </cfRule>
    <cfRule type="expression" priority="3" dxfId="0">
      <formula>=OR(E7="Overdue",E7="Delayed",E7="Damaged",E7="Missing item",E7="Rejected",E7="Revisions requested")</formula>
    </cfRule>
    <cfRule type="expression" priority="4" dxfId="3">
      <formula>=OR(E7="Cancelled",E7="On hold",E7="Returned")</formula>
    </cfRule>
  </conditionalFormatting>
  <dataValidations count="3">
    <dataValidation sqref="B7:B106" showDropDown="0" showInputMessage="1" showErrorMessage="1" allowBlank="1" errorTitle="Invalid entry" error="Please choose a value from the dropdown list." promptTitle="Choose from the dropdown" prompt="Select a value from the list." type="list">
      <formula1>=RoomNames</formula1>
    </dataValidation>
    <dataValidation sqref="E7:E106" showDropDown="0" showInputMessage="1" showErrorMessage="1" allowBlank="1" errorTitle="Invalid entry" error="Please choose a value from the dropdown list." promptTitle="Choose from the dropdown" prompt="Select a value from the list." type="list">
      <formula1>=TaskStatuses</formula1>
    </dataValidation>
    <dataValidation sqref="C7:C106" showDropDown="0" showInputMessage="1" showErrorMessage="1" allowBlank="1" errorTitle="Invalid date" error="Enter a valid date between 1/1/1900 and 12/31/2100." promptTitle="Enter a date" prompt="Use a date such as 6/30/2026." type="date" operator="between">
      <formula1>DATE(1900,1,1)</formula1>
      <formula2>DATE(2100,12,31)</formula2>
    </dataValidation>
  </dataValidations>
  <hyperlinks>
    <hyperlink xmlns:r="http://schemas.openxmlformats.org/officeDocument/2006/relationships" ref="A3" r:id="rId1"/>
  </hyperlinks>
  <pageMargins left="0.25" right="0.25" top="0.5" bottom="0.5" header="0.2" footer="0.2"/>
  <pageSetup orientation="landscape" fitToHeight="0" fitToWidth="1"/>
  <headerFooter>
    <oddHeader/>
    <oddFooter>&amp;C&amp;8 &amp;A&amp;R&amp;8 Page &amp;P of &amp;N</oddFooter>
    <evenHeader/>
    <evenFooter/>
    <firstHeader/>
    <firstFooter/>
  </headerFooter>
  <tableParts count="1">
    <tablePart xmlns:r="http://schemas.openxmlformats.org/officeDocument/2006/relationships" r:id="rId2"/>
  </tableParts>
</worksheet>
</file>

<file path=xl/worksheets/sheet26.xml><?xml version="1.0" encoding="utf-8"?>
<worksheet xmlns="http://schemas.openxmlformats.org/spreadsheetml/2006/main">
  <sheetPr>
    <outlinePr summaryBelow="1" summaryRight="1"/>
    <pageSetUpPr/>
  </sheetPr>
  <dimension ref="A1:AC19"/>
  <sheetViews>
    <sheetView showGridLines="0" workbookViewId="0">
      <selection activeCell="A1" sqref="A1"/>
    </sheetView>
  </sheetViews>
  <sheetFormatPr baseColWidth="8" defaultRowHeight="15"/>
  <cols>
    <col width="16" customWidth="1" min="1" max="1"/>
    <col width="19" customWidth="1" min="2" max="2"/>
    <col width="16" customWidth="1" min="3" max="3"/>
    <col width="18" customWidth="1" min="4" max="4"/>
    <col width="16" customWidth="1" min="5" max="5"/>
    <col width="18" customWidth="1" min="6" max="6"/>
    <col width="18" customWidth="1" min="7" max="7"/>
    <col width="17" customWidth="1" min="8" max="8"/>
    <col width="17" customWidth="1" min="9" max="9"/>
    <col width="20" customWidth="1" min="10" max="10"/>
    <col width="20" customWidth="1" min="11" max="11"/>
    <col width="19" customWidth="1" min="12" max="12"/>
    <col width="16" customWidth="1" min="13" max="13"/>
    <col width="16" customWidth="1" min="14" max="14"/>
    <col width="23" customWidth="1" min="15" max="15"/>
    <col width="20" customWidth="1" min="16" max="16"/>
    <col width="16" customWidth="1" min="17" max="17"/>
    <col width="16" customWidth="1" min="18" max="18"/>
    <col width="16" customWidth="1" min="19" max="19"/>
    <col width="18" customWidth="1" min="20" max="20"/>
    <col width="16" customWidth="1" min="21" max="21"/>
    <col width="20" customWidth="1" min="22" max="22"/>
    <col width="16" customWidth="1" min="23" max="23"/>
    <col width="19" customWidth="1" min="24" max="24"/>
    <col width="18" customWidth="1" min="25" max="25"/>
    <col width="16" customWidth="1" min="26" max="26"/>
    <col width="18" customWidth="1" min="27" max="27"/>
  </cols>
  <sheetData>
    <row r="1">
      <c r="A1" s="48" t="inlineStr">
        <is>
          <t>ProjectTypes</t>
        </is>
      </c>
      <c r="B1" s="48" t="inlineStr">
        <is>
          <t>ProjectStatuses</t>
        </is>
      </c>
      <c r="C1" s="48" t="inlineStr">
        <is>
          <t>YesNo</t>
        </is>
      </c>
      <c r="D1" s="48" t="inlineStr">
        <is>
          <t>BillingMethods</t>
        </is>
      </c>
      <c r="E1" s="48" t="inlineStr">
        <is>
          <t>RoomTypes</t>
        </is>
      </c>
      <c r="F1" s="48" t="inlineStr">
        <is>
          <t>DesignStatuses</t>
        </is>
      </c>
      <c r="G1" s="48" t="inlineStr">
        <is>
          <t>PriorityLevels</t>
        </is>
      </c>
      <c r="H1" s="48" t="inlineStr">
        <is>
          <t>FFECategories</t>
        </is>
      </c>
      <c r="I1" s="48" t="inlineStr">
        <is>
          <t>OrderStatuses</t>
        </is>
      </c>
      <c r="J1" s="48" t="inlineStr">
        <is>
          <t>ApprovalStatuses</t>
        </is>
      </c>
      <c r="K1" s="48" t="inlineStr">
        <is>
          <t>DeliveryStatuses</t>
        </is>
      </c>
      <c r="L1" s="48" t="inlineStr">
        <is>
          <t>InstallStatuses</t>
        </is>
      </c>
      <c r="M1" s="48" t="inlineStr">
        <is>
          <t>FixtureTypes</t>
        </is>
      </c>
      <c r="N1" s="48" t="inlineStr">
        <is>
          <t>FinishTypes</t>
        </is>
      </c>
      <c r="O1" s="48" t="inlineStr">
        <is>
          <t>SurfaceApplications</t>
        </is>
      </c>
      <c r="P1" s="48" t="inlineStr">
        <is>
          <t>PreferredOptions</t>
        </is>
      </c>
      <c r="Q1" s="48" t="inlineStr">
        <is>
          <t>VendorTypes</t>
        </is>
      </c>
      <c r="R1" s="48" t="inlineStr">
        <is>
          <t>POStatuses</t>
        </is>
      </c>
      <c r="S1" s="48" t="inlineStr">
        <is>
          <t>DamageChecks</t>
        </is>
      </c>
      <c r="T1" s="48" t="inlineStr">
        <is>
          <t>TimelinePhases</t>
        </is>
      </c>
      <c r="U1" s="48" t="inlineStr">
        <is>
          <t>TaskStatuses</t>
        </is>
      </c>
      <c r="V1" s="48" t="inlineStr">
        <is>
          <t>MeasurementTypes</t>
        </is>
      </c>
      <c r="W1" s="48" t="inlineStr">
        <is>
          <t>Trades</t>
        </is>
      </c>
      <c r="X1" s="48" t="inlineStr">
        <is>
          <t>PaymentStatuses</t>
        </is>
      </c>
      <c r="Y1" s="48" t="inlineStr">
        <is>
          <t>PaymentMethods</t>
        </is>
      </c>
      <c r="Z1" s="48" t="inlineStr">
        <is>
          <t>MeetingTypes</t>
        </is>
      </c>
      <c r="AA1" s="48" t="inlineStr">
        <is>
          <t>TaskCategories</t>
        </is>
      </c>
      <c r="AB1" t="inlineStr">
        <is>
          <t>BudgetCategories</t>
        </is>
      </c>
      <c r="AC1" t="inlineStr">
        <is>
          <t>ApprovalTypes</t>
        </is>
      </c>
    </row>
    <row r="2">
      <c r="A2" t="inlineStr">
        <is>
          <t>Residential</t>
        </is>
      </c>
      <c r="B2" t="inlineStr">
        <is>
          <t>Planning</t>
        </is>
      </c>
      <c r="C2" t="inlineStr">
        <is>
          <t>Yes</t>
        </is>
      </c>
      <c r="D2" t="inlineStr">
        <is>
          <t>Flat fee</t>
        </is>
      </c>
      <c r="E2" t="inlineStr">
        <is>
          <t>Living room</t>
        </is>
      </c>
      <c r="F2" t="inlineStr">
        <is>
          <t>Not started</t>
        </is>
      </c>
      <c r="G2" t="inlineStr">
        <is>
          <t>Low</t>
        </is>
      </c>
      <c r="H2" t="inlineStr">
        <is>
          <t>Sofa</t>
        </is>
      </c>
      <c r="I2" t="inlineStr">
        <is>
          <t>Not ordered</t>
        </is>
      </c>
      <c r="J2" t="inlineStr">
        <is>
          <t>Not sent</t>
        </is>
      </c>
      <c r="K2" t="inlineStr">
        <is>
          <t>Not shipped</t>
        </is>
      </c>
      <c r="L2" t="inlineStr">
        <is>
          <t>Not scheduled</t>
        </is>
      </c>
      <c r="M2" t="inlineStr">
        <is>
          <t>Lighting</t>
        </is>
      </c>
      <c r="N2" t="inlineStr">
        <is>
          <t>Paint</t>
        </is>
      </c>
      <c r="O2" t="inlineStr">
        <is>
          <t>Wall</t>
        </is>
      </c>
      <c r="P2" t="inlineStr">
        <is>
          <t>Option 1</t>
        </is>
      </c>
      <c r="Q2" t="inlineStr">
        <is>
          <t>Furniture</t>
        </is>
      </c>
      <c r="R2" t="inlineStr">
        <is>
          <t>Not ordered</t>
        </is>
      </c>
      <c r="S2" t="inlineStr">
        <is>
          <t>Not checked</t>
        </is>
      </c>
      <c r="T2" t="inlineStr">
        <is>
          <t>Consultation</t>
        </is>
      </c>
      <c r="U2" t="inlineStr">
        <is>
          <t>Not started</t>
        </is>
      </c>
      <c r="V2" t="inlineStr">
        <is>
          <t>Room</t>
        </is>
      </c>
      <c r="W2" t="inlineStr">
        <is>
          <t>General contractor</t>
        </is>
      </c>
      <c r="X2" t="inlineStr">
        <is>
          <t>Draft</t>
        </is>
      </c>
      <c r="Y2" t="inlineStr">
        <is>
          <t>ACH</t>
        </is>
      </c>
      <c r="Z2" t="inlineStr">
        <is>
          <t>Client consultation</t>
        </is>
      </c>
      <c r="AA2" t="inlineStr">
        <is>
          <t>Design</t>
        </is>
      </c>
      <c r="AB2" t="inlineStr">
        <is>
          <t>Furniture</t>
        </is>
      </c>
      <c r="AC2" t="inlineStr">
        <is>
          <t>Furniture</t>
        </is>
      </c>
    </row>
    <row r="3">
      <c r="A3" t="inlineStr">
        <is>
          <t>Commercial</t>
        </is>
      </c>
      <c r="B3" t="inlineStr">
        <is>
          <t>In progress</t>
        </is>
      </c>
      <c r="C3" t="inlineStr">
        <is>
          <t>No</t>
        </is>
      </c>
      <c r="D3" t="inlineStr">
        <is>
          <t>Hourly</t>
        </is>
      </c>
      <c r="E3" t="inlineStr">
        <is>
          <t>Bedroom</t>
        </is>
      </c>
      <c r="F3" t="inlineStr">
        <is>
          <t>Concept</t>
        </is>
      </c>
      <c r="G3" t="inlineStr">
        <is>
          <t>Medium</t>
        </is>
      </c>
      <c r="H3" t="inlineStr">
        <is>
          <t>Chair</t>
        </is>
      </c>
      <c r="I3" t="inlineStr">
        <is>
          <t>Sourcing</t>
        </is>
      </c>
      <c r="J3" t="inlineStr">
        <is>
          <t>Sent</t>
        </is>
      </c>
      <c r="K3" t="inlineStr">
        <is>
          <t>Shipped</t>
        </is>
      </c>
      <c r="L3" t="inlineStr">
        <is>
          <t>Scheduled</t>
        </is>
      </c>
      <c r="M3" t="inlineStr">
        <is>
          <t>Faucet</t>
        </is>
      </c>
      <c r="N3" t="inlineStr">
        <is>
          <t>Wallpaper</t>
        </is>
      </c>
      <c r="O3" t="inlineStr">
        <is>
          <t>Ceiling</t>
        </is>
      </c>
      <c r="P3" t="inlineStr">
        <is>
          <t>Option 2</t>
        </is>
      </c>
      <c r="Q3" t="inlineStr">
        <is>
          <t>Lighting</t>
        </is>
      </c>
      <c r="R3" t="inlineStr">
        <is>
          <t>Ordered</t>
        </is>
      </c>
      <c r="S3" t="inlineStr">
        <is>
          <t>Good condition</t>
        </is>
      </c>
      <c r="T3" t="inlineStr">
        <is>
          <t>Measurements</t>
        </is>
      </c>
      <c r="U3" t="inlineStr">
        <is>
          <t>In progress</t>
        </is>
      </c>
      <c r="V3" t="inlineStr">
        <is>
          <t>Wall</t>
        </is>
      </c>
      <c r="W3" t="inlineStr">
        <is>
          <t>Painter</t>
        </is>
      </c>
      <c r="X3" t="inlineStr">
        <is>
          <t>Sent</t>
        </is>
      </c>
      <c r="Y3" t="inlineStr">
        <is>
          <t>Check</t>
        </is>
      </c>
      <c r="Z3" t="inlineStr">
        <is>
          <t>Vendor meeting</t>
        </is>
      </c>
      <c r="AA3" t="inlineStr">
        <is>
          <t>Sourcing</t>
        </is>
      </c>
      <c r="AB3" t="inlineStr">
        <is>
          <t>Lighting</t>
        </is>
      </c>
      <c r="AC3" t="inlineStr">
        <is>
          <t>Finish</t>
        </is>
      </c>
    </row>
    <row r="4">
      <c r="A4" t="inlineStr">
        <is>
          <t>Office</t>
        </is>
      </c>
      <c r="B4" t="inlineStr">
        <is>
          <t>On hold</t>
        </is>
      </c>
      <c r="D4" t="inlineStr">
        <is>
          <t>Percentage</t>
        </is>
      </c>
      <c r="E4" t="inlineStr">
        <is>
          <t>Kitchen</t>
        </is>
      </c>
      <c r="F4" t="inlineStr">
        <is>
          <t>Sourcing</t>
        </is>
      </c>
      <c r="G4" t="inlineStr">
        <is>
          <t>High</t>
        </is>
      </c>
      <c r="H4" t="inlineStr">
        <is>
          <t>Table</t>
        </is>
      </c>
      <c r="I4" t="inlineStr">
        <is>
          <t>Option selected</t>
        </is>
      </c>
      <c r="J4" t="inlineStr">
        <is>
          <t>Approved</t>
        </is>
      </c>
      <c r="K4" t="inlineStr">
        <is>
          <t>In transit</t>
        </is>
      </c>
      <c r="L4" t="inlineStr">
        <is>
          <t>In progress</t>
        </is>
      </c>
      <c r="M4" t="inlineStr">
        <is>
          <t>Sink</t>
        </is>
      </c>
      <c r="N4" t="inlineStr">
        <is>
          <t>Flooring</t>
        </is>
      </c>
      <c r="O4" t="inlineStr">
        <is>
          <t>Floor</t>
        </is>
      </c>
      <c r="P4" t="inlineStr">
        <is>
          <t>Option 3</t>
        </is>
      </c>
      <c r="Q4" t="inlineStr">
        <is>
          <t>Fabric</t>
        </is>
      </c>
      <c r="R4" t="inlineStr">
        <is>
          <t>Confirmed</t>
        </is>
      </c>
      <c r="S4" t="inlineStr">
        <is>
          <t>Damaged</t>
        </is>
      </c>
      <c r="T4" t="inlineStr">
        <is>
          <t>Concept design</t>
        </is>
      </c>
      <c r="U4" t="inlineStr">
        <is>
          <t>Waiting on client</t>
        </is>
      </c>
      <c r="V4" t="inlineStr">
        <is>
          <t>Window</t>
        </is>
      </c>
      <c r="W4" t="inlineStr">
        <is>
          <t>Electrician</t>
        </is>
      </c>
      <c r="X4" t="inlineStr">
        <is>
          <t>Paid</t>
        </is>
      </c>
      <c r="Y4" t="inlineStr">
        <is>
          <t>Credit card</t>
        </is>
      </c>
      <c r="Z4" t="inlineStr">
        <is>
          <t>Site visit</t>
        </is>
      </c>
      <c r="AA4" t="inlineStr">
        <is>
          <t>Client</t>
        </is>
      </c>
      <c r="AB4" t="inlineStr">
        <is>
          <t>Rugs</t>
        </is>
      </c>
      <c r="AC4" t="inlineStr">
        <is>
          <t>Layout</t>
        </is>
      </c>
    </row>
    <row r="5">
      <c r="A5" t="inlineStr">
        <is>
          <t>Retail</t>
        </is>
      </c>
      <c r="B5" t="inlineStr">
        <is>
          <t>Complete</t>
        </is>
      </c>
      <c r="D5" t="inlineStr">
        <is>
          <t>Hybrid</t>
        </is>
      </c>
      <c r="E5" t="inlineStr">
        <is>
          <t>Bathroom</t>
        </is>
      </c>
      <c r="F5" t="inlineStr">
        <is>
          <t>Client review</t>
        </is>
      </c>
      <c r="G5" t="inlineStr">
        <is>
          <t>Urgent</t>
        </is>
      </c>
      <c r="H5" t="inlineStr">
        <is>
          <t>Bed</t>
        </is>
      </c>
      <c r="I5" t="inlineStr">
        <is>
          <t>Client review</t>
        </is>
      </c>
      <c r="J5" t="inlineStr">
        <is>
          <t>Revisions requested</t>
        </is>
      </c>
      <c r="K5" t="inlineStr">
        <is>
          <t>Delivered</t>
        </is>
      </c>
      <c r="L5" t="inlineStr">
        <is>
          <t>Installed</t>
        </is>
      </c>
      <c r="M5" t="inlineStr">
        <is>
          <t>Shower fixture</t>
        </is>
      </c>
      <c r="N5" t="inlineStr">
        <is>
          <t>Tile</t>
        </is>
      </c>
      <c r="O5" t="inlineStr">
        <is>
          <t>Cabinet</t>
        </is>
      </c>
      <c r="P5" t="inlineStr">
        <is>
          <t>Custom</t>
        </is>
      </c>
      <c r="Q5" t="inlineStr">
        <is>
          <t>Flooring</t>
        </is>
      </c>
      <c r="R5" t="inlineStr">
        <is>
          <t>In production</t>
        </is>
      </c>
      <c r="S5" t="inlineStr">
        <is>
          <t>Missing item</t>
        </is>
      </c>
      <c r="T5" t="inlineStr">
        <is>
          <t>Sourcing</t>
        </is>
      </c>
      <c r="U5" t="inlineStr">
        <is>
          <t>Waiting on vendor</t>
        </is>
      </c>
      <c r="V5" t="inlineStr">
        <is>
          <t>Door</t>
        </is>
      </c>
      <c r="W5" t="inlineStr">
        <is>
          <t>Plumber</t>
        </is>
      </c>
      <c r="X5" t="inlineStr">
        <is>
          <t>Partially paid</t>
        </is>
      </c>
      <c r="Y5" t="inlineStr">
        <is>
          <t>Cash</t>
        </is>
      </c>
      <c r="Z5" t="inlineStr">
        <is>
          <t>Installation meeting</t>
        </is>
      </c>
      <c r="AA5" t="inlineStr">
        <is>
          <t>Vendor</t>
        </is>
      </c>
      <c r="AB5" t="inlineStr">
        <is>
          <t>Decor</t>
        </is>
      </c>
      <c r="AC5" t="inlineStr">
        <is>
          <t>Color palette</t>
        </is>
      </c>
    </row>
    <row r="6">
      <c r="A6" t="inlineStr">
        <is>
          <t>Hospitality</t>
        </is>
      </c>
      <c r="B6" t="inlineStr">
        <is>
          <t>Archived</t>
        </is>
      </c>
      <c r="E6" t="inlineStr">
        <is>
          <t>Dining room</t>
        </is>
      </c>
      <c r="F6" t="inlineStr">
        <is>
          <t>Approved</t>
        </is>
      </c>
      <c r="H6" t="inlineStr">
        <is>
          <t>Rug</t>
        </is>
      </c>
      <c r="I6" t="inlineStr">
        <is>
          <t>Approved</t>
        </is>
      </c>
      <c r="J6" t="inlineStr">
        <is>
          <t>Rejected</t>
        </is>
      </c>
      <c r="K6" t="inlineStr">
        <is>
          <t>Delayed</t>
        </is>
      </c>
      <c r="L6" t="inlineStr">
        <is>
          <t>Punch list</t>
        </is>
      </c>
      <c r="M6" t="inlineStr">
        <is>
          <t>Tub</t>
        </is>
      </c>
      <c r="N6" t="inlineStr">
        <is>
          <t>Countertop</t>
        </is>
      </c>
      <c r="O6" t="inlineStr">
        <is>
          <t>Countertop</t>
        </is>
      </c>
      <c r="P6" t="inlineStr">
        <is>
          <t>Not selected</t>
        </is>
      </c>
      <c r="Q6" t="inlineStr">
        <is>
          <t>Tile</t>
        </is>
      </c>
      <c r="R6" t="inlineStr">
        <is>
          <t>Shipped</t>
        </is>
      </c>
      <c r="S6" t="inlineStr">
        <is>
          <t>Wrong item</t>
        </is>
      </c>
      <c r="T6" t="inlineStr">
        <is>
          <t>Client approval</t>
        </is>
      </c>
      <c r="U6" t="inlineStr">
        <is>
          <t>Complete</t>
        </is>
      </c>
      <c r="V6" t="inlineStr">
        <is>
          <t>Cabinet</t>
        </is>
      </c>
      <c r="W6" t="inlineStr">
        <is>
          <t>Flooring installer</t>
        </is>
      </c>
      <c r="X6" t="inlineStr">
        <is>
          <t>Overdue</t>
        </is>
      </c>
      <c r="Y6" t="inlineStr">
        <is>
          <t>Wire</t>
        </is>
      </c>
      <c r="Z6" t="inlineStr">
        <is>
          <t>Contractor meeting</t>
        </is>
      </c>
      <c r="AA6" t="inlineStr">
        <is>
          <t>Purchasing</t>
        </is>
      </c>
      <c r="AB6" t="inlineStr">
        <is>
          <t>Artwork</t>
        </is>
      </c>
      <c r="AC6" t="inlineStr">
        <is>
          <t>Budget</t>
        </is>
      </c>
    </row>
    <row r="7">
      <c r="A7" t="inlineStr">
        <is>
          <t>Staging</t>
        </is>
      </c>
      <c r="E7" t="inlineStr">
        <is>
          <t>Entryway</t>
        </is>
      </c>
      <c r="F7" t="inlineStr">
        <is>
          <t>Complete</t>
        </is>
      </c>
      <c r="H7" t="inlineStr">
        <is>
          <t>Lighting</t>
        </is>
      </c>
      <c r="I7" t="inlineStr">
        <is>
          <t>Ordered</t>
        </is>
      </c>
      <c r="J7" t="inlineStr">
        <is>
          <t>On hold</t>
        </is>
      </c>
      <c r="K7" t="inlineStr">
        <is>
          <t>Damaged</t>
        </is>
      </c>
      <c r="L7" t="inlineStr">
        <is>
          <t>On hold</t>
        </is>
      </c>
      <c r="M7" t="inlineStr">
        <is>
          <t>Toilet</t>
        </is>
      </c>
      <c r="N7" t="inlineStr">
        <is>
          <t>Backsplash</t>
        </is>
      </c>
      <c r="O7" t="inlineStr">
        <is>
          <t>Shower wall</t>
        </is>
      </c>
      <c r="Q7" t="inlineStr">
        <is>
          <t>Paint</t>
        </is>
      </c>
      <c r="R7" t="inlineStr">
        <is>
          <t>Delivered</t>
        </is>
      </c>
      <c r="T7" t="inlineStr">
        <is>
          <t>Purchasing</t>
        </is>
      </c>
      <c r="U7" t="inlineStr">
        <is>
          <t>Delayed</t>
        </is>
      </c>
      <c r="V7" t="inlineStr">
        <is>
          <t>Furniture space</t>
        </is>
      </c>
      <c r="W7" t="inlineStr">
        <is>
          <t>Tile installer</t>
        </is>
      </c>
      <c r="X7" t="inlineStr">
        <is>
          <t>Cancelled</t>
        </is>
      </c>
      <c r="Y7" t="inlineStr">
        <is>
          <t>Other</t>
        </is>
      </c>
      <c r="Z7" t="inlineStr">
        <is>
          <t>Final walkthrough</t>
        </is>
      </c>
      <c r="AA7" t="inlineStr">
        <is>
          <t>Delivery</t>
        </is>
      </c>
      <c r="AB7" t="inlineStr">
        <is>
          <t>Window treatments</t>
        </is>
      </c>
      <c r="AC7" t="inlineStr">
        <is>
          <t>Purchase</t>
        </is>
      </c>
    </row>
    <row r="8">
      <c r="E8" t="inlineStr">
        <is>
          <t>Office</t>
        </is>
      </c>
      <c r="F8" t="inlineStr">
        <is>
          <t>On hold</t>
        </is>
      </c>
      <c r="H8" t="inlineStr">
        <is>
          <t>Artwork</t>
        </is>
      </c>
      <c r="I8" t="inlineStr">
        <is>
          <t>Confirmed</t>
        </is>
      </c>
      <c r="K8" t="inlineStr">
        <is>
          <t>Missing item</t>
        </is>
      </c>
      <c r="M8" t="inlineStr">
        <is>
          <t>Cabinet hardware</t>
        </is>
      </c>
      <c r="N8" t="inlineStr">
        <is>
          <t>Cabinet finish</t>
        </is>
      </c>
      <c r="O8" t="inlineStr">
        <is>
          <t>Backsplash</t>
        </is>
      </c>
      <c r="Q8" t="inlineStr">
        <is>
          <t>Wallpaper</t>
        </is>
      </c>
      <c r="R8" t="inlineStr">
        <is>
          <t>Delayed</t>
        </is>
      </c>
      <c r="T8" t="inlineStr">
        <is>
          <t>Construction</t>
        </is>
      </c>
      <c r="V8" t="inlineStr">
        <is>
          <t>Rug area</t>
        </is>
      </c>
      <c r="W8" t="inlineStr">
        <is>
          <t>Wallpaper installer</t>
        </is>
      </c>
      <c r="AA8" t="inlineStr">
        <is>
          <t>Installation</t>
        </is>
      </c>
      <c r="AB8" t="inlineStr">
        <is>
          <t>Flooring</t>
        </is>
      </c>
      <c r="AC8" t="inlineStr">
        <is>
          <t>Vendor</t>
        </is>
      </c>
    </row>
    <row r="9">
      <c r="E9" t="inlineStr">
        <is>
          <t>Nursery</t>
        </is>
      </c>
      <c r="H9" t="inlineStr">
        <is>
          <t>Mirror</t>
        </is>
      </c>
      <c r="I9" t="inlineStr">
        <is>
          <t>In production</t>
        </is>
      </c>
      <c r="K9" t="inlineStr">
        <is>
          <t>Cancelled</t>
        </is>
      </c>
      <c r="M9" t="inlineStr">
        <is>
          <t>Door hardware</t>
        </is>
      </c>
      <c r="N9" t="inlineStr">
        <is>
          <t>Fabric</t>
        </is>
      </c>
      <c r="O9" t="inlineStr">
        <is>
          <t>Upholstery</t>
        </is>
      </c>
      <c r="Q9" t="inlineStr">
        <is>
          <t>Decor</t>
        </is>
      </c>
      <c r="R9" t="inlineStr">
        <is>
          <t>Cancelled</t>
        </is>
      </c>
      <c r="T9" t="inlineStr">
        <is>
          <t>Delivery</t>
        </is>
      </c>
      <c r="V9" t="inlineStr">
        <is>
          <t>Lighting location</t>
        </is>
      </c>
      <c r="W9" t="inlineStr">
        <is>
          <t>Carpenter</t>
        </is>
      </c>
      <c r="AA9" t="inlineStr">
        <is>
          <t>Administration</t>
        </is>
      </c>
      <c r="AB9" t="inlineStr">
        <is>
          <t>Paint/wallcovering</t>
        </is>
      </c>
      <c r="AC9" t="inlineStr">
        <is>
          <t>Design concept</t>
        </is>
      </c>
    </row>
    <row r="10">
      <c r="E10" t="inlineStr">
        <is>
          <t>Outdoor</t>
        </is>
      </c>
      <c r="H10" t="inlineStr">
        <is>
          <t>Window treatment</t>
        </is>
      </c>
      <c r="I10" t="inlineStr">
        <is>
          <t>Shipped</t>
        </is>
      </c>
      <c r="M10" t="inlineStr">
        <is>
          <t>Appliance</t>
        </is>
      </c>
      <c r="N10" t="inlineStr">
        <is>
          <t>Trim</t>
        </is>
      </c>
      <c r="O10" t="inlineStr">
        <is>
          <t>Drapery</t>
        </is>
      </c>
      <c r="Q10" t="inlineStr">
        <is>
          <t>Hardware</t>
        </is>
      </c>
      <c r="R10" t="inlineStr">
        <is>
          <t>Returned</t>
        </is>
      </c>
      <c r="T10" t="inlineStr">
        <is>
          <t>Installation</t>
        </is>
      </c>
      <c r="W10" t="inlineStr">
        <is>
          <t>Window treatment installer</t>
        </is>
      </c>
      <c r="AA10" t="inlineStr">
        <is>
          <t>Other</t>
        </is>
      </c>
      <c r="AB10" t="inlineStr">
        <is>
          <t>Contractor labor</t>
        </is>
      </c>
    </row>
    <row r="11">
      <c r="E11" t="inlineStr">
        <is>
          <t>Commercial space</t>
        </is>
      </c>
      <c r="H11" t="inlineStr">
        <is>
          <t>Hardware</t>
        </is>
      </c>
      <c r="I11" t="inlineStr">
        <is>
          <t>Delivered</t>
        </is>
      </c>
      <c r="M11" t="inlineStr">
        <is>
          <t>Electrical</t>
        </is>
      </c>
      <c r="N11" t="inlineStr">
        <is>
          <t>Stone</t>
        </is>
      </c>
      <c r="Q11" t="inlineStr">
        <is>
          <t>Contractor</t>
        </is>
      </c>
      <c r="T11" t="inlineStr">
        <is>
          <t>Styling</t>
        </is>
      </c>
      <c r="W11" t="inlineStr">
        <is>
          <t>Furniture installer</t>
        </is>
      </c>
      <c r="AB11" t="inlineStr">
        <is>
          <t>Installation</t>
        </is>
      </c>
    </row>
    <row r="12">
      <c r="E12" t="inlineStr">
        <is>
          <t>Other</t>
        </is>
      </c>
      <c r="H12" t="inlineStr">
        <is>
          <t>Plumbing fixture</t>
        </is>
      </c>
      <c r="I12" t="inlineStr">
        <is>
          <t>Installed</t>
        </is>
      </c>
      <c r="M12" t="inlineStr">
        <is>
          <t>Other</t>
        </is>
      </c>
      <c r="N12" t="inlineStr">
        <is>
          <t>Wood</t>
        </is>
      </c>
      <c r="Q12" t="inlineStr">
        <is>
          <t>Installer</t>
        </is>
      </c>
      <c r="T12" t="inlineStr">
        <is>
          <t>Final reveal</t>
        </is>
      </c>
      <c r="W12" t="inlineStr">
        <is>
          <t>Cleaner</t>
        </is>
      </c>
      <c r="AB12" t="inlineStr">
        <is>
          <t>Shipping</t>
        </is>
      </c>
    </row>
    <row r="13">
      <c r="H13" t="inlineStr">
        <is>
          <t>Appliance</t>
        </is>
      </c>
      <c r="I13" t="inlineStr">
        <is>
          <t>Cancelled</t>
        </is>
      </c>
      <c r="N13" t="inlineStr">
        <is>
          <t>Metal</t>
        </is>
      </c>
      <c r="Q13" t="inlineStr">
        <is>
          <t>Workroom</t>
        </is>
      </c>
      <c r="T13" t="inlineStr">
        <is>
          <t>Punch list</t>
        </is>
      </c>
      <c r="W13" t="inlineStr">
        <is>
          <t>Other</t>
        </is>
      </c>
      <c r="AB13" t="inlineStr">
        <is>
          <t>Taxes</t>
        </is>
      </c>
    </row>
    <row r="14">
      <c r="H14" t="inlineStr">
        <is>
          <t>Decor</t>
        </is>
      </c>
      <c r="I14" t="inlineStr">
        <is>
          <t>Backordered</t>
        </is>
      </c>
      <c r="N14" t="inlineStr">
        <is>
          <t>Other</t>
        </is>
      </c>
      <c r="Q14" t="inlineStr">
        <is>
          <t>Custom furniture</t>
        </is>
      </c>
      <c r="AB14" t="inlineStr">
        <is>
          <t>Design fee</t>
        </is>
      </c>
    </row>
    <row r="15">
      <c r="H15" t="inlineStr">
        <is>
          <t>Textile</t>
        </is>
      </c>
      <c r="Q15" t="inlineStr">
        <is>
          <t>Other</t>
        </is>
      </c>
      <c r="AB15" t="inlineStr">
        <is>
          <t>Contingency</t>
        </is>
      </c>
    </row>
    <row r="16">
      <c r="H16" t="inlineStr">
        <is>
          <t>Cabinetry</t>
        </is>
      </c>
    </row>
    <row r="17">
      <c r="H17" t="inlineStr">
        <is>
          <t>Flooring</t>
        </is>
      </c>
    </row>
    <row r="18">
      <c r="H18" t="inlineStr">
        <is>
          <t>Wallcovering</t>
        </is>
      </c>
    </row>
    <row r="19">
      <c r="H19" t="inlineStr">
        <is>
          <t>Other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51"/>
  <sheetViews>
    <sheetView showGridLines="0" workbookViewId="0">
      <selection activeCell="A1" sqref="A1"/>
    </sheetView>
  </sheetViews>
  <sheetFormatPr baseColWidth="8" defaultRowHeight="15"/>
  <sheetData>
    <row r="1">
      <c r="A1" s="49" t="inlineStr">
        <is>
          <t>Room</t>
        </is>
      </c>
      <c r="B1" s="49" t="inlineStr">
        <is>
          <t>Budget allocation</t>
        </is>
      </c>
      <c r="C1" s="49" t="n"/>
      <c r="D1" s="49" t="inlineStr">
        <is>
          <t>Metric</t>
        </is>
      </c>
      <c r="E1" s="49" t="inlineStr">
        <is>
          <t>Amount</t>
        </is>
      </c>
      <c r="F1" s="49" t="n"/>
      <c r="G1" s="49" t="inlineStr">
        <is>
          <t>Item status</t>
        </is>
      </c>
      <c r="H1" s="49" t="inlineStr">
        <is>
          <t>Items</t>
        </is>
      </c>
      <c r="I1" s="49" t="n"/>
      <c r="J1" s="49" t="inlineStr">
        <is>
          <t>Delivery status</t>
        </is>
      </c>
      <c r="K1" s="49" t="inlineStr">
        <is>
          <t>Items</t>
        </is>
      </c>
      <c r="L1" s="49" t="n"/>
      <c r="M1" s="49" t="inlineStr">
        <is>
          <t>Category</t>
        </is>
      </c>
      <c r="N1" s="49" t="inlineStr">
        <is>
          <t>Final cost</t>
        </is>
      </c>
    </row>
    <row r="2">
      <c r="A2" s="49">
        <f>'Room List - Area Tracker'!A7</f>
        <v/>
      </c>
      <c r="B2" s="49">
        <f>IFERROR('Room List - Area Tracker'!F7,0)</f>
        <v/>
      </c>
      <c r="C2" s="49" t="n"/>
      <c r="D2" s="49" t="inlineStr">
        <is>
          <t>Budget</t>
        </is>
      </c>
      <c r="E2" s="49">
        <f>IFERROR(IF('Client &amp; Project Profile'!$B$15&gt;0,'Client &amp; Project Profile'!$B$15,SUM('Budget Tracker'!$B$7:$B$306)),0)</f>
        <v/>
      </c>
      <c r="F2" s="49" t="n"/>
      <c r="G2" s="49" t="inlineStr">
        <is>
          <t>Not ordered</t>
        </is>
      </c>
      <c r="H2" s="49">
        <f>COUNTIF('Master FF&amp;E Schedule'!$V$7:$V$306,G2)</f>
        <v/>
      </c>
      <c r="I2" s="49" t="n"/>
      <c r="J2" s="49" t="inlineStr">
        <is>
          <t>Not shipped</t>
        </is>
      </c>
      <c r="K2" s="49">
        <f>COUNTIF('Master FF&amp;E Schedule'!$X$7:$X$306,J2)</f>
        <v/>
      </c>
      <c r="L2" s="49" t="n"/>
      <c r="M2" s="49" t="inlineStr">
        <is>
          <t>Sofa</t>
        </is>
      </c>
      <c r="N2" s="49">
        <f>SUMIF('Master FF&amp;E Schedule'!$C$7:$C$306,M2,'Master FF&amp;E Schedule'!$T$7:$T$306)</f>
        <v/>
      </c>
    </row>
    <row r="3">
      <c r="A3" s="49">
        <f>'Room List - Area Tracker'!A8</f>
        <v/>
      </c>
      <c r="B3" s="49">
        <f>IFERROR('Room List - Area Tracker'!F8,0)</f>
        <v/>
      </c>
      <c r="C3" s="49" t="n"/>
      <c r="D3" s="49" t="inlineStr">
        <is>
          <t>Estimated</t>
        </is>
      </c>
      <c r="E3" s="49">
        <f>SUM('Budget Tracker'!$C$7:$C$306)</f>
        <v/>
      </c>
      <c r="F3" s="49" t="n"/>
      <c r="G3" s="49" t="inlineStr">
        <is>
          <t>Sourcing</t>
        </is>
      </c>
      <c r="H3" s="49">
        <f>COUNTIF('Master FF&amp;E Schedule'!$V$7:$V$306,G3)</f>
        <v/>
      </c>
      <c r="I3" s="49" t="n"/>
      <c r="J3" s="49" t="inlineStr">
        <is>
          <t>Shipped</t>
        </is>
      </c>
      <c r="K3" s="49">
        <f>COUNTIF('Master FF&amp;E Schedule'!$X$7:$X$306,J3)</f>
        <v/>
      </c>
      <c r="L3" s="49" t="n"/>
      <c r="M3" s="49" t="inlineStr">
        <is>
          <t>Chair</t>
        </is>
      </c>
      <c r="N3" s="49">
        <f>SUMIF('Master FF&amp;E Schedule'!$C$7:$C$306,M3,'Master FF&amp;E Schedule'!$T$7:$T$306)</f>
        <v/>
      </c>
    </row>
    <row r="4">
      <c r="A4" s="49">
        <f>'Room List - Area Tracker'!A9</f>
        <v/>
      </c>
      <c r="B4" s="49">
        <f>IFERROR('Room List - Area Tracker'!F9,0)</f>
        <v/>
      </c>
      <c r="C4" s="49" t="n"/>
      <c r="D4" s="49" t="inlineStr">
        <is>
          <t>Actual</t>
        </is>
      </c>
      <c r="E4" s="49">
        <f>SUM('Budget Tracker'!$D$7:$D$306)</f>
        <v/>
      </c>
      <c r="F4" s="49" t="n"/>
      <c r="G4" s="49" t="inlineStr">
        <is>
          <t>Option selected</t>
        </is>
      </c>
      <c r="H4" s="49">
        <f>COUNTIF('Master FF&amp;E Schedule'!$V$7:$V$306,G4)</f>
        <v/>
      </c>
      <c r="I4" s="49" t="n"/>
      <c r="J4" s="49" t="inlineStr">
        <is>
          <t>In transit</t>
        </is>
      </c>
      <c r="K4" s="49">
        <f>COUNTIF('Master FF&amp;E Schedule'!$X$7:$X$306,J4)</f>
        <v/>
      </c>
      <c r="L4" s="49" t="n"/>
      <c r="M4" s="49" t="inlineStr">
        <is>
          <t>Table</t>
        </is>
      </c>
      <c r="N4" s="49">
        <f>SUMIF('Master FF&amp;E Schedule'!$C$7:$C$306,M4,'Master FF&amp;E Schedule'!$T$7:$T$306)</f>
        <v/>
      </c>
    </row>
    <row r="5">
      <c r="A5" s="49">
        <f>'Room List - Area Tracker'!A10</f>
        <v/>
      </c>
      <c r="B5" s="49">
        <f>IFERROR('Room List - Area Tracker'!F10,0)</f>
        <v/>
      </c>
      <c r="C5" s="49" t="n"/>
      <c r="D5" s="49" t="n"/>
      <c r="E5" s="49" t="n"/>
      <c r="F5" s="49" t="n"/>
      <c r="G5" s="49" t="inlineStr">
        <is>
          <t>Client review</t>
        </is>
      </c>
      <c r="H5" s="49">
        <f>COUNTIF('Master FF&amp;E Schedule'!$V$7:$V$306,G5)</f>
        <v/>
      </c>
      <c r="I5" s="49" t="n"/>
      <c r="J5" s="49" t="inlineStr">
        <is>
          <t>Delivered</t>
        </is>
      </c>
      <c r="K5" s="49">
        <f>COUNTIF('Master FF&amp;E Schedule'!$X$7:$X$306,J5)</f>
        <v/>
      </c>
      <c r="L5" s="49" t="n"/>
      <c r="M5" s="49" t="inlineStr">
        <is>
          <t>Bed</t>
        </is>
      </c>
      <c r="N5" s="49">
        <f>SUMIF('Master FF&amp;E Schedule'!$C$7:$C$306,M5,'Master FF&amp;E Schedule'!$T$7:$T$306)</f>
        <v/>
      </c>
    </row>
    <row r="6">
      <c r="A6" s="49">
        <f>'Room List - Area Tracker'!A11</f>
        <v/>
      </c>
      <c r="B6" s="49">
        <f>IFERROR('Room List - Area Tracker'!F11,0)</f>
        <v/>
      </c>
      <c r="C6" s="49" t="n"/>
      <c r="D6" s="49" t="n"/>
      <c r="E6" s="49" t="n"/>
      <c r="F6" s="49" t="n"/>
      <c r="G6" s="49" t="inlineStr">
        <is>
          <t>Approved</t>
        </is>
      </c>
      <c r="H6" s="49">
        <f>COUNTIF('Master FF&amp;E Schedule'!$V$7:$V$306,G6)</f>
        <v/>
      </c>
      <c r="I6" s="49" t="n"/>
      <c r="J6" s="49" t="inlineStr">
        <is>
          <t>Delayed</t>
        </is>
      </c>
      <c r="K6" s="49">
        <f>COUNTIF('Master FF&amp;E Schedule'!$X$7:$X$306,J6)</f>
        <v/>
      </c>
      <c r="L6" s="49" t="n"/>
      <c r="M6" s="49" t="inlineStr">
        <is>
          <t>Rug</t>
        </is>
      </c>
      <c r="N6" s="49">
        <f>SUMIF('Master FF&amp;E Schedule'!$C$7:$C$306,M6,'Master FF&amp;E Schedule'!$T$7:$T$306)</f>
        <v/>
      </c>
    </row>
    <row r="7">
      <c r="A7" s="49">
        <f>'Room List - Area Tracker'!A12</f>
        <v/>
      </c>
      <c r="B7" s="49">
        <f>IFERROR('Room List - Area Tracker'!F12,0)</f>
        <v/>
      </c>
      <c r="C7" s="49" t="n"/>
      <c r="D7" s="49" t="n"/>
      <c r="E7" s="49" t="n"/>
      <c r="F7" s="49" t="n"/>
      <c r="G7" s="49" t="inlineStr">
        <is>
          <t>Ordered</t>
        </is>
      </c>
      <c r="H7" s="49">
        <f>COUNTIF('Master FF&amp;E Schedule'!$V$7:$V$306,G7)</f>
        <v/>
      </c>
      <c r="I7" s="49" t="n"/>
      <c r="J7" s="49" t="inlineStr">
        <is>
          <t>Damaged</t>
        </is>
      </c>
      <c r="K7" s="49">
        <f>COUNTIF('Master FF&amp;E Schedule'!$X$7:$X$306,J7)</f>
        <v/>
      </c>
      <c r="L7" s="49" t="n"/>
      <c r="M7" s="49" t="inlineStr">
        <is>
          <t>Lighting</t>
        </is>
      </c>
      <c r="N7" s="49">
        <f>SUMIF('Master FF&amp;E Schedule'!$C$7:$C$306,M7,'Master FF&amp;E Schedule'!$T$7:$T$306)</f>
        <v/>
      </c>
    </row>
    <row r="8">
      <c r="A8" s="49">
        <f>'Room List - Area Tracker'!A13</f>
        <v/>
      </c>
      <c r="B8" s="49">
        <f>IFERROR('Room List - Area Tracker'!F13,0)</f>
        <v/>
      </c>
      <c r="C8" s="49" t="n"/>
      <c r="D8" s="49" t="n"/>
      <c r="E8" s="49" t="n"/>
      <c r="F8" s="49" t="n"/>
      <c r="G8" s="49" t="inlineStr">
        <is>
          <t>Confirmed</t>
        </is>
      </c>
      <c r="H8" s="49">
        <f>COUNTIF('Master FF&amp;E Schedule'!$V$7:$V$306,G8)</f>
        <v/>
      </c>
      <c r="I8" s="49" t="n"/>
      <c r="J8" s="49" t="inlineStr">
        <is>
          <t>Missing item</t>
        </is>
      </c>
      <c r="K8" s="49">
        <f>COUNTIF('Master FF&amp;E Schedule'!$X$7:$X$306,J8)</f>
        <v/>
      </c>
      <c r="L8" s="49" t="n"/>
      <c r="M8" s="49" t="inlineStr">
        <is>
          <t>Artwork</t>
        </is>
      </c>
      <c r="N8" s="49">
        <f>SUMIF('Master FF&amp;E Schedule'!$C$7:$C$306,M8,'Master FF&amp;E Schedule'!$T$7:$T$306)</f>
        <v/>
      </c>
    </row>
    <row r="9">
      <c r="A9" s="49">
        <f>'Room List - Area Tracker'!A14</f>
        <v/>
      </c>
      <c r="B9" s="49">
        <f>IFERROR('Room List - Area Tracker'!F14,0)</f>
        <v/>
      </c>
      <c r="C9" s="49" t="n"/>
      <c r="D9" s="49" t="n"/>
      <c r="E9" s="49" t="n"/>
      <c r="F9" s="49" t="n"/>
      <c r="G9" s="49" t="inlineStr">
        <is>
          <t>In production</t>
        </is>
      </c>
      <c r="H9" s="49">
        <f>COUNTIF('Master FF&amp;E Schedule'!$V$7:$V$306,G9)</f>
        <v/>
      </c>
      <c r="I9" s="49" t="n"/>
      <c r="J9" s="49" t="inlineStr">
        <is>
          <t>Cancelled</t>
        </is>
      </c>
      <c r="K9" s="49">
        <f>COUNTIF('Master FF&amp;E Schedule'!$X$7:$X$306,J9)</f>
        <v/>
      </c>
      <c r="L9" s="49" t="n"/>
      <c r="M9" s="49" t="inlineStr">
        <is>
          <t>Mirror</t>
        </is>
      </c>
      <c r="N9" s="49">
        <f>SUMIF('Master FF&amp;E Schedule'!$C$7:$C$306,M9,'Master FF&amp;E Schedule'!$T$7:$T$306)</f>
        <v/>
      </c>
    </row>
    <row r="10">
      <c r="A10" s="49">
        <f>'Room List - Area Tracker'!A15</f>
        <v/>
      </c>
      <c r="B10" s="49">
        <f>IFERROR('Room List - Area Tracker'!F15,0)</f>
        <v/>
      </c>
      <c r="C10" s="49" t="n"/>
      <c r="D10" s="49" t="n"/>
      <c r="E10" s="49" t="n"/>
      <c r="F10" s="49" t="n"/>
      <c r="G10" s="49" t="inlineStr">
        <is>
          <t>Shipped</t>
        </is>
      </c>
      <c r="H10" s="49">
        <f>COUNTIF('Master FF&amp;E Schedule'!$V$7:$V$306,G10)</f>
        <v/>
      </c>
      <c r="I10" s="49" t="n"/>
      <c r="J10" s="49" t="n"/>
      <c r="K10" s="49" t="n"/>
      <c r="L10" s="49" t="n"/>
      <c r="M10" s="49" t="inlineStr">
        <is>
          <t>Window treatment</t>
        </is>
      </c>
      <c r="N10" s="49">
        <f>SUMIF('Master FF&amp;E Schedule'!$C$7:$C$306,M10,'Master FF&amp;E Schedule'!$T$7:$T$306)</f>
        <v/>
      </c>
    </row>
    <row r="11">
      <c r="A11" s="49">
        <f>'Room List - Area Tracker'!A16</f>
        <v/>
      </c>
      <c r="B11" s="49">
        <f>IFERROR('Room List - Area Tracker'!F16,0)</f>
        <v/>
      </c>
      <c r="C11" s="49" t="n"/>
      <c r="D11" s="49" t="n"/>
      <c r="E11" s="49" t="n"/>
      <c r="F11" s="49" t="n"/>
      <c r="G11" s="49" t="inlineStr">
        <is>
          <t>Delivered</t>
        </is>
      </c>
      <c r="H11" s="49">
        <f>COUNTIF('Master FF&amp;E Schedule'!$V$7:$V$306,G11)</f>
        <v/>
      </c>
      <c r="I11" s="49" t="n"/>
      <c r="J11" s="49" t="n"/>
      <c r="K11" s="49" t="n"/>
      <c r="L11" s="49" t="n"/>
      <c r="M11" s="49" t="inlineStr">
        <is>
          <t>Hardware</t>
        </is>
      </c>
      <c r="N11" s="49">
        <f>SUMIF('Master FF&amp;E Schedule'!$C$7:$C$306,M11,'Master FF&amp;E Schedule'!$T$7:$T$306)</f>
        <v/>
      </c>
    </row>
    <row r="12">
      <c r="A12" s="49">
        <f>'Room List - Area Tracker'!A17</f>
        <v/>
      </c>
      <c r="B12" s="49">
        <f>IFERROR('Room List - Area Tracker'!F17,0)</f>
        <v/>
      </c>
      <c r="C12" s="49" t="n"/>
      <c r="D12" s="49" t="n"/>
      <c r="E12" s="49" t="n"/>
      <c r="F12" s="49" t="n"/>
      <c r="G12" s="49" t="inlineStr">
        <is>
          <t>Installed</t>
        </is>
      </c>
      <c r="H12" s="49">
        <f>COUNTIF('Master FF&amp;E Schedule'!$V$7:$V$306,G12)</f>
        <v/>
      </c>
      <c r="I12" s="49" t="n"/>
      <c r="J12" s="49" t="n"/>
      <c r="K12" s="49" t="n"/>
      <c r="L12" s="49" t="n"/>
      <c r="M12" s="49" t="inlineStr">
        <is>
          <t>Plumbing fixture</t>
        </is>
      </c>
      <c r="N12" s="49">
        <f>SUMIF('Master FF&amp;E Schedule'!$C$7:$C$306,M12,'Master FF&amp;E Schedule'!$T$7:$T$306)</f>
        <v/>
      </c>
    </row>
    <row r="13">
      <c r="A13" s="49">
        <f>'Room List - Area Tracker'!A18</f>
        <v/>
      </c>
      <c r="B13" s="49">
        <f>IFERROR('Room List - Area Tracker'!F18,0)</f>
        <v/>
      </c>
      <c r="C13" s="49" t="n"/>
      <c r="D13" s="49" t="n"/>
      <c r="E13" s="49" t="n"/>
      <c r="F13" s="49" t="n"/>
      <c r="G13" s="49" t="inlineStr">
        <is>
          <t>Cancelled</t>
        </is>
      </c>
      <c r="H13" s="49">
        <f>COUNTIF('Master FF&amp;E Schedule'!$V$7:$V$306,G13)</f>
        <v/>
      </c>
      <c r="I13" s="49" t="n"/>
      <c r="J13" s="49" t="n"/>
      <c r="K13" s="49" t="n"/>
      <c r="L13" s="49" t="n"/>
      <c r="M13" s="49" t="inlineStr">
        <is>
          <t>Appliance</t>
        </is>
      </c>
      <c r="N13" s="49">
        <f>SUMIF('Master FF&amp;E Schedule'!$C$7:$C$306,M13,'Master FF&amp;E Schedule'!$T$7:$T$306)</f>
        <v/>
      </c>
    </row>
    <row r="14">
      <c r="A14" s="49">
        <f>'Room List - Area Tracker'!A19</f>
        <v/>
      </c>
      <c r="B14" s="49">
        <f>IFERROR('Room List - Area Tracker'!F19,0)</f>
        <v/>
      </c>
      <c r="C14" s="49" t="n"/>
      <c r="D14" s="49" t="n"/>
      <c r="E14" s="49" t="n"/>
      <c r="F14" s="49" t="n"/>
      <c r="G14" s="49" t="inlineStr">
        <is>
          <t>Backordered</t>
        </is>
      </c>
      <c r="H14" s="49">
        <f>COUNTIF('Master FF&amp;E Schedule'!$V$7:$V$306,G14)</f>
        <v/>
      </c>
      <c r="I14" s="49" t="n"/>
      <c r="J14" s="49" t="n"/>
      <c r="K14" s="49" t="n"/>
      <c r="L14" s="49" t="n"/>
      <c r="M14" s="49" t="inlineStr">
        <is>
          <t>Decor</t>
        </is>
      </c>
      <c r="N14" s="49">
        <f>SUMIF('Master FF&amp;E Schedule'!$C$7:$C$306,M14,'Master FF&amp;E Schedule'!$T$7:$T$306)</f>
        <v/>
      </c>
    </row>
    <row r="15">
      <c r="A15" s="49">
        <f>'Room List - Area Tracker'!A20</f>
        <v/>
      </c>
      <c r="B15" s="49">
        <f>IFERROR('Room List - Area Tracker'!F20,0)</f>
        <v/>
      </c>
      <c r="C15" s="49" t="n"/>
      <c r="D15" s="49" t="n"/>
      <c r="E15" s="49" t="n"/>
      <c r="F15" s="49" t="n"/>
      <c r="G15" s="49" t="n"/>
      <c r="H15" s="49" t="n"/>
      <c r="I15" s="49" t="n"/>
      <c r="J15" s="49" t="n"/>
      <c r="K15" s="49" t="n"/>
      <c r="L15" s="49" t="n"/>
      <c r="M15" s="49" t="inlineStr">
        <is>
          <t>Textile</t>
        </is>
      </c>
      <c r="N15" s="49">
        <f>SUMIF('Master FF&amp;E Schedule'!$C$7:$C$306,M15,'Master FF&amp;E Schedule'!$T$7:$T$306)</f>
        <v/>
      </c>
    </row>
    <row r="16">
      <c r="A16" s="49">
        <f>'Room List - Area Tracker'!A21</f>
        <v/>
      </c>
      <c r="B16" s="49">
        <f>IFERROR('Room List - Area Tracker'!F21,0)</f>
        <v/>
      </c>
      <c r="C16" s="49" t="n"/>
      <c r="D16" s="49" t="n"/>
      <c r="E16" s="49" t="n"/>
      <c r="F16" s="49" t="n"/>
      <c r="G16" s="49" t="n"/>
      <c r="H16" s="49" t="n"/>
      <c r="I16" s="49" t="n"/>
      <c r="J16" s="49" t="n"/>
      <c r="K16" s="49" t="n"/>
      <c r="L16" s="49" t="n"/>
      <c r="M16" s="49" t="inlineStr">
        <is>
          <t>Cabinetry</t>
        </is>
      </c>
      <c r="N16" s="49">
        <f>SUMIF('Master FF&amp;E Schedule'!$C$7:$C$306,M16,'Master FF&amp;E Schedule'!$T$7:$T$306)</f>
        <v/>
      </c>
    </row>
    <row r="17">
      <c r="A17" s="49">
        <f>'Room List - Area Tracker'!A22</f>
        <v/>
      </c>
      <c r="B17" s="49">
        <f>IFERROR('Room List - Area Tracker'!F22,0)</f>
        <v/>
      </c>
      <c r="C17" s="49" t="n"/>
      <c r="D17" s="49" t="n"/>
      <c r="E17" s="49" t="n"/>
      <c r="F17" s="49" t="n"/>
      <c r="G17" s="49" t="n"/>
      <c r="H17" s="49" t="n"/>
      <c r="I17" s="49" t="n"/>
      <c r="J17" s="49" t="n"/>
      <c r="K17" s="49" t="n"/>
      <c r="L17" s="49" t="n"/>
      <c r="M17" s="49" t="inlineStr">
        <is>
          <t>Flooring</t>
        </is>
      </c>
      <c r="N17" s="49">
        <f>SUMIF('Master FF&amp;E Schedule'!$C$7:$C$306,M17,'Master FF&amp;E Schedule'!$T$7:$T$306)</f>
        <v/>
      </c>
    </row>
    <row r="18">
      <c r="A18" s="49">
        <f>'Room List - Area Tracker'!A23</f>
        <v/>
      </c>
      <c r="B18" s="49">
        <f>IFERROR('Room List - Area Tracker'!F23,0)</f>
        <v/>
      </c>
      <c r="C18" s="49" t="n"/>
      <c r="D18" s="49" t="n"/>
      <c r="E18" s="49" t="n"/>
      <c r="F18" s="49" t="n"/>
      <c r="G18" s="49" t="n"/>
      <c r="H18" s="49" t="n"/>
      <c r="I18" s="49" t="n"/>
      <c r="J18" s="49" t="n"/>
      <c r="K18" s="49" t="n"/>
      <c r="L18" s="49" t="n"/>
      <c r="M18" s="49" t="inlineStr">
        <is>
          <t>Wallcovering</t>
        </is>
      </c>
      <c r="N18" s="49">
        <f>SUMIF('Master FF&amp;E Schedule'!$C$7:$C$306,M18,'Master FF&amp;E Schedule'!$T$7:$T$306)</f>
        <v/>
      </c>
    </row>
    <row r="19">
      <c r="A19" s="49">
        <f>'Room List - Area Tracker'!A24</f>
        <v/>
      </c>
      <c r="B19" s="49">
        <f>IFERROR('Room List - Area Tracker'!F24,0)</f>
        <v/>
      </c>
      <c r="C19" s="49" t="n"/>
      <c r="D19" s="49" t="n"/>
      <c r="E19" s="49" t="n"/>
      <c r="F19" s="49" t="n"/>
      <c r="G19" s="49" t="n"/>
      <c r="H19" s="49" t="n"/>
      <c r="I19" s="49" t="n"/>
      <c r="J19" s="49" t="n"/>
      <c r="K19" s="49" t="n"/>
      <c r="L19" s="49" t="n"/>
      <c r="M19" s="49" t="inlineStr">
        <is>
          <t>Other</t>
        </is>
      </c>
      <c r="N19" s="49">
        <f>SUMIF('Master FF&amp;E Schedule'!$C$7:$C$306,M19,'Master FF&amp;E Schedule'!$T$7:$T$306)</f>
        <v/>
      </c>
    </row>
    <row r="20">
      <c r="A20" s="49">
        <f>'Room List - Area Tracker'!A25</f>
        <v/>
      </c>
      <c r="B20" s="49">
        <f>IFERROR('Room List - Area Tracker'!F25,0)</f>
        <v/>
      </c>
      <c r="C20" s="49" t="n"/>
      <c r="D20" s="49" t="n"/>
      <c r="E20" s="49" t="n"/>
      <c r="F20" s="49" t="n"/>
      <c r="G20" s="49" t="n"/>
      <c r="H20" s="49" t="n"/>
      <c r="I20" s="49" t="n"/>
      <c r="J20" s="49" t="n"/>
      <c r="K20" s="49" t="n"/>
      <c r="L20" s="49" t="n"/>
      <c r="M20" s="49" t="n"/>
      <c r="N20" s="49" t="n"/>
    </row>
    <row r="21">
      <c r="A21" s="49">
        <f>'Room List - Area Tracker'!A26</f>
        <v/>
      </c>
      <c r="B21" s="49">
        <f>IFERROR('Room List - Area Tracker'!F26,0)</f>
        <v/>
      </c>
      <c r="C21" s="49" t="n"/>
      <c r="D21" s="49" t="n"/>
      <c r="E21" s="49" t="n"/>
      <c r="F21" s="49" t="n"/>
      <c r="G21" s="49" t="n"/>
      <c r="H21" s="49" t="n"/>
      <c r="I21" s="49" t="n"/>
      <c r="J21" s="49" t="n"/>
      <c r="K21" s="49" t="n"/>
      <c r="L21" s="49" t="n"/>
      <c r="M21" s="49" t="n"/>
      <c r="N21" s="49" t="n"/>
    </row>
    <row r="22">
      <c r="A22" s="49">
        <f>'Room List - Area Tracker'!A27</f>
        <v/>
      </c>
      <c r="B22" s="49">
        <f>IFERROR('Room List - Area Tracker'!F27,0)</f>
        <v/>
      </c>
      <c r="C22" s="49" t="n"/>
      <c r="D22" s="49" t="n"/>
      <c r="E22" s="49" t="n"/>
      <c r="F22" s="49" t="n"/>
      <c r="G22" s="49" t="n"/>
      <c r="H22" s="49" t="n"/>
      <c r="I22" s="49" t="n"/>
      <c r="J22" s="49" t="n"/>
      <c r="K22" s="49" t="n"/>
      <c r="L22" s="49" t="n"/>
      <c r="M22" s="49" t="n"/>
      <c r="N22" s="49" t="n"/>
    </row>
    <row r="23">
      <c r="A23" s="49">
        <f>'Room List - Area Tracker'!A28</f>
        <v/>
      </c>
      <c r="B23" s="49">
        <f>IFERROR('Room List - Area Tracker'!F28,0)</f>
        <v/>
      </c>
      <c r="C23" s="49" t="n"/>
      <c r="D23" s="49" t="n"/>
      <c r="E23" s="49" t="n"/>
      <c r="F23" s="49" t="n"/>
      <c r="G23" s="49" t="n"/>
      <c r="H23" s="49" t="n"/>
      <c r="I23" s="49" t="n"/>
      <c r="J23" s="49" t="n"/>
      <c r="K23" s="49" t="n"/>
      <c r="L23" s="49" t="n"/>
      <c r="M23" s="49" t="n"/>
      <c r="N23" s="49" t="n"/>
    </row>
    <row r="24">
      <c r="A24" s="49">
        <f>'Room List - Area Tracker'!A29</f>
        <v/>
      </c>
      <c r="B24" s="49">
        <f>IFERROR('Room List - Area Tracker'!F29,0)</f>
        <v/>
      </c>
      <c r="C24" s="49" t="n"/>
      <c r="D24" s="49" t="n"/>
      <c r="E24" s="49" t="n"/>
      <c r="F24" s="49" t="n"/>
      <c r="G24" s="49" t="n"/>
      <c r="H24" s="49" t="n"/>
      <c r="I24" s="49" t="n"/>
      <c r="J24" s="49" t="n"/>
      <c r="K24" s="49" t="n"/>
      <c r="L24" s="49" t="n"/>
      <c r="M24" s="49" t="n"/>
      <c r="N24" s="49" t="n"/>
    </row>
    <row r="25">
      <c r="A25" s="49">
        <f>'Room List - Area Tracker'!A30</f>
        <v/>
      </c>
      <c r="B25" s="49">
        <f>IFERROR('Room List - Area Tracker'!F30,0)</f>
        <v/>
      </c>
      <c r="C25" s="49" t="n"/>
      <c r="D25" s="49" t="n"/>
      <c r="E25" s="49" t="n"/>
      <c r="F25" s="49" t="n"/>
      <c r="G25" s="49" t="n"/>
      <c r="H25" s="49" t="n"/>
      <c r="I25" s="49" t="n"/>
      <c r="J25" s="49" t="n"/>
      <c r="K25" s="49" t="n"/>
      <c r="L25" s="49" t="n"/>
      <c r="M25" s="49" t="n"/>
      <c r="N25" s="49" t="n"/>
    </row>
    <row r="26">
      <c r="A26" s="49">
        <f>'Room List - Area Tracker'!A31</f>
        <v/>
      </c>
      <c r="B26" s="49">
        <f>IFERROR('Room List - Area Tracker'!F31,0)</f>
        <v/>
      </c>
      <c r="C26" s="49" t="n"/>
      <c r="D26" s="49" t="n"/>
      <c r="E26" s="49" t="n"/>
      <c r="F26" s="49" t="n"/>
      <c r="G26" s="49" t="n"/>
      <c r="H26" s="49" t="n"/>
      <c r="I26" s="49" t="n"/>
      <c r="J26" s="49" t="n"/>
      <c r="K26" s="49" t="n"/>
      <c r="L26" s="49" t="n"/>
      <c r="M26" s="49" t="n"/>
      <c r="N26" s="49" t="n"/>
    </row>
    <row r="27">
      <c r="A27" s="49">
        <f>'Room List - Area Tracker'!A32</f>
        <v/>
      </c>
      <c r="B27" s="49">
        <f>IFERROR('Room List - Area Tracker'!F32,0)</f>
        <v/>
      </c>
      <c r="C27" s="49" t="n"/>
      <c r="D27" s="49" t="n"/>
      <c r="E27" s="49" t="n"/>
      <c r="F27" s="49" t="n"/>
      <c r="G27" s="49" t="n"/>
      <c r="H27" s="49" t="n"/>
      <c r="I27" s="49" t="n"/>
      <c r="J27" s="49" t="n"/>
      <c r="K27" s="49" t="n"/>
      <c r="L27" s="49" t="n"/>
      <c r="M27" s="49" t="n"/>
      <c r="N27" s="49" t="n"/>
    </row>
    <row r="28">
      <c r="A28" s="49">
        <f>'Room List - Area Tracker'!A33</f>
        <v/>
      </c>
      <c r="B28" s="49">
        <f>IFERROR('Room List - Area Tracker'!F33,0)</f>
        <v/>
      </c>
      <c r="C28" s="49" t="n"/>
      <c r="D28" s="49" t="n"/>
      <c r="E28" s="49" t="n"/>
      <c r="F28" s="49" t="n"/>
      <c r="G28" s="49" t="n"/>
      <c r="H28" s="49" t="n"/>
      <c r="I28" s="49" t="n"/>
      <c r="J28" s="49" t="n"/>
      <c r="K28" s="49" t="n"/>
      <c r="L28" s="49" t="n"/>
      <c r="M28" s="49" t="n"/>
      <c r="N28" s="49" t="n"/>
    </row>
    <row r="29">
      <c r="A29" s="49">
        <f>'Room List - Area Tracker'!A34</f>
        <v/>
      </c>
      <c r="B29" s="49">
        <f>IFERROR('Room List - Area Tracker'!F34,0)</f>
        <v/>
      </c>
      <c r="C29" s="49" t="n"/>
      <c r="D29" s="49" t="n"/>
      <c r="E29" s="49" t="n"/>
      <c r="F29" s="49" t="n"/>
      <c r="G29" s="49" t="n"/>
      <c r="H29" s="49" t="n"/>
      <c r="I29" s="49" t="n"/>
      <c r="J29" s="49" t="n"/>
      <c r="K29" s="49" t="n"/>
      <c r="L29" s="49" t="n"/>
      <c r="M29" s="49" t="n"/>
      <c r="N29" s="49" t="n"/>
    </row>
    <row r="30">
      <c r="A30" s="49">
        <f>'Room List - Area Tracker'!A35</f>
        <v/>
      </c>
      <c r="B30" s="49">
        <f>IFERROR('Room List - Area Tracker'!F35,0)</f>
        <v/>
      </c>
      <c r="C30" s="49" t="n"/>
      <c r="D30" s="49" t="n"/>
      <c r="E30" s="49" t="n"/>
      <c r="F30" s="49" t="n"/>
      <c r="G30" s="49" t="n"/>
      <c r="H30" s="49" t="n"/>
      <c r="I30" s="49" t="n"/>
      <c r="J30" s="49" t="n"/>
      <c r="K30" s="49" t="n"/>
      <c r="L30" s="49" t="n"/>
      <c r="M30" s="49" t="n"/>
      <c r="N30" s="49" t="n"/>
    </row>
    <row r="31">
      <c r="A31" s="49">
        <f>'Room List - Area Tracker'!A36</f>
        <v/>
      </c>
      <c r="B31" s="49">
        <f>IFERROR('Room List - Area Tracker'!F36,0)</f>
        <v/>
      </c>
      <c r="C31" s="49" t="n"/>
      <c r="D31" s="49" t="n"/>
      <c r="E31" s="49" t="n"/>
      <c r="F31" s="49" t="n"/>
      <c r="G31" s="49" t="n"/>
      <c r="H31" s="49" t="n"/>
      <c r="I31" s="49" t="n"/>
      <c r="J31" s="49" t="n"/>
      <c r="K31" s="49" t="n"/>
      <c r="L31" s="49" t="n"/>
      <c r="M31" s="49" t="n"/>
      <c r="N31" s="49" t="n"/>
    </row>
    <row r="32">
      <c r="A32" s="49">
        <f>'Room List - Area Tracker'!A37</f>
        <v/>
      </c>
      <c r="B32" s="49">
        <f>IFERROR('Room List - Area Tracker'!F37,0)</f>
        <v/>
      </c>
      <c r="C32" s="49" t="n"/>
      <c r="D32" s="49" t="n"/>
      <c r="E32" s="49" t="n"/>
      <c r="F32" s="49" t="n"/>
      <c r="G32" s="49" t="n"/>
      <c r="H32" s="49" t="n"/>
      <c r="I32" s="49" t="n"/>
      <c r="J32" s="49" t="n"/>
      <c r="K32" s="49" t="n"/>
      <c r="L32" s="49" t="n"/>
      <c r="M32" s="49" t="n"/>
      <c r="N32" s="49" t="n"/>
    </row>
    <row r="33">
      <c r="A33" s="49">
        <f>'Room List - Area Tracker'!A38</f>
        <v/>
      </c>
      <c r="B33" s="49">
        <f>IFERROR('Room List - Area Tracker'!F38,0)</f>
        <v/>
      </c>
      <c r="C33" s="49" t="n"/>
      <c r="D33" s="49" t="n"/>
      <c r="E33" s="49" t="n"/>
      <c r="F33" s="49" t="n"/>
      <c r="G33" s="49" t="n"/>
      <c r="H33" s="49" t="n"/>
      <c r="I33" s="49" t="n"/>
      <c r="J33" s="49" t="n"/>
      <c r="K33" s="49" t="n"/>
      <c r="L33" s="49" t="n"/>
      <c r="M33" s="49" t="n"/>
      <c r="N33" s="49" t="n"/>
    </row>
    <row r="34">
      <c r="A34" s="49">
        <f>'Room List - Area Tracker'!A39</f>
        <v/>
      </c>
      <c r="B34" s="49">
        <f>IFERROR('Room List - Area Tracker'!F39,0)</f>
        <v/>
      </c>
      <c r="C34" s="49" t="n"/>
      <c r="D34" s="49" t="n"/>
      <c r="E34" s="49" t="n"/>
      <c r="F34" s="49" t="n"/>
      <c r="G34" s="49" t="n"/>
      <c r="H34" s="49" t="n"/>
      <c r="I34" s="49" t="n"/>
      <c r="J34" s="49" t="n"/>
      <c r="K34" s="49" t="n"/>
      <c r="L34" s="49" t="n"/>
      <c r="M34" s="49" t="n"/>
      <c r="N34" s="49" t="n"/>
    </row>
    <row r="35">
      <c r="A35" s="49">
        <f>'Room List - Area Tracker'!A40</f>
        <v/>
      </c>
      <c r="B35" s="49">
        <f>IFERROR('Room List - Area Tracker'!F40,0)</f>
        <v/>
      </c>
      <c r="C35" s="49" t="n"/>
      <c r="D35" s="49" t="n"/>
      <c r="E35" s="49" t="n"/>
      <c r="F35" s="49" t="n"/>
      <c r="G35" s="49" t="n"/>
      <c r="H35" s="49" t="n"/>
      <c r="I35" s="49" t="n"/>
      <c r="J35" s="49" t="n"/>
      <c r="K35" s="49" t="n"/>
      <c r="L35" s="49" t="n"/>
      <c r="M35" s="49" t="n"/>
      <c r="N35" s="49" t="n"/>
    </row>
    <row r="36">
      <c r="A36" s="49">
        <f>'Room List - Area Tracker'!A41</f>
        <v/>
      </c>
      <c r="B36" s="49">
        <f>IFERROR('Room List - Area Tracker'!F41,0)</f>
        <v/>
      </c>
      <c r="C36" s="49" t="n"/>
      <c r="D36" s="49" t="n"/>
      <c r="E36" s="49" t="n"/>
      <c r="F36" s="49" t="n"/>
      <c r="G36" s="49" t="n"/>
      <c r="H36" s="49" t="n"/>
      <c r="I36" s="49" t="n"/>
      <c r="J36" s="49" t="n"/>
      <c r="K36" s="49" t="n"/>
      <c r="L36" s="49" t="n"/>
      <c r="M36" s="49" t="n"/>
      <c r="N36" s="49" t="n"/>
    </row>
    <row r="37">
      <c r="A37" s="49">
        <f>'Room List - Area Tracker'!A42</f>
        <v/>
      </c>
      <c r="B37" s="49">
        <f>IFERROR('Room List - Area Tracker'!F42,0)</f>
        <v/>
      </c>
      <c r="C37" s="49" t="n"/>
      <c r="D37" s="49" t="n"/>
      <c r="E37" s="49" t="n"/>
      <c r="F37" s="49" t="n"/>
      <c r="G37" s="49" t="n"/>
      <c r="H37" s="49" t="n"/>
      <c r="I37" s="49" t="n"/>
      <c r="J37" s="49" t="n"/>
      <c r="K37" s="49" t="n"/>
      <c r="L37" s="49" t="n"/>
      <c r="M37" s="49" t="n"/>
      <c r="N37" s="49" t="n"/>
    </row>
    <row r="38">
      <c r="A38" s="49">
        <f>'Room List - Area Tracker'!A43</f>
        <v/>
      </c>
      <c r="B38" s="49">
        <f>IFERROR('Room List - Area Tracker'!F43,0)</f>
        <v/>
      </c>
      <c r="C38" s="49" t="n"/>
      <c r="D38" s="49" t="n"/>
      <c r="E38" s="49" t="n"/>
      <c r="F38" s="49" t="n"/>
      <c r="G38" s="49" t="n"/>
      <c r="H38" s="49" t="n"/>
      <c r="I38" s="49" t="n"/>
      <c r="J38" s="49" t="n"/>
      <c r="K38" s="49" t="n"/>
      <c r="L38" s="49" t="n"/>
      <c r="M38" s="49" t="n"/>
      <c r="N38" s="49" t="n"/>
    </row>
    <row r="39">
      <c r="A39" s="49">
        <f>'Room List - Area Tracker'!A44</f>
        <v/>
      </c>
      <c r="B39" s="49">
        <f>IFERROR('Room List - Area Tracker'!F44,0)</f>
        <v/>
      </c>
      <c r="C39" s="49" t="n"/>
      <c r="D39" s="49" t="n"/>
      <c r="E39" s="49" t="n"/>
      <c r="F39" s="49" t="n"/>
      <c r="G39" s="49" t="n"/>
      <c r="H39" s="49" t="n"/>
      <c r="I39" s="49" t="n"/>
      <c r="J39" s="49" t="n"/>
      <c r="K39" s="49" t="n"/>
      <c r="L39" s="49" t="n"/>
      <c r="M39" s="49" t="n"/>
      <c r="N39" s="49" t="n"/>
    </row>
    <row r="40">
      <c r="A40">
        <f>'Room List - Area Tracker'!A45</f>
        <v/>
      </c>
      <c r="B40">
        <f>IFERROR('Room List - Area Tracker'!F45,0)</f>
        <v/>
      </c>
    </row>
    <row r="41">
      <c r="A41">
        <f>'Room List - Area Tracker'!A46</f>
        <v/>
      </c>
      <c r="B41">
        <f>IFERROR('Room List - Area Tracker'!F46,0)</f>
        <v/>
      </c>
    </row>
    <row r="42">
      <c r="A42">
        <f>'Room List - Area Tracker'!A47</f>
        <v/>
      </c>
      <c r="B42">
        <f>IFERROR('Room List - Area Tracker'!F47,0)</f>
        <v/>
      </c>
    </row>
    <row r="43">
      <c r="A43">
        <f>'Room List - Area Tracker'!A48</f>
        <v/>
      </c>
      <c r="B43">
        <f>IFERROR('Room List - Area Tracker'!F48,0)</f>
        <v/>
      </c>
    </row>
    <row r="44">
      <c r="A44">
        <f>'Room List - Area Tracker'!A49</f>
        <v/>
      </c>
      <c r="B44">
        <f>IFERROR('Room List - Area Tracker'!F49,0)</f>
        <v/>
      </c>
    </row>
    <row r="45">
      <c r="A45">
        <f>'Room List - Area Tracker'!A50</f>
        <v/>
      </c>
      <c r="B45">
        <f>IFERROR('Room List - Area Tracker'!F50,0)</f>
        <v/>
      </c>
    </row>
    <row r="46">
      <c r="A46">
        <f>'Room List - Area Tracker'!A51</f>
        <v/>
      </c>
      <c r="B46">
        <f>IFERROR('Room List - Area Tracker'!F51,0)</f>
        <v/>
      </c>
    </row>
    <row r="47">
      <c r="A47">
        <f>'Room List - Area Tracker'!A52</f>
        <v/>
      </c>
      <c r="B47">
        <f>IFERROR('Room List - Area Tracker'!F52,0)</f>
        <v/>
      </c>
    </row>
    <row r="48">
      <c r="A48">
        <f>'Room List - Area Tracker'!A53</f>
        <v/>
      </c>
      <c r="B48">
        <f>IFERROR('Room List - Area Tracker'!F53,0)</f>
        <v/>
      </c>
    </row>
    <row r="49">
      <c r="A49">
        <f>'Room List - Area Tracker'!A54</f>
        <v/>
      </c>
      <c r="B49">
        <f>IFERROR('Room List - Area Tracker'!F54,0)</f>
        <v/>
      </c>
    </row>
    <row r="50">
      <c r="A50">
        <f>'Room List - Area Tracker'!A55</f>
        <v/>
      </c>
      <c r="B50">
        <f>IFERROR('Room List - Area Tracker'!F55,0)</f>
        <v/>
      </c>
    </row>
    <row r="51">
      <c r="A51">
        <f>'Room List - Area Tracker'!A56</f>
        <v/>
      </c>
      <c r="B51">
        <f>IFERROR('Room List - Area Tracker'!F56,0)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Interior Design Project Hub</dc:creator>
  <dc:title>Interior Design Project Hub</dc:title>
  <dc:description>Google Sheets and Microsoft Excel compatible interior design project tracker template.</dc:description>
  <dc:subject>Editable interior design project management spreadsheet</dc:subject>
  <dcterms:created xsi:type="dcterms:W3CDTF">2026-07-14T05:54:09Z</dcterms:created>
  <dcterms:modified xsi:type="dcterms:W3CDTF">2026-07-14T05:54:14Z</dcterms:modified>
</cp:coreProperties>
</file>