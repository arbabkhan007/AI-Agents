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+ Setup" sheetId="1" state="visible" r:id="rId1"/>
    <sheet name="Unit Conversion" sheetId="2" state="visible" r:id="rId2"/>
    <sheet name="Ingredients + Stock" sheetId="3" state="visible" r:id="rId3"/>
    <sheet name="Recipe Library" sheetId="4" state="visible" r:id="rId4"/>
    <sheet name="Recipe Calculator" sheetId="5" state="visible" r:id="rId5"/>
    <sheet name="Product List" sheetId="6" state="visible" r:id="rId6"/>
    <sheet name="Overhead Expenses" sheetId="7" state="visible" r:id="rId7"/>
    <sheet name="Startup Costs" sheetId="8" state="visible" r:id="rId8"/>
    <sheet name="Dashboard" sheetId="9" state="visible" r:id="rId9"/>
    <sheet name="Orders" sheetId="10" state="visible" r:id="rId10"/>
    <sheet name="Bookkeeping" sheetId="11" state="visible" r:id="rId11"/>
    <sheet name="Markets &amp; Events" sheetId="12" state="visible" r:id="rId12"/>
    <sheet name="Customers" sheetId="13" state="visible" r:id="rId13"/>
    <sheet name="Analytics (BONUS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$#,##0.00"/>
    <numFmt numFmtId="166" formatCode="0.0000"/>
    <numFmt numFmtId="167" formatCode="$0.0000"/>
    <numFmt numFmtId="168" formatCode="0.0%"/>
    <numFmt numFmtId="169" formatCode="0.0"/>
    <numFmt numFmtId="170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A46A5A"/>
      <sz val="20"/>
    </font>
    <font>
      <name val="Calibri"/>
      <b val="1"/>
      <i val="1"/>
      <color rgb="007A9E7E"/>
      <sz val="10"/>
    </font>
    <font>
      <name val="Calibri"/>
      <color rgb="002B2B2B"/>
      <sz val="11"/>
    </font>
    <font>
      <b val="1"/>
      <color rgb="00A46A5A"/>
      <sz val="10"/>
    </font>
    <font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B2B2B"/>
      <sz val="11"/>
    </font>
    <font>
      <b val="1"/>
      <sz val="11"/>
    </font>
    <font>
      <b val="1"/>
      <color rgb="00FFFFFF"/>
      <sz val="11"/>
    </font>
    <font>
      <name val="Calibri"/>
      <b val="1"/>
      <color rgb="00A46A5A"/>
      <sz val="16"/>
    </font>
    <font>
      <i val="1"/>
      <color rgb="008B0000"/>
    </font>
    <font>
      <b val="1"/>
      <sz val="12"/>
    </font>
    <font>
      <b val="1"/>
      <color rgb="00A46A5A"/>
      <sz val="12"/>
    </font>
    <font>
      <b val="1"/>
      <color rgb="00A46A5A"/>
      <sz val="14"/>
    </font>
    <font>
      <b val="1"/>
      <color rgb="00A46A5A"/>
    </font>
    <font>
      <b val="1"/>
    </font>
    <font>
      <name val="Calibri"/>
      <color rgb="000563C1"/>
      <sz val="11"/>
      <u val="single"/>
    </font>
    <font>
      <name val="Calibri"/>
      <b val="1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007A9E7E"/>
        <bgColor rgb="007A9E7E"/>
      </patternFill>
    </fill>
    <fill>
      <patternFill patternType="solid">
        <fgColor rgb="00A46A5A"/>
        <bgColor rgb="00A46A5A"/>
      </patternFill>
    </fill>
    <fill>
      <patternFill patternType="solid">
        <fgColor rgb="00FFF8F0"/>
        <bgColor rgb="00FFF8F0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9E4B7"/>
        <bgColor rgb="00F9E4B7"/>
      </patternFill>
    </fill>
    <fill>
      <patternFill patternType="solid">
        <fgColor rgb="00B7D8B6"/>
        <bgColor rgb="00B7D8B6"/>
      </patternFill>
    </fill>
    <fill>
      <patternFill patternType="solid">
        <fgColor rgb="00FADCD9"/>
        <bgColor rgb="00FADCD9"/>
      </patternFill>
    </fill>
    <fill>
      <patternFill patternType="solid">
        <fgColor rgb="008B5A4B"/>
        <bgColor rgb="008B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3" borderId="0" pivotButton="0" quotePrefix="0" xfId="0"/>
    <xf numFmtId="0" fontId="7" fillId="0" borderId="0" pivotButton="0" quotePrefix="0" xfId="0"/>
    <xf numFmtId="0" fontId="8" fillId="6" borderId="1" pivotButton="0" quotePrefix="0" xfId="0"/>
    <xf numFmtId="164" fontId="8" fillId="6" borderId="1" pivotButton="0" quotePrefix="0" xfId="0"/>
    <xf numFmtId="0" fontId="17" fillId="0" borderId="0" pivotButton="0" quotePrefix="0" xfId="0"/>
    <xf numFmtId="0" fontId="9" fillId="2" borderId="0" pivotButton="0" quotePrefix="0" xfId="0"/>
    <xf numFmtId="0" fontId="18" fillId="5" borderId="1" applyAlignment="1" pivotButton="0" quotePrefix="0" xfId="0">
      <alignment vertical="center" wrapText="1"/>
    </xf>
    <xf numFmtId="0" fontId="18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165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5" fontId="7" fillId="0" borderId="0" pivotButton="0" quotePrefix="0" xfId="0"/>
    <xf numFmtId="0" fontId="9" fillId="3" borderId="0" pivotButton="0" quotePrefix="0" xfId="0"/>
    <xf numFmtId="167" fontId="0" fillId="5" borderId="1" applyAlignment="1" pivotButton="0" quotePrefix="0" xfId="0">
      <alignment vertical="center" wrapText="1"/>
    </xf>
    <xf numFmtId="167" fontId="0" fillId="4" borderId="1" applyAlignment="1" pivotButton="0" quotePrefix="0" xfId="0">
      <alignment vertical="center" wrapText="1"/>
    </xf>
    <xf numFmtId="0" fontId="12" fillId="6" borderId="0" pivotButton="0" quotePrefix="0" xfId="0"/>
    <xf numFmtId="0" fontId="0" fillId="6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7" fillId="7" borderId="0" pivotButton="0" quotePrefix="0" xfId="0"/>
    <xf numFmtId="165" fontId="0" fillId="6" borderId="0" pivotButton="0" quotePrefix="0" xfId="0"/>
    <xf numFmtId="168" fontId="0" fillId="6" borderId="0" pivotButton="0" quotePrefix="0" xfId="0"/>
    <xf numFmtId="165" fontId="12" fillId="8" borderId="0" pivotButton="0" quotePrefix="0" xfId="0"/>
    <xf numFmtId="0" fontId="13" fillId="0" borderId="0" pivotButton="0" quotePrefix="0" xfId="0"/>
    <xf numFmtId="165" fontId="14" fillId="9" borderId="0" pivotButton="0" quotePrefix="0" xfId="0"/>
    <xf numFmtId="168" fontId="0" fillId="5" borderId="1" applyAlignment="1" pivotButton="0" quotePrefix="0" xfId="0">
      <alignment vertical="center" wrapText="1"/>
    </xf>
    <xf numFmtId="168" fontId="0" fillId="4" borderId="1" applyAlignment="1" pivotButton="0" quotePrefix="0" xfId="0">
      <alignment vertical="center" wrapText="1"/>
    </xf>
    <xf numFmtId="0" fontId="5" fillId="10" borderId="0" pivotButton="0" quotePrefix="0" xfId="0"/>
    <xf numFmtId="165" fontId="15" fillId="0" borderId="0" pivotButton="0" quotePrefix="0" xfId="0"/>
    <xf numFmtId="0" fontId="7" fillId="7" borderId="0" pivotButton="0" quotePrefix="0" xfId="0"/>
    <xf numFmtId="165" fontId="12" fillId="7" borderId="0" pivotButton="0" quotePrefix="0" xfId="0"/>
    <xf numFmtId="0" fontId="7" fillId="4" borderId="1" applyAlignment="1" pivotButton="0" quotePrefix="0" xfId="0">
      <alignment vertical="center" wrapText="1"/>
    </xf>
    <xf numFmtId="165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5" fontId="7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5" fontId="7" fillId="6" borderId="1" applyAlignment="1" pivotButton="0" quotePrefix="0" xfId="0">
      <alignment vertical="center" wrapText="1"/>
    </xf>
    <xf numFmtId="168" fontId="7" fillId="4" borderId="1" applyAlignment="1" pivotButton="0" quotePrefix="0" xfId="0">
      <alignment vertical="center" wrapText="1"/>
    </xf>
    <xf numFmtId="164" fontId="0" fillId="6" borderId="0" pivotButton="0" quotePrefix="0" xfId="0"/>
    <xf numFmtId="165" fontId="14" fillId="7" borderId="0" pivotButton="0" quotePrefix="0" xfId="0"/>
    <xf numFmtId="165" fontId="3" fillId="6" borderId="1" applyAlignment="1" pivotButton="0" quotePrefix="0" xfId="0">
      <alignment vertical="center" wrapText="1"/>
    </xf>
    <xf numFmtId="169" fontId="13" fillId="4" borderId="1" applyAlignment="1" pivotButton="0" quotePrefix="0" xfId="0">
      <alignment vertical="center" wrapText="1"/>
    </xf>
    <xf numFmtId="170" fontId="7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169" fontId="3" fillId="4" borderId="1" applyAlignment="1" pivotButton="0" quotePrefix="0" xfId="0">
      <alignment vertical="center" wrapText="1"/>
    </xf>
    <xf numFmtId="168" fontId="3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2" borderId="0" applyProtection="1" pivotButton="0" quotePrefix="0" xfId="0"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applyProtection="1" pivotButton="0" quotePrefix="0" xfId="0">
      <alignment vertical="center" wrapText="1"/>
      <protection locked="0" hidden="0"/>
    </xf>
    <xf numFmtId="0" fontId="0" fillId="5" borderId="1" applyAlignment="1" applyProtection="1" pivotButton="0" quotePrefix="0" xfId="0">
      <alignment vertical="center" wrapText="1"/>
      <protection locked="0" hidden="0"/>
    </xf>
    <xf numFmtId="0" fontId="5" fillId="3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8" fillId="6" borderId="1" applyProtection="1" pivotButton="0" quotePrefix="0" xfId="0">
      <protection locked="0" hidden="0"/>
    </xf>
    <xf numFmtId="164" fontId="8" fillId="6" borderId="1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9" fillId="2" borderId="0" applyProtection="1" pivotButton="0" quotePrefix="0" xfId="0">
      <protection locked="0" hidden="0"/>
    </xf>
    <xf numFmtId="0" fontId="18" fillId="5" borderId="1" applyAlignment="1" applyProtection="1" pivotButton="0" quotePrefix="0" xfId="0">
      <alignment vertical="center" wrapText="1"/>
      <protection locked="0" hidden="0"/>
    </xf>
    <xf numFmtId="0" fontId="18" fillId="4" borderId="1" applyAlignment="1" applyProtection="1" pivotButton="0" quotePrefix="0" xfId="0">
      <alignment vertical="center" wrapText="1"/>
      <protection locked="0" hidden="0"/>
    </xf>
    <xf numFmtId="0" fontId="7" fillId="5" borderId="1" applyAlignment="1" applyProtection="1" pivotButton="0" quotePrefix="0" xfId="0">
      <alignment vertical="center" wrapText="1"/>
      <protection locked="0" hidden="0"/>
    </xf>
    <xf numFmtId="0" fontId="11" fillId="0" borderId="0" applyProtection="1" pivotButton="0" quotePrefix="0" xfId="0">
      <protection locked="0" hidden="0"/>
    </xf>
    <xf numFmtId="165" fontId="0" fillId="4" borderId="1" applyAlignment="1" applyProtection="1" pivotButton="0" quotePrefix="0" xfId="0">
      <alignment vertical="center" wrapText="1"/>
      <protection locked="0" hidden="0"/>
    </xf>
    <xf numFmtId="166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4" fontId="0" fillId="4" borderId="1" applyAlignment="1" applyProtection="1" pivotButton="0" quotePrefix="0" xfId="0">
      <alignment vertical="center" wrapText="1"/>
      <protection locked="0" hidden="0"/>
    </xf>
    <xf numFmtId="165" fontId="0" fillId="5" borderId="1" applyAlignment="1" applyProtection="1" pivotButton="0" quotePrefix="0" xfId="0">
      <alignment vertical="center" wrapText="1"/>
      <protection locked="0" hidden="0"/>
    </xf>
    <xf numFmtId="166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4" fontId="0" fillId="5" borderId="1" applyAlignment="1" applyProtection="1" pivotButton="0" quotePrefix="0" xfId="0">
      <alignment vertical="center" wrapText="1"/>
      <protection locked="0" hidden="0"/>
    </xf>
    <xf numFmtId="165" fontId="7" fillId="0" borderId="0" pivotButton="0" quotePrefix="0" xfId="0"/>
    <xf numFmtId="0" fontId="9" fillId="3" borderId="0" applyProtection="1" pivotButton="0" quotePrefix="0" xfId="0">
      <protection locked="0" hidden="0"/>
    </xf>
    <xf numFmtId="167" fontId="0" fillId="5" borderId="1" applyAlignment="1" pivotButton="0" quotePrefix="0" xfId="0">
      <alignment vertical="center" wrapText="1"/>
    </xf>
    <xf numFmtId="167" fontId="0" fillId="4" borderId="1" applyAlignment="1" pivotButton="0" quotePrefix="0" xfId="0">
      <alignment vertical="center" wrapText="1"/>
    </xf>
    <xf numFmtId="0" fontId="12" fillId="6" borderId="0" applyProtection="1" pivotButton="0" quotePrefix="0" xfId="0">
      <protection locked="0" hidden="0"/>
    </xf>
    <xf numFmtId="0" fontId="0" fillId="6" borderId="0" applyProtection="1" pivotButton="0" quotePrefix="0" xfId="0">
      <protection locked="0" hidden="0"/>
    </xf>
    <xf numFmtId="167" fontId="0" fillId="0" borderId="0" pivotButton="0" quotePrefix="0" xfId="0"/>
    <xf numFmtId="165" fontId="0" fillId="0" borderId="0" pivotButton="0" quotePrefix="0" xfId="0"/>
    <xf numFmtId="165" fontId="7" fillId="7" borderId="0" pivotButton="0" quotePrefix="0" xfId="0"/>
    <xf numFmtId="165" fontId="0" fillId="6" borderId="0" applyProtection="1" pivotButton="0" quotePrefix="0" xfId="0">
      <protection locked="0" hidden="0"/>
    </xf>
    <xf numFmtId="168" fontId="0" fillId="6" borderId="0" applyProtection="1" pivotButton="0" quotePrefix="0" xfId="0">
      <protection locked="0" hidden="0"/>
    </xf>
    <xf numFmtId="165" fontId="12" fillId="8" borderId="0" pivotButton="0" quotePrefix="0" xfId="0"/>
    <xf numFmtId="0" fontId="13" fillId="0" borderId="0" applyProtection="1" pivotButton="0" quotePrefix="0" xfId="0">
      <protection locked="0" hidden="0"/>
    </xf>
    <xf numFmtId="165" fontId="14" fillId="9" borderId="0" pivotButton="0" quotePrefix="0" xfId="0"/>
    <xf numFmtId="168" fontId="0" fillId="5" borderId="1" applyAlignment="1" pivotButton="0" quotePrefix="0" xfId="0">
      <alignment vertical="center" wrapText="1"/>
    </xf>
    <xf numFmtId="168" fontId="0" fillId="4" borderId="1" applyAlignment="1" pivotButton="0" quotePrefix="0" xfId="0">
      <alignment vertical="center" wrapText="1"/>
    </xf>
    <xf numFmtId="0" fontId="5" fillId="10" borderId="0" applyProtection="1" pivotButton="0" quotePrefix="0" xfId="0">
      <protection locked="0" hidden="0"/>
    </xf>
    <xf numFmtId="165" fontId="15" fillId="0" borderId="0" pivotButton="0" quotePrefix="0" xfId="0"/>
    <xf numFmtId="0" fontId="7" fillId="7" borderId="0" applyProtection="1" pivotButton="0" quotePrefix="0" xfId="0">
      <protection locked="0" hidden="0"/>
    </xf>
    <xf numFmtId="165" fontId="12" fillId="7" borderId="0" pivotButton="0" quotePrefix="0" xfId="0"/>
    <xf numFmtId="0" fontId="7" fillId="4" borderId="1" applyAlignment="1" applyProtection="1" pivotButton="0" quotePrefix="0" xfId="0">
      <alignment vertical="center" wrapText="1"/>
      <protection locked="0" hidden="0"/>
    </xf>
    <xf numFmtId="165" fontId="7" fillId="4" borderId="1" applyAlignment="1" pivotButton="0" quotePrefix="0" xfId="0">
      <alignment vertical="center" wrapText="1"/>
    </xf>
    <xf numFmtId="0" fontId="3" fillId="4" borderId="1" applyAlignment="1" applyProtection="1" pivotButton="0" quotePrefix="0" xfId="0">
      <alignment vertical="center" wrapText="1"/>
      <protection locked="0" hidden="0"/>
    </xf>
    <xf numFmtId="165" fontId="7" fillId="5" borderId="1" applyAlignment="1" pivotButton="0" quotePrefix="0" xfId="0">
      <alignment vertical="center" wrapText="1"/>
    </xf>
    <xf numFmtId="0" fontId="3" fillId="5" borderId="1" applyAlignment="1" applyProtection="1" pivotButton="0" quotePrefix="0" xfId="0">
      <alignment vertical="center" wrapText="1"/>
      <protection locked="0" hidden="0"/>
    </xf>
    <xf numFmtId="165" fontId="7" fillId="6" borderId="1" applyAlignment="1" applyProtection="1" pivotButton="0" quotePrefix="0" xfId="0">
      <alignment vertical="center" wrapText="1"/>
      <protection locked="0" hidden="0"/>
    </xf>
    <xf numFmtId="168" fontId="7" fillId="4" borderId="1" applyAlignment="1" pivotButton="0" quotePrefix="0" xfId="0">
      <alignment vertical="center" wrapText="1"/>
    </xf>
    <xf numFmtId="164" fontId="0" fillId="6" borderId="0" applyProtection="1" pivotButton="0" quotePrefix="0" xfId="0">
      <protection locked="0" hidden="0"/>
    </xf>
    <xf numFmtId="165" fontId="14" fillId="7" borderId="0" pivotButton="0" quotePrefix="0" xfId="0"/>
    <xf numFmtId="165" fontId="3" fillId="6" borderId="1" applyAlignment="1" applyProtection="1" pivotButton="0" quotePrefix="0" xfId="0">
      <alignment vertical="center" wrapText="1"/>
      <protection locked="0" hidden="0"/>
    </xf>
    <xf numFmtId="169" fontId="13" fillId="4" borderId="1" applyAlignment="1" pivotButton="0" quotePrefix="0" xfId="0">
      <alignment vertical="center" wrapText="1"/>
    </xf>
    <xf numFmtId="170" fontId="7" fillId="5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9" fontId="3" fillId="4" borderId="1" applyAlignment="1" pivotButton="0" quotePrefix="0" xfId="0">
      <alignment vertical="center" wrapText="1"/>
    </xf>
    <xf numFmtId="168" fontId="3" fillId="4" borderId="1" applyAlignment="1" pivotButton="0" quotePrefix="0" xfId="0">
      <alignment vertical="center" wrapText="1"/>
    </xf>
    <xf numFmtId="164" fontId="0" fillId="6" borderId="1" applyAlignment="1" applyProtection="1" pivotButton="0" quotePrefix="0" xfId="0">
      <alignment vertical="center" wrapText="1"/>
      <protection locked="0" hidden="0"/>
    </xf>
    <xf numFmtId="0" fontId="0" fillId="6" borderId="1" applyAlignment="1" applyProtection="1" pivotButton="0" quotePrefix="0" xfId="0">
      <alignment vertical="center" wrapText="1"/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8A8A"/>
          <bgColor rgb="00FF8A8A"/>
        </patternFill>
      </fill>
    </dxf>
    <dxf>
      <fill>
        <patternFill patternType="solid">
          <fgColor rgb="00FFDCA8"/>
          <bgColor rgb="00FFDCA8"/>
        </patternFill>
      </fill>
    </dxf>
    <dxf>
      <fill>
        <patternFill patternType="solid">
          <fgColor rgb="00B7D8B6"/>
          <bgColor rgb="00B7D8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Overhead Breakdown</a:t>
            </a:r>
          </a:p>
        </rich>
      </tx>
    </title>
    <plotArea>
      <pieChart>
        <varyColors val="1"/>
        <ser>
          <idx val="0"/>
          <order val="0"/>
          <tx>
            <strRef>
              <f>'Overhead Expenses'!C4</f>
            </strRef>
          </tx>
          <spPr>
            <a:ln>
              <a:prstDash val="solid"/>
            </a:ln>
          </spPr>
          <cat>
            <numRef>
              <f>'Overhead Expenses'!$A$5:$A$16</f>
            </numRef>
          </cat>
          <val>
            <numRef>
              <f>'Overhead Expenses'!$C$5:$C$16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Break-Even: Cumulative Profit vs Startup Investment</a:t>
            </a:r>
          </a:p>
        </rich>
      </tx>
    </title>
    <plotArea>
      <lineChart>
        <grouping val="standard"/>
        <ser>
          <idx val="0"/>
          <order val="0"/>
          <tx>
            <strRef>
              <f>'Startup Costs'!C29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Costs'!$C$30:$C$53</f>
            </numRef>
          </val>
        </ser>
        <ser>
          <idx val="1"/>
          <order val="1"/>
          <tx>
            <strRef>
              <f>'Startup Costs'!F29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Costs'!$F$30:$F$53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Startup Costs Breakdown</a:t>
            </a:r>
          </a:p>
        </rich>
      </tx>
    </title>
    <plotArea>
      <pieChart>
        <varyColors val="1"/>
        <ser>
          <idx val="0"/>
          <order val="0"/>
          <tx>
            <strRef>
              <f>'Startup Costs'!C4</f>
            </strRef>
          </tx>
          <spPr>
            <a:ln>
              <a:prstDash val="solid"/>
            </a:ln>
          </spPr>
          <cat>
            <numRef>
              <f>'Startup Costs'!$A$5:$A$16</f>
            </numRef>
          </cat>
          <val>
            <numRef>
              <f>'Startup Costs'!$C$5:$C$16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A46A5A"/>
    <outlinePr summaryBelow="1" summaryRight="1"/>
    <pageSetUpPr/>
  </sheetPr>
  <dimension ref="A1:AD20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2" customWidth="1" min="4" max="4"/>
  </cols>
  <sheetData>
    <row r="1">
      <c r="A1" s="1" t="inlineStr">
        <is>
          <t>🧁 Cottage Bakery v4 — Donation Stand</t>
        </is>
      </c>
      <c r="C1" s="2" t="inlineStr">
        <is>
          <t>Free products + donations tracking (same layout as the Enhanced version)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7" t="inlineStr">
        <is>
          <t>Customer Review Improvements: Fixed missing formulas, room for more than 1 recipe, grams/lbs/ml/oz/tsp/tbsp conversion, overhead monthly tab, startup costs with break-even graphic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8" t="inlineStr">
        <is>
          <t>Password for formulas: premium | Yellow cells unlocked | White locked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9" t="inlineStr">
        <is>
          <t>📌 HOW IT WORKS v4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0" t="inlineStr">
        <is>
          <t>Step</t>
        </is>
      </c>
      <c r="B7" s="70" t="inlineStr">
        <is>
          <t>Action</t>
        </is>
      </c>
      <c r="C7" s="70" t="inlineStr">
        <is>
          <t>Time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1</t>
        </is>
      </c>
      <c r="B8" s="71" t="inlineStr">
        <is>
          <t>Edit Business Setup yellow cells B15-B26</t>
        </is>
      </c>
      <c r="C8" s="71" t="inlineStr">
        <is>
          <t>2 min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2</t>
        </is>
      </c>
      <c r="B9" s="72" t="inlineStr">
        <is>
          <t>Add ingredients in Ingredients + Stock - set unit, cost, stock</t>
        </is>
      </c>
      <c r="C9" s="72" t="inlineStr">
        <is>
          <t>5 min</t>
        </is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inlineStr">
        <is>
          <t>3</t>
        </is>
      </c>
      <c r="B10" s="71" t="inlineStr">
        <is>
          <t>Use Unit Conversion tab as reference for tsp/tbsp/cup conversions</t>
        </is>
      </c>
      <c r="C10" s="71" t="inlineStr">
        <is>
          <t>1 min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inlineStr">
        <is>
          <t>4</t>
        </is>
      </c>
      <c r="B11" s="72" t="inlineStr">
        <is>
          <t>Add recipes in Recipe Library (up to 50 recipes) or use Recipe Calculator for 3 recipes at once</t>
        </is>
      </c>
      <c r="C11" s="72" t="inlineStr">
        <is>
          <t>10 min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inlineStr">
        <is>
          <t>5</t>
        </is>
      </c>
      <c r="B12" s="71" t="inlineStr">
        <is>
          <t>Add monthly fixed costs in Overhead tab - see hourly overhead rate auto</t>
        </is>
      </c>
      <c r="C12" s="71" t="inlineStr">
        <is>
          <t>5 min</t>
        </is>
      </c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inlineStr">
        <is>
          <t>6</t>
        </is>
      </c>
      <c r="B13" s="72" t="inlineStr">
        <is>
          <t>Add one-time startup costs in Startup Costs tab - see break-even months &amp; chart auto</t>
        </is>
      </c>
      <c r="C13" s="72" t="inlineStr">
        <is>
          <t>5 min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inlineStr">
        <is>
          <t>7</t>
        </is>
      </c>
      <c r="B14" s="71" t="inlineStr">
        <is>
          <t>Set products to $0 (free) in Product List — cost per item still shows</t>
        </is>
      </c>
      <c r="C14" s="71" t="inlineStr">
        <is>
          <t>5 min</t>
        </is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inlineStr">
        <is>
          <t>8</t>
        </is>
      </c>
      <c r="B15" s="66" t="inlineStr">
        <is>
          <t>Log donations in Bookkeeping (Category = Donations) — check Dashboard</t>
        </is>
      </c>
      <c r="C15" s="66" t="inlineStr">
        <is>
          <t>Daily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3" t="inlineStr">
        <is>
          <t>⚙️ BUSINESS SETUP</t>
        </is>
      </c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0" t="inlineStr">
        <is>
          <t>Setting</t>
        </is>
      </c>
      <c r="B17" s="70" t="inlineStr">
        <is>
          <t>Your Value</t>
        </is>
      </c>
      <c r="C17" s="70" t="inlineStr">
        <is>
          <t>Help</t>
        </is>
      </c>
      <c r="D17" s="70" t="inlineStr">
        <is>
          <t>Used In</t>
        </is>
      </c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4" t="inlineStr">
        <is>
          <t>Bakery Name</t>
        </is>
      </c>
      <c r="B18" s="75" t="inlineStr">
        <is>
          <t>Rose &amp; Rye Cottage Bakery</t>
        </is>
      </c>
      <c r="C18" s="67" t="inlineStr">
        <is>
          <t>Dashboard header</t>
        </is>
      </c>
      <c r="D18" s="67" t="inlineStr">
        <is>
          <t>All</t>
        </is>
      </c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4" t="inlineStr">
        <is>
          <t>Owner</t>
        </is>
      </c>
      <c r="B19" s="75" t="inlineStr">
        <is>
          <t>Jane Miller</t>
        </is>
      </c>
      <c r="C19" s="67" t="inlineStr"/>
      <c r="D19" s="67" t="inlineStr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4" t="inlineStr">
        <is>
          <t>Currency</t>
        </is>
      </c>
      <c r="B20" s="75" t="inlineStr">
        <is>
          <t>$</t>
        </is>
      </c>
      <c r="C20" s="67" t="inlineStr"/>
      <c r="D20" s="67" t="inlineStr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4" t="inlineStr">
        <is>
          <t>Sales Tax %</t>
        </is>
      </c>
      <c r="B21" s="75" t="n">
        <v>8.5</v>
      </c>
      <c r="C21" s="67" t="inlineStr">
        <is>
          <t>For pricing</t>
        </is>
      </c>
      <c r="D21" s="67" t="inlineStr">
        <is>
          <t>Recipe + Bookkeeping</t>
        </is>
      </c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4" t="inlineStr">
        <is>
          <t>Hourly Labor Rate</t>
        </is>
      </c>
      <c r="B22" s="75" t="n">
        <v>22</v>
      </c>
      <c r="C22" s="67" t="inlineStr">
        <is>
          <t>Your time $/hr</t>
        </is>
      </c>
      <c r="D22" s="67" t="inlineStr">
        <is>
          <t>Recipe</t>
        </is>
      </c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4" t="inlineStr">
        <is>
          <t>Overhead % (auto from Overhead tab)</t>
        </is>
      </c>
      <c r="B23" s="75" t="n">
        <v>15</v>
      </c>
      <c r="C23" s="67" t="inlineStr">
        <is>
          <t>Manual %, or copy Overhead Expenses!B28 for auto</t>
        </is>
      </c>
      <c r="D23" s="67" t="inlineStr">
        <is>
          <t>Recipe</t>
        </is>
      </c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4" t="inlineStr">
        <is>
          <t>Waste %</t>
        </is>
      </c>
      <c r="B24" s="75" t="n">
        <v>5</v>
      </c>
      <c r="C24" s="67" t="inlineStr">
        <is>
          <t>Failed batches</t>
        </is>
      </c>
      <c r="D24" s="67" t="inlineStr">
        <is>
          <t>Recipe</t>
        </is>
      </c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4" t="inlineStr">
        <is>
          <t>Packaging Default $</t>
        </is>
      </c>
      <c r="B25" s="75" t="n">
        <v>0.85</v>
      </c>
      <c r="C25" s="67" t="inlineStr">
        <is>
          <t>Per unit</t>
        </is>
      </c>
      <c r="D25" s="67" t="inlineStr">
        <is>
          <t>Recipe</t>
        </is>
      </c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4" t="inlineStr">
        <is>
          <t>Target Margin %</t>
        </is>
      </c>
      <c r="B26" s="75" t="n">
        <v>70</v>
      </c>
      <c r="C26" s="67" t="inlineStr">
        <is>
          <t>Goal margin</t>
        </is>
      </c>
      <c r="D26" s="67" t="inlineStr">
        <is>
          <t>Recipe</t>
        </is>
      </c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4" t="inlineStr">
        <is>
          <t>Fiscal Year Start</t>
        </is>
      </c>
      <c r="B27" s="76" t="n">
        <v>46023</v>
      </c>
      <c r="C27" s="67" t="inlineStr">
        <is>
          <t>YTD</t>
        </is>
      </c>
      <c r="D27" s="77" t="inlineStr">
        <is>
          <t>Dashboard</t>
        </is>
      </c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74" t="inlineStr">
        <is>
          <t>Market Hourly Goal $</t>
        </is>
      </c>
      <c r="B28" s="75" t="n">
        <v>40</v>
      </c>
      <c r="C28" s="67" t="inlineStr">
        <is>
          <t>Worth It?</t>
        </is>
      </c>
      <c r="D28" s="67" t="inlineStr">
        <is>
          <t>Markets</t>
        </is>
      </c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4" t="inlineStr">
        <is>
          <t>Monthly Working Hours</t>
        </is>
      </c>
      <c r="B29" s="75" t="n">
        <v>80</v>
      </c>
      <c r="C29" s="67" t="inlineStr">
        <is>
          <t>For overhead rate calc</t>
        </is>
      </c>
      <c r="D29" s="67" t="inlineStr">
        <is>
          <t>Overhead</t>
        </is>
      </c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4" t="inlineStr">
        <is>
          <t>Expected Monthly Orders</t>
        </is>
      </c>
      <c r="B30" s="75" t="n">
        <v>100</v>
      </c>
      <c r="C30" s="67" t="inlineStr">
        <is>
          <t>For overhead per unit</t>
        </is>
      </c>
      <c r="D30" s="67" t="inlineStr">
        <is>
          <t>Overhead</t>
        </is>
      </c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8" t="inlineStr">
        <is>
          <t>📦 TABS IN v4</t>
        </is>
      </c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>
        <v>1</v>
      </c>
      <c r="B33" s="79" t="inlineStr">
        <is>
          <t>Dashboard</t>
        </is>
      </c>
      <c r="C33" s="72" t="inlineStr">
        <is>
          <t>Net profit, revenue, expenses, open orders, trends, low stock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>
        <v>2</v>
      </c>
      <c r="B34" s="80" t="inlineStr">
        <is>
          <t>Ingredients + Stock</t>
        </is>
      </c>
      <c r="C34" s="71" t="inlineStr">
        <is>
          <t>Category, unit, pkg cost, cost/unit, stock, value, status</t>
        </is>
      </c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>
        <v>3</v>
      </c>
      <c r="B35" s="79" t="inlineStr">
        <is>
          <t>Unit Conversion</t>
        </is>
      </c>
      <c r="C35" s="72" t="inlineStr">
        <is>
          <t>Reference: g/kg/oz/lb/ml/L/tsp/tbsp/cup conversion factors to base</t>
        </is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>
        <v>4</v>
      </c>
      <c r="B36" s="80" t="inlineStr">
        <is>
          <t>Recipe Library</t>
        </is>
      </c>
      <c r="C36" s="71" t="inlineStr">
        <is>
          <t>50 recipes capacity, ingredients database long format, total cost auto SUMIF</t>
        </is>
      </c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>
        <v>5</v>
      </c>
      <c r="B37" s="79" t="inlineStr">
        <is>
          <t>Recipe Calculator</t>
        </is>
      </c>
      <c r="C37" s="72" t="inlineStr">
        <is>
          <t>3 recipes at once, unit conversion handling, fixed missing formulas</t>
        </is>
      </c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>
        <v>6</v>
      </c>
      <c r="B38" s="80" t="inlineStr">
        <is>
          <t>Product List</t>
        </is>
      </c>
      <c r="C38" s="71" t="inlineStr">
        <is>
          <t>Linked to Recipe Library cost, profit margin</t>
        </is>
      </c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>
        <v>7</v>
      </c>
      <c r="B39" s="79" t="inlineStr">
        <is>
          <t>Overhead Expenses</t>
        </is>
      </c>
      <c r="C39" s="72" t="inlineStr">
        <is>
          <t>NEW: Monthly fixed costs rent/utilities/insurance, hourly rate, per unit</t>
        </is>
      </c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>
        <v>8</v>
      </c>
      <c r="B40" s="80" t="inlineStr">
        <is>
          <t>Startup Costs</t>
        </is>
      </c>
      <c r="C40" s="71" t="inlineStr">
        <is>
          <t>NEW: One-time equipment, break-even months =Startup/Monthly Profit + chart</t>
        </is>
      </c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>
        <v>9</v>
      </c>
      <c r="B41" s="79" t="inlineStr">
        <is>
          <t>Orders</t>
        </is>
      </c>
      <c r="C41" s="72" t="inlineStr">
        <is>
          <t>Orders tracking</t>
        </is>
      </c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>
        <v>10</v>
      </c>
      <c r="B42" s="80" t="inlineStr">
        <is>
          <t>Bookkeeping</t>
        </is>
      </c>
      <c r="C42" s="71" t="inlineStr">
        <is>
          <t>Income/expenses</t>
        </is>
      </c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>
        <v>11</v>
      </c>
      <c r="B43" s="79" t="inlineStr">
        <is>
          <t>Markets &amp; Events</t>
        </is>
      </c>
      <c r="C43" s="72" t="inlineStr">
        <is>
          <t>Markets ROI</t>
        </is>
      </c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>
        <v>12</v>
      </c>
      <c r="B44" s="80" t="inlineStr">
        <is>
          <t>Customers</t>
        </is>
      </c>
      <c r="C44" s="71" t="inlineStr">
        <is>
          <t>Customer database</t>
        </is>
      </c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>
        <v>13</v>
      </c>
      <c r="B45" s="81" t="inlineStr">
        <is>
          <t>Analytics BONUS</t>
        </is>
      </c>
      <c r="C45" s="72" t="inlineStr">
        <is>
          <t>Bonus analytics</t>
        </is>
      </c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6">
    <mergeCell ref="A6:D6"/>
    <mergeCell ref="C1:D1"/>
    <mergeCell ref="A4:D4"/>
    <mergeCell ref="A3:D3"/>
    <mergeCell ref="A16:D16"/>
    <mergeCell ref="A32:D32"/>
  </mergeCells>
  <hyperlinks>
    <hyperlink ref="D27" location="'Dashboard'!A1"/>
    <hyperlink ref="B33" location="'Dashboard'!A1"/>
    <hyperlink ref="B34" location="'Ingredients + Stock'!A1"/>
    <hyperlink ref="B35" location="'Unit Conversion'!A1"/>
    <hyperlink ref="B36" location="'Recipe Library'!A1"/>
    <hyperlink ref="B37" location="'Recipe Calculator'!A1"/>
    <hyperlink ref="B38" location="'Product List'!A1"/>
    <hyperlink ref="B39" location="'Overhead Expenses'!A1"/>
    <hyperlink ref="B40" location="'Startup Costs'!A1"/>
    <hyperlink ref="B41" location="'Orders'!A1"/>
    <hyperlink ref="B42" location="'Bookkeeping'!A1"/>
    <hyperlink ref="B43" location="'Markets &amp; Events'!A1"/>
    <hyperlink ref="B44" location="'Customer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E4B7"/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>
      <c r="A1" s="18" t="inlineStr">
        <is>
          <t>Unit Conversion Reference - For tsp/tbsp/cup etc</t>
        </is>
      </c>
    </row>
    <row r="2">
      <c r="A2" s="67" t="inlineStr">
        <is>
          <t>Recipe may use tsp/tbsp/cup, stock may be in g/ml. This table converts between units. Only same category (Weight/Volume/Count) converts directly. Weight to Volume needs density note.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Unit</t>
        </is>
      </c>
      <c r="B4" s="70" t="inlineStr">
        <is>
          <t>Category</t>
        </is>
      </c>
      <c r="C4" s="70" t="inlineStr">
        <is>
          <t>Base Unit</t>
        </is>
      </c>
      <c r="D4" s="70" t="inlineStr">
        <is>
          <t>Factor to Base</t>
        </is>
      </c>
      <c r="E4" s="70" t="inlineStr">
        <is>
          <t>Example</t>
        </is>
      </c>
      <c r="F4" s="70" t="inlineStr">
        <is>
          <t>Notes</t>
        </is>
      </c>
      <c r="G4" s="66" t="n"/>
      <c r="H4" s="74" t="inlineStr">
        <is>
          <t>All Units List for Dropdown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inlineStr">
        <is>
          <t>g</t>
        </is>
      </c>
      <c r="B5" s="72" t="inlineStr">
        <is>
          <t>Weight</t>
        </is>
      </c>
      <c r="C5" s="72" t="inlineStr">
        <is>
          <t>g</t>
        </is>
      </c>
      <c r="D5" s="72" t="n">
        <v>1</v>
      </c>
      <c r="E5" s="72" t="inlineStr">
        <is>
          <t>1g = 1g</t>
        </is>
      </c>
      <c r="F5" s="72" t="inlineStr">
        <is>
          <t>Base weight</t>
        </is>
      </c>
      <c r="G5" s="66" t="n"/>
      <c r="H5" s="66" t="inlineStr">
        <is>
          <t>g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inlineStr">
        <is>
          <t>kg</t>
        </is>
      </c>
      <c r="B6" s="71" t="inlineStr">
        <is>
          <t>Weight</t>
        </is>
      </c>
      <c r="C6" s="71" t="inlineStr">
        <is>
          <t>g</t>
        </is>
      </c>
      <c r="D6" s="71" t="n">
        <v>1000</v>
      </c>
      <c r="E6" s="71" t="inlineStr">
        <is>
          <t>1kg = 1000g</t>
        </is>
      </c>
      <c r="F6" s="71" t="inlineStr"/>
      <c r="G6" s="66" t="n"/>
      <c r="H6" s="66" t="inlineStr">
        <is>
          <t>kg</t>
        </is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inlineStr">
        <is>
          <t>mg</t>
        </is>
      </c>
      <c r="B7" s="72" t="inlineStr">
        <is>
          <t>Weight</t>
        </is>
      </c>
      <c r="C7" s="72" t="inlineStr">
        <is>
          <t>g</t>
        </is>
      </c>
      <c r="D7" s="72" t="n">
        <v>0.001</v>
      </c>
      <c r="E7" s="72" t="inlineStr">
        <is>
          <t>1000mg = 1g</t>
        </is>
      </c>
      <c r="F7" s="72" t="inlineStr"/>
      <c r="G7" s="66" t="n"/>
      <c r="H7" s="66" t="inlineStr">
        <is>
          <t>mg</t>
        </is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oz</t>
        </is>
      </c>
      <c r="B8" s="71" t="inlineStr">
        <is>
          <t>Weight</t>
        </is>
      </c>
      <c r="C8" s="71" t="inlineStr">
        <is>
          <t>g</t>
        </is>
      </c>
      <c r="D8" s="71" t="n">
        <v>28.3495</v>
      </c>
      <c r="E8" s="71" t="inlineStr">
        <is>
          <t>1oz = 28.3495g</t>
        </is>
      </c>
      <c r="F8" s="71" t="inlineStr">
        <is>
          <t>Weight ounce</t>
        </is>
      </c>
      <c r="G8" s="66" t="n"/>
      <c r="H8" s="66" t="inlineStr">
        <is>
          <t>oz</t>
        </is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lb</t>
        </is>
      </c>
      <c r="B9" s="72" t="inlineStr">
        <is>
          <t>Weight</t>
        </is>
      </c>
      <c r="C9" s="72" t="inlineStr">
        <is>
          <t>g</t>
        </is>
      </c>
      <c r="D9" s="72" t="n">
        <v>453.592</v>
      </c>
      <c r="E9" s="72" t="inlineStr">
        <is>
          <t>1lb = 453.592g</t>
        </is>
      </c>
      <c r="F9" s="72" t="inlineStr">
        <is>
          <t>Pound</t>
        </is>
      </c>
      <c r="G9" s="66" t="n"/>
      <c r="H9" s="66" t="inlineStr">
        <is>
          <t>lb</t>
        </is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inlineStr">
        <is>
          <t>ml</t>
        </is>
      </c>
      <c r="B10" s="71" t="inlineStr">
        <is>
          <t>Volume</t>
        </is>
      </c>
      <c r="C10" s="71" t="inlineStr">
        <is>
          <t>ml</t>
        </is>
      </c>
      <c r="D10" s="71" t="n">
        <v>1</v>
      </c>
      <c r="E10" s="71" t="inlineStr">
        <is>
          <t>1ml = 1ml</t>
        </is>
      </c>
      <c r="F10" s="71" t="inlineStr">
        <is>
          <t>Base volume</t>
        </is>
      </c>
      <c r="G10" s="66" t="n"/>
      <c r="H10" s="66" t="inlineStr">
        <is>
          <t>ml</t>
        </is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inlineStr">
        <is>
          <t>L</t>
        </is>
      </c>
      <c r="B11" s="72" t="inlineStr">
        <is>
          <t>Volume</t>
        </is>
      </c>
      <c r="C11" s="72" t="inlineStr">
        <is>
          <t>ml</t>
        </is>
      </c>
      <c r="D11" s="72" t="n">
        <v>1000</v>
      </c>
      <c r="E11" s="72" t="inlineStr">
        <is>
          <t>1L = 1000ml</t>
        </is>
      </c>
      <c r="F11" s="72" t="inlineStr"/>
      <c r="G11" s="66" t="n"/>
      <c r="H11" s="66" t="inlineStr">
        <is>
          <t>L</t>
        </is>
      </c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inlineStr">
        <is>
          <t>tsp</t>
        </is>
      </c>
      <c r="B12" s="71" t="inlineStr">
        <is>
          <t>Volume</t>
        </is>
      </c>
      <c r="C12" s="71" t="inlineStr">
        <is>
          <t>ml</t>
        </is>
      </c>
      <c r="D12" s="71" t="n">
        <v>4.92892</v>
      </c>
      <c r="E12" s="71" t="inlineStr">
        <is>
          <t>1 tsp = 4.92892ml</t>
        </is>
      </c>
      <c r="F12" s="71" t="inlineStr">
        <is>
          <t>Teaspoon</t>
        </is>
      </c>
      <c r="G12" s="66" t="n"/>
      <c r="H12" s="66" t="inlineStr">
        <is>
          <t>tsp</t>
        </is>
      </c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inlineStr">
        <is>
          <t>tbsp</t>
        </is>
      </c>
      <c r="B13" s="72" t="inlineStr">
        <is>
          <t>Volume</t>
        </is>
      </c>
      <c r="C13" s="72" t="inlineStr">
        <is>
          <t>ml</t>
        </is>
      </c>
      <c r="D13" s="72" t="n">
        <v>14.7868</v>
      </c>
      <c r="E13" s="72" t="inlineStr">
        <is>
          <t>1 tbsp = 3 tsp = 14.7868ml</t>
        </is>
      </c>
      <c r="F13" s="72" t="inlineStr">
        <is>
          <t>Tablespoon</t>
        </is>
      </c>
      <c r="G13" s="66" t="n"/>
      <c r="H13" s="66" t="inlineStr">
        <is>
          <t>tbsp</t>
        </is>
      </c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inlineStr">
        <is>
          <t>cup</t>
        </is>
      </c>
      <c r="B14" s="71" t="inlineStr">
        <is>
          <t>Volume</t>
        </is>
      </c>
      <c r="C14" s="71" t="inlineStr">
        <is>
          <t>ml</t>
        </is>
      </c>
      <c r="D14" s="71" t="n">
        <v>236.588</v>
      </c>
      <c r="E14" s="71" t="inlineStr">
        <is>
          <t>1 cup = 16 tbsp = 236.588ml</t>
        </is>
      </c>
      <c r="F14" s="71" t="inlineStr">
        <is>
          <t>US cup</t>
        </is>
      </c>
      <c r="G14" s="66" t="n"/>
      <c r="H14" s="66" t="inlineStr">
        <is>
          <t>cup</t>
        </is>
      </c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inlineStr">
        <is>
          <t>fl oz</t>
        </is>
      </c>
      <c r="B15" s="72" t="inlineStr">
        <is>
          <t>Volume</t>
        </is>
      </c>
      <c r="C15" s="72" t="inlineStr">
        <is>
          <t>ml</t>
        </is>
      </c>
      <c r="D15" s="72" t="n">
        <v>29.5735</v>
      </c>
      <c r="E15" s="72" t="inlineStr">
        <is>
          <t>1 fl oz = 2 tbsp</t>
        </is>
      </c>
      <c r="F15" s="72" t="inlineStr">
        <is>
          <t>Fluid ounce</t>
        </is>
      </c>
      <c r="G15" s="66" t="n"/>
      <c r="H15" s="66" t="inlineStr">
        <is>
          <t>fl oz</t>
        </is>
      </c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inlineStr">
        <is>
          <t>pint</t>
        </is>
      </c>
      <c r="B16" s="71" t="inlineStr">
        <is>
          <t>Volume</t>
        </is>
      </c>
      <c r="C16" s="71" t="inlineStr">
        <is>
          <t>ml</t>
        </is>
      </c>
      <c r="D16" s="71" t="n">
        <v>473.176</v>
      </c>
      <c r="E16" s="71" t="inlineStr">
        <is>
          <t>1 pint = 2 cups</t>
        </is>
      </c>
      <c r="F16" s="71" t="inlineStr"/>
      <c r="G16" s="66" t="n"/>
      <c r="H16" s="66" t="inlineStr">
        <is>
          <t>pint</t>
        </is>
      </c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inlineStr">
        <is>
          <t>quart</t>
        </is>
      </c>
      <c r="B17" s="72" t="inlineStr">
        <is>
          <t>Volume</t>
        </is>
      </c>
      <c r="C17" s="72" t="inlineStr">
        <is>
          <t>ml</t>
        </is>
      </c>
      <c r="D17" s="72" t="n">
        <v>946.353</v>
      </c>
      <c r="E17" s="72" t="inlineStr">
        <is>
          <t>1 quart = 2 pints</t>
        </is>
      </c>
      <c r="F17" s="72" t="inlineStr"/>
      <c r="G17" s="66" t="n"/>
      <c r="H17" s="66" t="inlineStr">
        <is>
          <t>quart</t>
        </is>
      </c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inlineStr">
        <is>
          <t>gallon</t>
        </is>
      </c>
      <c r="B18" s="71" t="inlineStr">
        <is>
          <t>Volume</t>
        </is>
      </c>
      <c r="C18" s="71" t="inlineStr">
        <is>
          <t>ml</t>
        </is>
      </c>
      <c r="D18" s="71" t="n">
        <v>3785.41</v>
      </c>
      <c r="E18" s="71" t="inlineStr">
        <is>
          <t>1 gallon = 4 quarts</t>
        </is>
      </c>
      <c r="F18" s="71" t="inlineStr"/>
      <c r="G18" s="66" t="n"/>
      <c r="H18" s="66" t="inlineStr">
        <is>
          <t>gallon</t>
        </is>
      </c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inlineStr">
        <is>
          <t>pcs</t>
        </is>
      </c>
      <c r="B19" s="72" t="inlineStr">
        <is>
          <t>Count</t>
        </is>
      </c>
      <c r="C19" s="72" t="inlineStr">
        <is>
          <t>pcs</t>
        </is>
      </c>
      <c r="D19" s="72" t="n">
        <v>1</v>
      </c>
      <c r="E19" s="72" t="inlineStr">
        <is>
          <t>1 pcs</t>
        </is>
      </c>
      <c r="F19" s="72" t="inlineStr">
        <is>
          <t>Base count</t>
        </is>
      </c>
      <c r="G19" s="66" t="n"/>
      <c r="H19" s="66" t="inlineStr">
        <is>
          <t>pcs</t>
        </is>
      </c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inlineStr">
        <is>
          <t>dozen</t>
        </is>
      </c>
      <c r="B20" s="71" t="inlineStr">
        <is>
          <t>Count</t>
        </is>
      </c>
      <c r="C20" s="71" t="inlineStr">
        <is>
          <t>pcs</t>
        </is>
      </c>
      <c r="D20" s="71" t="n">
        <v>12</v>
      </c>
      <c r="E20" s="71" t="inlineStr">
        <is>
          <t>1 dozen = 12 pcs</t>
        </is>
      </c>
      <c r="F20" s="71" t="inlineStr"/>
      <c r="G20" s="66" t="n"/>
      <c r="H20" s="66" t="inlineStr">
        <is>
          <t>dozen</t>
        </is>
      </c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inlineStr">
        <is>
          <t>tsp</t>
        </is>
      </c>
      <c r="B21" s="72" t="inlineStr">
        <is>
          <t>Volume</t>
        </is>
      </c>
      <c r="C21" s="72" t="inlineStr">
        <is>
          <t>ml</t>
        </is>
      </c>
      <c r="D21" s="72" t="n">
        <v>4.92892</v>
      </c>
      <c r="E21" s="72" t="inlineStr">
        <is>
          <t>Duplicate for search</t>
        </is>
      </c>
      <c r="F21" s="72" t="inlineStr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inlineStr">
        <is>
          <t>tbsp</t>
        </is>
      </c>
      <c r="B22" s="71" t="inlineStr">
        <is>
          <t>Volume</t>
        </is>
      </c>
      <c r="C22" s="71" t="inlineStr">
        <is>
          <t>ml</t>
        </is>
      </c>
      <c r="D22" s="71" t="n">
        <v>14.7868</v>
      </c>
      <c r="E22" s="71" t="inlineStr">
        <is>
          <t>Duplicate</t>
        </is>
      </c>
      <c r="F22" s="71" t="inlineStr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4" t="inlineStr">
        <is>
          <t>How Conversion Works in Recipe Calculator</t>
        </is>
      </c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inlineStr">
        <is>
          <t>Converted Qty in Stock Unit = Recipe Qty * (Recipe Unit Factor / Stock Unit Factor) IF same category</t>
        </is>
      </c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inlineStr">
        <is>
          <t>Example: Recipe needs 2 tsp vanilla, stock is ml, factor tsp=4.92892, factor ml=1, Converted =2*4.92892/1=9.85784ml, Cost =9.85784*Cost per ml</t>
        </is>
      </c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82" t="inlineStr">
        <is>
          <t>If Weight (g) vs Volume (ml) mismatch: Shows WARNING - enter weight equivalent manually. For flour, 1 cup ≈ 120-150g depending on type - use kitchen scale for accuracy.</t>
        </is>
      </c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5">
    <mergeCell ref="A2:F2"/>
    <mergeCell ref="A1:F1"/>
    <mergeCell ref="A27:F27"/>
    <mergeCell ref="A26:F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9E7E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  <col width="11" customWidth="1" min="14" max="14"/>
    <col width="11" customWidth="1" min="15" max="15"/>
    <col width="10" customWidth="1" min="16" max="16"/>
    <col width="16" customWidth="1" min="17" max="17"/>
    <col width="12" customWidth="1" min="18" max="18"/>
  </cols>
  <sheetData>
    <row r="1">
      <c r="A1" s="6" t="inlineStr">
        <is>
          <t>ID</t>
        </is>
      </c>
      <c r="B1" s="6" t="inlineStr">
        <is>
          <t>Ingredient Name</t>
        </is>
      </c>
      <c r="C1" s="6" t="inlineStr">
        <is>
          <t>Category</t>
        </is>
      </c>
      <c r="D1" s="6" t="inlineStr">
        <is>
          <t>Unit (Stock Unit)</t>
        </is>
      </c>
      <c r="E1" s="6" t="inlineStr">
        <is>
          <t>Pkg Size</t>
        </is>
      </c>
      <c r="F1" s="6" t="inlineStr">
        <is>
          <t>Pkg Cost $</t>
        </is>
      </c>
      <c r="G1" s="6" t="inlineStr">
        <is>
          <t>Cost/Unit $</t>
        </is>
      </c>
      <c r="H1" s="6" t="inlineStr">
        <is>
          <t>Current Stock</t>
        </is>
      </c>
      <c r="I1" s="6" t="inlineStr">
        <is>
          <t>Min Alert</t>
        </is>
      </c>
      <c r="J1" s="6" t="inlineStr">
        <is>
          <t>Stock Value $</t>
        </is>
      </c>
      <c r="K1" s="6" t="inlineStr">
        <is>
          <t>Status</t>
        </is>
      </c>
      <c r="L1" s="6" t="inlineStr">
        <is>
          <t>Supplier</t>
        </is>
      </c>
      <c r="M1" s="6" t="inlineStr">
        <is>
          <t>Last Purchased</t>
        </is>
      </c>
      <c r="N1" s="6" t="inlineStr">
        <is>
          <t>Reorder Qty</t>
        </is>
      </c>
      <c r="O1" s="6" t="inlineStr">
        <is>
          <t>Expiry</t>
        </is>
      </c>
      <c r="P1" s="6" t="inlineStr">
        <is>
          <t>Location</t>
        </is>
      </c>
      <c r="Q1" s="6" t="inlineStr">
        <is>
          <t>Notes</t>
        </is>
      </c>
      <c r="R1" s="6" t="inlineStr">
        <is>
          <t>Base Category</t>
        </is>
      </c>
    </row>
    <row r="2">
      <c r="A2" s="71" t="n">
        <v>1</v>
      </c>
      <c r="B2" s="71" t="inlineStr">
        <is>
          <t>Bread Flour</t>
        </is>
      </c>
      <c r="C2" s="71" t="inlineStr">
        <is>
          <t>Flour</t>
        </is>
      </c>
      <c r="D2" s="71" t="inlineStr">
        <is>
          <t>g</t>
        </is>
      </c>
      <c r="E2" s="71" t="n">
        <v>2268</v>
      </c>
      <c r="F2" s="83" t="n">
        <v>6.99</v>
      </c>
      <c r="G2" s="84">
        <f>IF(E2=0,0,F2/E2)</f>
        <v/>
      </c>
      <c r="H2" s="71" t="n">
        <v>2500</v>
      </c>
      <c r="I2" s="71" t="n">
        <v>1000</v>
      </c>
      <c r="J2" s="85">
        <f>H2*G2</f>
        <v/>
      </c>
      <c r="K2" s="7">
        <f>IF(H2=0,"OUT",IF(H2&lt;=I2,"LOW","OK"))</f>
        <v/>
      </c>
      <c r="L2" s="71" t="inlineStr">
        <is>
          <t>King Arthur</t>
        </is>
      </c>
      <c r="M2" s="86" t="n">
        <v>46235</v>
      </c>
      <c r="N2" s="71" t="n">
        <v>4536</v>
      </c>
      <c r="O2" s="86" t="n">
        <v>46600</v>
      </c>
      <c r="P2" s="71" t="inlineStr">
        <is>
          <t>Pantry A</t>
        </is>
      </c>
      <c r="Q2" s="71" t="inlineStr">
        <is>
          <t>5 lb bag</t>
        </is>
      </c>
      <c r="R2" s="7">
        <f>IFERROR(VLOOKUP(D2,'Unit Conversion'!A:B,2,FALSE),"Weight")</f>
        <v/>
      </c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2" t="n">
        <v>2</v>
      </c>
      <c r="B3" s="72" t="inlineStr">
        <is>
          <t>All-Purpose Flour</t>
        </is>
      </c>
      <c r="C3" s="72" t="inlineStr">
        <is>
          <t>Flour</t>
        </is>
      </c>
      <c r="D3" s="72" t="inlineStr">
        <is>
          <t>g</t>
        </is>
      </c>
      <c r="E3" s="72" t="n">
        <v>2268</v>
      </c>
      <c r="F3" s="87" t="n">
        <v>4.99</v>
      </c>
      <c r="G3" s="88">
        <f>IF(E3=0,0,F3/E3)</f>
        <v/>
      </c>
      <c r="H3" s="72" t="n">
        <v>3000</v>
      </c>
      <c r="I3" s="72" t="n">
        <v>1000</v>
      </c>
      <c r="J3" s="89">
        <f>H3*G3</f>
        <v/>
      </c>
      <c r="K3" s="8">
        <f>IF(H3=0,"OUT",IF(H3&lt;=I3,"LOW","OK"))</f>
        <v/>
      </c>
      <c r="L3" s="72" t="inlineStr">
        <is>
          <t>Gold Medal</t>
        </is>
      </c>
      <c r="M3" s="90" t="n">
        <v>46239</v>
      </c>
      <c r="N3" s="72" t="n">
        <v>4536</v>
      </c>
      <c r="O3" s="90" t="n">
        <v>46419</v>
      </c>
      <c r="P3" s="72" t="inlineStr">
        <is>
          <t>Pantry A</t>
        </is>
      </c>
      <c r="Q3" s="72" t="inlineStr">
        <is>
          <t>5 lb bag</t>
        </is>
      </c>
      <c r="R3" s="8">
        <f>IFERROR(VLOOKUP(D3,'Unit Conversion'!A:B,2,FALSE),"Weight")</f>
        <v/>
      </c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1" t="n">
        <v>3</v>
      </c>
      <c r="B4" s="71" t="inlineStr">
        <is>
          <t>Sugar</t>
        </is>
      </c>
      <c r="C4" s="71" t="inlineStr">
        <is>
          <t>Sugar</t>
        </is>
      </c>
      <c r="D4" s="71" t="inlineStr">
        <is>
          <t>g</t>
        </is>
      </c>
      <c r="E4" s="71" t="n">
        <v>1814</v>
      </c>
      <c r="F4" s="83" t="n">
        <v>3.29</v>
      </c>
      <c r="G4" s="84">
        <f>IF(E4=0,0,F4/E4)</f>
        <v/>
      </c>
      <c r="H4" s="71" t="n">
        <v>800</v>
      </c>
      <c r="I4" s="71" t="n">
        <v>500</v>
      </c>
      <c r="J4" s="85">
        <f>H4*G4</f>
        <v/>
      </c>
      <c r="K4" s="7">
        <f>IF(H4=0,"OUT",IF(H4&lt;=I4,"LOW","OK"))</f>
        <v/>
      </c>
      <c r="L4" s="71" t="inlineStr">
        <is>
          <t>Domino</t>
        </is>
      </c>
      <c r="M4" s="86" t="n">
        <v>46242</v>
      </c>
      <c r="N4" s="71" t="n">
        <v>1814</v>
      </c>
      <c r="O4" s="86" t="n">
        <v>46600</v>
      </c>
      <c r="P4" s="71" t="inlineStr">
        <is>
          <t>Pantry A</t>
        </is>
      </c>
      <c r="Q4" s="71" t="inlineStr">
        <is>
          <t>4 lb bag</t>
        </is>
      </c>
      <c r="R4" s="7">
        <f>IFERROR(VLOOKUP(D4,'Unit Conversion'!A:B,2,FALSE),"Weight")</f>
        <v/>
      </c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n">
        <v>4</v>
      </c>
      <c r="B5" s="72" t="inlineStr">
        <is>
          <t>Brown Sugar</t>
        </is>
      </c>
      <c r="C5" s="72" t="inlineStr">
        <is>
          <t>Sugar</t>
        </is>
      </c>
      <c r="D5" s="72" t="inlineStr">
        <is>
          <t>g</t>
        </is>
      </c>
      <c r="E5" s="72" t="n">
        <v>907</v>
      </c>
      <c r="F5" s="87" t="n">
        <v>2.79</v>
      </c>
      <c r="G5" s="88">
        <f>IF(E5=0,0,F5/E5)</f>
        <v/>
      </c>
      <c r="H5" s="72" t="n">
        <v>400</v>
      </c>
      <c r="I5" s="72" t="n">
        <v>250</v>
      </c>
      <c r="J5" s="89">
        <f>H5*G5</f>
        <v/>
      </c>
      <c r="K5" s="8">
        <f>IF(H5=0,"OUT",IF(H5&lt;=I5,"LOW","OK"))</f>
        <v/>
      </c>
      <c r="L5" s="72" t="inlineStr">
        <is>
          <t>Domino</t>
        </is>
      </c>
      <c r="M5" s="90" t="n">
        <v>46242</v>
      </c>
      <c r="N5" s="72" t="n">
        <v>907</v>
      </c>
      <c r="O5" s="90" t="n">
        <v>46600</v>
      </c>
      <c r="P5" s="72" t="inlineStr">
        <is>
          <t>Pantry A</t>
        </is>
      </c>
      <c r="Q5" s="72" t="inlineStr">
        <is>
          <t>2 lb bag</t>
        </is>
      </c>
      <c r="R5" s="8">
        <f>IFERROR(VLOOKUP(D5,'Unit Conversion'!A:B,2,FALSE),"Weight")</f>
        <v/>
      </c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n">
        <v>5</v>
      </c>
      <c r="B6" s="71" t="inlineStr">
        <is>
          <t>Butter</t>
        </is>
      </c>
      <c r="C6" s="71" t="inlineStr">
        <is>
          <t>Dairy</t>
        </is>
      </c>
      <c r="D6" s="71" t="inlineStr">
        <is>
          <t>g</t>
        </is>
      </c>
      <c r="E6" s="71" t="n">
        <v>454</v>
      </c>
      <c r="F6" s="83" t="n">
        <v>4.49</v>
      </c>
      <c r="G6" s="84">
        <f>IF(E6=0,0,F6/E6)</f>
        <v/>
      </c>
      <c r="H6" s="71" t="n">
        <v>300</v>
      </c>
      <c r="I6" s="71" t="n">
        <v>200</v>
      </c>
      <c r="J6" s="85">
        <f>H6*G6</f>
        <v/>
      </c>
      <c r="K6" s="7">
        <f>IF(H6=0,"OUT",IF(H6&lt;=I6,"LOW","OK"))</f>
        <v/>
      </c>
      <c r="L6" s="71" t="inlineStr">
        <is>
          <t>Land O'Lakes</t>
        </is>
      </c>
      <c r="M6" s="86" t="n">
        <v>46254</v>
      </c>
      <c r="N6" s="71" t="n">
        <v>908</v>
      </c>
      <c r="O6" s="86" t="n">
        <v>46296</v>
      </c>
      <c r="P6" s="71" t="inlineStr">
        <is>
          <t>Fridge</t>
        </is>
      </c>
      <c r="Q6" s="71" t="inlineStr">
        <is>
          <t>1 lb, unsalted</t>
        </is>
      </c>
      <c r="R6" s="7">
        <f>IFERROR(VLOOKUP(D6,'Unit Conversion'!A:B,2,FALSE),"Weight")</f>
        <v/>
      </c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n">
        <v>6</v>
      </c>
      <c r="B7" s="72" t="inlineStr">
        <is>
          <t>Eggs</t>
        </is>
      </c>
      <c r="C7" s="72" t="inlineStr">
        <is>
          <t>Dairy</t>
        </is>
      </c>
      <c r="D7" s="72" t="inlineStr">
        <is>
          <t>pcs</t>
        </is>
      </c>
      <c r="E7" s="72" t="n">
        <v>12</v>
      </c>
      <c r="F7" s="87" t="n">
        <v>3.99</v>
      </c>
      <c r="G7" s="88">
        <f>IF(E7=0,0,F7/E7)</f>
        <v/>
      </c>
      <c r="H7" s="72" t="n">
        <v>18</v>
      </c>
      <c r="I7" s="72" t="n">
        <v>12</v>
      </c>
      <c r="J7" s="89">
        <f>H7*G7</f>
        <v/>
      </c>
      <c r="K7" s="8">
        <f>IF(H7=0,"OUT",IF(H7&lt;=I7,"LOW","OK"))</f>
        <v/>
      </c>
      <c r="L7" s="72" t="inlineStr">
        <is>
          <t>Eggland's Best</t>
        </is>
      </c>
      <c r="M7" s="90" t="n">
        <v>46256</v>
      </c>
      <c r="N7" s="72" t="n">
        <v>24</v>
      </c>
      <c r="O7" s="90" t="n">
        <v>46285</v>
      </c>
      <c r="P7" s="72" t="inlineStr">
        <is>
          <t>Fridge</t>
        </is>
      </c>
      <c r="Q7" s="72" t="inlineStr">
        <is>
          <t>Large, cage-free</t>
        </is>
      </c>
      <c r="R7" s="8">
        <f>IFERROR(VLOOKUP(D7,'Unit Conversion'!A:B,2,FALSE),"Weight")</f>
        <v/>
      </c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n">
        <v>7</v>
      </c>
      <c r="B8" s="71" t="inlineStr">
        <is>
          <t>Vanilla Extract</t>
        </is>
      </c>
      <c r="C8" s="71" t="inlineStr">
        <is>
          <t>Flavoring</t>
        </is>
      </c>
      <c r="D8" s="71" t="inlineStr">
        <is>
          <t>ml</t>
        </is>
      </c>
      <c r="E8" s="71" t="n">
        <v>59</v>
      </c>
      <c r="F8" s="83" t="n">
        <v>12.99</v>
      </c>
      <c r="G8" s="84">
        <f>IF(E8=0,0,F8/E8)</f>
        <v/>
      </c>
      <c r="H8" s="71" t="n">
        <v>80</v>
      </c>
      <c r="I8" s="71" t="n">
        <v>50</v>
      </c>
      <c r="J8" s="85">
        <f>H8*G8</f>
        <v/>
      </c>
      <c r="K8" s="7">
        <f>IF(H8=0,"OUT",IF(H8&lt;=I8,"LOW","OK"))</f>
        <v/>
      </c>
      <c r="L8" s="71" t="inlineStr">
        <is>
          <t>Nielsen-Massey</t>
        </is>
      </c>
      <c r="M8" s="86" t="n">
        <v>46213</v>
      </c>
      <c r="N8" s="71" t="n">
        <v>118</v>
      </c>
      <c r="O8" s="86" t="n">
        <v>46935</v>
      </c>
      <c r="P8" s="71" t="inlineStr">
        <is>
          <t>Rack</t>
        </is>
      </c>
      <c r="Q8" s="71" t="inlineStr">
        <is>
          <t>Pure, 2 fl oz</t>
        </is>
      </c>
      <c r="R8" s="7">
        <f>IFERROR(VLOOKUP(D8,'Unit Conversion'!A:B,2,FALSE),"Weight")</f>
        <v/>
      </c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n">
        <v>8</v>
      </c>
      <c r="B9" s="72" t="inlineStr">
        <is>
          <t>Chocolate Chips</t>
        </is>
      </c>
      <c r="C9" s="72" t="inlineStr">
        <is>
          <t>Chocolate</t>
        </is>
      </c>
      <c r="D9" s="72" t="inlineStr">
        <is>
          <t>g</t>
        </is>
      </c>
      <c r="E9" s="72" t="n">
        <v>340</v>
      </c>
      <c r="F9" s="87" t="n">
        <v>4.49</v>
      </c>
      <c r="G9" s="88">
        <f>IF(E9=0,0,F9/E9)</f>
        <v/>
      </c>
      <c r="H9" s="72" t="n">
        <v>1200</v>
      </c>
      <c r="I9" s="72" t="n">
        <v>400</v>
      </c>
      <c r="J9" s="89">
        <f>H9*G9</f>
        <v/>
      </c>
      <c r="K9" s="8">
        <f>IF(H9=0,"OUT",IF(H9&lt;=I9,"LOW","OK"))</f>
        <v/>
      </c>
      <c r="L9" s="72" t="inlineStr">
        <is>
          <t>Nestlé Toll House</t>
        </is>
      </c>
      <c r="M9" s="90" t="n">
        <v>46246</v>
      </c>
      <c r="N9" s="72" t="n">
        <v>680</v>
      </c>
      <c r="O9" s="90" t="n">
        <v>46600</v>
      </c>
      <c r="P9" s="72" t="inlineStr">
        <is>
          <t>Pantry B</t>
        </is>
      </c>
      <c r="Q9" s="72" t="inlineStr">
        <is>
          <t>Semi-sweet, 12 oz</t>
        </is>
      </c>
      <c r="R9" s="8">
        <f>IFERROR(VLOOKUP(D9,'Unit Conversion'!A:B,2,FALSE),"Weight")</f>
        <v/>
      </c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n">
        <v>9</v>
      </c>
      <c r="B10" s="71" t="inlineStr">
        <is>
          <t>Cream Cheese</t>
        </is>
      </c>
      <c r="C10" s="71" t="inlineStr">
        <is>
          <t>Dairy</t>
        </is>
      </c>
      <c r="D10" s="71" t="inlineStr">
        <is>
          <t>g</t>
        </is>
      </c>
      <c r="E10" s="71" t="n">
        <v>226</v>
      </c>
      <c r="F10" s="83" t="n">
        <v>2.29</v>
      </c>
      <c r="G10" s="84">
        <f>IF(E10=0,0,F10/E10)</f>
        <v/>
      </c>
      <c r="H10" s="71" t="n">
        <v>0</v>
      </c>
      <c r="I10" s="71" t="n">
        <v>250</v>
      </c>
      <c r="J10" s="85">
        <f>H10*G10</f>
        <v/>
      </c>
      <c r="K10" s="7">
        <f>IF(H10=0,"OUT",IF(H10&lt;=I10,"LOW","OK"))</f>
        <v/>
      </c>
      <c r="L10" s="71" t="inlineStr">
        <is>
          <t>Philadelphia</t>
        </is>
      </c>
      <c r="M10" s="86" t="n">
        <v>46249</v>
      </c>
      <c r="N10" s="71" t="n">
        <v>453</v>
      </c>
      <c r="O10" s="86" t="n">
        <v>46275</v>
      </c>
      <c r="P10" s="71" t="inlineStr">
        <is>
          <t>Fridge</t>
        </is>
      </c>
      <c r="Q10" s="71" t="inlineStr">
        <is>
          <t>8 oz — OUT OF STOCK</t>
        </is>
      </c>
      <c r="R10" s="7">
        <f>IFERROR(VLOOKUP(D10,'Unit Conversion'!A:B,2,FALSE),"Weight")</f>
        <v/>
      </c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n">
        <v>10</v>
      </c>
      <c r="B11" s="72" t="inlineStr">
        <is>
          <t>Cinnamon</t>
        </is>
      </c>
      <c r="C11" s="72" t="inlineStr">
        <is>
          <t>Spice</t>
        </is>
      </c>
      <c r="D11" s="72" t="inlineStr">
        <is>
          <t>g</t>
        </is>
      </c>
      <c r="E11" s="72" t="n">
        <v>57</v>
      </c>
      <c r="F11" s="87" t="n">
        <v>4.29</v>
      </c>
      <c r="G11" s="88">
        <f>IF(E11=0,0,F11/E11)</f>
        <v/>
      </c>
      <c r="H11" s="72" t="n">
        <v>45</v>
      </c>
      <c r="I11" s="72" t="n">
        <v>20</v>
      </c>
      <c r="J11" s="89">
        <f>H11*G11</f>
        <v/>
      </c>
      <c r="K11" s="8">
        <f>IF(H11=0,"OUT",IF(H11&lt;=I11,"LOW","OK"))</f>
        <v/>
      </c>
      <c r="L11" s="72" t="inlineStr">
        <is>
          <t>McCormick</t>
        </is>
      </c>
      <c r="M11" s="90" t="n">
        <v>46174</v>
      </c>
      <c r="N11" s="72" t="n">
        <v>57</v>
      </c>
      <c r="O11" s="90" t="n">
        <v>46905</v>
      </c>
      <c r="P11" s="72" t="inlineStr">
        <is>
          <t>Rack</t>
        </is>
      </c>
      <c r="Q11" s="72" t="inlineStr">
        <is>
          <t>Ground, 2 oz</t>
        </is>
      </c>
      <c r="R11" s="8">
        <f>IFERROR(VLOOKUP(D11,'Unit Conversion'!A:B,2,FALSE),"Weight")</f>
        <v/>
      </c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n">
        <v>11</v>
      </c>
      <c r="B12" s="71" t="inlineStr">
        <is>
          <t>Sourdough Starter</t>
        </is>
      </c>
      <c r="C12" s="71" t="inlineStr">
        <is>
          <t>Other</t>
        </is>
      </c>
      <c r="D12" s="71" t="inlineStr">
        <is>
          <t>g</t>
        </is>
      </c>
      <c r="E12" s="71" t="n">
        <v>500</v>
      </c>
      <c r="F12" s="83" t="n">
        <v>0.5</v>
      </c>
      <c r="G12" s="84">
        <f>IF(E12=0,0,F12/E12)</f>
        <v/>
      </c>
      <c r="H12" s="71" t="n">
        <v>350</v>
      </c>
      <c r="I12" s="71" t="n">
        <v>100</v>
      </c>
      <c r="J12" s="85">
        <f>H12*G12</f>
        <v/>
      </c>
      <c r="K12" s="7">
        <f>IF(H12=0,"OUT",IF(H12&lt;=I12,"LOW","OK"))</f>
        <v/>
      </c>
      <c r="L12" s="71" t="inlineStr">
        <is>
          <t>Homemade</t>
        </is>
      </c>
      <c r="M12" s="86" t="n">
        <v>46262</v>
      </c>
      <c r="N12" s="71" t="n">
        <v>500</v>
      </c>
      <c r="O12" s="71" t="inlineStr"/>
      <c r="P12" s="71" t="inlineStr">
        <is>
          <t>Fridge</t>
        </is>
      </c>
      <c r="Q12" s="71" t="inlineStr">
        <is>
          <t>Feed weekly</t>
        </is>
      </c>
      <c r="R12" s="7">
        <f>IFERROR(VLOOKUP(D12,'Unit Conversion'!A:B,2,FALSE),"Weight")</f>
        <v/>
      </c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n">
        <v>12</v>
      </c>
      <c r="B13" s="72" t="inlineStr">
        <is>
          <t>Heavy Cream</t>
        </is>
      </c>
      <c r="C13" s="72" t="inlineStr">
        <is>
          <t>Dairy</t>
        </is>
      </c>
      <c r="D13" s="72" t="inlineStr">
        <is>
          <t>ml</t>
        </is>
      </c>
      <c r="E13" s="72" t="n">
        <v>473</v>
      </c>
      <c r="F13" s="87" t="n">
        <v>3.99</v>
      </c>
      <c r="G13" s="88">
        <f>IF(E13=0,0,F13/E13)</f>
        <v/>
      </c>
      <c r="H13" s="72" t="n">
        <v>100</v>
      </c>
      <c r="I13" s="72" t="n">
        <v>250</v>
      </c>
      <c r="J13" s="89">
        <f>H13*G13</f>
        <v/>
      </c>
      <c r="K13" s="8">
        <f>IF(H13=0,"OUT",IF(H13&lt;=I13,"LOW","OK"))</f>
        <v/>
      </c>
      <c r="L13" s="72" t="inlineStr">
        <is>
          <t>Organic Valley</t>
        </is>
      </c>
      <c r="M13" s="90" t="n">
        <v>46259</v>
      </c>
      <c r="N13" s="72" t="n">
        <v>946</v>
      </c>
      <c r="O13" s="90" t="n">
        <v>46280</v>
      </c>
      <c r="P13" s="72" t="inlineStr">
        <is>
          <t>Fridge</t>
        </is>
      </c>
      <c r="Q13" s="72" t="inlineStr">
        <is>
          <t>Pint — LOW STOCK</t>
        </is>
      </c>
      <c r="R13" s="8">
        <f>IFERROR(VLOOKUP(D13,'Unit Conversion'!A:B,2,FALSE),"Weight")</f>
        <v/>
      </c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n">
        <v>13</v>
      </c>
      <c r="B14" s="71" t="inlineStr">
        <is>
          <t>Olive Oil</t>
        </is>
      </c>
      <c r="C14" s="71" t="inlineStr">
        <is>
          <t>Oil</t>
        </is>
      </c>
      <c r="D14" s="71" t="inlineStr">
        <is>
          <t>ml</t>
        </is>
      </c>
      <c r="E14" s="71" t="n">
        <v>500</v>
      </c>
      <c r="F14" s="83" t="n">
        <v>8.99</v>
      </c>
      <c r="G14" s="84">
        <f>IF(E14=0,0,F14/E14)</f>
        <v/>
      </c>
      <c r="H14" s="71" t="n">
        <v>200</v>
      </c>
      <c r="I14" s="71" t="n">
        <v>100</v>
      </c>
      <c r="J14" s="85">
        <f>H14*G14</f>
        <v/>
      </c>
      <c r="K14" s="7">
        <f>IF(H14=0,"OUT",IF(H14&lt;=I14,"LOW","OK"))</f>
        <v/>
      </c>
      <c r="L14" s="71" t="inlineStr">
        <is>
          <t>California Olive Ranch</t>
        </is>
      </c>
      <c r="M14" s="86" t="n">
        <v>46204</v>
      </c>
      <c r="N14" s="71" t="n">
        <v>500</v>
      </c>
      <c r="O14" s="86" t="n">
        <v>46569</v>
      </c>
      <c r="P14" s="71" t="inlineStr">
        <is>
          <t>Pantry A</t>
        </is>
      </c>
      <c r="Q14" s="71" t="inlineStr">
        <is>
          <t>Extra virgin</t>
        </is>
      </c>
      <c r="R14" s="7">
        <f>IFERROR(VLOOKUP(D14,'Unit Conversion'!A:B,2,FALSE),"Weight")</f>
        <v/>
      </c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n">
        <v>14</v>
      </c>
      <c r="B15" s="72" t="inlineStr">
        <is>
          <t>Salt</t>
        </is>
      </c>
      <c r="C15" s="72" t="inlineStr">
        <is>
          <t>Spice</t>
        </is>
      </c>
      <c r="D15" s="72" t="inlineStr">
        <is>
          <t>g</t>
        </is>
      </c>
      <c r="E15" s="72" t="n">
        <v>1361</v>
      </c>
      <c r="F15" s="87" t="n">
        <v>3.49</v>
      </c>
      <c r="G15" s="88">
        <f>IF(E15=0,0,F15/E15)</f>
        <v/>
      </c>
      <c r="H15" s="72" t="n">
        <v>600</v>
      </c>
      <c r="I15" s="72" t="n">
        <v>200</v>
      </c>
      <c r="J15" s="89">
        <f>H15*G15</f>
        <v/>
      </c>
      <c r="K15" s="8">
        <f>IF(H15=0,"OUT",IF(H15&lt;=I15,"LOW","OK"))</f>
        <v/>
      </c>
      <c r="L15" s="72" t="inlineStr">
        <is>
          <t>Morton</t>
        </is>
      </c>
      <c r="M15" s="90" t="n">
        <v>46218</v>
      </c>
      <c r="N15" s="72" t="n">
        <v>1361</v>
      </c>
      <c r="O15" s="90" t="n">
        <v>46935</v>
      </c>
      <c r="P15" s="72" t="inlineStr">
        <is>
          <t>Pantry A</t>
        </is>
      </c>
      <c r="Q15" s="72" t="inlineStr">
        <is>
          <t>Kosher, 3 lb</t>
        </is>
      </c>
      <c r="R15" s="8">
        <f>IFERROR(VLOOKUP(D15,'Unit Conversion'!A:B,2,FALSE),"Weight")</f>
        <v/>
      </c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n">
        <v>15</v>
      </c>
      <c r="B16" s="71" t="inlineStr">
        <is>
          <t>Water</t>
        </is>
      </c>
      <c r="C16" s="71" t="inlineStr">
        <is>
          <t>Other</t>
        </is>
      </c>
      <c r="D16" s="71" t="inlineStr">
        <is>
          <t>ml</t>
        </is>
      </c>
      <c r="E16" s="71" t="n">
        <v>3785</v>
      </c>
      <c r="F16" s="83" t="n">
        <v>0.01</v>
      </c>
      <c r="G16" s="84">
        <f>IF(E16=0,0,F16/E16)</f>
        <v/>
      </c>
      <c r="H16" s="71" t="n">
        <v>100000</v>
      </c>
      <c r="I16" s="71" t="n">
        <v>5000</v>
      </c>
      <c r="J16" s="85">
        <f>H16*G16</f>
        <v/>
      </c>
      <c r="K16" s="7">
        <f>IF(H16=0,"OUT",IF(H16&lt;=I16,"LOW","OK"))</f>
        <v/>
      </c>
      <c r="L16" s="71" t="inlineStr">
        <is>
          <t>Municipal</t>
        </is>
      </c>
      <c r="M16" s="86" t="n">
        <v>46262</v>
      </c>
      <c r="N16" s="71" t="n">
        <v>3785</v>
      </c>
      <c r="O16" s="71" t="inlineStr"/>
      <c r="P16" s="71" t="inlineStr">
        <is>
          <t>Sink</t>
        </is>
      </c>
      <c r="Q16" s="71" t="inlineStr">
        <is>
          <t>Tap water</t>
        </is>
      </c>
      <c r="R16" s="7">
        <f>IFERROR(VLOOKUP(D16,'Unit Conversion'!A:B,2,FALSE),"Weight")</f>
        <v/>
      </c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n"/>
      <c r="B17" s="72" t="n"/>
      <c r="C17" s="72" t="n"/>
      <c r="D17" s="72" t="n"/>
      <c r="E17" s="72" t="n"/>
      <c r="F17" s="72" t="n"/>
      <c r="G17" s="8">
        <f>IF(E17=0,0,F17/E17)</f>
        <v/>
      </c>
      <c r="H17" s="72" t="n"/>
      <c r="I17" s="72" t="n"/>
      <c r="J17" s="8">
        <f>H17*G17</f>
        <v/>
      </c>
      <c r="K17" s="8">
        <f>IF(H17="","",IF(H17=0,"OUT",IF(H17&lt;=I17,"LOW","OK")))</f>
        <v/>
      </c>
      <c r="L17" s="72" t="n"/>
      <c r="M17" s="72" t="n"/>
      <c r="N17" s="72" t="n"/>
      <c r="O17" s="72" t="n"/>
      <c r="P17" s="72" t="n"/>
      <c r="Q17" s="72" t="n"/>
      <c r="R17" s="8">
        <f>IF(D17="","",IFERROR(VLOOKUP(D17,'Unit Conversion'!A:B,2,FALSE),""))</f>
        <v/>
      </c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n"/>
      <c r="B18" s="71" t="n"/>
      <c r="C18" s="71" t="n"/>
      <c r="D18" s="71" t="n"/>
      <c r="E18" s="71" t="n"/>
      <c r="F18" s="71" t="n"/>
      <c r="G18" s="7">
        <f>IF(E18=0,0,F18/E18)</f>
        <v/>
      </c>
      <c r="H18" s="71" t="n"/>
      <c r="I18" s="71" t="n"/>
      <c r="J18" s="7">
        <f>H18*G18</f>
        <v/>
      </c>
      <c r="K18" s="7">
        <f>IF(H18="","",IF(H18=0,"OUT",IF(H18&lt;=I18,"LOW","OK")))</f>
        <v/>
      </c>
      <c r="L18" s="71" t="n"/>
      <c r="M18" s="71" t="n"/>
      <c r="N18" s="71" t="n"/>
      <c r="O18" s="71" t="n"/>
      <c r="P18" s="71" t="n"/>
      <c r="Q18" s="71" t="n"/>
      <c r="R18" s="7">
        <f>IF(D18="","",IFERROR(VLOOKUP(D18,'Unit Conversion'!A:B,2,FALSE),""))</f>
        <v/>
      </c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n"/>
      <c r="B19" s="72" t="n"/>
      <c r="C19" s="72" t="n"/>
      <c r="D19" s="72" t="n"/>
      <c r="E19" s="72" t="n"/>
      <c r="F19" s="72" t="n"/>
      <c r="G19" s="8">
        <f>IF(E19=0,0,F19/E19)</f>
        <v/>
      </c>
      <c r="H19" s="72" t="n"/>
      <c r="I19" s="72" t="n"/>
      <c r="J19" s="8">
        <f>H19*G19</f>
        <v/>
      </c>
      <c r="K19" s="8">
        <f>IF(H19="","",IF(H19=0,"OUT",IF(H19&lt;=I19,"LOW","OK")))</f>
        <v/>
      </c>
      <c r="L19" s="72" t="n"/>
      <c r="M19" s="72" t="n"/>
      <c r="N19" s="72" t="n"/>
      <c r="O19" s="72" t="n"/>
      <c r="P19" s="72" t="n"/>
      <c r="Q19" s="72" t="n"/>
      <c r="R19" s="8">
        <f>IF(D19="","",IFERROR(VLOOKUP(D19,'Unit Conversion'!A:B,2,FALSE),""))</f>
        <v/>
      </c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n"/>
      <c r="B20" s="71" t="n"/>
      <c r="C20" s="71" t="n"/>
      <c r="D20" s="71" t="n"/>
      <c r="E20" s="71" t="n"/>
      <c r="F20" s="71" t="n"/>
      <c r="G20" s="7">
        <f>IF(E20=0,0,F20/E20)</f>
        <v/>
      </c>
      <c r="H20" s="71" t="n"/>
      <c r="I20" s="71" t="n"/>
      <c r="J20" s="7">
        <f>H20*G20</f>
        <v/>
      </c>
      <c r="K20" s="7">
        <f>IF(H20="","",IF(H20=0,"OUT",IF(H20&lt;=I20,"LOW","OK")))</f>
        <v/>
      </c>
      <c r="L20" s="71" t="n"/>
      <c r="M20" s="71" t="n"/>
      <c r="N20" s="71" t="n"/>
      <c r="O20" s="71" t="n"/>
      <c r="P20" s="71" t="n"/>
      <c r="Q20" s="71" t="n"/>
      <c r="R20" s="7">
        <f>IF(D20="","",IFERROR(VLOOKUP(D20,'Unit Conversion'!A:B,2,FALSE),""))</f>
        <v/>
      </c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n"/>
      <c r="B21" s="72" t="n"/>
      <c r="C21" s="72" t="n"/>
      <c r="D21" s="72" t="n"/>
      <c r="E21" s="72" t="n"/>
      <c r="F21" s="72" t="n"/>
      <c r="G21" s="8">
        <f>IF(E21=0,0,F21/E21)</f>
        <v/>
      </c>
      <c r="H21" s="72" t="n"/>
      <c r="I21" s="72" t="n"/>
      <c r="J21" s="8">
        <f>H21*G21</f>
        <v/>
      </c>
      <c r="K21" s="8">
        <f>IF(H21="","",IF(H21=0,"OUT",IF(H21&lt;=I21,"LOW","OK")))</f>
        <v/>
      </c>
      <c r="L21" s="72" t="n"/>
      <c r="M21" s="72" t="n"/>
      <c r="N21" s="72" t="n"/>
      <c r="O21" s="72" t="n"/>
      <c r="P21" s="72" t="n"/>
      <c r="Q21" s="72" t="n"/>
      <c r="R21" s="8">
        <f>IF(D21="","",IFERROR(VLOOKUP(D21,'Unit Conversion'!A:B,2,FALSE),""))</f>
        <v/>
      </c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n"/>
      <c r="B22" s="71" t="n"/>
      <c r="C22" s="71" t="n"/>
      <c r="D22" s="71" t="n"/>
      <c r="E22" s="71" t="n"/>
      <c r="F22" s="71" t="n"/>
      <c r="G22" s="7">
        <f>IF(E22=0,0,F22/E22)</f>
        <v/>
      </c>
      <c r="H22" s="71" t="n"/>
      <c r="I22" s="71" t="n"/>
      <c r="J22" s="7">
        <f>H22*G22</f>
        <v/>
      </c>
      <c r="K22" s="7">
        <f>IF(H22="","",IF(H22=0,"OUT",IF(H22&lt;=I22,"LOW","OK")))</f>
        <v/>
      </c>
      <c r="L22" s="71" t="n"/>
      <c r="M22" s="71" t="n"/>
      <c r="N22" s="71" t="n"/>
      <c r="O22" s="71" t="n"/>
      <c r="P22" s="71" t="n"/>
      <c r="Q22" s="71" t="n"/>
      <c r="R22" s="7">
        <f>IF(D22="","",IFERROR(VLOOKUP(D22,'Unit Conversion'!A:B,2,FALSE),""))</f>
        <v/>
      </c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2" t="n"/>
      <c r="B23" s="72" t="n"/>
      <c r="C23" s="72" t="n"/>
      <c r="D23" s="72" t="n"/>
      <c r="E23" s="72" t="n"/>
      <c r="F23" s="72" t="n"/>
      <c r="G23" s="8">
        <f>IF(E23=0,0,F23/E23)</f>
        <v/>
      </c>
      <c r="H23" s="72" t="n"/>
      <c r="I23" s="72" t="n"/>
      <c r="J23" s="8">
        <f>H23*G23</f>
        <v/>
      </c>
      <c r="K23" s="8">
        <f>IF(H23="","",IF(H23=0,"OUT",IF(H23&lt;=I23,"LOW","OK")))</f>
        <v/>
      </c>
      <c r="L23" s="72" t="n"/>
      <c r="M23" s="72" t="n"/>
      <c r="N23" s="72" t="n"/>
      <c r="O23" s="72" t="n"/>
      <c r="P23" s="72" t="n"/>
      <c r="Q23" s="72" t="n"/>
      <c r="R23" s="8">
        <f>IF(D23="","",IFERROR(VLOOKUP(D23,'Unit Conversion'!A:B,2,FALSE),""))</f>
        <v/>
      </c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1" t="n"/>
      <c r="B24" s="71" t="n"/>
      <c r="C24" s="71" t="n"/>
      <c r="D24" s="71" t="n"/>
      <c r="E24" s="71" t="n"/>
      <c r="F24" s="71" t="n"/>
      <c r="G24" s="7">
        <f>IF(E24=0,0,F24/E24)</f>
        <v/>
      </c>
      <c r="H24" s="71" t="n"/>
      <c r="I24" s="71" t="n"/>
      <c r="J24" s="7">
        <f>H24*G24</f>
        <v/>
      </c>
      <c r="K24" s="7">
        <f>IF(H24="","",IF(H24=0,"OUT",IF(H24&lt;=I24,"LOW","OK")))</f>
        <v/>
      </c>
      <c r="L24" s="71" t="n"/>
      <c r="M24" s="71" t="n"/>
      <c r="N24" s="71" t="n"/>
      <c r="O24" s="71" t="n"/>
      <c r="P24" s="71" t="n"/>
      <c r="Q24" s="71" t="n"/>
      <c r="R24" s="7">
        <f>IF(D24="","",IFERROR(VLOOKUP(D24,'Unit Conversion'!A:B,2,FALSE),""))</f>
        <v/>
      </c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2" t="n"/>
      <c r="B25" s="72" t="n"/>
      <c r="C25" s="72" t="n"/>
      <c r="D25" s="72" t="n"/>
      <c r="E25" s="72" t="n"/>
      <c r="F25" s="72" t="n"/>
      <c r="G25" s="8">
        <f>IF(E25=0,0,F25/E25)</f>
        <v/>
      </c>
      <c r="H25" s="72" t="n"/>
      <c r="I25" s="72" t="n"/>
      <c r="J25" s="8">
        <f>H25*G25</f>
        <v/>
      </c>
      <c r="K25" s="8">
        <f>IF(H25="","",IF(H25=0,"OUT",IF(H25&lt;=I25,"LOW","OK")))</f>
        <v/>
      </c>
      <c r="L25" s="72" t="n"/>
      <c r="M25" s="72" t="n"/>
      <c r="N25" s="72" t="n"/>
      <c r="O25" s="72" t="n"/>
      <c r="P25" s="72" t="n"/>
      <c r="Q25" s="72" t="n"/>
      <c r="R25" s="8">
        <f>IF(D25="","",IFERROR(VLOOKUP(D25,'Unit Conversion'!A:B,2,FALSE),""))</f>
        <v/>
      </c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1" t="n"/>
      <c r="B26" s="71" t="n"/>
      <c r="C26" s="71" t="n"/>
      <c r="D26" s="71" t="n"/>
      <c r="E26" s="71" t="n"/>
      <c r="F26" s="71" t="n"/>
      <c r="G26" s="7">
        <f>IF(E26=0,0,F26/E26)</f>
        <v/>
      </c>
      <c r="H26" s="71" t="n"/>
      <c r="I26" s="71" t="n"/>
      <c r="J26" s="7">
        <f>H26*G26</f>
        <v/>
      </c>
      <c r="K26" s="7">
        <f>IF(H26="","",IF(H26=0,"OUT",IF(H26&lt;=I26,"LOW","OK")))</f>
        <v/>
      </c>
      <c r="L26" s="71" t="n"/>
      <c r="M26" s="71" t="n"/>
      <c r="N26" s="71" t="n"/>
      <c r="O26" s="71" t="n"/>
      <c r="P26" s="71" t="n"/>
      <c r="Q26" s="71" t="n"/>
      <c r="R26" s="7">
        <f>IF(D26="","",IFERROR(VLOOKUP(D26,'Unit Conversion'!A:B,2,FALSE),""))</f>
        <v/>
      </c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2" t="n"/>
      <c r="B27" s="72" t="n"/>
      <c r="C27" s="72" t="n"/>
      <c r="D27" s="72" t="n"/>
      <c r="E27" s="72" t="n"/>
      <c r="F27" s="72" t="n"/>
      <c r="G27" s="8">
        <f>IF(E27=0,0,F27/E27)</f>
        <v/>
      </c>
      <c r="H27" s="72" t="n"/>
      <c r="I27" s="72" t="n"/>
      <c r="J27" s="8">
        <f>H27*G27</f>
        <v/>
      </c>
      <c r="K27" s="8">
        <f>IF(H27="","",IF(H27=0,"OUT",IF(H27&lt;=I27,"LOW","OK")))</f>
        <v/>
      </c>
      <c r="L27" s="72" t="n"/>
      <c r="M27" s="72" t="n"/>
      <c r="N27" s="72" t="n"/>
      <c r="O27" s="72" t="n"/>
      <c r="P27" s="72" t="n"/>
      <c r="Q27" s="72" t="n"/>
      <c r="R27" s="8">
        <f>IF(D27="","",IFERROR(VLOOKUP(D27,'Unit Conversion'!A:B,2,FALSE),""))</f>
        <v/>
      </c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71" t="n"/>
      <c r="B28" s="71" t="n"/>
      <c r="C28" s="71" t="n"/>
      <c r="D28" s="71" t="n"/>
      <c r="E28" s="71" t="n"/>
      <c r="F28" s="71" t="n"/>
      <c r="G28" s="7">
        <f>IF(E28=0,0,F28/E28)</f>
        <v/>
      </c>
      <c r="H28" s="71" t="n"/>
      <c r="I28" s="71" t="n"/>
      <c r="J28" s="7">
        <f>H28*G28</f>
        <v/>
      </c>
      <c r="K28" s="7">
        <f>IF(H28="","",IF(H28=0,"OUT",IF(H28&lt;=I28,"LOW","OK")))</f>
        <v/>
      </c>
      <c r="L28" s="71" t="n"/>
      <c r="M28" s="71" t="n"/>
      <c r="N28" s="71" t="n"/>
      <c r="O28" s="71" t="n"/>
      <c r="P28" s="71" t="n"/>
      <c r="Q28" s="71" t="n"/>
      <c r="R28" s="7">
        <f>IF(D28="","",IFERROR(VLOOKUP(D28,'Unit Conversion'!A:B,2,FALSE),""))</f>
        <v/>
      </c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2" t="n"/>
      <c r="B29" s="72" t="n"/>
      <c r="C29" s="72" t="n"/>
      <c r="D29" s="72" t="n"/>
      <c r="E29" s="72" t="n"/>
      <c r="F29" s="72" t="n"/>
      <c r="G29" s="8">
        <f>IF(E29=0,0,F29/E29)</f>
        <v/>
      </c>
      <c r="H29" s="72" t="n"/>
      <c r="I29" s="72" t="n"/>
      <c r="J29" s="8">
        <f>H29*G29</f>
        <v/>
      </c>
      <c r="K29" s="8">
        <f>IF(H29="","",IF(H29=0,"OUT",IF(H29&lt;=I29,"LOW","OK")))</f>
        <v/>
      </c>
      <c r="L29" s="72" t="n"/>
      <c r="M29" s="72" t="n"/>
      <c r="N29" s="72" t="n"/>
      <c r="O29" s="72" t="n"/>
      <c r="P29" s="72" t="n"/>
      <c r="Q29" s="72" t="n"/>
      <c r="R29" s="8">
        <f>IF(D29="","",IFERROR(VLOOKUP(D29,'Unit Conversion'!A:B,2,FALSE),""))</f>
        <v/>
      </c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1" t="n"/>
      <c r="B30" s="71" t="n"/>
      <c r="C30" s="71" t="n"/>
      <c r="D30" s="71" t="n"/>
      <c r="E30" s="71" t="n"/>
      <c r="F30" s="71" t="n"/>
      <c r="G30" s="7">
        <f>IF(E30=0,0,F30/E30)</f>
        <v/>
      </c>
      <c r="H30" s="71" t="n"/>
      <c r="I30" s="71" t="n"/>
      <c r="J30" s="7">
        <f>H30*G30</f>
        <v/>
      </c>
      <c r="K30" s="7">
        <f>IF(H30="","",IF(H30=0,"OUT",IF(H30&lt;=I30,"LOW","OK")))</f>
        <v/>
      </c>
      <c r="L30" s="71" t="n"/>
      <c r="M30" s="71" t="n"/>
      <c r="N30" s="71" t="n"/>
      <c r="O30" s="71" t="n"/>
      <c r="P30" s="71" t="n"/>
      <c r="Q30" s="71" t="n"/>
      <c r="R30" s="7">
        <f>IF(D30="","",IFERROR(VLOOKUP(D30,'Unit Conversion'!A:B,2,FALSE),""))</f>
        <v/>
      </c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72" t="n"/>
      <c r="B31" s="72" t="n"/>
      <c r="C31" s="72" t="n"/>
      <c r="D31" s="72" t="n"/>
      <c r="E31" s="72" t="n"/>
      <c r="F31" s="72" t="n"/>
      <c r="G31" s="8">
        <f>IF(E31=0,0,F31/E31)</f>
        <v/>
      </c>
      <c r="H31" s="72" t="n"/>
      <c r="I31" s="72" t="n"/>
      <c r="J31" s="8">
        <f>H31*G31</f>
        <v/>
      </c>
      <c r="K31" s="8">
        <f>IF(H31="","",IF(H31=0,"OUT",IF(H31&lt;=I31,"LOW","OK")))</f>
        <v/>
      </c>
      <c r="L31" s="72" t="n"/>
      <c r="M31" s="72" t="n"/>
      <c r="N31" s="72" t="n"/>
      <c r="O31" s="72" t="n"/>
      <c r="P31" s="72" t="n"/>
      <c r="Q31" s="72" t="n"/>
      <c r="R31" s="8">
        <f>IF(D31="","",IFERROR(VLOOKUP(D31,'Unit Conversion'!A:B,2,FALSE),""))</f>
        <v/>
      </c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1" t="n"/>
      <c r="B32" s="71" t="n"/>
      <c r="C32" s="71" t="n"/>
      <c r="D32" s="71" t="n"/>
      <c r="E32" s="71" t="n"/>
      <c r="F32" s="71" t="n"/>
      <c r="G32" s="7">
        <f>IF(E32=0,0,F32/E32)</f>
        <v/>
      </c>
      <c r="H32" s="71" t="n"/>
      <c r="I32" s="71" t="n"/>
      <c r="J32" s="7">
        <f>H32*G32</f>
        <v/>
      </c>
      <c r="K32" s="7">
        <f>IF(H32="","",IF(H32=0,"OUT",IF(H32&lt;=I32,"LOW","OK")))</f>
        <v/>
      </c>
      <c r="L32" s="71" t="n"/>
      <c r="M32" s="71" t="n"/>
      <c r="N32" s="71" t="n"/>
      <c r="O32" s="71" t="n"/>
      <c r="P32" s="71" t="n"/>
      <c r="Q32" s="71" t="n"/>
      <c r="R32" s="7">
        <f>IF(D32="","",IFERROR(VLOOKUP(D32,'Unit Conversion'!A:B,2,FALSE),""))</f>
        <v/>
      </c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/>
      <c r="B33" s="72" t="n"/>
      <c r="C33" s="72" t="n"/>
      <c r="D33" s="72" t="n"/>
      <c r="E33" s="72" t="n"/>
      <c r="F33" s="72" t="n"/>
      <c r="G33" s="8">
        <f>IF(E33=0,0,F33/E33)</f>
        <v/>
      </c>
      <c r="H33" s="72" t="n"/>
      <c r="I33" s="72" t="n"/>
      <c r="J33" s="8">
        <f>H33*G33</f>
        <v/>
      </c>
      <c r="K33" s="8">
        <f>IF(H33="","",IF(H33=0,"OUT",IF(H33&lt;=I33,"LOW","OK")))</f>
        <v/>
      </c>
      <c r="L33" s="72" t="n"/>
      <c r="M33" s="72" t="n"/>
      <c r="N33" s="72" t="n"/>
      <c r="O33" s="72" t="n"/>
      <c r="P33" s="72" t="n"/>
      <c r="Q33" s="72" t="n"/>
      <c r="R33" s="8">
        <f>IF(D33="","",IFERROR(VLOOKUP(D33,'Unit Conversion'!A:B,2,FALSE),""))</f>
        <v/>
      </c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/>
      <c r="B34" s="71" t="n"/>
      <c r="C34" s="71" t="n"/>
      <c r="D34" s="71" t="n"/>
      <c r="E34" s="71" t="n"/>
      <c r="F34" s="71" t="n"/>
      <c r="G34" s="7">
        <f>IF(E34=0,0,F34/E34)</f>
        <v/>
      </c>
      <c r="H34" s="71" t="n"/>
      <c r="I34" s="71" t="n"/>
      <c r="J34" s="7">
        <f>H34*G34</f>
        <v/>
      </c>
      <c r="K34" s="7">
        <f>IF(H34="","",IF(H34=0,"OUT",IF(H34&lt;=I34,"LOW","OK")))</f>
        <v/>
      </c>
      <c r="L34" s="71" t="n"/>
      <c r="M34" s="71" t="n"/>
      <c r="N34" s="71" t="n"/>
      <c r="O34" s="71" t="n"/>
      <c r="P34" s="71" t="n"/>
      <c r="Q34" s="71" t="n"/>
      <c r="R34" s="7">
        <f>IF(D34="","",IFERROR(VLOOKUP(D34,'Unit Conversion'!A:B,2,FALSE),""))</f>
        <v/>
      </c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/>
      <c r="B35" s="72" t="n"/>
      <c r="C35" s="72" t="n"/>
      <c r="D35" s="72" t="n"/>
      <c r="E35" s="72" t="n"/>
      <c r="F35" s="72" t="n"/>
      <c r="G35" s="8">
        <f>IF(E35=0,0,F35/E35)</f>
        <v/>
      </c>
      <c r="H35" s="72" t="n"/>
      <c r="I35" s="72" t="n"/>
      <c r="J35" s="8">
        <f>H35*G35</f>
        <v/>
      </c>
      <c r="K35" s="8">
        <f>IF(H35="","",IF(H35=0,"OUT",IF(H35&lt;=I35,"LOW","OK")))</f>
        <v/>
      </c>
      <c r="L35" s="72" t="n"/>
      <c r="M35" s="72" t="n"/>
      <c r="N35" s="72" t="n"/>
      <c r="O35" s="72" t="n"/>
      <c r="P35" s="72" t="n"/>
      <c r="Q35" s="72" t="n"/>
      <c r="R35" s="8">
        <f>IF(D35="","",IFERROR(VLOOKUP(D35,'Unit Conversion'!A:B,2,FALSE),""))</f>
        <v/>
      </c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/>
      <c r="B36" s="71" t="n"/>
      <c r="C36" s="71" t="n"/>
      <c r="D36" s="71" t="n"/>
      <c r="E36" s="71" t="n"/>
      <c r="F36" s="71" t="n"/>
      <c r="G36" s="7">
        <f>IF(E36=0,0,F36/E36)</f>
        <v/>
      </c>
      <c r="H36" s="71" t="n"/>
      <c r="I36" s="71" t="n"/>
      <c r="J36" s="7">
        <f>H36*G36</f>
        <v/>
      </c>
      <c r="K36" s="7">
        <f>IF(H36="","",IF(H36=0,"OUT",IF(H36&lt;=I36,"LOW","OK")))</f>
        <v/>
      </c>
      <c r="L36" s="71" t="n"/>
      <c r="M36" s="71" t="n"/>
      <c r="N36" s="71" t="n"/>
      <c r="O36" s="71" t="n"/>
      <c r="P36" s="71" t="n"/>
      <c r="Q36" s="71" t="n"/>
      <c r="R36" s="7">
        <f>IF(D36="","",IFERROR(VLOOKUP(D36,'Unit Conversion'!A:B,2,FALSE),""))</f>
        <v/>
      </c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/>
      <c r="B37" s="72" t="n"/>
      <c r="C37" s="72" t="n"/>
      <c r="D37" s="72" t="n"/>
      <c r="E37" s="72" t="n"/>
      <c r="F37" s="72" t="n"/>
      <c r="G37" s="8">
        <f>IF(E37=0,0,F37/E37)</f>
        <v/>
      </c>
      <c r="H37" s="72" t="n"/>
      <c r="I37" s="72" t="n"/>
      <c r="J37" s="8">
        <f>H37*G37</f>
        <v/>
      </c>
      <c r="K37" s="8">
        <f>IF(H37="","",IF(H37=0,"OUT",IF(H37&lt;=I37,"LOW","OK")))</f>
        <v/>
      </c>
      <c r="L37" s="72" t="n"/>
      <c r="M37" s="72" t="n"/>
      <c r="N37" s="72" t="n"/>
      <c r="O37" s="72" t="n"/>
      <c r="P37" s="72" t="n"/>
      <c r="Q37" s="72" t="n"/>
      <c r="R37" s="8">
        <f>IF(D37="","",IFERROR(VLOOKUP(D37,'Unit Conversion'!A:B,2,FALSE),""))</f>
        <v/>
      </c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/>
      <c r="B38" s="71" t="n"/>
      <c r="C38" s="71" t="n"/>
      <c r="D38" s="71" t="n"/>
      <c r="E38" s="71" t="n"/>
      <c r="F38" s="71" t="n"/>
      <c r="G38" s="7">
        <f>IF(E38=0,0,F38/E38)</f>
        <v/>
      </c>
      <c r="H38" s="71" t="n"/>
      <c r="I38" s="71" t="n"/>
      <c r="J38" s="7">
        <f>H38*G38</f>
        <v/>
      </c>
      <c r="K38" s="7">
        <f>IF(H38="","",IF(H38=0,"OUT",IF(H38&lt;=I38,"LOW","OK")))</f>
        <v/>
      </c>
      <c r="L38" s="71" t="n"/>
      <c r="M38" s="71" t="n"/>
      <c r="N38" s="71" t="n"/>
      <c r="O38" s="71" t="n"/>
      <c r="P38" s="71" t="n"/>
      <c r="Q38" s="71" t="n"/>
      <c r="R38" s="7">
        <f>IF(D38="","",IFERROR(VLOOKUP(D38,'Unit Conversion'!A:B,2,FALSE),""))</f>
        <v/>
      </c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/>
      <c r="B39" s="72" t="n"/>
      <c r="C39" s="72" t="n"/>
      <c r="D39" s="72" t="n"/>
      <c r="E39" s="72" t="n"/>
      <c r="F39" s="72" t="n"/>
      <c r="G39" s="8">
        <f>IF(E39=0,0,F39/E39)</f>
        <v/>
      </c>
      <c r="H39" s="72" t="n"/>
      <c r="I39" s="72" t="n"/>
      <c r="J39" s="8">
        <f>H39*G39</f>
        <v/>
      </c>
      <c r="K39" s="8">
        <f>IF(H39="","",IF(H39=0,"OUT",IF(H39&lt;=I39,"LOW","OK")))</f>
        <v/>
      </c>
      <c r="L39" s="72" t="n"/>
      <c r="M39" s="72" t="n"/>
      <c r="N39" s="72" t="n"/>
      <c r="O39" s="72" t="n"/>
      <c r="P39" s="72" t="n"/>
      <c r="Q39" s="72" t="n"/>
      <c r="R39" s="8">
        <f>IF(D39="","",IFERROR(VLOOKUP(D39,'Unit Conversion'!A:B,2,FALSE),""))</f>
        <v/>
      </c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/>
      <c r="B40" s="71" t="n"/>
      <c r="C40" s="71" t="n"/>
      <c r="D40" s="71" t="n"/>
      <c r="E40" s="71" t="n"/>
      <c r="F40" s="71" t="n"/>
      <c r="G40" s="7">
        <f>IF(E40=0,0,F40/E40)</f>
        <v/>
      </c>
      <c r="H40" s="71" t="n"/>
      <c r="I40" s="71" t="n"/>
      <c r="J40" s="7">
        <f>H40*G40</f>
        <v/>
      </c>
      <c r="K40" s="7">
        <f>IF(H40="","",IF(H40=0,"OUT",IF(H40&lt;=I40,"LOW","OK")))</f>
        <v/>
      </c>
      <c r="L40" s="71" t="n"/>
      <c r="M40" s="71" t="n"/>
      <c r="N40" s="71" t="n"/>
      <c r="O40" s="71" t="n"/>
      <c r="P40" s="71" t="n"/>
      <c r="Q40" s="71" t="n"/>
      <c r="R40" s="7">
        <f>IF(D40="","",IFERROR(VLOOKUP(D40,'Unit Conversion'!A:B,2,FALSE),""))</f>
        <v/>
      </c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/>
      <c r="B41" s="72" t="n"/>
      <c r="C41" s="72" t="n"/>
      <c r="D41" s="72" t="n"/>
      <c r="E41" s="72" t="n"/>
      <c r="F41" s="72" t="n"/>
      <c r="G41" s="8">
        <f>IF(E41=0,0,F41/E41)</f>
        <v/>
      </c>
      <c r="H41" s="72" t="n"/>
      <c r="I41" s="72" t="n"/>
      <c r="J41" s="8">
        <f>H41*G41</f>
        <v/>
      </c>
      <c r="K41" s="8">
        <f>IF(H41="","",IF(H41=0,"OUT",IF(H41&lt;=I41,"LOW","OK")))</f>
        <v/>
      </c>
      <c r="L41" s="72" t="n"/>
      <c r="M41" s="72" t="n"/>
      <c r="N41" s="72" t="n"/>
      <c r="O41" s="72" t="n"/>
      <c r="P41" s="72" t="n"/>
      <c r="Q41" s="72" t="n"/>
      <c r="R41" s="8">
        <f>IF(D41="","",IFERROR(VLOOKUP(D41,'Unit Conversion'!A:B,2,FALSE),""))</f>
        <v/>
      </c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/>
      <c r="B42" s="71" t="n"/>
      <c r="C42" s="71" t="n"/>
      <c r="D42" s="71" t="n"/>
      <c r="E42" s="71" t="n"/>
      <c r="F42" s="71" t="n"/>
      <c r="G42" s="7">
        <f>IF(E42=0,0,F42/E42)</f>
        <v/>
      </c>
      <c r="H42" s="71" t="n"/>
      <c r="I42" s="71" t="n"/>
      <c r="J42" s="7">
        <f>H42*G42</f>
        <v/>
      </c>
      <c r="K42" s="7">
        <f>IF(H42="","",IF(H42=0,"OUT",IF(H42&lt;=I42,"LOW","OK")))</f>
        <v/>
      </c>
      <c r="L42" s="71" t="n"/>
      <c r="M42" s="71" t="n"/>
      <c r="N42" s="71" t="n"/>
      <c r="O42" s="71" t="n"/>
      <c r="P42" s="71" t="n"/>
      <c r="Q42" s="71" t="n"/>
      <c r="R42" s="7">
        <f>IF(D42="","",IFERROR(VLOOKUP(D42,'Unit Conversion'!A:B,2,FALSE),""))</f>
        <v/>
      </c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/>
      <c r="B43" s="72" t="n"/>
      <c r="C43" s="72" t="n"/>
      <c r="D43" s="72" t="n"/>
      <c r="E43" s="72" t="n"/>
      <c r="F43" s="72" t="n"/>
      <c r="G43" s="8">
        <f>IF(E43=0,0,F43/E43)</f>
        <v/>
      </c>
      <c r="H43" s="72" t="n"/>
      <c r="I43" s="72" t="n"/>
      <c r="J43" s="8">
        <f>H43*G43</f>
        <v/>
      </c>
      <c r="K43" s="8">
        <f>IF(H43="","",IF(H43=0,"OUT",IF(H43&lt;=I43,"LOW","OK")))</f>
        <v/>
      </c>
      <c r="L43" s="72" t="n"/>
      <c r="M43" s="72" t="n"/>
      <c r="N43" s="72" t="n"/>
      <c r="O43" s="72" t="n"/>
      <c r="P43" s="72" t="n"/>
      <c r="Q43" s="72" t="n"/>
      <c r="R43" s="8">
        <f>IF(D43="","",IFERROR(VLOOKUP(D43,'Unit Conversion'!A:B,2,FALSE),""))</f>
        <v/>
      </c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/>
      <c r="B44" s="71" t="n"/>
      <c r="C44" s="71" t="n"/>
      <c r="D44" s="71" t="n"/>
      <c r="E44" s="71" t="n"/>
      <c r="F44" s="71" t="n"/>
      <c r="G44" s="7">
        <f>IF(E44=0,0,F44/E44)</f>
        <v/>
      </c>
      <c r="H44" s="71" t="n"/>
      <c r="I44" s="71" t="n"/>
      <c r="J44" s="7">
        <f>H44*G44</f>
        <v/>
      </c>
      <c r="K44" s="7">
        <f>IF(H44="","",IF(H44=0,"OUT",IF(H44&lt;=I44,"LOW","OK")))</f>
        <v/>
      </c>
      <c r="L44" s="71" t="n"/>
      <c r="M44" s="71" t="n"/>
      <c r="N44" s="71" t="n"/>
      <c r="O44" s="71" t="n"/>
      <c r="P44" s="71" t="n"/>
      <c r="Q44" s="71" t="n"/>
      <c r="R44" s="7">
        <f>IF(D44="","",IFERROR(VLOOKUP(D44,'Unit Conversion'!A:B,2,FALSE),""))</f>
        <v/>
      </c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/>
      <c r="B45" s="72" t="n"/>
      <c r="C45" s="72" t="n"/>
      <c r="D45" s="72" t="n"/>
      <c r="E45" s="72" t="n"/>
      <c r="F45" s="72" t="n"/>
      <c r="G45" s="8">
        <f>IF(E45=0,0,F45/E45)</f>
        <v/>
      </c>
      <c r="H45" s="72" t="n"/>
      <c r="I45" s="72" t="n"/>
      <c r="J45" s="8">
        <f>H45*G45</f>
        <v/>
      </c>
      <c r="K45" s="8">
        <f>IF(H45="","",IF(H45=0,"OUT",IF(H45&lt;=I45,"LOW","OK")))</f>
        <v/>
      </c>
      <c r="L45" s="72" t="n"/>
      <c r="M45" s="72" t="n"/>
      <c r="N45" s="72" t="n"/>
      <c r="O45" s="72" t="n"/>
      <c r="P45" s="72" t="n"/>
      <c r="Q45" s="72" t="n"/>
      <c r="R45" s="8">
        <f>IF(D45="","",IFERROR(VLOOKUP(D45,'Unit Conversion'!A:B,2,FALSE),""))</f>
        <v/>
      </c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71" t="n"/>
      <c r="B46" s="71" t="n"/>
      <c r="C46" s="71" t="n"/>
      <c r="D46" s="71" t="n"/>
      <c r="E46" s="71" t="n"/>
      <c r="F46" s="71" t="n"/>
      <c r="G46" s="7">
        <f>IF(E46=0,0,F46/E46)</f>
        <v/>
      </c>
      <c r="H46" s="71" t="n"/>
      <c r="I46" s="71" t="n"/>
      <c r="J46" s="7">
        <f>H46*G46</f>
        <v/>
      </c>
      <c r="K46" s="7">
        <f>IF(H46="","",IF(H46=0,"OUT",IF(H46&lt;=I46,"LOW","OK")))</f>
        <v/>
      </c>
      <c r="L46" s="71" t="n"/>
      <c r="M46" s="71" t="n"/>
      <c r="N46" s="71" t="n"/>
      <c r="O46" s="71" t="n"/>
      <c r="P46" s="71" t="n"/>
      <c r="Q46" s="71" t="n"/>
      <c r="R46" s="7">
        <f>IF(D46="","",IFERROR(VLOOKUP(D46,'Unit Conversion'!A:B,2,FALSE),""))</f>
        <v/>
      </c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72" t="n"/>
      <c r="B47" s="72" t="n"/>
      <c r="C47" s="72" t="n"/>
      <c r="D47" s="72" t="n"/>
      <c r="E47" s="72" t="n"/>
      <c r="F47" s="72" t="n"/>
      <c r="G47" s="8">
        <f>IF(E47=0,0,F47/E47)</f>
        <v/>
      </c>
      <c r="H47" s="72" t="n"/>
      <c r="I47" s="72" t="n"/>
      <c r="J47" s="8">
        <f>H47*G47</f>
        <v/>
      </c>
      <c r="K47" s="8">
        <f>IF(H47="","",IF(H47=0,"OUT",IF(H47&lt;=I47,"LOW","OK")))</f>
        <v/>
      </c>
      <c r="L47" s="72" t="n"/>
      <c r="M47" s="72" t="n"/>
      <c r="N47" s="72" t="n"/>
      <c r="O47" s="72" t="n"/>
      <c r="P47" s="72" t="n"/>
      <c r="Q47" s="72" t="n"/>
      <c r="R47" s="8">
        <f>IF(D47="","",IFERROR(VLOOKUP(D47,'Unit Conversion'!A:B,2,FALSE),""))</f>
        <v/>
      </c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71" t="n"/>
      <c r="B48" s="71" t="n"/>
      <c r="C48" s="71" t="n"/>
      <c r="D48" s="71" t="n"/>
      <c r="E48" s="71" t="n"/>
      <c r="F48" s="71" t="n"/>
      <c r="G48" s="7">
        <f>IF(E48=0,0,F48/E48)</f>
        <v/>
      </c>
      <c r="H48" s="71" t="n"/>
      <c r="I48" s="71" t="n"/>
      <c r="J48" s="7">
        <f>H48*G48</f>
        <v/>
      </c>
      <c r="K48" s="7">
        <f>IF(H48="","",IF(H48=0,"OUT",IF(H48&lt;=I48,"LOW","OK")))</f>
        <v/>
      </c>
      <c r="L48" s="71" t="n"/>
      <c r="M48" s="71" t="n"/>
      <c r="N48" s="71" t="n"/>
      <c r="O48" s="71" t="n"/>
      <c r="P48" s="71" t="n"/>
      <c r="Q48" s="71" t="n"/>
      <c r="R48" s="7">
        <f>IF(D48="","",IFERROR(VLOOKUP(D48,'Unit Conversion'!A:B,2,FALSE),""))</f>
        <v/>
      </c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72" t="n"/>
      <c r="B49" s="72" t="n"/>
      <c r="C49" s="72" t="n"/>
      <c r="D49" s="72" t="n"/>
      <c r="E49" s="72" t="n"/>
      <c r="F49" s="72" t="n"/>
      <c r="G49" s="8">
        <f>IF(E49=0,0,F49/E49)</f>
        <v/>
      </c>
      <c r="H49" s="72" t="n"/>
      <c r="I49" s="72" t="n"/>
      <c r="J49" s="8">
        <f>H49*G49</f>
        <v/>
      </c>
      <c r="K49" s="8">
        <f>IF(H49="","",IF(H49=0,"OUT",IF(H49&lt;=I49,"LOW","OK")))</f>
        <v/>
      </c>
      <c r="L49" s="72" t="n"/>
      <c r="M49" s="72" t="n"/>
      <c r="N49" s="72" t="n"/>
      <c r="O49" s="72" t="n"/>
      <c r="P49" s="72" t="n"/>
      <c r="Q49" s="72" t="n"/>
      <c r="R49" s="8">
        <f>IF(D49="","",IFERROR(VLOOKUP(D49,'Unit Conversion'!A:B,2,FALSE),""))</f>
        <v/>
      </c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71" t="n"/>
      <c r="B50" s="71" t="n"/>
      <c r="C50" s="71" t="n"/>
      <c r="D50" s="71" t="n"/>
      <c r="E50" s="71" t="n"/>
      <c r="F50" s="71" t="n"/>
      <c r="G50" s="7">
        <f>IF(E50=0,0,F50/E50)</f>
        <v/>
      </c>
      <c r="H50" s="71" t="n"/>
      <c r="I50" s="71" t="n"/>
      <c r="J50" s="7">
        <f>H50*G50</f>
        <v/>
      </c>
      <c r="K50" s="7">
        <f>IF(H50="","",IF(H50=0,"OUT",IF(H50&lt;=I50,"LOW","OK")))</f>
        <v/>
      </c>
      <c r="L50" s="71" t="n"/>
      <c r="M50" s="71" t="n"/>
      <c r="N50" s="71" t="n"/>
      <c r="O50" s="71" t="n"/>
      <c r="P50" s="71" t="n"/>
      <c r="Q50" s="71" t="n"/>
      <c r="R50" s="7">
        <f>IF(D50="","",IFERROR(VLOOKUP(D50,'Unit Conversion'!A:B,2,FALSE),""))</f>
        <v/>
      </c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72" t="n"/>
      <c r="B51" s="72" t="n"/>
      <c r="C51" s="72" t="n"/>
      <c r="D51" s="72" t="n"/>
      <c r="E51" s="72" t="n"/>
      <c r="F51" s="72" t="n"/>
      <c r="G51" s="8">
        <f>IF(E51=0,0,F51/E51)</f>
        <v/>
      </c>
      <c r="H51" s="72" t="n"/>
      <c r="I51" s="72" t="n"/>
      <c r="J51" s="8">
        <f>H51*G51</f>
        <v/>
      </c>
      <c r="K51" s="8">
        <f>IF(H51="","",IF(H51=0,"OUT",IF(H51&lt;=I51,"LOW","OK")))</f>
        <v/>
      </c>
      <c r="L51" s="72" t="n"/>
      <c r="M51" s="72" t="n"/>
      <c r="N51" s="72" t="n"/>
      <c r="O51" s="72" t="n"/>
      <c r="P51" s="72" t="n"/>
      <c r="Q51" s="72" t="n"/>
      <c r="R51" s="8">
        <f>IF(D51="","",IFERROR(VLOOKUP(D51,'Unit Conversion'!A:B,2,FALSE),""))</f>
        <v/>
      </c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74" t="inlineStr">
        <is>
          <t>Total Stock Value:</t>
        </is>
      </c>
      <c r="K52" s="91">
        <f>SUM(J2:J51)</f>
        <v/>
      </c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conditionalFormatting sqref="K2:K100">
    <cfRule type="cellIs" priority="1" operator="equal" dxfId="0">
      <formula>"OUT"</formula>
    </cfRule>
    <cfRule type="cellIs" priority="2" operator="equal" dxfId="1">
      <formula>"LOW"</formula>
    </cfRule>
    <cfRule type="cellIs" priority="3" operator="equal" dxfId="2">
      <formula>"OK"</formula>
    </cfRule>
  </conditionalFormatting>
  <dataValidations count="2">
    <dataValidation sqref="C2:C100" showDropDown="0" showInputMessage="0" showErrorMessage="0" allowBlank="1" type="list">
      <formula1>"Flour,Sugar,Dairy,Chocolate,Flavoring,Spice,Leavening,Fruit,Nuts,Packaging,Other,Oil"</formula1>
    </dataValidation>
    <dataValidation sqref="D2:D100" showDropDown="0" showInputMessage="0" showErrorMessage="0" allowBlank="1" type="list">
      <formula1>"g,kg,mg,oz,lb,ml,L,tsp,tbsp,cup,fl oz,pcs,dozen"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E4B7"/>
    <outlinePr summaryBelow="1" summaryRight="1"/>
    <pageSetUpPr/>
  </sheetPr>
  <dimension ref="A1:AI36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</cols>
  <sheetData>
    <row r="1">
      <c r="A1" s="18" t="inlineStr">
        <is>
          <t>Recipe Library - 50 Recipes Capacity (NEW - addresses review: room for more than 1 recipe)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8" t="inlineStr">
        <is>
          <t>Recipe List - Master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Recipe ID</t>
        </is>
      </c>
      <c r="B4" s="70" t="inlineStr">
        <is>
          <t>Recipe Name</t>
        </is>
      </c>
      <c r="C4" s="70" t="inlineStr">
        <is>
          <t>Category</t>
        </is>
      </c>
      <c r="D4" s="70" t="inlineStr">
        <is>
          <t>Batch Yield</t>
        </is>
      </c>
      <c r="E4" s="70" t="inlineStr">
        <is>
          <t>Portion Size</t>
        </is>
      </c>
      <c r="F4" s="70" t="inlineStr">
        <is>
          <t>Total Ingredient Cost $</t>
        </is>
      </c>
      <c r="G4" s="70" t="inlineStr">
        <is>
          <t>Labor Hours</t>
        </is>
      </c>
      <c r="H4" s="70" t="inlineStr">
        <is>
          <t>Hourly Rate $</t>
        </is>
      </c>
      <c r="I4" s="70" t="inlineStr">
        <is>
          <t>Labor Cost $</t>
        </is>
      </c>
      <c r="J4" s="70" t="inlineStr">
        <is>
          <t>Packaging/Unit $</t>
        </is>
      </c>
      <c r="K4" s="70" t="inlineStr">
        <is>
          <t>Packaging Total $</t>
        </is>
      </c>
      <c r="L4" s="70" t="inlineStr">
        <is>
          <t>Overhead %</t>
        </is>
      </c>
      <c r="M4" s="70" t="inlineStr">
        <is>
          <t>Overhead $</t>
        </is>
      </c>
      <c r="N4" s="70" t="inlineStr">
        <is>
          <t>Waste %</t>
        </is>
      </c>
      <c r="O4" s="70" t="inlineStr">
        <is>
          <t>Waste $</t>
        </is>
      </c>
      <c r="P4" s="70" t="inlineStr">
        <is>
          <t>Other $</t>
        </is>
      </c>
      <c r="Q4" s="70" t="inlineStr">
        <is>
          <t>Total Batch Cost $</t>
        </is>
      </c>
      <c r="R4" s="70" t="inlineStr">
        <is>
          <t>Cost/Unit $</t>
        </is>
      </c>
      <c r="S4" s="70" t="inlineStr">
        <is>
          <t>Suggested Price 2.5x $</t>
        </is>
      </c>
      <c r="T4" s="70" t="inlineStr">
        <is>
          <t>Status</t>
        </is>
      </c>
      <c r="U4" s="70" t="inlineStr">
        <is>
          <t>Notes</t>
        </is>
      </c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inlineStr">
        <is>
          <t>REC-001</t>
        </is>
      </c>
      <c r="B5" s="72" t="inlineStr">
        <is>
          <t>Sourdough Loaf</t>
        </is>
      </c>
      <c r="C5" s="72" t="inlineStr">
        <is>
          <t>Bread</t>
        </is>
      </c>
      <c r="D5" s="72" t="n">
        <v>2</v>
      </c>
      <c r="E5" s="72" t="inlineStr">
        <is>
          <t>900g loaf</t>
        </is>
      </c>
      <c r="F5" s="89">
        <f>SUMIF($W$65:$W$500,B5,$AG$65:$AG$500)</f>
        <v/>
      </c>
      <c r="G5" s="72" t="n">
        <v>1.5</v>
      </c>
      <c r="H5" s="72" t="n">
        <v>22</v>
      </c>
      <c r="I5" s="89">
        <f>G5*H5</f>
        <v/>
      </c>
      <c r="J5" s="72" t="n">
        <v>0.85</v>
      </c>
      <c r="K5" s="89">
        <f>J5*D5</f>
        <v/>
      </c>
      <c r="L5" s="72" t="n">
        <v>15</v>
      </c>
      <c r="M5" s="89">
        <f>F5*L5/100</f>
        <v/>
      </c>
      <c r="N5" s="72" t="n">
        <v>5</v>
      </c>
      <c r="O5" s="89">
        <f>(F5+I5+K5+M5)*N5/100</f>
        <v/>
      </c>
      <c r="P5" s="72" t="n">
        <v>0</v>
      </c>
      <c r="Q5" s="89">
        <f>F5+I5+K5+M5+O5+P5</f>
        <v/>
      </c>
      <c r="R5" s="89">
        <f>IF(D5=0,0,Q5/D5)</f>
        <v/>
      </c>
      <c r="S5" s="89">
        <f>R5*2.5</f>
        <v/>
      </c>
      <c r="T5" s="72" t="inlineStr">
        <is>
          <t>Active</t>
        </is>
      </c>
      <c r="U5" s="72" t="inlineStr">
        <is>
          <t>Best seller</t>
        </is>
      </c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inlineStr">
        <is>
          <t>REC-002</t>
        </is>
      </c>
      <c r="B6" s="71" t="inlineStr">
        <is>
          <t>Chocolate Chip Cookies</t>
        </is>
      </c>
      <c r="C6" s="71" t="inlineStr">
        <is>
          <t>Cookies</t>
        </is>
      </c>
      <c r="D6" s="71" t="n">
        <v>12</v>
      </c>
      <c r="E6" s="71" t="inlineStr">
        <is>
          <t>1 cookie</t>
        </is>
      </c>
      <c r="F6" s="85">
        <f>SUMIF($W$65:$W$500,B6,$AG$65:$AG$500)</f>
        <v/>
      </c>
      <c r="G6" s="71" t="n">
        <v>0.75</v>
      </c>
      <c r="H6" s="71" t="n">
        <v>22</v>
      </c>
      <c r="I6" s="85">
        <f>G6*H6</f>
        <v/>
      </c>
      <c r="J6" s="71" t="n">
        <v>0.25</v>
      </c>
      <c r="K6" s="85">
        <f>J6*D6</f>
        <v/>
      </c>
      <c r="L6" s="71" t="n">
        <v>15</v>
      </c>
      <c r="M6" s="85">
        <f>F6*L6/100</f>
        <v/>
      </c>
      <c r="N6" s="71" t="n">
        <v>5</v>
      </c>
      <c r="O6" s="85">
        <f>(F6+I6+K6+M6)*N6/100</f>
        <v/>
      </c>
      <c r="P6" s="71" t="n">
        <v>0</v>
      </c>
      <c r="Q6" s="85">
        <f>F6+I6+K6+M6+O6+P6</f>
        <v/>
      </c>
      <c r="R6" s="85">
        <f>IF(D6=0,0,Q6/D6)</f>
        <v/>
      </c>
      <c r="S6" s="85">
        <f>R6*2.5</f>
        <v/>
      </c>
      <c r="T6" s="71" t="inlineStr">
        <is>
          <t>Active</t>
        </is>
      </c>
      <c r="U6" s="71" t="inlineStr">
        <is>
          <t>Dozen</t>
        </is>
      </c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inlineStr">
        <is>
          <t>REC-003</t>
        </is>
      </c>
      <c r="B7" s="72" t="inlineStr">
        <is>
          <t>Cinnamon Rolls 6-pack</t>
        </is>
      </c>
      <c r="C7" s="72" t="inlineStr">
        <is>
          <t>Pastry</t>
        </is>
      </c>
      <c r="D7" s="72" t="n">
        <v>6</v>
      </c>
      <c r="E7" s="72" t="inlineStr">
        <is>
          <t>1 roll</t>
        </is>
      </c>
      <c r="F7" s="89">
        <f>SUMIF($W$65:$W$500,B7,$AG$65:$AG$500)</f>
        <v/>
      </c>
      <c r="G7" s="72" t="n">
        <v>1</v>
      </c>
      <c r="H7" s="72" t="n">
        <v>22</v>
      </c>
      <c r="I7" s="89">
        <f>G7*H7</f>
        <v/>
      </c>
      <c r="J7" s="72" t="n">
        <v>0.5</v>
      </c>
      <c r="K7" s="89">
        <f>J7*D7</f>
        <v/>
      </c>
      <c r="L7" s="72" t="n">
        <v>15</v>
      </c>
      <c r="M7" s="89">
        <f>F7*L7/100</f>
        <v/>
      </c>
      <c r="N7" s="72" t="n">
        <v>5</v>
      </c>
      <c r="O7" s="89">
        <f>(F7+I7+K7+M7)*N7/100</f>
        <v/>
      </c>
      <c r="P7" s="72" t="n">
        <v>0</v>
      </c>
      <c r="Q7" s="89">
        <f>F7+I7+K7+M7+O7+P7</f>
        <v/>
      </c>
      <c r="R7" s="89">
        <f>IF(D7=0,0,Q7/D7)</f>
        <v/>
      </c>
      <c r="S7" s="89">
        <f>R7*2.5</f>
        <v/>
      </c>
      <c r="T7" s="72" t="inlineStr">
        <is>
          <t>Active</t>
        </is>
      </c>
      <c r="U7" s="72" t="inlineStr">
        <is>
          <t>Weekend</t>
        </is>
      </c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REC-004</t>
        </is>
      </c>
      <c r="B8" s="71" t="inlineStr">
        <is>
          <t>Banana Bread</t>
        </is>
      </c>
      <c r="C8" s="71" t="inlineStr">
        <is>
          <t>Bread</t>
        </is>
      </c>
      <c r="D8" s="71" t="n">
        <v>1</v>
      </c>
      <c r="E8" s="71" t="inlineStr">
        <is>
          <t>1 loaf</t>
        </is>
      </c>
      <c r="F8" s="85">
        <f>SUMIF($W$65:$W$500,B8,$AG$65:$AG$500)</f>
        <v/>
      </c>
      <c r="G8" s="71" t="n">
        <v>0.5</v>
      </c>
      <c r="H8" s="71" t="n">
        <v>22</v>
      </c>
      <c r="I8" s="85">
        <f>G8*H8</f>
        <v/>
      </c>
      <c r="J8" s="71" t="n">
        <v>0.75</v>
      </c>
      <c r="K8" s="85">
        <f>J8*D8</f>
        <v/>
      </c>
      <c r="L8" s="71" t="n">
        <v>15</v>
      </c>
      <c r="M8" s="85">
        <f>F8*L8/100</f>
        <v/>
      </c>
      <c r="N8" s="71" t="n">
        <v>5</v>
      </c>
      <c r="O8" s="85">
        <f>(F8+I8+K8+M8)*N8/100</f>
        <v/>
      </c>
      <c r="P8" s="71" t="n">
        <v>0</v>
      </c>
      <c r="Q8" s="85">
        <f>F8+I8+K8+M8+O8+P8</f>
        <v/>
      </c>
      <c r="R8" s="85">
        <f>IF(D8=0,0,Q8/D8)</f>
        <v/>
      </c>
      <c r="S8" s="85">
        <f>R8*2.5</f>
        <v/>
      </c>
      <c r="T8" s="71" t="inlineStr">
        <is>
          <t>Active</t>
        </is>
      </c>
      <c r="U8" s="71" t="inlineStr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REC-005</t>
        </is>
      </c>
      <c r="B9" s="72" t="inlineStr">
        <is>
          <t>Vanilla Cupcakes 6</t>
        </is>
      </c>
      <c r="C9" s="72" t="inlineStr">
        <is>
          <t>Cake</t>
        </is>
      </c>
      <c r="D9" s="72" t="n">
        <v>6</v>
      </c>
      <c r="E9" s="72" t="inlineStr">
        <is>
          <t>1 cupcake</t>
        </is>
      </c>
      <c r="F9" s="89">
        <f>SUMIF($W$65:$W$500,B9,$AG$65:$AG$500)</f>
        <v/>
      </c>
      <c r="G9" s="72" t="n">
        <v>1</v>
      </c>
      <c r="H9" s="72" t="n">
        <v>22</v>
      </c>
      <c r="I9" s="89">
        <f>G9*H9</f>
        <v/>
      </c>
      <c r="J9" s="72" t="n">
        <v>0.4</v>
      </c>
      <c r="K9" s="89">
        <f>J9*D9</f>
        <v/>
      </c>
      <c r="L9" s="72" t="n">
        <v>15</v>
      </c>
      <c r="M9" s="89">
        <f>F9*L9/100</f>
        <v/>
      </c>
      <c r="N9" s="72" t="n">
        <v>5</v>
      </c>
      <c r="O9" s="89">
        <f>(F9+I9+K9+M9)*N9/100</f>
        <v/>
      </c>
      <c r="P9" s="72" t="n">
        <v>0</v>
      </c>
      <c r="Q9" s="89">
        <f>F9+I9+K9+M9+O9+P9</f>
        <v/>
      </c>
      <c r="R9" s="89">
        <f>IF(D9=0,0,Q9/D9)</f>
        <v/>
      </c>
      <c r="S9" s="89">
        <f>R9*2.5</f>
        <v/>
      </c>
      <c r="T9" s="72" t="inlineStr">
        <is>
          <t>Active</t>
        </is>
      </c>
      <c r="U9" s="72" t="inlineStr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n"/>
      <c r="B10" s="71" t="n"/>
      <c r="C10" s="71" t="n"/>
      <c r="D10" s="71" t="n"/>
      <c r="E10" s="71" t="n"/>
      <c r="F10" s="85">
        <f>SUMIF($W$65:$W$500,B10,$AG$65:$AG$500)</f>
        <v/>
      </c>
      <c r="G10" s="71" t="n"/>
      <c r="H10" s="71" t="n"/>
      <c r="I10" s="85">
        <f>G10*H10</f>
        <v/>
      </c>
      <c r="J10" s="71" t="n"/>
      <c r="K10" s="85">
        <f>J10*D10</f>
        <v/>
      </c>
      <c r="L10" s="71" t="n"/>
      <c r="M10" s="85">
        <f>F10*L10/100</f>
        <v/>
      </c>
      <c r="N10" s="71" t="n"/>
      <c r="O10" s="85">
        <f>(F10+I10+K10+M10)*N10/100</f>
        <v/>
      </c>
      <c r="P10" s="71" t="n"/>
      <c r="Q10" s="85">
        <f>F10+I10+K10+M10+O10+P10</f>
        <v/>
      </c>
      <c r="R10" s="85">
        <f>IF(D10=0,0,Q10/D10)</f>
        <v/>
      </c>
      <c r="S10" s="85">
        <f>R10*2.5</f>
        <v/>
      </c>
      <c r="T10" s="71" t="n"/>
      <c r="U10" s="71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n"/>
      <c r="B11" s="72" t="n"/>
      <c r="C11" s="72" t="n"/>
      <c r="D11" s="72" t="n"/>
      <c r="E11" s="72" t="n"/>
      <c r="F11" s="89">
        <f>SUMIF($W$65:$W$500,B11,$AG$65:$AG$500)</f>
        <v/>
      </c>
      <c r="G11" s="72" t="n"/>
      <c r="H11" s="72" t="n"/>
      <c r="I11" s="89">
        <f>G11*H11</f>
        <v/>
      </c>
      <c r="J11" s="72" t="n"/>
      <c r="K11" s="89">
        <f>J11*D11</f>
        <v/>
      </c>
      <c r="L11" s="72" t="n"/>
      <c r="M11" s="89">
        <f>F11*L11/100</f>
        <v/>
      </c>
      <c r="N11" s="72" t="n"/>
      <c r="O11" s="89">
        <f>(F11+I11+K11+M11)*N11/100</f>
        <v/>
      </c>
      <c r="P11" s="72" t="n"/>
      <c r="Q11" s="89">
        <f>F11+I11+K11+M11+O11+P11</f>
        <v/>
      </c>
      <c r="R11" s="89">
        <f>IF(D11=0,0,Q11/D11)</f>
        <v/>
      </c>
      <c r="S11" s="89">
        <f>R11*2.5</f>
        <v/>
      </c>
      <c r="T11" s="72" t="n"/>
      <c r="U11" s="72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n"/>
      <c r="B12" s="71" t="n"/>
      <c r="C12" s="71" t="n"/>
      <c r="D12" s="71" t="n"/>
      <c r="E12" s="71" t="n"/>
      <c r="F12" s="85">
        <f>SUMIF($W$65:$W$500,B12,$AG$65:$AG$500)</f>
        <v/>
      </c>
      <c r="G12" s="71" t="n"/>
      <c r="H12" s="71" t="n"/>
      <c r="I12" s="85">
        <f>G12*H12</f>
        <v/>
      </c>
      <c r="J12" s="71" t="n"/>
      <c r="K12" s="85">
        <f>J12*D12</f>
        <v/>
      </c>
      <c r="L12" s="71" t="n"/>
      <c r="M12" s="85">
        <f>F12*L12/100</f>
        <v/>
      </c>
      <c r="N12" s="71" t="n"/>
      <c r="O12" s="85">
        <f>(F12+I12+K12+M12)*N12/100</f>
        <v/>
      </c>
      <c r="P12" s="71" t="n"/>
      <c r="Q12" s="85">
        <f>F12+I12+K12+M12+O12+P12</f>
        <v/>
      </c>
      <c r="R12" s="85">
        <f>IF(D12=0,0,Q12/D12)</f>
        <v/>
      </c>
      <c r="S12" s="85">
        <f>R12*2.5</f>
        <v/>
      </c>
      <c r="T12" s="71" t="n"/>
      <c r="U12" s="71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n"/>
      <c r="B13" s="72" t="n"/>
      <c r="C13" s="72" t="n"/>
      <c r="D13" s="72" t="n"/>
      <c r="E13" s="72" t="n"/>
      <c r="F13" s="89">
        <f>SUMIF($W$65:$W$500,B13,$AG$65:$AG$500)</f>
        <v/>
      </c>
      <c r="G13" s="72" t="n"/>
      <c r="H13" s="72" t="n"/>
      <c r="I13" s="89">
        <f>G13*H13</f>
        <v/>
      </c>
      <c r="J13" s="72" t="n"/>
      <c r="K13" s="89">
        <f>J13*D13</f>
        <v/>
      </c>
      <c r="L13" s="72" t="n"/>
      <c r="M13" s="89">
        <f>F13*L13/100</f>
        <v/>
      </c>
      <c r="N13" s="72" t="n"/>
      <c r="O13" s="89">
        <f>(F13+I13+K13+M13)*N13/100</f>
        <v/>
      </c>
      <c r="P13" s="72" t="n"/>
      <c r="Q13" s="89">
        <f>F13+I13+K13+M13+O13+P13</f>
        <v/>
      </c>
      <c r="R13" s="89">
        <f>IF(D13=0,0,Q13/D13)</f>
        <v/>
      </c>
      <c r="S13" s="89">
        <f>R13*2.5</f>
        <v/>
      </c>
      <c r="T13" s="72" t="n"/>
      <c r="U13" s="72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n"/>
      <c r="B14" s="71" t="n"/>
      <c r="C14" s="71" t="n"/>
      <c r="D14" s="71" t="n"/>
      <c r="E14" s="71" t="n"/>
      <c r="F14" s="85">
        <f>SUMIF($W$65:$W$500,B14,$AG$65:$AG$500)</f>
        <v/>
      </c>
      <c r="G14" s="71" t="n"/>
      <c r="H14" s="71" t="n"/>
      <c r="I14" s="85">
        <f>G14*H14</f>
        <v/>
      </c>
      <c r="J14" s="71" t="n"/>
      <c r="K14" s="85">
        <f>J14*D14</f>
        <v/>
      </c>
      <c r="L14" s="71" t="n"/>
      <c r="M14" s="85">
        <f>F14*L14/100</f>
        <v/>
      </c>
      <c r="N14" s="71" t="n"/>
      <c r="O14" s="85">
        <f>(F14+I14+K14+M14)*N14/100</f>
        <v/>
      </c>
      <c r="P14" s="71" t="n"/>
      <c r="Q14" s="85">
        <f>F14+I14+K14+M14+O14+P14</f>
        <v/>
      </c>
      <c r="R14" s="85">
        <f>IF(D14=0,0,Q14/D14)</f>
        <v/>
      </c>
      <c r="S14" s="85">
        <f>R14*2.5</f>
        <v/>
      </c>
      <c r="T14" s="71" t="n"/>
      <c r="U14" s="71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n"/>
      <c r="B15" s="72" t="n"/>
      <c r="C15" s="72" t="n"/>
      <c r="D15" s="72" t="n"/>
      <c r="E15" s="72" t="n"/>
      <c r="F15" s="89">
        <f>SUMIF($W$65:$W$500,B15,$AG$65:$AG$500)</f>
        <v/>
      </c>
      <c r="G15" s="72" t="n"/>
      <c r="H15" s="72" t="n"/>
      <c r="I15" s="89">
        <f>G15*H15</f>
        <v/>
      </c>
      <c r="J15" s="72" t="n"/>
      <c r="K15" s="89">
        <f>J15*D15</f>
        <v/>
      </c>
      <c r="L15" s="72" t="n"/>
      <c r="M15" s="89">
        <f>F15*L15/100</f>
        <v/>
      </c>
      <c r="N15" s="72" t="n"/>
      <c r="O15" s="89">
        <f>(F15+I15+K15+M15)*N15/100</f>
        <v/>
      </c>
      <c r="P15" s="72" t="n"/>
      <c r="Q15" s="89">
        <f>F15+I15+K15+M15+O15+P15</f>
        <v/>
      </c>
      <c r="R15" s="89">
        <f>IF(D15=0,0,Q15/D15)</f>
        <v/>
      </c>
      <c r="S15" s="89">
        <f>R15*2.5</f>
        <v/>
      </c>
      <c r="T15" s="72" t="n"/>
      <c r="U15" s="72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n"/>
      <c r="B16" s="71" t="n"/>
      <c r="C16" s="71" t="n"/>
      <c r="D16" s="71" t="n"/>
      <c r="E16" s="71" t="n"/>
      <c r="F16" s="85">
        <f>SUMIF($W$65:$W$500,B16,$AG$65:$AG$500)</f>
        <v/>
      </c>
      <c r="G16" s="71" t="n"/>
      <c r="H16" s="71" t="n"/>
      <c r="I16" s="85">
        <f>G16*H16</f>
        <v/>
      </c>
      <c r="J16" s="71" t="n"/>
      <c r="K16" s="85">
        <f>J16*D16</f>
        <v/>
      </c>
      <c r="L16" s="71" t="n"/>
      <c r="M16" s="85">
        <f>F16*L16/100</f>
        <v/>
      </c>
      <c r="N16" s="71" t="n"/>
      <c r="O16" s="85">
        <f>(F16+I16+K16+M16)*N16/100</f>
        <v/>
      </c>
      <c r="P16" s="71" t="n"/>
      <c r="Q16" s="85">
        <f>F16+I16+K16+M16+O16+P16</f>
        <v/>
      </c>
      <c r="R16" s="85">
        <f>IF(D16=0,0,Q16/D16)</f>
        <v/>
      </c>
      <c r="S16" s="85">
        <f>R16*2.5</f>
        <v/>
      </c>
      <c r="T16" s="71" t="n"/>
      <c r="U16" s="71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n"/>
      <c r="B17" s="72" t="n"/>
      <c r="C17" s="72" t="n"/>
      <c r="D17" s="72" t="n"/>
      <c r="E17" s="72" t="n"/>
      <c r="F17" s="89">
        <f>SUMIF($W$65:$W$500,B17,$AG$65:$AG$500)</f>
        <v/>
      </c>
      <c r="G17" s="72" t="n"/>
      <c r="H17" s="72" t="n"/>
      <c r="I17" s="89">
        <f>G17*H17</f>
        <v/>
      </c>
      <c r="J17" s="72" t="n"/>
      <c r="K17" s="89">
        <f>J17*D17</f>
        <v/>
      </c>
      <c r="L17" s="72" t="n"/>
      <c r="M17" s="89">
        <f>F17*L17/100</f>
        <v/>
      </c>
      <c r="N17" s="72" t="n"/>
      <c r="O17" s="89">
        <f>(F17+I17+K17+M17)*N17/100</f>
        <v/>
      </c>
      <c r="P17" s="72" t="n"/>
      <c r="Q17" s="89">
        <f>F17+I17+K17+M17+O17+P17</f>
        <v/>
      </c>
      <c r="R17" s="89">
        <f>IF(D17=0,0,Q17/D17)</f>
        <v/>
      </c>
      <c r="S17" s="89">
        <f>R17*2.5</f>
        <v/>
      </c>
      <c r="T17" s="72" t="n"/>
      <c r="U17" s="72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n"/>
      <c r="B18" s="71" t="n"/>
      <c r="C18" s="71" t="n"/>
      <c r="D18" s="71" t="n"/>
      <c r="E18" s="71" t="n"/>
      <c r="F18" s="85">
        <f>SUMIF($W$65:$W$500,B18,$AG$65:$AG$500)</f>
        <v/>
      </c>
      <c r="G18" s="71" t="n"/>
      <c r="H18" s="71" t="n"/>
      <c r="I18" s="85">
        <f>G18*H18</f>
        <v/>
      </c>
      <c r="J18" s="71" t="n"/>
      <c r="K18" s="85">
        <f>J18*D18</f>
        <v/>
      </c>
      <c r="L18" s="71" t="n"/>
      <c r="M18" s="85">
        <f>F18*L18/100</f>
        <v/>
      </c>
      <c r="N18" s="71" t="n"/>
      <c r="O18" s="85">
        <f>(F18+I18+K18+M18)*N18/100</f>
        <v/>
      </c>
      <c r="P18" s="71" t="n"/>
      <c r="Q18" s="85">
        <f>F18+I18+K18+M18+O18+P18</f>
        <v/>
      </c>
      <c r="R18" s="85">
        <f>IF(D18=0,0,Q18/D18)</f>
        <v/>
      </c>
      <c r="S18" s="85">
        <f>R18*2.5</f>
        <v/>
      </c>
      <c r="T18" s="71" t="n"/>
      <c r="U18" s="71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n"/>
      <c r="B19" s="72" t="n"/>
      <c r="C19" s="72" t="n"/>
      <c r="D19" s="72" t="n"/>
      <c r="E19" s="72" t="n"/>
      <c r="F19" s="89">
        <f>SUMIF($W$65:$W$500,B19,$AG$65:$AG$500)</f>
        <v/>
      </c>
      <c r="G19" s="72" t="n"/>
      <c r="H19" s="72" t="n"/>
      <c r="I19" s="89">
        <f>G19*H19</f>
        <v/>
      </c>
      <c r="J19" s="72" t="n"/>
      <c r="K19" s="89">
        <f>J19*D19</f>
        <v/>
      </c>
      <c r="L19" s="72" t="n"/>
      <c r="M19" s="89">
        <f>F19*L19/100</f>
        <v/>
      </c>
      <c r="N19" s="72" t="n"/>
      <c r="O19" s="89">
        <f>(F19+I19+K19+M19)*N19/100</f>
        <v/>
      </c>
      <c r="P19" s="72" t="n"/>
      <c r="Q19" s="89">
        <f>F19+I19+K19+M19+O19+P19</f>
        <v/>
      </c>
      <c r="R19" s="89">
        <f>IF(D19=0,0,Q19/D19)</f>
        <v/>
      </c>
      <c r="S19" s="89">
        <f>R19*2.5</f>
        <v/>
      </c>
      <c r="T19" s="72" t="n"/>
      <c r="U19" s="72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n"/>
      <c r="B20" s="71" t="n"/>
      <c r="C20" s="71" t="n"/>
      <c r="D20" s="71" t="n"/>
      <c r="E20" s="71" t="n"/>
      <c r="F20" s="85">
        <f>SUMIF($W$65:$W$500,B20,$AG$65:$AG$500)</f>
        <v/>
      </c>
      <c r="G20" s="71" t="n"/>
      <c r="H20" s="71" t="n"/>
      <c r="I20" s="85">
        <f>G20*H20</f>
        <v/>
      </c>
      <c r="J20" s="71" t="n"/>
      <c r="K20" s="85">
        <f>J20*D20</f>
        <v/>
      </c>
      <c r="L20" s="71" t="n"/>
      <c r="M20" s="85">
        <f>F20*L20/100</f>
        <v/>
      </c>
      <c r="N20" s="71" t="n"/>
      <c r="O20" s="85">
        <f>(F20+I20+K20+M20)*N20/100</f>
        <v/>
      </c>
      <c r="P20" s="71" t="n"/>
      <c r="Q20" s="85">
        <f>F20+I20+K20+M20+O20+P20</f>
        <v/>
      </c>
      <c r="R20" s="85">
        <f>IF(D20=0,0,Q20/D20)</f>
        <v/>
      </c>
      <c r="S20" s="85">
        <f>R20*2.5</f>
        <v/>
      </c>
      <c r="T20" s="71" t="n"/>
      <c r="U20" s="71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n"/>
      <c r="B21" s="72" t="n"/>
      <c r="C21" s="72" t="n"/>
      <c r="D21" s="72" t="n"/>
      <c r="E21" s="72" t="n"/>
      <c r="F21" s="89">
        <f>SUMIF($W$65:$W$500,B21,$AG$65:$AG$500)</f>
        <v/>
      </c>
      <c r="G21" s="72" t="n"/>
      <c r="H21" s="72" t="n"/>
      <c r="I21" s="89">
        <f>G21*H21</f>
        <v/>
      </c>
      <c r="J21" s="72" t="n"/>
      <c r="K21" s="89">
        <f>J21*D21</f>
        <v/>
      </c>
      <c r="L21" s="72" t="n"/>
      <c r="M21" s="89">
        <f>F21*L21/100</f>
        <v/>
      </c>
      <c r="N21" s="72" t="n"/>
      <c r="O21" s="89">
        <f>(F21+I21+K21+M21)*N21/100</f>
        <v/>
      </c>
      <c r="P21" s="72" t="n"/>
      <c r="Q21" s="89">
        <f>F21+I21+K21+M21+O21+P21</f>
        <v/>
      </c>
      <c r="R21" s="89">
        <f>IF(D21=0,0,Q21/D21)</f>
        <v/>
      </c>
      <c r="S21" s="89">
        <f>R21*2.5</f>
        <v/>
      </c>
      <c r="T21" s="72" t="n"/>
      <c r="U21" s="72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n"/>
      <c r="B22" s="71" t="n"/>
      <c r="C22" s="71" t="n"/>
      <c r="D22" s="71" t="n"/>
      <c r="E22" s="71" t="n"/>
      <c r="F22" s="85">
        <f>SUMIF($W$65:$W$500,B22,$AG$65:$AG$500)</f>
        <v/>
      </c>
      <c r="G22" s="71" t="n"/>
      <c r="H22" s="71" t="n"/>
      <c r="I22" s="85">
        <f>G22*H22</f>
        <v/>
      </c>
      <c r="J22" s="71" t="n"/>
      <c r="K22" s="85">
        <f>J22*D22</f>
        <v/>
      </c>
      <c r="L22" s="71" t="n"/>
      <c r="M22" s="85">
        <f>F22*L22/100</f>
        <v/>
      </c>
      <c r="N22" s="71" t="n"/>
      <c r="O22" s="85">
        <f>(F22+I22+K22+M22)*N22/100</f>
        <v/>
      </c>
      <c r="P22" s="71" t="n"/>
      <c r="Q22" s="85">
        <f>F22+I22+K22+M22+O22+P22</f>
        <v/>
      </c>
      <c r="R22" s="85">
        <f>IF(D22=0,0,Q22/D22)</f>
        <v/>
      </c>
      <c r="S22" s="85">
        <f>R22*2.5</f>
        <v/>
      </c>
      <c r="T22" s="71" t="n"/>
      <c r="U22" s="71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2" t="n"/>
      <c r="B23" s="72" t="n"/>
      <c r="C23" s="72" t="n"/>
      <c r="D23" s="72" t="n"/>
      <c r="E23" s="72" t="n"/>
      <c r="F23" s="89">
        <f>SUMIF($W$65:$W$500,B23,$AG$65:$AG$500)</f>
        <v/>
      </c>
      <c r="G23" s="72" t="n"/>
      <c r="H23" s="72" t="n"/>
      <c r="I23" s="89">
        <f>G23*H23</f>
        <v/>
      </c>
      <c r="J23" s="72" t="n"/>
      <c r="K23" s="89">
        <f>J23*D23</f>
        <v/>
      </c>
      <c r="L23" s="72" t="n"/>
      <c r="M23" s="89">
        <f>F23*L23/100</f>
        <v/>
      </c>
      <c r="N23" s="72" t="n"/>
      <c r="O23" s="89">
        <f>(F23+I23+K23+M23)*N23/100</f>
        <v/>
      </c>
      <c r="P23" s="72" t="n"/>
      <c r="Q23" s="89">
        <f>F23+I23+K23+M23+O23+P23</f>
        <v/>
      </c>
      <c r="R23" s="89">
        <f>IF(D23=0,0,Q23/D23)</f>
        <v/>
      </c>
      <c r="S23" s="89">
        <f>R23*2.5</f>
        <v/>
      </c>
      <c r="T23" s="72" t="n"/>
      <c r="U23" s="72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1" t="n"/>
      <c r="B24" s="71" t="n"/>
      <c r="C24" s="71" t="n"/>
      <c r="D24" s="71" t="n"/>
      <c r="E24" s="71" t="n"/>
      <c r="F24" s="85">
        <f>SUMIF($W$65:$W$500,B24,$AG$65:$AG$500)</f>
        <v/>
      </c>
      <c r="G24" s="71" t="n"/>
      <c r="H24" s="71" t="n"/>
      <c r="I24" s="85">
        <f>G24*H24</f>
        <v/>
      </c>
      <c r="J24" s="71" t="n"/>
      <c r="K24" s="85">
        <f>J24*D24</f>
        <v/>
      </c>
      <c r="L24" s="71" t="n"/>
      <c r="M24" s="85">
        <f>F24*L24/100</f>
        <v/>
      </c>
      <c r="N24" s="71" t="n"/>
      <c r="O24" s="85">
        <f>(F24+I24+K24+M24)*N24/100</f>
        <v/>
      </c>
      <c r="P24" s="71" t="n"/>
      <c r="Q24" s="85">
        <f>F24+I24+K24+M24+O24+P24</f>
        <v/>
      </c>
      <c r="R24" s="85">
        <f>IF(D24=0,0,Q24/D24)</f>
        <v/>
      </c>
      <c r="S24" s="85">
        <f>R24*2.5</f>
        <v/>
      </c>
      <c r="T24" s="71" t="n"/>
      <c r="U24" s="71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2" t="n"/>
      <c r="B25" s="72" t="n"/>
      <c r="C25" s="72" t="n"/>
      <c r="D25" s="72" t="n"/>
      <c r="E25" s="72" t="n"/>
      <c r="F25" s="89">
        <f>SUMIF($W$65:$W$500,B25,$AG$65:$AG$500)</f>
        <v/>
      </c>
      <c r="G25" s="72" t="n"/>
      <c r="H25" s="72" t="n"/>
      <c r="I25" s="89">
        <f>G25*H25</f>
        <v/>
      </c>
      <c r="J25" s="72" t="n"/>
      <c r="K25" s="89">
        <f>J25*D25</f>
        <v/>
      </c>
      <c r="L25" s="72" t="n"/>
      <c r="M25" s="89">
        <f>F25*L25/100</f>
        <v/>
      </c>
      <c r="N25" s="72" t="n"/>
      <c r="O25" s="89">
        <f>(F25+I25+K25+M25)*N25/100</f>
        <v/>
      </c>
      <c r="P25" s="72" t="n"/>
      <c r="Q25" s="89">
        <f>F25+I25+K25+M25+O25+P25</f>
        <v/>
      </c>
      <c r="R25" s="89">
        <f>IF(D25=0,0,Q25/D25)</f>
        <v/>
      </c>
      <c r="S25" s="89">
        <f>R25*2.5</f>
        <v/>
      </c>
      <c r="T25" s="72" t="n"/>
      <c r="U25" s="72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1" t="n"/>
      <c r="B26" s="71" t="n"/>
      <c r="C26" s="71" t="n"/>
      <c r="D26" s="71" t="n"/>
      <c r="E26" s="71" t="n"/>
      <c r="F26" s="85">
        <f>SUMIF($W$65:$W$500,B26,$AG$65:$AG$500)</f>
        <v/>
      </c>
      <c r="G26" s="71" t="n"/>
      <c r="H26" s="71" t="n"/>
      <c r="I26" s="85">
        <f>G26*H26</f>
        <v/>
      </c>
      <c r="J26" s="71" t="n"/>
      <c r="K26" s="85">
        <f>J26*D26</f>
        <v/>
      </c>
      <c r="L26" s="71" t="n"/>
      <c r="M26" s="85">
        <f>F26*L26/100</f>
        <v/>
      </c>
      <c r="N26" s="71" t="n"/>
      <c r="O26" s="85">
        <f>(F26+I26+K26+M26)*N26/100</f>
        <v/>
      </c>
      <c r="P26" s="71" t="n"/>
      <c r="Q26" s="85">
        <f>F26+I26+K26+M26+O26+P26</f>
        <v/>
      </c>
      <c r="R26" s="85">
        <f>IF(D26=0,0,Q26/D26)</f>
        <v/>
      </c>
      <c r="S26" s="85">
        <f>R26*2.5</f>
        <v/>
      </c>
      <c r="T26" s="71" t="n"/>
      <c r="U26" s="71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2" t="n"/>
      <c r="B27" s="72" t="n"/>
      <c r="C27" s="72" t="n"/>
      <c r="D27" s="72" t="n"/>
      <c r="E27" s="72" t="n"/>
      <c r="F27" s="89">
        <f>SUMIF($W$65:$W$500,B27,$AG$65:$AG$500)</f>
        <v/>
      </c>
      <c r="G27" s="72" t="n"/>
      <c r="H27" s="72" t="n"/>
      <c r="I27" s="89">
        <f>G27*H27</f>
        <v/>
      </c>
      <c r="J27" s="72" t="n"/>
      <c r="K27" s="89">
        <f>J27*D27</f>
        <v/>
      </c>
      <c r="L27" s="72" t="n"/>
      <c r="M27" s="89">
        <f>F27*L27/100</f>
        <v/>
      </c>
      <c r="N27" s="72" t="n"/>
      <c r="O27" s="89">
        <f>(F27+I27+K27+M27)*N27/100</f>
        <v/>
      </c>
      <c r="P27" s="72" t="n"/>
      <c r="Q27" s="89">
        <f>F27+I27+K27+M27+O27+P27</f>
        <v/>
      </c>
      <c r="R27" s="89">
        <f>IF(D27=0,0,Q27/D27)</f>
        <v/>
      </c>
      <c r="S27" s="89">
        <f>R27*2.5</f>
        <v/>
      </c>
      <c r="T27" s="72" t="n"/>
      <c r="U27" s="72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71" t="n"/>
      <c r="B28" s="71" t="n"/>
      <c r="C28" s="71" t="n"/>
      <c r="D28" s="71" t="n"/>
      <c r="E28" s="71" t="n"/>
      <c r="F28" s="85">
        <f>SUMIF($W$65:$W$500,B28,$AG$65:$AG$500)</f>
        <v/>
      </c>
      <c r="G28" s="71" t="n"/>
      <c r="H28" s="71" t="n"/>
      <c r="I28" s="85">
        <f>G28*H28</f>
        <v/>
      </c>
      <c r="J28" s="71" t="n"/>
      <c r="K28" s="85">
        <f>J28*D28</f>
        <v/>
      </c>
      <c r="L28" s="71" t="n"/>
      <c r="M28" s="85">
        <f>F28*L28/100</f>
        <v/>
      </c>
      <c r="N28" s="71" t="n"/>
      <c r="O28" s="85">
        <f>(F28+I28+K28+M28)*N28/100</f>
        <v/>
      </c>
      <c r="P28" s="71" t="n"/>
      <c r="Q28" s="85">
        <f>F28+I28+K28+M28+O28+P28</f>
        <v/>
      </c>
      <c r="R28" s="85">
        <f>IF(D28=0,0,Q28/D28)</f>
        <v/>
      </c>
      <c r="S28" s="85">
        <f>R28*2.5</f>
        <v/>
      </c>
      <c r="T28" s="71" t="n"/>
      <c r="U28" s="71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2" t="n"/>
      <c r="B29" s="72" t="n"/>
      <c r="C29" s="72" t="n"/>
      <c r="D29" s="72" t="n"/>
      <c r="E29" s="72" t="n"/>
      <c r="F29" s="89">
        <f>SUMIF($W$65:$W$500,B29,$AG$65:$AG$500)</f>
        <v/>
      </c>
      <c r="G29" s="72" t="n"/>
      <c r="H29" s="72" t="n"/>
      <c r="I29" s="89">
        <f>G29*H29</f>
        <v/>
      </c>
      <c r="J29" s="72" t="n"/>
      <c r="K29" s="89">
        <f>J29*D29</f>
        <v/>
      </c>
      <c r="L29" s="72" t="n"/>
      <c r="M29" s="89">
        <f>F29*L29/100</f>
        <v/>
      </c>
      <c r="N29" s="72" t="n"/>
      <c r="O29" s="89">
        <f>(F29+I29+K29+M29)*N29/100</f>
        <v/>
      </c>
      <c r="P29" s="72" t="n"/>
      <c r="Q29" s="89">
        <f>F29+I29+K29+M29+O29+P29</f>
        <v/>
      </c>
      <c r="R29" s="89">
        <f>IF(D29=0,0,Q29/D29)</f>
        <v/>
      </c>
      <c r="S29" s="89">
        <f>R29*2.5</f>
        <v/>
      </c>
      <c r="T29" s="72" t="n"/>
      <c r="U29" s="72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1" t="n"/>
      <c r="B30" s="71" t="n"/>
      <c r="C30" s="71" t="n"/>
      <c r="D30" s="71" t="n"/>
      <c r="E30" s="71" t="n"/>
      <c r="F30" s="85">
        <f>SUMIF($W$65:$W$500,B30,$AG$65:$AG$500)</f>
        <v/>
      </c>
      <c r="G30" s="71" t="n"/>
      <c r="H30" s="71" t="n"/>
      <c r="I30" s="85">
        <f>G30*H30</f>
        <v/>
      </c>
      <c r="J30" s="71" t="n"/>
      <c r="K30" s="85">
        <f>J30*D30</f>
        <v/>
      </c>
      <c r="L30" s="71" t="n"/>
      <c r="M30" s="85">
        <f>F30*L30/100</f>
        <v/>
      </c>
      <c r="N30" s="71" t="n"/>
      <c r="O30" s="85">
        <f>(F30+I30+K30+M30)*N30/100</f>
        <v/>
      </c>
      <c r="P30" s="71" t="n"/>
      <c r="Q30" s="85">
        <f>F30+I30+K30+M30+O30+P30</f>
        <v/>
      </c>
      <c r="R30" s="85">
        <f>IF(D30=0,0,Q30/D30)</f>
        <v/>
      </c>
      <c r="S30" s="85">
        <f>R30*2.5</f>
        <v/>
      </c>
      <c r="T30" s="71" t="n"/>
      <c r="U30" s="71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72" t="n"/>
      <c r="B31" s="72" t="n"/>
      <c r="C31" s="72" t="n"/>
      <c r="D31" s="72" t="n"/>
      <c r="E31" s="72" t="n"/>
      <c r="F31" s="89">
        <f>SUMIF($W$65:$W$500,B31,$AG$65:$AG$500)</f>
        <v/>
      </c>
      <c r="G31" s="72" t="n"/>
      <c r="H31" s="72" t="n"/>
      <c r="I31" s="89">
        <f>G31*H31</f>
        <v/>
      </c>
      <c r="J31" s="72" t="n"/>
      <c r="K31" s="89">
        <f>J31*D31</f>
        <v/>
      </c>
      <c r="L31" s="72" t="n"/>
      <c r="M31" s="89">
        <f>F31*L31/100</f>
        <v/>
      </c>
      <c r="N31" s="72" t="n"/>
      <c r="O31" s="89">
        <f>(F31+I31+K31+M31)*N31/100</f>
        <v/>
      </c>
      <c r="P31" s="72" t="n"/>
      <c r="Q31" s="89">
        <f>F31+I31+K31+M31+O31+P31</f>
        <v/>
      </c>
      <c r="R31" s="89">
        <f>IF(D31=0,0,Q31/D31)</f>
        <v/>
      </c>
      <c r="S31" s="89">
        <f>R31*2.5</f>
        <v/>
      </c>
      <c r="T31" s="72" t="n"/>
      <c r="U31" s="72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1" t="n"/>
      <c r="B32" s="71" t="n"/>
      <c r="C32" s="71" t="n"/>
      <c r="D32" s="71" t="n"/>
      <c r="E32" s="71" t="n"/>
      <c r="F32" s="85">
        <f>SUMIF($W$65:$W$500,B32,$AG$65:$AG$500)</f>
        <v/>
      </c>
      <c r="G32" s="71" t="n"/>
      <c r="H32" s="71" t="n"/>
      <c r="I32" s="85">
        <f>G32*H32</f>
        <v/>
      </c>
      <c r="J32" s="71" t="n"/>
      <c r="K32" s="85">
        <f>J32*D32</f>
        <v/>
      </c>
      <c r="L32" s="71" t="n"/>
      <c r="M32" s="85">
        <f>F32*L32/100</f>
        <v/>
      </c>
      <c r="N32" s="71" t="n"/>
      <c r="O32" s="85">
        <f>(F32+I32+K32+M32)*N32/100</f>
        <v/>
      </c>
      <c r="P32" s="71" t="n"/>
      <c r="Q32" s="85">
        <f>F32+I32+K32+M32+O32+P32</f>
        <v/>
      </c>
      <c r="R32" s="85">
        <f>IF(D32=0,0,Q32/D32)</f>
        <v/>
      </c>
      <c r="S32" s="85">
        <f>R32*2.5</f>
        <v/>
      </c>
      <c r="T32" s="71" t="n"/>
      <c r="U32" s="71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/>
      <c r="B33" s="72" t="n"/>
      <c r="C33" s="72" t="n"/>
      <c r="D33" s="72" t="n"/>
      <c r="E33" s="72" t="n"/>
      <c r="F33" s="89">
        <f>SUMIF($W$65:$W$500,B33,$AG$65:$AG$500)</f>
        <v/>
      </c>
      <c r="G33" s="72" t="n"/>
      <c r="H33" s="72" t="n"/>
      <c r="I33" s="89">
        <f>G33*H33</f>
        <v/>
      </c>
      <c r="J33" s="72" t="n"/>
      <c r="K33" s="89">
        <f>J33*D33</f>
        <v/>
      </c>
      <c r="L33" s="72" t="n"/>
      <c r="M33" s="89">
        <f>F33*L33/100</f>
        <v/>
      </c>
      <c r="N33" s="72" t="n"/>
      <c r="O33" s="89">
        <f>(F33+I33+K33+M33)*N33/100</f>
        <v/>
      </c>
      <c r="P33" s="72" t="n"/>
      <c r="Q33" s="89">
        <f>F33+I33+K33+M33+O33+P33</f>
        <v/>
      </c>
      <c r="R33" s="89">
        <f>IF(D33=0,0,Q33/D33)</f>
        <v/>
      </c>
      <c r="S33" s="89">
        <f>R33*2.5</f>
        <v/>
      </c>
      <c r="T33" s="72" t="n"/>
      <c r="U33" s="72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/>
      <c r="B34" s="71" t="n"/>
      <c r="C34" s="71" t="n"/>
      <c r="D34" s="71" t="n"/>
      <c r="E34" s="71" t="n"/>
      <c r="F34" s="85">
        <f>SUMIF($W$65:$W$500,B34,$AG$65:$AG$500)</f>
        <v/>
      </c>
      <c r="G34" s="71" t="n"/>
      <c r="H34" s="71" t="n"/>
      <c r="I34" s="85">
        <f>G34*H34</f>
        <v/>
      </c>
      <c r="J34" s="71" t="n"/>
      <c r="K34" s="85">
        <f>J34*D34</f>
        <v/>
      </c>
      <c r="L34" s="71" t="n"/>
      <c r="M34" s="85">
        <f>F34*L34/100</f>
        <v/>
      </c>
      <c r="N34" s="71" t="n"/>
      <c r="O34" s="85">
        <f>(F34+I34+K34+M34)*N34/100</f>
        <v/>
      </c>
      <c r="P34" s="71" t="n"/>
      <c r="Q34" s="85">
        <f>F34+I34+K34+M34+O34+P34</f>
        <v/>
      </c>
      <c r="R34" s="85">
        <f>IF(D34=0,0,Q34/D34)</f>
        <v/>
      </c>
      <c r="S34" s="85">
        <f>R34*2.5</f>
        <v/>
      </c>
      <c r="T34" s="71" t="n"/>
      <c r="U34" s="71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/>
      <c r="B35" s="72" t="n"/>
      <c r="C35" s="72" t="n"/>
      <c r="D35" s="72" t="n"/>
      <c r="E35" s="72" t="n"/>
      <c r="F35" s="89">
        <f>SUMIF($W$65:$W$500,B35,$AG$65:$AG$500)</f>
        <v/>
      </c>
      <c r="G35" s="72" t="n"/>
      <c r="H35" s="72" t="n"/>
      <c r="I35" s="89">
        <f>G35*H35</f>
        <v/>
      </c>
      <c r="J35" s="72" t="n"/>
      <c r="K35" s="89">
        <f>J35*D35</f>
        <v/>
      </c>
      <c r="L35" s="72" t="n"/>
      <c r="M35" s="89">
        <f>F35*L35/100</f>
        <v/>
      </c>
      <c r="N35" s="72" t="n"/>
      <c r="O35" s="89">
        <f>(F35+I35+K35+M35)*N35/100</f>
        <v/>
      </c>
      <c r="P35" s="72" t="n"/>
      <c r="Q35" s="89">
        <f>F35+I35+K35+M35+O35+P35</f>
        <v/>
      </c>
      <c r="R35" s="89">
        <f>IF(D35=0,0,Q35/D35)</f>
        <v/>
      </c>
      <c r="S35" s="89">
        <f>R35*2.5</f>
        <v/>
      </c>
      <c r="T35" s="72" t="n"/>
      <c r="U35" s="72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/>
      <c r="B36" s="71" t="n"/>
      <c r="C36" s="71" t="n"/>
      <c r="D36" s="71" t="n"/>
      <c r="E36" s="71" t="n"/>
      <c r="F36" s="85">
        <f>SUMIF($W$65:$W$500,B36,$AG$65:$AG$500)</f>
        <v/>
      </c>
      <c r="G36" s="71" t="n"/>
      <c r="H36" s="71" t="n"/>
      <c r="I36" s="85">
        <f>G36*H36</f>
        <v/>
      </c>
      <c r="J36" s="71" t="n"/>
      <c r="K36" s="85">
        <f>J36*D36</f>
        <v/>
      </c>
      <c r="L36" s="71" t="n"/>
      <c r="M36" s="85">
        <f>F36*L36/100</f>
        <v/>
      </c>
      <c r="N36" s="71" t="n"/>
      <c r="O36" s="85">
        <f>(F36+I36+K36+M36)*N36/100</f>
        <v/>
      </c>
      <c r="P36" s="71" t="n"/>
      <c r="Q36" s="85">
        <f>F36+I36+K36+M36+O36+P36</f>
        <v/>
      </c>
      <c r="R36" s="85">
        <f>IF(D36=0,0,Q36/D36)</f>
        <v/>
      </c>
      <c r="S36" s="85">
        <f>R36*2.5</f>
        <v/>
      </c>
      <c r="T36" s="71" t="n"/>
      <c r="U36" s="71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/>
      <c r="B37" s="72" t="n"/>
      <c r="C37" s="72" t="n"/>
      <c r="D37" s="72" t="n"/>
      <c r="E37" s="72" t="n"/>
      <c r="F37" s="89">
        <f>SUMIF($W$65:$W$500,B37,$AG$65:$AG$500)</f>
        <v/>
      </c>
      <c r="G37" s="72" t="n"/>
      <c r="H37" s="72" t="n"/>
      <c r="I37" s="89">
        <f>G37*H37</f>
        <v/>
      </c>
      <c r="J37" s="72" t="n"/>
      <c r="K37" s="89">
        <f>J37*D37</f>
        <v/>
      </c>
      <c r="L37" s="72" t="n"/>
      <c r="M37" s="89">
        <f>F37*L37/100</f>
        <v/>
      </c>
      <c r="N37" s="72" t="n"/>
      <c r="O37" s="89">
        <f>(F37+I37+K37+M37)*N37/100</f>
        <v/>
      </c>
      <c r="P37" s="72" t="n"/>
      <c r="Q37" s="89">
        <f>F37+I37+K37+M37+O37+P37</f>
        <v/>
      </c>
      <c r="R37" s="89">
        <f>IF(D37=0,0,Q37/D37)</f>
        <v/>
      </c>
      <c r="S37" s="89">
        <f>R37*2.5</f>
        <v/>
      </c>
      <c r="T37" s="72" t="n"/>
      <c r="U37" s="72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/>
      <c r="B38" s="71" t="n"/>
      <c r="C38" s="71" t="n"/>
      <c r="D38" s="71" t="n"/>
      <c r="E38" s="71" t="n"/>
      <c r="F38" s="85">
        <f>SUMIF($W$65:$W$500,B38,$AG$65:$AG$500)</f>
        <v/>
      </c>
      <c r="G38" s="71" t="n"/>
      <c r="H38" s="71" t="n"/>
      <c r="I38" s="85">
        <f>G38*H38</f>
        <v/>
      </c>
      <c r="J38" s="71" t="n"/>
      <c r="K38" s="85">
        <f>J38*D38</f>
        <v/>
      </c>
      <c r="L38" s="71" t="n"/>
      <c r="M38" s="85">
        <f>F38*L38/100</f>
        <v/>
      </c>
      <c r="N38" s="71" t="n"/>
      <c r="O38" s="85">
        <f>(F38+I38+K38+M38)*N38/100</f>
        <v/>
      </c>
      <c r="P38" s="71" t="n"/>
      <c r="Q38" s="85">
        <f>F38+I38+K38+M38+O38+P38</f>
        <v/>
      </c>
      <c r="R38" s="85">
        <f>IF(D38=0,0,Q38/D38)</f>
        <v/>
      </c>
      <c r="S38" s="85">
        <f>R38*2.5</f>
        <v/>
      </c>
      <c r="T38" s="71" t="n"/>
      <c r="U38" s="71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/>
      <c r="B39" s="72" t="n"/>
      <c r="C39" s="72" t="n"/>
      <c r="D39" s="72" t="n"/>
      <c r="E39" s="72" t="n"/>
      <c r="F39" s="89">
        <f>SUMIF($W$65:$W$500,B39,$AG$65:$AG$500)</f>
        <v/>
      </c>
      <c r="G39" s="72" t="n"/>
      <c r="H39" s="72" t="n"/>
      <c r="I39" s="89">
        <f>G39*H39</f>
        <v/>
      </c>
      <c r="J39" s="72" t="n"/>
      <c r="K39" s="89">
        <f>J39*D39</f>
        <v/>
      </c>
      <c r="L39" s="72" t="n"/>
      <c r="M39" s="89">
        <f>F39*L39/100</f>
        <v/>
      </c>
      <c r="N39" s="72" t="n"/>
      <c r="O39" s="89">
        <f>(F39+I39+K39+M39)*N39/100</f>
        <v/>
      </c>
      <c r="P39" s="72" t="n"/>
      <c r="Q39" s="89">
        <f>F39+I39+K39+M39+O39+P39</f>
        <v/>
      </c>
      <c r="R39" s="89">
        <f>IF(D39=0,0,Q39/D39)</f>
        <v/>
      </c>
      <c r="S39" s="89">
        <f>R39*2.5</f>
        <v/>
      </c>
      <c r="T39" s="72" t="n"/>
      <c r="U39" s="72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/>
      <c r="B40" s="71" t="n"/>
      <c r="C40" s="71" t="n"/>
      <c r="D40" s="71" t="n"/>
      <c r="E40" s="71" t="n"/>
      <c r="F40" s="85">
        <f>SUMIF($W$65:$W$500,B40,$AG$65:$AG$500)</f>
        <v/>
      </c>
      <c r="G40" s="71" t="n"/>
      <c r="H40" s="71" t="n"/>
      <c r="I40" s="85">
        <f>G40*H40</f>
        <v/>
      </c>
      <c r="J40" s="71" t="n"/>
      <c r="K40" s="85">
        <f>J40*D40</f>
        <v/>
      </c>
      <c r="L40" s="71" t="n"/>
      <c r="M40" s="85">
        <f>F40*L40/100</f>
        <v/>
      </c>
      <c r="N40" s="71" t="n"/>
      <c r="O40" s="85">
        <f>(F40+I40+K40+M40)*N40/100</f>
        <v/>
      </c>
      <c r="P40" s="71" t="n"/>
      <c r="Q40" s="85">
        <f>F40+I40+K40+M40+O40+P40</f>
        <v/>
      </c>
      <c r="R40" s="85">
        <f>IF(D40=0,0,Q40/D40)</f>
        <v/>
      </c>
      <c r="S40" s="85">
        <f>R40*2.5</f>
        <v/>
      </c>
      <c r="T40" s="71" t="n"/>
      <c r="U40" s="71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/>
      <c r="B41" s="72" t="n"/>
      <c r="C41" s="72" t="n"/>
      <c r="D41" s="72" t="n"/>
      <c r="E41" s="72" t="n"/>
      <c r="F41" s="89">
        <f>SUMIF($W$65:$W$500,B41,$AG$65:$AG$500)</f>
        <v/>
      </c>
      <c r="G41" s="72" t="n"/>
      <c r="H41" s="72" t="n"/>
      <c r="I41" s="89">
        <f>G41*H41</f>
        <v/>
      </c>
      <c r="J41" s="72" t="n"/>
      <c r="K41" s="89">
        <f>J41*D41</f>
        <v/>
      </c>
      <c r="L41" s="72" t="n"/>
      <c r="M41" s="89">
        <f>F41*L41/100</f>
        <v/>
      </c>
      <c r="N41" s="72" t="n"/>
      <c r="O41" s="89">
        <f>(F41+I41+K41+M41)*N41/100</f>
        <v/>
      </c>
      <c r="P41" s="72" t="n"/>
      <c r="Q41" s="89">
        <f>F41+I41+K41+M41+O41+P41</f>
        <v/>
      </c>
      <c r="R41" s="89">
        <f>IF(D41=0,0,Q41/D41)</f>
        <v/>
      </c>
      <c r="S41" s="89">
        <f>R41*2.5</f>
        <v/>
      </c>
      <c r="T41" s="72" t="n"/>
      <c r="U41" s="72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/>
      <c r="B42" s="71" t="n"/>
      <c r="C42" s="71" t="n"/>
      <c r="D42" s="71" t="n"/>
      <c r="E42" s="71" t="n"/>
      <c r="F42" s="85">
        <f>SUMIF($W$65:$W$500,B42,$AG$65:$AG$500)</f>
        <v/>
      </c>
      <c r="G42" s="71" t="n"/>
      <c r="H42" s="71" t="n"/>
      <c r="I42" s="85">
        <f>G42*H42</f>
        <v/>
      </c>
      <c r="J42" s="71" t="n"/>
      <c r="K42" s="85">
        <f>J42*D42</f>
        <v/>
      </c>
      <c r="L42" s="71" t="n"/>
      <c r="M42" s="85">
        <f>F42*L42/100</f>
        <v/>
      </c>
      <c r="N42" s="71" t="n"/>
      <c r="O42" s="85">
        <f>(F42+I42+K42+M42)*N42/100</f>
        <v/>
      </c>
      <c r="P42" s="71" t="n"/>
      <c r="Q42" s="85">
        <f>F42+I42+K42+M42+O42+P42</f>
        <v/>
      </c>
      <c r="R42" s="85">
        <f>IF(D42=0,0,Q42/D42)</f>
        <v/>
      </c>
      <c r="S42" s="85">
        <f>R42*2.5</f>
        <v/>
      </c>
      <c r="T42" s="71" t="n"/>
      <c r="U42" s="71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/>
      <c r="B43" s="72" t="n"/>
      <c r="C43" s="72" t="n"/>
      <c r="D43" s="72" t="n"/>
      <c r="E43" s="72" t="n"/>
      <c r="F43" s="89">
        <f>SUMIF($W$65:$W$500,B43,$AG$65:$AG$500)</f>
        <v/>
      </c>
      <c r="G43" s="72" t="n"/>
      <c r="H43" s="72" t="n"/>
      <c r="I43" s="89">
        <f>G43*H43</f>
        <v/>
      </c>
      <c r="J43" s="72" t="n"/>
      <c r="K43" s="89">
        <f>J43*D43</f>
        <v/>
      </c>
      <c r="L43" s="72" t="n"/>
      <c r="M43" s="89">
        <f>F43*L43/100</f>
        <v/>
      </c>
      <c r="N43" s="72" t="n"/>
      <c r="O43" s="89">
        <f>(F43+I43+K43+M43)*N43/100</f>
        <v/>
      </c>
      <c r="P43" s="72" t="n"/>
      <c r="Q43" s="89">
        <f>F43+I43+K43+M43+O43+P43</f>
        <v/>
      </c>
      <c r="R43" s="89">
        <f>IF(D43=0,0,Q43/D43)</f>
        <v/>
      </c>
      <c r="S43" s="89">
        <f>R43*2.5</f>
        <v/>
      </c>
      <c r="T43" s="72" t="n"/>
      <c r="U43" s="72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/>
      <c r="B44" s="71" t="n"/>
      <c r="C44" s="71" t="n"/>
      <c r="D44" s="71" t="n"/>
      <c r="E44" s="71" t="n"/>
      <c r="F44" s="85">
        <f>SUMIF($W$65:$W$500,B44,$AG$65:$AG$500)</f>
        <v/>
      </c>
      <c r="G44" s="71" t="n"/>
      <c r="H44" s="71" t="n"/>
      <c r="I44" s="85">
        <f>G44*H44</f>
        <v/>
      </c>
      <c r="J44" s="71" t="n"/>
      <c r="K44" s="85">
        <f>J44*D44</f>
        <v/>
      </c>
      <c r="L44" s="71" t="n"/>
      <c r="M44" s="85">
        <f>F44*L44/100</f>
        <v/>
      </c>
      <c r="N44" s="71" t="n"/>
      <c r="O44" s="85">
        <f>(F44+I44+K44+M44)*N44/100</f>
        <v/>
      </c>
      <c r="P44" s="71" t="n"/>
      <c r="Q44" s="85">
        <f>F44+I44+K44+M44+O44+P44</f>
        <v/>
      </c>
      <c r="R44" s="85">
        <f>IF(D44=0,0,Q44/D44)</f>
        <v/>
      </c>
      <c r="S44" s="85">
        <f>R44*2.5</f>
        <v/>
      </c>
      <c r="T44" s="71" t="n"/>
      <c r="U44" s="71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/>
      <c r="B45" s="72" t="n"/>
      <c r="C45" s="72" t="n"/>
      <c r="D45" s="72" t="n"/>
      <c r="E45" s="72" t="n"/>
      <c r="F45" s="89">
        <f>SUMIF($W$65:$W$500,B45,$AG$65:$AG$500)</f>
        <v/>
      </c>
      <c r="G45" s="72" t="n"/>
      <c r="H45" s="72" t="n"/>
      <c r="I45" s="89">
        <f>G45*H45</f>
        <v/>
      </c>
      <c r="J45" s="72" t="n"/>
      <c r="K45" s="89">
        <f>J45*D45</f>
        <v/>
      </c>
      <c r="L45" s="72" t="n"/>
      <c r="M45" s="89">
        <f>F45*L45/100</f>
        <v/>
      </c>
      <c r="N45" s="72" t="n"/>
      <c r="O45" s="89">
        <f>(F45+I45+K45+M45)*N45/100</f>
        <v/>
      </c>
      <c r="P45" s="72" t="n"/>
      <c r="Q45" s="89">
        <f>F45+I45+K45+M45+O45+P45</f>
        <v/>
      </c>
      <c r="R45" s="89">
        <f>IF(D45=0,0,Q45/D45)</f>
        <v/>
      </c>
      <c r="S45" s="89">
        <f>R45*2.5</f>
        <v/>
      </c>
      <c r="T45" s="72" t="n"/>
      <c r="U45" s="72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71" t="n"/>
      <c r="B46" s="71" t="n"/>
      <c r="C46" s="71" t="n"/>
      <c r="D46" s="71" t="n"/>
      <c r="E46" s="71" t="n"/>
      <c r="F46" s="85">
        <f>SUMIF($W$65:$W$500,B46,$AG$65:$AG$500)</f>
        <v/>
      </c>
      <c r="G46" s="71" t="n"/>
      <c r="H46" s="71" t="n"/>
      <c r="I46" s="85">
        <f>G46*H46</f>
        <v/>
      </c>
      <c r="J46" s="71" t="n"/>
      <c r="K46" s="85">
        <f>J46*D46</f>
        <v/>
      </c>
      <c r="L46" s="71" t="n"/>
      <c r="M46" s="85">
        <f>F46*L46/100</f>
        <v/>
      </c>
      <c r="N46" s="71" t="n"/>
      <c r="O46" s="85">
        <f>(F46+I46+K46+M46)*N46/100</f>
        <v/>
      </c>
      <c r="P46" s="71" t="n"/>
      <c r="Q46" s="85">
        <f>F46+I46+K46+M46+O46+P46</f>
        <v/>
      </c>
      <c r="R46" s="85">
        <f>IF(D46=0,0,Q46/D46)</f>
        <v/>
      </c>
      <c r="S46" s="85">
        <f>R46*2.5</f>
        <v/>
      </c>
      <c r="T46" s="71" t="n"/>
      <c r="U46" s="71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72" t="n"/>
      <c r="B47" s="72" t="n"/>
      <c r="C47" s="72" t="n"/>
      <c r="D47" s="72" t="n"/>
      <c r="E47" s="72" t="n"/>
      <c r="F47" s="89">
        <f>SUMIF($W$65:$W$500,B47,$AG$65:$AG$500)</f>
        <v/>
      </c>
      <c r="G47" s="72" t="n"/>
      <c r="H47" s="72" t="n"/>
      <c r="I47" s="89">
        <f>G47*H47</f>
        <v/>
      </c>
      <c r="J47" s="72" t="n"/>
      <c r="K47" s="89">
        <f>J47*D47</f>
        <v/>
      </c>
      <c r="L47" s="72" t="n"/>
      <c r="M47" s="89">
        <f>F47*L47/100</f>
        <v/>
      </c>
      <c r="N47" s="72" t="n"/>
      <c r="O47" s="89">
        <f>(F47+I47+K47+M47)*N47/100</f>
        <v/>
      </c>
      <c r="P47" s="72" t="n"/>
      <c r="Q47" s="89">
        <f>F47+I47+K47+M47+O47+P47</f>
        <v/>
      </c>
      <c r="R47" s="89">
        <f>IF(D47=0,0,Q47/D47)</f>
        <v/>
      </c>
      <c r="S47" s="89">
        <f>R47*2.5</f>
        <v/>
      </c>
      <c r="T47" s="72" t="n"/>
      <c r="U47" s="72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71" t="n"/>
      <c r="B48" s="71" t="n"/>
      <c r="C48" s="71" t="n"/>
      <c r="D48" s="71" t="n"/>
      <c r="E48" s="71" t="n"/>
      <c r="F48" s="85">
        <f>SUMIF($W$65:$W$500,B48,$AG$65:$AG$500)</f>
        <v/>
      </c>
      <c r="G48" s="71" t="n"/>
      <c r="H48" s="71" t="n"/>
      <c r="I48" s="85">
        <f>G48*H48</f>
        <v/>
      </c>
      <c r="J48" s="71" t="n"/>
      <c r="K48" s="85">
        <f>J48*D48</f>
        <v/>
      </c>
      <c r="L48" s="71" t="n"/>
      <c r="M48" s="85">
        <f>F48*L48/100</f>
        <v/>
      </c>
      <c r="N48" s="71" t="n"/>
      <c r="O48" s="85">
        <f>(F48+I48+K48+M48)*N48/100</f>
        <v/>
      </c>
      <c r="P48" s="71" t="n"/>
      <c r="Q48" s="85">
        <f>F48+I48+K48+M48+O48+P48</f>
        <v/>
      </c>
      <c r="R48" s="85">
        <f>IF(D48=0,0,Q48/D48)</f>
        <v/>
      </c>
      <c r="S48" s="85">
        <f>R48*2.5</f>
        <v/>
      </c>
      <c r="T48" s="71" t="n"/>
      <c r="U48" s="71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72" t="n"/>
      <c r="B49" s="72" t="n"/>
      <c r="C49" s="72" t="n"/>
      <c r="D49" s="72" t="n"/>
      <c r="E49" s="72" t="n"/>
      <c r="F49" s="89">
        <f>SUMIF($W$65:$W$500,B49,$AG$65:$AG$500)</f>
        <v/>
      </c>
      <c r="G49" s="72" t="n"/>
      <c r="H49" s="72" t="n"/>
      <c r="I49" s="89">
        <f>G49*H49</f>
        <v/>
      </c>
      <c r="J49" s="72" t="n"/>
      <c r="K49" s="89">
        <f>J49*D49</f>
        <v/>
      </c>
      <c r="L49" s="72" t="n"/>
      <c r="M49" s="89">
        <f>F49*L49/100</f>
        <v/>
      </c>
      <c r="N49" s="72" t="n"/>
      <c r="O49" s="89">
        <f>(F49+I49+K49+M49)*N49/100</f>
        <v/>
      </c>
      <c r="P49" s="72" t="n"/>
      <c r="Q49" s="89">
        <f>F49+I49+K49+M49+O49+P49</f>
        <v/>
      </c>
      <c r="R49" s="89">
        <f>IF(D49=0,0,Q49/D49)</f>
        <v/>
      </c>
      <c r="S49" s="89">
        <f>R49*2.5</f>
        <v/>
      </c>
      <c r="T49" s="72" t="n"/>
      <c r="U49" s="72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71" t="n"/>
      <c r="B50" s="71" t="n"/>
      <c r="C50" s="71" t="n"/>
      <c r="D50" s="71" t="n"/>
      <c r="E50" s="71" t="n"/>
      <c r="F50" s="85">
        <f>SUMIF($W$65:$W$500,B50,$AG$65:$AG$500)</f>
        <v/>
      </c>
      <c r="G50" s="71" t="n"/>
      <c r="H50" s="71" t="n"/>
      <c r="I50" s="85">
        <f>G50*H50</f>
        <v/>
      </c>
      <c r="J50" s="71" t="n"/>
      <c r="K50" s="85">
        <f>J50*D50</f>
        <v/>
      </c>
      <c r="L50" s="71" t="n"/>
      <c r="M50" s="85">
        <f>F50*L50/100</f>
        <v/>
      </c>
      <c r="N50" s="71" t="n"/>
      <c r="O50" s="85">
        <f>(F50+I50+K50+M50)*N50/100</f>
        <v/>
      </c>
      <c r="P50" s="71" t="n"/>
      <c r="Q50" s="85">
        <f>F50+I50+K50+M50+O50+P50</f>
        <v/>
      </c>
      <c r="R50" s="85">
        <f>IF(D50=0,0,Q50/D50)</f>
        <v/>
      </c>
      <c r="S50" s="85">
        <f>R50*2.5</f>
        <v/>
      </c>
      <c r="T50" s="71" t="n"/>
      <c r="U50" s="71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72" t="n"/>
      <c r="B51" s="72" t="n"/>
      <c r="C51" s="72" t="n"/>
      <c r="D51" s="72" t="n"/>
      <c r="E51" s="72" t="n"/>
      <c r="F51" s="89">
        <f>SUMIF($W$65:$W$500,B51,$AG$65:$AG$500)</f>
        <v/>
      </c>
      <c r="G51" s="72" t="n"/>
      <c r="H51" s="72" t="n"/>
      <c r="I51" s="89">
        <f>G51*H51</f>
        <v/>
      </c>
      <c r="J51" s="72" t="n"/>
      <c r="K51" s="89">
        <f>J51*D51</f>
        <v/>
      </c>
      <c r="L51" s="72" t="n"/>
      <c r="M51" s="89">
        <f>F51*L51/100</f>
        <v/>
      </c>
      <c r="N51" s="72" t="n"/>
      <c r="O51" s="89">
        <f>(F51+I51+K51+M51)*N51/100</f>
        <v/>
      </c>
      <c r="P51" s="72" t="n"/>
      <c r="Q51" s="89">
        <f>F51+I51+K51+M51+O51+P51</f>
        <v/>
      </c>
      <c r="R51" s="89">
        <f>IF(D51=0,0,Q51/D51)</f>
        <v/>
      </c>
      <c r="S51" s="89">
        <f>R51*2.5</f>
        <v/>
      </c>
      <c r="T51" s="72" t="n"/>
      <c r="U51" s="72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71" t="n"/>
      <c r="B52" s="71" t="n"/>
      <c r="C52" s="71" t="n"/>
      <c r="D52" s="71" t="n"/>
      <c r="E52" s="71" t="n"/>
      <c r="F52" s="85">
        <f>SUMIF($W$65:$W$500,B52,$AG$65:$AG$500)</f>
        <v/>
      </c>
      <c r="G52" s="71" t="n"/>
      <c r="H52" s="71" t="n"/>
      <c r="I52" s="85">
        <f>G52*H52</f>
        <v/>
      </c>
      <c r="J52" s="71" t="n"/>
      <c r="K52" s="85">
        <f>J52*D52</f>
        <v/>
      </c>
      <c r="L52" s="71" t="n"/>
      <c r="M52" s="85">
        <f>F52*L52/100</f>
        <v/>
      </c>
      <c r="N52" s="71" t="n"/>
      <c r="O52" s="85">
        <f>(F52+I52+K52+M52)*N52/100</f>
        <v/>
      </c>
      <c r="P52" s="71" t="n"/>
      <c r="Q52" s="85">
        <f>F52+I52+K52+M52+O52+P52</f>
        <v/>
      </c>
      <c r="R52" s="85">
        <f>IF(D52=0,0,Q52/D52)</f>
        <v/>
      </c>
      <c r="S52" s="85">
        <f>R52*2.5</f>
        <v/>
      </c>
      <c r="T52" s="71" t="n"/>
      <c r="U52" s="71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72" t="n"/>
      <c r="B53" s="72" t="n"/>
      <c r="C53" s="72" t="n"/>
      <c r="D53" s="72" t="n"/>
      <c r="E53" s="72" t="n"/>
      <c r="F53" s="89">
        <f>SUMIF($W$65:$W$500,B53,$AG$65:$AG$500)</f>
        <v/>
      </c>
      <c r="G53" s="72" t="n"/>
      <c r="H53" s="72" t="n"/>
      <c r="I53" s="89">
        <f>G53*H53</f>
        <v/>
      </c>
      <c r="J53" s="72" t="n"/>
      <c r="K53" s="89">
        <f>J53*D53</f>
        <v/>
      </c>
      <c r="L53" s="72" t="n"/>
      <c r="M53" s="89">
        <f>F53*L53/100</f>
        <v/>
      </c>
      <c r="N53" s="72" t="n"/>
      <c r="O53" s="89">
        <f>(F53+I53+K53+M53)*N53/100</f>
        <v/>
      </c>
      <c r="P53" s="72" t="n"/>
      <c r="Q53" s="89">
        <f>F53+I53+K53+M53+O53+P53</f>
        <v/>
      </c>
      <c r="R53" s="89">
        <f>IF(D53=0,0,Q53/D53)</f>
        <v/>
      </c>
      <c r="S53" s="89">
        <f>R53*2.5</f>
        <v/>
      </c>
      <c r="T53" s="72" t="n"/>
      <c r="U53" s="72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71" t="n"/>
      <c r="B54" s="71" t="n"/>
      <c r="C54" s="71" t="n"/>
      <c r="D54" s="71" t="n"/>
      <c r="E54" s="71" t="n"/>
      <c r="F54" s="85">
        <f>SUMIF($W$65:$W$500,B54,$AG$65:$AG$500)</f>
        <v/>
      </c>
      <c r="G54" s="71" t="n"/>
      <c r="H54" s="71" t="n"/>
      <c r="I54" s="85">
        <f>G54*H54</f>
        <v/>
      </c>
      <c r="J54" s="71" t="n"/>
      <c r="K54" s="85">
        <f>J54*D54</f>
        <v/>
      </c>
      <c r="L54" s="71" t="n"/>
      <c r="M54" s="85">
        <f>F54*L54/100</f>
        <v/>
      </c>
      <c r="N54" s="71" t="n"/>
      <c r="O54" s="85">
        <f>(F54+I54+K54+M54)*N54/100</f>
        <v/>
      </c>
      <c r="P54" s="71" t="n"/>
      <c r="Q54" s="85">
        <f>F54+I54+K54+M54+O54+P54</f>
        <v/>
      </c>
      <c r="R54" s="85">
        <f>IF(D54=0,0,Q54/D54)</f>
        <v/>
      </c>
      <c r="S54" s="85">
        <f>R54*2.5</f>
        <v/>
      </c>
      <c r="T54" s="71" t="n"/>
      <c r="U54" s="71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92" t="inlineStr">
        <is>
          <t>Recipe Ingredients Database - Long Format (Each row = one ingredient for a recipe) - Supports multiple recipes</t>
        </is>
      </c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inlineStr">
        <is>
          <t>Row ID</t>
        </is>
      </c>
      <c r="W64" s="70" t="inlineStr">
        <is>
          <t>Recipe ID</t>
        </is>
      </c>
      <c r="X64" s="70" t="inlineStr">
        <is>
          <t>Recipe Name</t>
        </is>
      </c>
      <c r="Y64" s="70" t="inlineStr">
        <is>
          <t>Ingredient Name</t>
        </is>
      </c>
      <c r="Z64" s="70" t="inlineStr">
        <is>
          <t>Qty</t>
        </is>
      </c>
      <c r="AA64" s="70" t="inlineStr">
        <is>
          <t>Unit (Recipe Unit)</t>
        </is>
      </c>
      <c r="AB64" s="70" t="inlineStr">
        <is>
          <t>Stock Unit</t>
        </is>
      </c>
      <c r="AC64" s="70" t="inlineStr">
        <is>
          <t>Stock Cost/Unit $</t>
        </is>
      </c>
      <c r="AD64" s="70" t="inlineStr">
        <is>
          <t>Recipe Unit Factor</t>
        </is>
      </c>
      <c r="AE64" s="6" t="inlineStr">
        <is>
          <t>Stock Unit Factor</t>
        </is>
      </c>
      <c r="AF64" s="6" t="inlineStr">
        <is>
          <t>Converted Qty</t>
        </is>
      </c>
      <c r="AG64" s="6" t="inlineStr">
        <is>
          <t>Line Cost $</t>
        </is>
      </c>
      <c r="AH64" s="6" t="inlineStr">
        <is>
          <t>Type Match?</t>
        </is>
      </c>
      <c r="AI64" s="6" t="inlineStr">
        <is>
          <t>Notes</t>
        </is>
      </c>
    </row>
    <row r="65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>
        <v>1</v>
      </c>
      <c r="W65" s="72" t="inlineStr">
        <is>
          <t>REC-001</t>
        </is>
      </c>
      <c r="X65" s="72" t="inlineStr">
        <is>
          <t>Sourdough Loaf</t>
        </is>
      </c>
      <c r="Y65" s="72" t="inlineStr">
        <is>
          <t>Bread Flour</t>
        </is>
      </c>
      <c r="Z65" s="72" t="n">
        <v>1000</v>
      </c>
      <c r="AA65" s="72" t="inlineStr">
        <is>
          <t>g</t>
        </is>
      </c>
      <c r="AB65" s="8">
        <f>IFERROR(VLOOKUP(Y65,'Ingredients + Stock'!B:D,3,FALSE),"")</f>
        <v/>
      </c>
      <c r="AC65" s="93">
        <f>IFERROR(VLOOKUP(Y65,'Ingredients + Stock'!B:G,6,FALSE),0)</f>
        <v/>
      </c>
      <c r="AD65" s="8">
        <f>IFERROR(VLOOKUP(AA65,'Unit Conversion'!A:D,4,FALSE),1)</f>
        <v/>
      </c>
      <c r="AE65" s="8">
        <f>IFERROR(VLOOKUP(AB65,'Unit Conversion'!A:D,4,FALSE),1)</f>
        <v/>
      </c>
      <c r="AF65" s="8">
        <f>IF(AA65="","",Z65*AD65/AE65)</f>
        <v/>
      </c>
      <c r="AG65" s="89">
        <f>AF65*AC65</f>
        <v/>
      </c>
      <c r="AH65" s="8">
        <f>IFERROR(IF(VLOOKUP(AA65,'Unit Conversion'!A:B,2,FALSE)=VLOOKUP(AB65,'Unit Conversion'!A:B,2,FALSE),"OK","Check W/V mismatch"),"Check unit")</f>
        <v/>
      </c>
      <c r="AI65" s="8" t="inlineStr"/>
    </row>
    <row r="66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>
        <v>2</v>
      </c>
      <c r="W66" s="71" t="inlineStr">
        <is>
          <t>REC-001</t>
        </is>
      </c>
      <c r="X66" s="71" t="inlineStr">
        <is>
          <t>Sourdough Loaf</t>
        </is>
      </c>
      <c r="Y66" s="71" t="inlineStr">
        <is>
          <t>Water</t>
        </is>
      </c>
      <c r="Z66" s="71" t="n">
        <v>700</v>
      </c>
      <c r="AA66" s="71" t="inlineStr">
        <is>
          <t>ml</t>
        </is>
      </c>
      <c r="AB66" s="7">
        <f>IFERROR(VLOOKUP(Y66,'Ingredients + Stock'!B:D,3,FALSE),"")</f>
        <v/>
      </c>
      <c r="AC66" s="94">
        <f>IFERROR(VLOOKUP(Y66,'Ingredients + Stock'!B:G,6,FALSE),0)</f>
        <v/>
      </c>
      <c r="AD66" s="7">
        <f>IFERROR(VLOOKUP(AA66,'Unit Conversion'!A:D,4,FALSE),1)</f>
        <v/>
      </c>
      <c r="AE66" s="7">
        <f>IFERROR(VLOOKUP(AB66,'Unit Conversion'!A:D,4,FALSE),1)</f>
        <v/>
      </c>
      <c r="AF66" s="7">
        <f>IF(AA66="","",Z66*AD66/AE66)</f>
        <v/>
      </c>
      <c r="AG66" s="85">
        <f>AF66*AC66</f>
        <v/>
      </c>
      <c r="AH66" s="7">
        <f>IFERROR(IF(VLOOKUP(AA66,'Unit Conversion'!A:B,2,FALSE)=VLOOKUP(AB66,'Unit Conversion'!A:B,2,FALSE),"OK","Check W/V mismatch"),"Check unit")</f>
        <v/>
      </c>
      <c r="AI66" s="7" t="inlineStr"/>
    </row>
    <row r="67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>
        <v>3</v>
      </c>
      <c r="W67" s="72" t="inlineStr">
        <is>
          <t>REC-001</t>
        </is>
      </c>
      <c r="X67" s="72" t="inlineStr">
        <is>
          <t>Sourdough Loaf</t>
        </is>
      </c>
      <c r="Y67" s="72" t="inlineStr">
        <is>
          <t>Sourdough Starter</t>
        </is>
      </c>
      <c r="Z67" s="72" t="n">
        <v>200</v>
      </c>
      <c r="AA67" s="72" t="inlineStr">
        <is>
          <t>g</t>
        </is>
      </c>
      <c r="AB67" s="8">
        <f>IFERROR(VLOOKUP(Y67,'Ingredients + Stock'!B:D,3,FALSE),"")</f>
        <v/>
      </c>
      <c r="AC67" s="93">
        <f>IFERROR(VLOOKUP(Y67,'Ingredients + Stock'!B:G,6,FALSE),0)</f>
        <v/>
      </c>
      <c r="AD67" s="8">
        <f>IFERROR(VLOOKUP(AA67,'Unit Conversion'!A:D,4,FALSE),1)</f>
        <v/>
      </c>
      <c r="AE67" s="8">
        <f>IFERROR(VLOOKUP(AB67,'Unit Conversion'!A:D,4,FALSE),1)</f>
        <v/>
      </c>
      <c r="AF67" s="8">
        <f>IF(AA67="","",Z67*AD67/AE67)</f>
        <v/>
      </c>
      <c r="AG67" s="89">
        <f>AF67*AC67</f>
        <v/>
      </c>
      <c r="AH67" s="8">
        <f>IFERROR(IF(VLOOKUP(AA67,'Unit Conversion'!A:B,2,FALSE)=VLOOKUP(AB67,'Unit Conversion'!A:B,2,FALSE),"OK","Check W/V mismatch"),"Check unit")</f>
        <v/>
      </c>
      <c r="AI67" s="8" t="inlineStr"/>
    </row>
    <row r="68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>
        <v>4</v>
      </c>
      <c r="W68" s="71" t="inlineStr">
        <is>
          <t>REC-001</t>
        </is>
      </c>
      <c r="X68" s="71" t="inlineStr">
        <is>
          <t>Sourdough Loaf</t>
        </is>
      </c>
      <c r="Y68" s="71" t="inlineStr">
        <is>
          <t>Salt</t>
        </is>
      </c>
      <c r="Z68" s="71" t="n">
        <v>20</v>
      </c>
      <c r="AA68" s="71" t="inlineStr">
        <is>
          <t>g</t>
        </is>
      </c>
      <c r="AB68" s="7">
        <f>IFERROR(VLOOKUP(Y68,'Ingredients + Stock'!B:D,3,FALSE),"")</f>
        <v/>
      </c>
      <c r="AC68" s="94">
        <f>IFERROR(VLOOKUP(Y68,'Ingredients + Stock'!B:G,6,FALSE),0)</f>
        <v/>
      </c>
      <c r="AD68" s="7">
        <f>IFERROR(VLOOKUP(AA68,'Unit Conversion'!A:D,4,FALSE),1)</f>
        <v/>
      </c>
      <c r="AE68" s="7">
        <f>IFERROR(VLOOKUP(AB68,'Unit Conversion'!A:D,4,FALSE),1)</f>
        <v/>
      </c>
      <c r="AF68" s="7">
        <f>IF(AA68="","",Z68*AD68/AE68)</f>
        <v/>
      </c>
      <c r="AG68" s="85">
        <f>AF68*AC68</f>
        <v/>
      </c>
      <c r="AH68" s="7">
        <f>IFERROR(IF(VLOOKUP(AA68,'Unit Conversion'!A:B,2,FALSE)=VLOOKUP(AB68,'Unit Conversion'!A:B,2,FALSE),"OK","Check W/V mismatch"),"Check unit")</f>
        <v/>
      </c>
      <c r="AI68" s="7" t="inlineStr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>
        <v>5</v>
      </c>
      <c r="W69" s="72" t="inlineStr">
        <is>
          <t>REC-001</t>
        </is>
      </c>
      <c r="X69" s="72" t="inlineStr">
        <is>
          <t>Sourdough Loaf</t>
        </is>
      </c>
      <c r="Y69" s="72" t="inlineStr">
        <is>
          <t>Olive Oil</t>
        </is>
      </c>
      <c r="Z69" s="72" t="n">
        <v>2</v>
      </c>
      <c r="AA69" s="72" t="inlineStr">
        <is>
          <t>tbsp</t>
        </is>
      </c>
      <c r="AB69" s="8">
        <f>IFERROR(VLOOKUP(Y69,'Ingredients + Stock'!B:D,3,FALSE),"")</f>
        <v/>
      </c>
      <c r="AC69" s="93">
        <f>IFERROR(VLOOKUP(Y69,'Ingredients + Stock'!B:G,6,FALSE),0)</f>
        <v/>
      </c>
      <c r="AD69" s="8">
        <f>IFERROR(VLOOKUP(AA69,'Unit Conversion'!A:D,4,FALSE),1)</f>
        <v/>
      </c>
      <c r="AE69" s="8">
        <f>IFERROR(VLOOKUP(AB69,'Unit Conversion'!A:D,4,FALSE),1)</f>
        <v/>
      </c>
      <c r="AF69" s="8">
        <f>IF(AA69="","",Z69*AD69/AE69)</f>
        <v/>
      </c>
      <c r="AG69" s="89">
        <f>AF69*AC69</f>
        <v/>
      </c>
      <c r="AH69" s="8">
        <f>IFERROR(IF(VLOOKUP(AA69,'Unit Conversion'!A:B,2,FALSE)=VLOOKUP(AB69,'Unit Conversion'!A:B,2,FALSE),"OK","Check W/V mismatch"),"Check unit")</f>
        <v/>
      </c>
      <c r="AI69" s="8" t="inlineStr">
        <is>
          <t>2 tbsp = test tsp/tbsp conversion</t>
        </is>
      </c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>
        <v>6</v>
      </c>
      <c r="W70" s="71" t="inlineStr">
        <is>
          <t>REC-002</t>
        </is>
      </c>
      <c r="X70" s="71" t="inlineStr">
        <is>
          <t>Chocolate Chip Cookies</t>
        </is>
      </c>
      <c r="Y70" s="71" t="inlineStr">
        <is>
          <t>All-Purpose Flour</t>
        </is>
      </c>
      <c r="Z70" s="71" t="n">
        <v>360</v>
      </c>
      <c r="AA70" s="71" t="inlineStr">
        <is>
          <t>g</t>
        </is>
      </c>
      <c r="AB70" s="7">
        <f>IFERROR(VLOOKUP(Y70,'Ingredients + Stock'!B:D,3,FALSE),"")</f>
        <v/>
      </c>
      <c r="AC70" s="94">
        <f>IFERROR(VLOOKUP(Y70,'Ingredients + Stock'!B:G,6,FALSE),0)</f>
        <v/>
      </c>
      <c r="AD70" s="7">
        <f>IFERROR(VLOOKUP(AA70,'Unit Conversion'!A:D,4,FALSE),1)</f>
        <v/>
      </c>
      <c r="AE70" s="7">
        <f>IFERROR(VLOOKUP(AB70,'Unit Conversion'!A:D,4,FALSE),1)</f>
        <v/>
      </c>
      <c r="AF70" s="7">
        <f>IF(AA70="","",Z70*AD70/AE70)</f>
        <v/>
      </c>
      <c r="AG70" s="85">
        <f>AF70*AC70</f>
        <v/>
      </c>
      <c r="AH70" s="7">
        <f>IFERROR(IF(VLOOKUP(AA70,'Unit Conversion'!A:B,2,FALSE)=VLOOKUP(AB70,'Unit Conversion'!A:B,2,FALSE),"OK","Check W/V mismatch"),"Check unit")</f>
        <v/>
      </c>
      <c r="AI70" s="7" t="inlineStr"/>
    </row>
    <row r="71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>
        <v>7</v>
      </c>
      <c r="W71" s="72" t="inlineStr">
        <is>
          <t>REC-002</t>
        </is>
      </c>
      <c r="X71" s="72" t="inlineStr">
        <is>
          <t>Chocolate Chip Cookies</t>
        </is>
      </c>
      <c r="Y71" s="72" t="inlineStr">
        <is>
          <t>Sugar</t>
        </is>
      </c>
      <c r="Z71" s="72" t="n">
        <v>200</v>
      </c>
      <c r="AA71" s="72" t="inlineStr">
        <is>
          <t>g</t>
        </is>
      </c>
      <c r="AB71" s="8">
        <f>IFERROR(VLOOKUP(Y71,'Ingredients + Stock'!B:D,3,FALSE),"")</f>
        <v/>
      </c>
      <c r="AC71" s="93">
        <f>IFERROR(VLOOKUP(Y71,'Ingredients + Stock'!B:G,6,FALSE),0)</f>
        <v/>
      </c>
      <c r="AD71" s="8">
        <f>IFERROR(VLOOKUP(AA71,'Unit Conversion'!A:D,4,FALSE),1)</f>
        <v/>
      </c>
      <c r="AE71" s="8">
        <f>IFERROR(VLOOKUP(AB71,'Unit Conversion'!A:D,4,FALSE),1)</f>
        <v/>
      </c>
      <c r="AF71" s="8">
        <f>IF(AA71="","",Z71*AD71/AE71)</f>
        <v/>
      </c>
      <c r="AG71" s="89">
        <f>AF71*AC71</f>
        <v/>
      </c>
      <c r="AH71" s="8">
        <f>IFERROR(IF(VLOOKUP(AA71,'Unit Conversion'!A:B,2,FALSE)=VLOOKUP(AB71,'Unit Conversion'!A:B,2,FALSE),"OK","Check W/V mismatch"),"Check unit")</f>
        <v/>
      </c>
      <c r="AI71" s="8" t="inlineStr"/>
    </row>
    <row r="72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>
        <v>8</v>
      </c>
      <c r="W72" s="71" t="inlineStr">
        <is>
          <t>REC-002</t>
        </is>
      </c>
      <c r="X72" s="71" t="inlineStr">
        <is>
          <t>Chocolate Chip Cookies</t>
        </is>
      </c>
      <c r="Y72" s="71" t="inlineStr">
        <is>
          <t>Butter</t>
        </is>
      </c>
      <c r="Z72" s="71" t="n">
        <v>225</v>
      </c>
      <c r="AA72" s="71" t="inlineStr">
        <is>
          <t>g</t>
        </is>
      </c>
      <c r="AB72" s="7">
        <f>IFERROR(VLOOKUP(Y72,'Ingredients + Stock'!B:D,3,FALSE),"")</f>
        <v/>
      </c>
      <c r="AC72" s="94">
        <f>IFERROR(VLOOKUP(Y72,'Ingredients + Stock'!B:G,6,FALSE),0)</f>
        <v/>
      </c>
      <c r="AD72" s="7">
        <f>IFERROR(VLOOKUP(AA72,'Unit Conversion'!A:D,4,FALSE),1)</f>
        <v/>
      </c>
      <c r="AE72" s="7">
        <f>IFERROR(VLOOKUP(AB72,'Unit Conversion'!A:D,4,FALSE),1)</f>
        <v/>
      </c>
      <c r="AF72" s="7">
        <f>IF(AA72="","",Z72*AD72/AE72)</f>
        <v/>
      </c>
      <c r="AG72" s="85">
        <f>AF72*AC72</f>
        <v/>
      </c>
      <c r="AH72" s="7">
        <f>IFERROR(IF(VLOOKUP(AA72,'Unit Conversion'!A:B,2,FALSE)=VLOOKUP(AB72,'Unit Conversion'!A:B,2,FALSE),"OK","Check W/V mismatch"),"Check unit")</f>
        <v/>
      </c>
      <c r="AI72" s="7" t="inlineStr"/>
    </row>
    <row r="73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>
        <v>9</v>
      </c>
      <c r="W73" s="72" t="inlineStr">
        <is>
          <t>REC-002</t>
        </is>
      </c>
      <c r="X73" s="72" t="inlineStr">
        <is>
          <t>Chocolate Chip Cookies</t>
        </is>
      </c>
      <c r="Y73" s="72" t="inlineStr">
        <is>
          <t>Vanilla Extract</t>
        </is>
      </c>
      <c r="Z73" s="72" t="n">
        <v>2</v>
      </c>
      <c r="AA73" s="72" t="inlineStr">
        <is>
          <t>tsp</t>
        </is>
      </c>
      <c r="AB73" s="8">
        <f>IFERROR(VLOOKUP(Y73,'Ingredients + Stock'!B:D,3,FALSE),"")</f>
        <v/>
      </c>
      <c r="AC73" s="93">
        <f>IFERROR(VLOOKUP(Y73,'Ingredients + Stock'!B:G,6,FALSE),0)</f>
        <v/>
      </c>
      <c r="AD73" s="8">
        <f>IFERROR(VLOOKUP(AA73,'Unit Conversion'!A:D,4,FALSE),1)</f>
        <v/>
      </c>
      <c r="AE73" s="8">
        <f>IFERROR(VLOOKUP(AB73,'Unit Conversion'!A:D,4,FALSE),1)</f>
        <v/>
      </c>
      <c r="AF73" s="8">
        <f>IF(AA73="","",Z73*AD73/AE73)</f>
        <v/>
      </c>
      <c r="AG73" s="89">
        <f>AF73*AC73</f>
        <v/>
      </c>
      <c r="AH73" s="8">
        <f>IFERROR(IF(VLOOKUP(AA73,'Unit Conversion'!A:B,2,FALSE)=VLOOKUP(AB73,'Unit Conversion'!A:B,2,FALSE),"OK","Check W/V mismatch"),"Check unit")</f>
        <v/>
      </c>
      <c r="AI73" s="8" t="inlineStr">
        <is>
          <t>tsp conversion test</t>
        </is>
      </c>
    </row>
    <row r="74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>
        <v>10</v>
      </c>
      <c r="W74" s="71" t="inlineStr">
        <is>
          <t>REC-002</t>
        </is>
      </c>
      <c r="X74" s="71" t="inlineStr">
        <is>
          <t>Chocolate Chip Cookies</t>
        </is>
      </c>
      <c r="Y74" s="71" t="inlineStr">
        <is>
          <t>Chocolate Chips</t>
        </is>
      </c>
      <c r="Z74" s="71" t="n">
        <v>340</v>
      </c>
      <c r="AA74" s="71" t="inlineStr">
        <is>
          <t>g</t>
        </is>
      </c>
      <c r="AB74" s="7">
        <f>IFERROR(VLOOKUP(Y74,'Ingredients + Stock'!B:D,3,FALSE),"")</f>
        <v/>
      </c>
      <c r="AC74" s="94">
        <f>IFERROR(VLOOKUP(Y74,'Ingredients + Stock'!B:G,6,FALSE),0)</f>
        <v/>
      </c>
      <c r="AD74" s="7">
        <f>IFERROR(VLOOKUP(AA74,'Unit Conversion'!A:D,4,FALSE),1)</f>
        <v/>
      </c>
      <c r="AE74" s="7">
        <f>IFERROR(VLOOKUP(AB74,'Unit Conversion'!A:D,4,FALSE),1)</f>
        <v/>
      </c>
      <c r="AF74" s="7">
        <f>IF(AA74="","",Z74*AD74/AE74)</f>
        <v/>
      </c>
      <c r="AG74" s="85">
        <f>AF74*AC74</f>
        <v/>
      </c>
      <c r="AH74" s="7">
        <f>IFERROR(IF(VLOOKUP(AA74,'Unit Conversion'!A:B,2,FALSE)=VLOOKUP(AB74,'Unit Conversion'!A:B,2,FALSE),"OK","Check W/V mismatch"),"Check unit")</f>
        <v/>
      </c>
      <c r="AI74" s="7" t="inlineStr"/>
    </row>
    <row r="75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>
        <v>11</v>
      </c>
      <c r="W75" s="72" t="inlineStr">
        <is>
          <t>REC-002</t>
        </is>
      </c>
      <c r="X75" s="72" t="inlineStr">
        <is>
          <t>Chocolate Chip Cookies</t>
        </is>
      </c>
      <c r="Y75" s="72" t="inlineStr">
        <is>
          <t>Eggs</t>
        </is>
      </c>
      <c r="Z75" s="72" t="n">
        <v>2</v>
      </c>
      <c r="AA75" s="72" t="inlineStr">
        <is>
          <t>pcs</t>
        </is>
      </c>
      <c r="AB75" s="8">
        <f>IFERROR(VLOOKUP(Y75,'Ingredients + Stock'!B:D,3,FALSE),"")</f>
        <v/>
      </c>
      <c r="AC75" s="93">
        <f>IFERROR(VLOOKUP(Y75,'Ingredients + Stock'!B:G,6,FALSE),0)</f>
        <v/>
      </c>
      <c r="AD75" s="8">
        <f>IFERROR(VLOOKUP(AA75,'Unit Conversion'!A:D,4,FALSE),1)</f>
        <v/>
      </c>
      <c r="AE75" s="8">
        <f>IFERROR(VLOOKUP(AB75,'Unit Conversion'!A:D,4,FALSE),1)</f>
        <v/>
      </c>
      <c r="AF75" s="8">
        <f>IF(AA75="","",Z75*AD75/AE75)</f>
        <v/>
      </c>
      <c r="AG75" s="89">
        <f>AF75*AC75</f>
        <v/>
      </c>
      <c r="AH75" s="8">
        <f>IFERROR(IF(VLOOKUP(AA75,'Unit Conversion'!A:B,2,FALSE)=VLOOKUP(AB75,'Unit Conversion'!A:B,2,FALSE),"OK","Check W/V mismatch"),"Check unit")</f>
        <v/>
      </c>
      <c r="AI75" s="8" t="inlineStr">
        <is>
          <t>pcs test</t>
        </is>
      </c>
    </row>
    <row r="76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>
        <v>12</v>
      </c>
      <c r="W76" s="71" t="inlineStr">
        <is>
          <t>REC-003</t>
        </is>
      </c>
      <c r="X76" s="71" t="inlineStr">
        <is>
          <t>Cinnamon Rolls 6-pack</t>
        </is>
      </c>
      <c r="Y76" s="71" t="inlineStr">
        <is>
          <t>Bread Flour</t>
        </is>
      </c>
      <c r="Z76" s="71" t="n">
        <v>500</v>
      </c>
      <c r="AA76" s="71" t="inlineStr">
        <is>
          <t>g</t>
        </is>
      </c>
      <c r="AB76" s="7">
        <f>IFERROR(VLOOKUP(Y76,'Ingredients + Stock'!B:D,3,FALSE),"")</f>
        <v/>
      </c>
      <c r="AC76" s="94">
        <f>IFERROR(VLOOKUP(Y76,'Ingredients + Stock'!B:G,6,FALSE),0)</f>
        <v/>
      </c>
      <c r="AD76" s="7">
        <f>IFERROR(VLOOKUP(AA76,'Unit Conversion'!A:D,4,FALSE),1)</f>
        <v/>
      </c>
      <c r="AE76" s="7">
        <f>IFERROR(VLOOKUP(AB76,'Unit Conversion'!A:D,4,FALSE),1)</f>
        <v/>
      </c>
      <c r="AF76" s="7">
        <f>IF(AA76="","",Z76*AD76/AE76)</f>
        <v/>
      </c>
      <c r="AG76" s="85">
        <f>AF76*AC76</f>
        <v/>
      </c>
      <c r="AH76" s="7">
        <f>IFERROR(IF(VLOOKUP(AA76,'Unit Conversion'!A:B,2,FALSE)=VLOOKUP(AB76,'Unit Conversion'!A:B,2,FALSE),"OK","Check W/V mismatch"),"Check unit")</f>
        <v/>
      </c>
      <c r="AI76" s="7" t="inlineStr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>
        <v>13</v>
      </c>
      <c r="W77" s="72" t="inlineStr">
        <is>
          <t>REC-003</t>
        </is>
      </c>
      <c r="X77" s="72" t="inlineStr">
        <is>
          <t>Cinnamon Rolls 6-pack</t>
        </is>
      </c>
      <c r="Y77" s="72" t="inlineStr">
        <is>
          <t>Cinnamon</t>
        </is>
      </c>
      <c r="Z77" s="72" t="n">
        <v>2</v>
      </c>
      <c r="AA77" s="72" t="inlineStr">
        <is>
          <t>tbsp</t>
        </is>
      </c>
      <c r="AB77" s="8">
        <f>IFERROR(VLOOKUP(Y77,'Ingredients + Stock'!B:D,3,FALSE),"")</f>
        <v/>
      </c>
      <c r="AC77" s="93">
        <f>IFERROR(VLOOKUP(Y77,'Ingredients + Stock'!B:G,6,FALSE),0)</f>
        <v/>
      </c>
      <c r="AD77" s="8">
        <f>IFERROR(VLOOKUP(AA77,'Unit Conversion'!A:D,4,FALSE),1)</f>
        <v/>
      </c>
      <c r="AE77" s="8">
        <f>IFERROR(VLOOKUP(AB77,'Unit Conversion'!A:D,4,FALSE),1)</f>
        <v/>
      </c>
      <c r="AF77" s="8">
        <f>IF(AA77="","",Z77*AD77/AE77)</f>
        <v/>
      </c>
      <c r="AG77" s="89">
        <f>AF77*AC77</f>
        <v/>
      </c>
      <c r="AH77" s="8">
        <f>IFERROR(IF(VLOOKUP(AA77,'Unit Conversion'!A:B,2,FALSE)=VLOOKUP(AB77,'Unit Conversion'!A:B,2,FALSE),"OK","Check W/V mismatch"),"Check unit")</f>
        <v/>
      </c>
      <c r="AI77" s="8" t="inlineStr">
        <is>
          <t>tbsp test</t>
        </is>
      </c>
    </row>
    <row r="78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>
        <v>14</v>
      </c>
      <c r="W78" s="71" t="inlineStr">
        <is>
          <t>REC-003</t>
        </is>
      </c>
      <c r="X78" s="71" t="inlineStr">
        <is>
          <t>Cinnamon Rolls 6-pack</t>
        </is>
      </c>
      <c r="Y78" s="71" t="inlineStr">
        <is>
          <t>Brown Sugar</t>
        </is>
      </c>
      <c r="Z78" s="71" t="n">
        <v>100</v>
      </c>
      <c r="AA78" s="71" t="inlineStr">
        <is>
          <t>g</t>
        </is>
      </c>
      <c r="AB78" s="7">
        <f>IFERROR(VLOOKUP(Y78,'Ingredients + Stock'!B:D,3,FALSE),"")</f>
        <v/>
      </c>
      <c r="AC78" s="94">
        <f>IFERROR(VLOOKUP(Y78,'Ingredients + Stock'!B:G,6,FALSE),0)</f>
        <v/>
      </c>
      <c r="AD78" s="7">
        <f>IFERROR(VLOOKUP(AA78,'Unit Conversion'!A:D,4,FALSE),1)</f>
        <v/>
      </c>
      <c r="AE78" s="7">
        <f>IFERROR(VLOOKUP(AB78,'Unit Conversion'!A:D,4,FALSE),1)</f>
        <v/>
      </c>
      <c r="AF78" s="7">
        <f>IF(AA78="","",Z78*AD78/AE78)</f>
        <v/>
      </c>
      <c r="AG78" s="85">
        <f>AF78*AC78</f>
        <v/>
      </c>
      <c r="AH78" s="7">
        <f>IFERROR(IF(VLOOKUP(AA78,'Unit Conversion'!A:B,2,FALSE)=VLOOKUP(AB78,'Unit Conversion'!A:B,2,FALSE),"OK","Check W/V mismatch"),"Check unit")</f>
        <v/>
      </c>
      <c r="AI78" s="7" t="inlineStr"/>
    </row>
    <row r="7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8">
        <f>IF(Y79="","",IFERROR(VLOOKUP(Y79,'Ingredients + Stock'!B:D,3,FALSE),""))</f>
        <v/>
      </c>
      <c r="AC79" s="8">
        <f>IF(Y79="","",IFERROR(VLOOKUP(Y79,'Ingredients + Stock'!B:G,6,FALSE),0))</f>
        <v/>
      </c>
      <c r="AD79" s="8">
        <f>IF(AA79="","",IFERROR(VLOOKUP(AA79,'Unit Conversion'!A:D,4,FALSE),1))</f>
        <v/>
      </c>
      <c r="AE79" s="8">
        <f>IF(AB79="","",IFERROR(VLOOKUP(AB79,'Unit Conversion'!A:D,4,FALSE),1))</f>
        <v/>
      </c>
      <c r="AF79" s="8">
        <f>IF(AA79="","",Z79*AD79/AE79)</f>
        <v/>
      </c>
      <c r="AG79" s="8">
        <f>AF79*AC79</f>
        <v/>
      </c>
      <c r="AH79" s="8">
        <f>IF(AA79="","",IFERROR(IF(VLOOKUP(AA79,'Unit Conversion'!A:B,2,FALSE)=VLOOKUP(AB79,'Unit Conversion'!A:B,2,FALSE),"OK","Check W/V mismatch"),"Check unit"))</f>
        <v/>
      </c>
      <c r="AI79" s="8" t="n"/>
    </row>
    <row r="80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">
        <f>IF(Y80="","",IFERROR(VLOOKUP(Y80,'Ingredients + Stock'!B:D,3,FALSE),""))</f>
        <v/>
      </c>
      <c r="AC80" s="7">
        <f>IF(Y80="","",IFERROR(VLOOKUP(Y80,'Ingredients + Stock'!B:G,6,FALSE),0))</f>
        <v/>
      </c>
      <c r="AD80" s="7">
        <f>IF(AA80="","",IFERROR(VLOOKUP(AA80,'Unit Conversion'!A:D,4,FALSE),1))</f>
        <v/>
      </c>
      <c r="AE80" s="7">
        <f>IF(AB80="","",IFERROR(VLOOKUP(AB80,'Unit Conversion'!A:D,4,FALSE),1))</f>
        <v/>
      </c>
      <c r="AF80" s="7">
        <f>IF(AA80="","",Z80*AD80/AE80)</f>
        <v/>
      </c>
      <c r="AG80" s="7">
        <f>AF80*AC80</f>
        <v/>
      </c>
      <c r="AH80" s="7">
        <f>IF(AA80="","",IFERROR(IF(VLOOKUP(AA80,'Unit Conversion'!A:B,2,FALSE)=VLOOKUP(AB80,'Unit Conversion'!A:B,2,FALSE),"OK","Check W/V mismatch"),"Check unit"))</f>
        <v/>
      </c>
      <c r="AI80" s="7" t="n"/>
    </row>
    <row r="81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  <c r="AA81" s="72" t="n"/>
      <c r="AB81" s="8">
        <f>IF(Y81="","",IFERROR(VLOOKUP(Y81,'Ingredients + Stock'!B:D,3,FALSE),""))</f>
        <v/>
      </c>
      <c r="AC81" s="8">
        <f>IF(Y81="","",IFERROR(VLOOKUP(Y81,'Ingredients + Stock'!B:G,6,FALSE),0))</f>
        <v/>
      </c>
      <c r="AD81" s="8">
        <f>IF(AA81="","",IFERROR(VLOOKUP(AA81,'Unit Conversion'!A:D,4,FALSE),1))</f>
        <v/>
      </c>
      <c r="AE81" s="8">
        <f>IF(AB81="","",IFERROR(VLOOKUP(AB81,'Unit Conversion'!A:D,4,FALSE),1))</f>
        <v/>
      </c>
      <c r="AF81" s="8">
        <f>IF(AA81="","",Z81*AD81/AE81)</f>
        <v/>
      </c>
      <c r="AG81" s="8">
        <f>AF81*AC81</f>
        <v/>
      </c>
      <c r="AH81" s="8">
        <f>IF(AA81="","",IFERROR(IF(VLOOKUP(AA81,'Unit Conversion'!A:B,2,FALSE)=VLOOKUP(AB81,'Unit Conversion'!A:B,2,FALSE),"OK","Check W/V mismatch"),"Check unit"))</f>
        <v/>
      </c>
      <c r="AI81" s="8" t="n"/>
    </row>
    <row r="82">
      <c r="A82" s="71" t="n"/>
      <c r="B82" s="71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">
        <f>IF(Y82="","",IFERROR(VLOOKUP(Y82,'Ingredients + Stock'!B:D,3,FALSE),""))</f>
        <v/>
      </c>
      <c r="AC82" s="7">
        <f>IF(Y82="","",IFERROR(VLOOKUP(Y82,'Ingredients + Stock'!B:G,6,FALSE),0))</f>
        <v/>
      </c>
      <c r="AD82" s="7">
        <f>IF(AA82="","",IFERROR(VLOOKUP(AA82,'Unit Conversion'!A:D,4,FALSE),1))</f>
        <v/>
      </c>
      <c r="AE82" s="7">
        <f>IF(AB82="","",IFERROR(VLOOKUP(AB82,'Unit Conversion'!A:D,4,FALSE),1))</f>
        <v/>
      </c>
      <c r="AF82" s="7">
        <f>IF(AA82="","",Z82*AD82/AE82)</f>
        <v/>
      </c>
      <c r="AG82" s="7">
        <f>AF82*AC82</f>
        <v/>
      </c>
      <c r="AH82" s="7">
        <f>IF(AA82="","",IFERROR(IF(VLOOKUP(AA82,'Unit Conversion'!A:B,2,FALSE)=VLOOKUP(AB82,'Unit Conversion'!A:B,2,FALSE),"OK","Check W/V mismatch"),"Check unit"))</f>
        <v/>
      </c>
      <c r="AI82" s="7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8">
        <f>IF(Y83="","",IFERROR(VLOOKUP(Y83,'Ingredients + Stock'!B:D,3,FALSE),""))</f>
        <v/>
      </c>
      <c r="AC83" s="8">
        <f>IF(Y83="","",IFERROR(VLOOKUP(Y83,'Ingredients + Stock'!B:G,6,FALSE),0))</f>
        <v/>
      </c>
      <c r="AD83" s="8">
        <f>IF(AA83="","",IFERROR(VLOOKUP(AA83,'Unit Conversion'!A:D,4,FALSE),1))</f>
        <v/>
      </c>
      <c r="AE83" s="8">
        <f>IF(AB83="","",IFERROR(VLOOKUP(AB83,'Unit Conversion'!A:D,4,FALSE),1))</f>
        <v/>
      </c>
      <c r="AF83" s="8">
        <f>IF(AA83="","",Z83*AD83/AE83)</f>
        <v/>
      </c>
      <c r="AG83" s="8">
        <f>AF83*AC83</f>
        <v/>
      </c>
      <c r="AH83" s="8">
        <f>IF(AA83="","",IFERROR(IF(VLOOKUP(AA83,'Unit Conversion'!A:B,2,FALSE)=VLOOKUP(AB83,'Unit Conversion'!A:B,2,FALSE),"OK","Check W/V mismatch"),"Check unit"))</f>
        <v/>
      </c>
      <c r="AI83" s="8" t="n"/>
    </row>
    <row r="84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">
        <f>IF(Y84="","",IFERROR(VLOOKUP(Y84,'Ingredients + Stock'!B:D,3,FALSE),""))</f>
        <v/>
      </c>
      <c r="AC84" s="7">
        <f>IF(Y84="","",IFERROR(VLOOKUP(Y84,'Ingredients + Stock'!B:G,6,FALSE),0))</f>
        <v/>
      </c>
      <c r="AD84" s="7">
        <f>IF(AA84="","",IFERROR(VLOOKUP(AA84,'Unit Conversion'!A:D,4,FALSE),1))</f>
        <v/>
      </c>
      <c r="AE84" s="7">
        <f>IF(AB84="","",IFERROR(VLOOKUP(AB84,'Unit Conversion'!A:D,4,FALSE),1))</f>
        <v/>
      </c>
      <c r="AF84" s="7">
        <f>IF(AA84="","",Z84*AD84/AE84)</f>
        <v/>
      </c>
      <c r="AG84" s="7">
        <f>AF84*AC84</f>
        <v/>
      </c>
      <c r="AH84" s="7">
        <f>IF(AA84="","",IFERROR(IF(VLOOKUP(AA84,'Unit Conversion'!A:B,2,FALSE)=VLOOKUP(AB84,'Unit Conversion'!A:B,2,FALSE),"OK","Check W/V mismatch"),"Check unit"))</f>
        <v/>
      </c>
      <c r="AI84" s="7" t="n"/>
    </row>
    <row r="85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8">
        <f>IF(Y85="","",IFERROR(VLOOKUP(Y85,'Ingredients + Stock'!B:D,3,FALSE),""))</f>
        <v/>
      </c>
      <c r="AC85" s="8">
        <f>IF(Y85="","",IFERROR(VLOOKUP(Y85,'Ingredients + Stock'!B:G,6,FALSE),0))</f>
        <v/>
      </c>
      <c r="AD85" s="8">
        <f>IF(AA85="","",IFERROR(VLOOKUP(AA85,'Unit Conversion'!A:D,4,FALSE),1))</f>
        <v/>
      </c>
      <c r="AE85" s="8">
        <f>IF(AB85="","",IFERROR(VLOOKUP(AB85,'Unit Conversion'!A:D,4,FALSE),1))</f>
        <v/>
      </c>
      <c r="AF85" s="8">
        <f>IF(AA85="","",Z85*AD85/AE85)</f>
        <v/>
      </c>
      <c r="AG85" s="8">
        <f>AF85*AC85</f>
        <v/>
      </c>
      <c r="AH85" s="8">
        <f>IF(AA85="","",IFERROR(IF(VLOOKUP(AA85,'Unit Conversion'!A:B,2,FALSE)=VLOOKUP(AB85,'Unit Conversion'!A:B,2,FALSE),"OK","Check W/V mismatch"),"Check unit"))</f>
        <v/>
      </c>
      <c r="AI85" s="8" t="n"/>
    </row>
    <row r="86">
      <c r="A86" s="71" t="n"/>
      <c r="B86" s="71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">
        <f>IF(Y86="","",IFERROR(VLOOKUP(Y86,'Ingredients + Stock'!B:D,3,FALSE),""))</f>
        <v/>
      </c>
      <c r="AC86" s="7">
        <f>IF(Y86="","",IFERROR(VLOOKUP(Y86,'Ingredients + Stock'!B:G,6,FALSE),0))</f>
        <v/>
      </c>
      <c r="AD86" s="7">
        <f>IF(AA86="","",IFERROR(VLOOKUP(AA86,'Unit Conversion'!A:D,4,FALSE),1))</f>
        <v/>
      </c>
      <c r="AE86" s="7">
        <f>IF(AB86="","",IFERROR(VLOOKUP(AB86,'Unit Conversion'!A:D,4,FALSE),1))</f>
        <v/>
      </c>
      <c r="AF86" s="7">
        <f>IF(AA86="","",Z86*AD86/AE86)</f>
        <v/>
      </c>
      <c r="AG86" s="7">
        <f>AF86*AC86</f>
        <v/>
      </c>
      <c r="AH86" s="7">
        <f>IF(AA86="","",IFERROR(IF(VLOOKUP(AA86,'Unit Conversion'!A:B,2,FALSE)=VLOOKUP(AB86,'Unit Conversion'!A:B,2,FALSE),"OK","Check W/V mismatch"),"Check unit"))</f>
        <v/>
      </c>
      <c r="AI86" s="7" t="n"/>
    </row>
    <row r="87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8">
        <f>IF(Y87="","",IFERROR(VLOOKUP(Y87,'Ingredients + Stock'!B:D,3,FALSE),""))</f>
        <v/>
      </c>
      <c r="AC87" s="8">
        <f>IF(Y87="","",IFERROR(VLOOKUP(Y87,'Ingredients + Stock'!B:G,6,FALSE),0))</f>
        <v/>
      </c>
      <c r="AD87" s="8">
        <f>IF(AA87="","",IFERROR(VLOOKUP(AA87,'Unit Conversion'!A:D,4,FALSE),1))</f>
        <v/>
      </c>
      <c r="AE87" s="8">
        <f>IF(AB87="","",IFERROR(VLOOKUP(AB87,'Unit Conversion'!A:D,4,FALSE),1))</f>
        <v/>
      </c>
      <c r="AF87" s="8">
        <f>IF(AA87="","",Z87*AD87/AE87)</f>
        <v/>
      </c>
      <c r="AG87" s="8">
        <f>AF87*AC87</f>
        <v/>
      </c>
      <c r="AH87" s="8">
        <f>IF(AA87="","",IFERROR(IF(VLOOKUP(AA87,'Unit Conversion'!A:B,2,FALSE)=VLOOKUP(AB87,'Unit Conversion'!A:B,2,FALSE),"OK","Check W/V mismatch"),"Check unit"))</f>
        <v/>
      </c>
      <c r="AI87" s="8" t="n"/>
    </row>
    <row r="88">
      <c r="A88" s="71" t="n"/>
      <c r="B88" s="71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">
        <f>IF(Y88="","",IFERROR(VLOOKUP(Y88,'Ingredients + Stock'!B:D,3,FALSE),""))</f>
        <v/>
      </c>
      <c r="AC88" s="7">
        <f>IF(Y88="","",IFERROR(VLOOKUP(Y88,'Ingredients + Stock'!B:G,6,FALSE),0))</f>
        <v/>
      </c>
      <c r="AD88" s="7">
        <f>IF(AA88="","",IFERROR(VLOOKUP(AA88,'Unit Conversion'!A:D,4,FALSE),1))</f>
        <v/>
      </c>
      <c r="AE88" s="7">
        <f>IF(AB88="","",IFERROR(VLOOKUP(AB88,'Unit Conversion'!A:D,4,FALSE),1))</f>
        <v/>
      </c>
      <c r="AF88" s="7">
        <f>IF(AA88="","",Z88*AD88/AE88)</f>
        <v/>
      </c>
      <c r="AG88" s="7">
        <f>AF88*AC88</f>
        <v/>
      </c>
      <c r="AH88" s="7">
        <f>IF(AA88="","",IFERROR(IF(VLOOKUP(AA88,'Unit Conversion'!A:B,2,FALSE)=VLOOKUP(AB88,'Unit Conversion'!A:B,2,FALSE),"OK","Check W/V mismatch"),"Check unit"))</f>
        <v/>
      </c>
      <c r="AI88" s="7" t="n"/>
    </row>
    <row r="8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8">
        <f>IF(Y89="","",IFERROR(VLOOKUP(Y89,'Ingredients + Stock'!B:D,3,FALSE),""))</f>
        <v/>
      </c>
      <c r="AC89" s="8">
        <f>IF(Y89="","",IFERROR(VLOOKUP(Y89,'Ingredients + Stock'!B:G,6,FALSE),0))</f>
        <v/>
      </c>
      <c r="AD89" s="8">
        <f>IF(AA89="","",IFERROR(VLOOKUP(AA89,'Unit Conversion'!A:D,4,FALSE),1))</f>
        <v/>
      </c>
      <c r="AE89" s="8">
        <f>IF(AB89="","",IFERROR(VLOOKUP(AB89,'Unit Conversion'!A:D,4,FALSE),1))</f>
        <v/>
      </c>
      <c r="AF89" s="8">
        <f>IF(AA89="","",Z89*AD89/AE89)</f>
        <v/>
      </c>
      <c r="AG89" s="8">
        <f>AF89*AC89</f>
        <v/>
      </c>
      <c r="AH89" s="8">
        <f>IF(AA89="","",IFERROR(IF(VLOOKUP(AA89,'Unit Conversion'!A:B,2,FALSE)=VLOOKUP(AB89,'Unit Conversion'!A:B,2,FALSE),"OK","Check W/V mismatch"),"Check unit"))</f>
        <v/>
      </c>
      <c r="AI89" s="8" t="n"/>
    </row>
    <row r="90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">
        <f>IF(Y90="","",IFERROR(VLOOKUP(Y90,'Ingredients + Stock'!B:D,3,FALSE),""))</f>
        <v/>
      </c>
      <c r="AC90" s="7">
        <f>IF(Y90="","",IFERROR(VLOOKUP(Y90,'Ingredients + Stock'!B:G,6,FALSE),0))</f>
        <v/>
      </c>
      <c r="AD90" s="7">
        <f>IF(AA90="","",IFERROR(VLOOKUP(AA90,'Unit Conversion'!A:D,4,FALSE),1))</f>
        <v/>
      </c>
      <c r="AE90" s="7">
        <f>IF(AB90="","",IFERROR(VLOOKUP(AB90,'Unit Conversion'!A:D,4,FALSE),1))</f>
        <v/>
      </c>
      <c r="AF90" s="7">
        <f>IF(AA90="","",Z90*AD90/AE90)</f>
        <v/>
      </c>
      <c r="AG90" s="7">
        <f>AF90*AC90</f>
        <v/>
      </c>
      <c r="AH90" s="7">
        <f>IF(AA90="","",IFERROR(IF(VLOOKUP(AA90,'Unit Conversion'!A:B,2,FALSE)=VLOOKUP(AB90,'Unit Conversion'!A:B,2,FALSE),"OK","Check W/V mismatch"),"Check unit"))</f>
        <v/>
      </c>
      <c r="AI90" s="7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8">
        <f>IF(Y91="","",IFERROR(VLOOKUP(Y91,'Ingredients + Stock'!B:D,3,FALSE),""))</f>
        <v/>
      </c>
      <c r="AC91" s="8">
        <f>IF(Y91="","",IFERROR(VLOOKUP(Y91,'Ingredients + Stock'!B:G,6,FALSE),0))</f>
        <v/>
      </c>
      <c r="AD91" s="8">
        <f>IF(AA91="","",IFERROR(VLOOKUP(AA91,'Unit Conversion'!A:D,4,FALSE),1))</f>
        <v/>
      </c>
      <c r="AE91" s="8">
        <f>IF(AB91="","",IFERROR(VLOOKUP(AB91,'Unit Conversion'!A:D,4,FALSE),1))</f>
        <v/>
      </c>
      <c r="AF91" s="8">
        <f>IF(AA91="","",Z91*AD91/AE91)</f>
        <v/>
      </c>
      <c r="AG91" s="8">
        <f>AF91*AC91</f>
        <v/>
      </c>
      <c r="AH91" s="8">
        <f>IF(AA91="","",IFERROR(IF(VLOOKUP(AA91,'Unit Conversion'!A:B,2,FALSE)=VLOOKUP(AB91,'Unit Conversion'!A:B,2,FALSE),"OK","Check W/V mismatch"),"Check unit"))</f>
        <v/>
      </c>
      <c r="AI91" s="8" t="n"/>
    </row>
    <row r="92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">
        <f>IF(Y92="","",IFERROR(VLOOKUP(Y92,'Ingredients + Stock'!B:D,3,FALSE),""))</f>
        <v/>
      </c>
      <c r="AC92" s="7">
        <f>IF(Y92="","",IFERROR(VLOOKUP(Y92,'Ingredients + Stock'!B:G,6,FALSE),0))</f>
        <v/>
      </c>
      <c r="AD92" s="7">
        <f>IF(AA92="","",IFERROR(VLOOKUP(AA92,'Unit Conversion'!A:D,4,FALSE),1))</f>
        <v/>
      </c>
      <c r="AE92" s="7">
        <f>IF(AB92="","",IFERROR(VLOOKUP(AB92,'Unit Conversion'!A:D,4,FALSE),1))</f>
        <v/>
      </c>
      <c r="AF92" s="7">
        <f>IF(AA92="","",Z92*AD92/AE92)</f>
        <v/>
      </c>
      <c r="AG92" s="7">
        <f>AF92*AC92</f>
        <v/>
      </c>
      <c r="AH92" s="7">
        <f>IF(AA92="","",IFERROR(IF(VLOOKUP(AA92,'Unit Conversion'!A:B,2,FALSE)=VLOOKUP(AB92,'Unit Conversion'!A:B,2,FALSE),"OK","Check W/V mismatch"),"Check unit"))</f>
        <v/>
      </c>
      <c r="AI92" s="7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8">
        <f>IF(Y93="","",IFERROR(VLOOKUP(Y93,'Ingredients + Stock'!B:D,3,FALSE),""))</f>
        <v/>
      </c>
      <c r="AC93" s="8">
        <f>IF(Y93="","",IFERROR(VLOOKUP(Y93,'Ingredients + Stock'!B:G,6,FALSE),0))</f>
        <v/>
      </c>
      <c r="AD93" s="8">
        <f>IF(AA93="","",IFERROR(VLOOKUP(AA93,'Unit Conversion'!A:D,4,FALSE),1))</f>
        <v/>
      </c>
      <c r="AE93" s="8">
        <f>IF(AB93="","",IFERROR(VLOOKUP(AB93,'Unit Conversion'!A:D,4,FALSE),1))</f>
        <v/>
      </c>
      <c r="AF93" s="8">
        <f>IF(AA93="","",Z93*AD93/AE93)</f>
        <v/>
      </c>
      <c r="AG93" s="8">
        <f>AF93*AC93</f>
        <v/>
      </c>
      <c r="AH93" s="8">
        <f>IF(AA93="","",IFERROR(IF(VLOOKUP(AA93,'Unit Conversion'!A:B,2,FALSE)=VLOOKUP(AB93,'Unit Conversion'!A:B,2,FALSE),"OK","Check W/V mismatch"),"Check unit"))</f>
        <v/>
      </c>
      <c r="AI93" s="8" t="n"/>
    </row>
    <row r="94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">
        <f>IF(Y94="","",IFERROR(VLOOKUP(Y94,'Ingredients + Stock'!B:D,3,FALSE),""))</f>
        <v/>
      </c>
      <c r="AC94" s="7">
        <f>IF(Y94="","",IFERROR(VLOOKUP(Y94,'Ingredients + Stock'!B:G,6,FALSE),0))</f>
        <v/>
      </c>
      <c r="AD94" s="7">
        <f>IF(AA94="","",IFERROR(VLOOKUP(AA94,'Unit Conversion'!A:D,4,FALSE),1))</f>
        <v/>
      </c>
      <c r="AE94" s="7">
        <f>IF(AB94="","",IFERROR(VLOOKUP(AB94,'Unit Conversion'!A:D,4,FALSE),1))</f>
        <v/>
      </c>
      <c r="AF94" s="7">
        <f>IF(AA94="","",Z94*AD94/AE94)</f>
        <v/>
      </c>
      <c r="AG94" s="7">
        <f>AF94*AC94</f>
        <v/>
      </c>
      <c r="AH94" s="7">
        <f>IF(AA94="","",IFERROR(IF(VLOOKUP(AA94,'Unit Conversion'!A:B,2,FALSE)=VLOOKUP(AB94,'Unit Conversion'!A:B,2,FALSE),"OK","Check W/V mismatch"),"Check unit"))</f>
        <v/>
      </c>
      <c r="AI94" s="7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8">
        <f>IF(Y95="","",IFERROR(VLOOKUP(Y95,'Ingredients + Stock'!B:D,3,FALSE),""))</f>
        <v/>
      </c>
      <c r="AC95" s="8">
        <f>IF(Y95="","",IFERROR(VLOOKUP(Y95,'Ingredients + Stock'!B:G,6,FALSE),0))</f>
        <v/>
      </c>
      <c r="AD95" s="8">
        <f>IF(AA95="","",IFERROR(VLOOKUP(AA95,'Unit Conversion'!A:D,4,FALSE),1))</f>
        <v/>
      </c>
      <c r="AE95" s="8">
        <f>IF(AB95="","",IFERROR(VLOOKUP(AB95,'Unit Conversion'!A:D,4,FALSE),1))</f>
        <v/>
      </c>
      <c r="AF95" s="8">
        <f>IF(AA95="","",Z95*AD95/AE95)</f>
        <v/>
      </c>
      <c r="AG95" s="8">
        <f>AF95*AC95</f>
        <v/>
      </c>
      <c r="AH95" s="8">
        <f>IF(AA95="","",IFERROR(IF(VLOOKUP(AA95,'Unit Conversion'!A:B,2,FALSE)=VLOOKUP(AB95,'Unit Conversion'!A:B,2,FALSE),"OK","Check W/V mismatch"),"Check unit"))</f>
        <v/>
      </c>
      <c r="AI95" s="8" t="n"/>
    </row>
    <row r="96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">
        <f>IF(Y96="","",IFERROR(VLOOKUP(Y96,'Ingredients + Stock'!B:D,3,FALSE),""))</f>
        <v/>
      </c>
      <c r="AC96" s="7">
        <f>IF(Y96="","",IFERROR(VLOOKUP(Y96,'Ingredients + Stock'!B:G,6,FALSE),0))</f>
        <v/>
      </c>
      <c r="AD96" s="7">
        <f>IF(AA96="","",IFERROR(VLOOKUP(AA96,'Unit Conversion'!A:D,4,FALSE),1))</f>
        <v/>
      </c>
      <c r="AE96" s="7">
        <f>IF(AB96="","",IFERROR(VLOOKUP(AB96,'Unit Conversion'!A:D,4,FALSE),1))</f>
        <v/>
      </c>
      <c r="AF96" s="7">
        <f>IF(AA96="","",Z96*AD96/AE96)</f>
        <v/>
      </c>
      <c r="AG96" s="7">
        <f>AF96*AC96</f>
        <v/>
      </c>
      <c r="AH96" s="7">
        <f>IF(AA96="","",IFERROR(IF(VLOOKUP(AA96,'Unit Conversion'!A:B,2,FALSE)=VLOOKUP(AB96,'Unit Conversion'!A:B,2,FALSE),"OK","Check W/V mismatch"),"Check unit"))</f>
        <v/>
      </c>
      <c r="AI96" s="7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8">
        <f>IF(Y97="","",IFERROR(VLOOKUP(Y97,'Ingredients + Stock'!B:D,3,FALSE),""))</f>
        <v/>
      </c>
      <c r="AC97" s="8">
        <f>IF(Y97="","",IFERROR(VLOOKUP(Y97,'Ingredients + Stock'!B:G,6,FALSE),0))</f>
        <v/>
      </c>
      <c r="AD97" s="8">
        <f>IF(AA97="","",IFERROR(VLOOKUP(AA97,'Unit Conversion'!A:D,4,FALSE),1))</f>
        <v/>
      </c>
      <c r="AE97" s="8">
        <f>IF(AB97="","",IFERROR(VLOOKUP(AB97,'Unit Conversion'!A:D,4,FALSE),1))</f>
        <v/>
      </c>
      <c r="AF97" s="8">
        <f>IF(AA97="","",Z97*AD97/AE97)</f>
        <v/>
      </c>
      <c r="AG97" s="8">
        <f>AF97*AC97</f>
        <v/>
      </c>
      <c r="AH97" s="8">
        <f>IF(AA97="","",IFERROR(IF(VLOOKUP(AA97,'Unit Conversion'!A:B,2,FALSE)=VLOOKUP(AB97,'Unit Conversion'!A:B,2,FALSE),"OK","Check W/V mismatch"),"Check unit"))</f>
        <v/>
      </c>
      <c r="AI97" s="8" t="n"/>
    </row>
    <row r="98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">
        <f>IF(Y98="","",IFERROR(VLOOKUP(Y98,'Ingredients + Stock'!B:D,3,FALSE),""))</f>
        <v/>
      </c>
      <c r="AC98" s="7">
        <f>IF(Y98="","",IFERROR(VLOOKUP(Y98,'Ingredients + Stock'!B:G,6,FALSE),0))</f>
        <v/>
      </c>
      <c r="AD98" s="7">
        <f>IF(AA98="","",IFERROR(VLOOKUP(AA98,'Unit Conversion'!A:D,4,FALSE),1))</f>
        <v/>
      </c>
      <c r="AE98" s="7">
        <f>IF(AB98="","",IFERROR(VLOOKUP(AB98,'Unit Conversion'!A:D,4,FALSE),1))</f>
        <v/>
      </c>
      <c r="AF98" s="7">
        <f>IF(AA98="","",Z98*AD98/AE98)</f>
        <v/>
      </c>
      <c r="AG98" s="7">
        <f>AF98*AC98</f>
        <v/>
      </c>
      <c r="AH98" s="7">
        <f>IF(AA98="","",IFERROR(IF(VLOOKUP(AA98,'Unit Conversion'!A:B,2,FALSE)=VLOOKUP(AB98,'Unit Conversion'!A:B,2,FALSE),"OK","Check W/V mismatch"),"Check unit"))</f>
        <v/>
      </c>
      <c r="AI98" s="7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8">
        <f>IF(Y99="","",IFERROR(VLOOKUP(Y99,'Ingredients + Stock'!B:D,3,FALSE),""))</f>
        <v/>
      </c>
      <c r="AC99" s="8">
        <f>IF(Y99="","",IFERROR(VLOOKUP(Y99,'Ingredients + Stock'!B:G,6,FALSE),0))</f>
        <v/>
      </c>
      <c r="AD99" s="8">
        <f>IF(AA99="","",IFERROR(VLOOKUP(AA99,'Unit Conversion'!A:D,4,FALSE),1))</f>
        <v/>
      </c>
      <c r="AE99" s="8">
        <f>IF(AB99="","",IFERROR(VLOOKUP(AB99,'Unit Conversion'!A:D,4,FALSE),1))</f>
        <v/>
      </c>
      <c r="AF99" s="8">
        <f>IF(AA99="","",Z99*AD99/AE99)</f>
        <v/>
      </c>
      <c r="AG99" s="8">
        <f>AF99*AC99</f>
        <v/>
      </c>
      <c r="AH99" s="8">
        <f>IF(AA99="","",IFERROR(IF(VLOOKUP(AA99,'Unit Conversion'!A:B,2,FALSE)=VLOOKUP(AB99,'Unit Conversion'!A:B,2,FALSE),"OK","Check W/V mismatch"),"Check unit"))</f>
        <v/>
      </c>
      <c r="AI99" s="8" t="n"/>
    </row>
    <row r="100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">
        <f>IF(Y100="","",IFERROR(VLOOKUP(Y100,'Ingredients + Stock'!B:D,3,FALSE),""))</f>
        <v/>
      </c>
      <c r="AC100" s="7">
        <f>IF(Y100="","",IFERROR(VLOOKUP(Y100,'Ingredients + Stock'!B:G,6,FALSE),0))</f>
        <v/>
      </c>
      <c r="AD100" s="7">
        <f>IF(AA100="","",IFERROR(VLOOKUP(AA100,'Unit Conversion'!A:D,4,FALSE),1))</f>
        <v/>
      </c>
      <c r="AE100" s="7">
        <f>IF(AB100="","",IFERROR(VLOOKUP(AB100,'Unit Conversion'!A:D,4,FALSE),1))</f>
        <v/>
      </c>
      <c r="AF100" s="7">
        <f>IF(AA100="","",Z100*AD100/AE100)</f>
        <v/>
      </c>
      <c r="AG100" s="7">
        <f>AF100*AC100</f>
        <v/>
      </c>
      <c r="AH100" s="7">
        <f>IF(AA100="","",IFERROR(IF(VLOOKUP(AA100,'Unit Conversion'!A:B,2,FALSE)=VLOOKUP(AB100,'Unit Conversion'!A:B,2,FALSE),"OK","Check W/V mismatch"),"Check unit"))</f>
        <v/>
      </c>
      <c r="AI100" s="7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8">
        <f>IF(Y101="","",IFERROR(VLOOKUP(Y101,'Ingredients + Stock'!B:D,3,FALSE),""))</f>
        <v/>
      </c>
      <c r="AC101" s="8">
        <f>IF(Y101="","",IFERROR(VLOOKUP(Y101,'Ingredients + Stock'!B:G,6,FALSE),0))</f>
        <v/>
      </c>
      <c r="AD101" s="8">
        <f>IF(AA101="","",IFERROR(VLOOKUP(AA101,'Unit Conversion'!A:D,4,FALSE),1))</f>
        <v/>
      </c>
      <c r="AE101" s="8">
        <f>IF(AB101="","",IFERROR(VLOOKUP(AB101,'Unit Conversion'!A:D,4,FALSE),1))</f>
        <v/>
      </c>
      <c r="AF101" s="8">
        <f>IF(AA101="","",Z101*AD101/AE101)</f>
        <v/>
      </c>
      <c r="AG101" s="8">
        <f>AF101*AC101</f>
        <v/>
      </c>
      <c r="AH101" s="8">
        <f>IF(AA101="","",IFERROR(IF(VLOOKUP(AA101,'Unit Conversion'!A:B,2,FALSE)=VLOOKUP(AB101,'Unit Conversion'!A:B,2,FALSE),"OK","Check W/V mismatch"),"Check unit"))</f>
        <v/>
      </c>
      <c r="AI101" s="8" t="n"/>
    </row>
    <row r="102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">
        <f>IF(Y102="","",IFERROR(VLOOKUP(Y102,'Ingredients + Stock'!B:D,3,FALSE),""))</f>
        <v/>
      </c>
      <c r="AC102" s="7">
        <f>IF(Y102="","",IFERROR(VLOOKUP(Y102,'Ingredients + Stock'!B:G,6,FALSE),0))</f>
        <v/>
      </c>
      <c r="AD102" s="7">
        <f>IF(AA102="","",IFERROR(VLOOKUP(AA102,'Unit Conversion'!A:D,4,FALSE),1))</f>
        <v/>
      </c>
      <c r="AE102" s="7">
        <f>IF(AB102="","",IFERROR(VLOOKUP(AB102,'Unit Conversion'!A:D,4,FALSE),1))</f>
        <v/>
      </c>
      <c r="AF102" s="7">
        <f>IF(AA102="","",Z102*AD102/AE102)</f>
        <v/>
      </c>
      <c r="AG102" s="7">
        <f>AF102*AC102</f>
        <v/>
      </c>
      <c r="AH102" s="7">
        <f>IF(AA102="","",IFERROR(IF(VLOOKUP(AA102,'Unit Conversion'!A:B,2,FALSE)=VLOOKUP(AB102,'Unit Conversion'!A:B,2,FALSE),"OK","Check W/V mismatch"),"Check unit"))</f>
        <v/>
      </c>
      <c r="AI102" s="7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8">
        <f>IF(Y103="","",IFERROR(VLOOKUP(Y103,'Ingredients + Stock'!B:D,3,FALSE),""))</f>
        <v/>
      </c>
      <c r="AC103" s="8">
        <f>IF(Y103="","",IFERROR(VLOOKUP(Y103,'Ingredients + Stock'!B:G,6,FALSE),0))</f>
        <v/>
      </c>
      <c r="AD103" s="8">
        <f>IF(AA103="","",IFERROR(VLOOKUP(AA103,'Unit Conversion'!A:D,4,FALSE),1))</f>
        <v/>
      </c>
      <c r="AE103" s="8">
        <f>IF(AB103="","",IFERROR(VLOOKUP(AB103,'Unit Conversion'!A:D,4,FALSE),1))</f>
        <v/>
      </c>
      <c r="AF103" s="8">
        <f>IF(AA103="","",Z103*AD103/AE103)</f>
        <v/>
      </c>
      <c r="AG103" s="8">
        <f>AF103*AC103</f>
        <v/>
      </c>
      <c r="AH103" s="8">
        <f>IF(AA103="","",IFERROR(IF(VLOOKUP(AA103,'Unit Conversion'!A:B,2,FALSE)=VLOOKUP(AB103,'Unit Conversion'!A:B,2,FALSE),"OK","Check W/V mismatch"),"Check unit"))</f>
        <v/>
      </c>
      <c r="AI103" s="8" t="n"/>
    </row>
    <row r="104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">
        <f>IF(Y104="","",IFERROR(VLOOKUP(Y104,'Ingredients + Stock'!B:D,3,FALSE),""))</f>
        <v/>
      </c>
      <c r="AC104" s="7">
        <f>IF(Y104="","",IFERROR(VLOOKUP(Y104,'Ingredients + Stock'!B:G,6,FALSE),0))</f>
        <v/>
      </c>
      <c r="AD104" s="7">
        <f>IF(AA104="","",IFERROR(VLOOKUP(AA104,'Unit Conversion'!A:D,4,FALSE),1))</f>
        <v/>
      </c>
      <c r="AE104" s="7">
        <f>IF(AB104="","",IFERROR(VLOOKUP(AB104,'Unit Conversion'!A:D,4,FALSE),1))</f>
        <v/>
      </c>
      <c r="AF104" s="7">
        <f>IF(AA104="","",Z104*AD104/AE104)</f>
        <v/>
      </c>
      <c r="AG104" s="7">
        <f>AF104*AC104</f>
        <v/>
      </c>
      <c r="AH104" s="7">
        <f>IF(AA104="","",IFERROR(IF(VLOOKUP(AA104,'Unit Conversion'!A:B,2,FALSE)=VLOOKUP(AB104,'Unit Conversion'!A:B,2,FALSE),"OK","Check W/V mismatch"),"Check unit"))</f>
        <v/>
      </c>
      <c r="AI104" s="7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  <c r="AA105" s="72" t="n"/>
      <c r="AB105" s="8">
        <f>IF(Y105="","",IFERROR(VLOOKUP(Y105,'Ingredients + Stock'!B:D,3,FALSE),""))</f>
        <v/>
      </c>
      <c r="AC105" s="8">
        <f>IF(Y105="","",IFERROR(VLOOKUP(Y105,'Ingredients + Stock'!B:G,6,FALSE),0))</f>
        <v/>
      </c>
      <c r="AD105" s="8">
        <f>IF(AA105="","",IFERROR(VLOOKUP(AA105,'Unit Conversion'!A:D,4,FALSE),1))</f>
        <v/>
      </c>
      <c r="AE105" s="8">
        <f>IF(AB105="","",IFERROR(VLOOKUP(AB105,'Unit Conversion'!A:D,4,FALSE),1))</f>
        <v/>
      </c>
      <c r="AF105" s="8">
        <f>IF(AA105="","",Z105*AD105/AE105)</f>
        <v/>
      </c>
      <c r="AG105" s="8">
        <f>AF105*AC105</f>
        <v/>
      </c>
      <c r="AH105" s="8">
        <f>IF(AA105="","",IFERROR(IF(VLOOKUP(AA105,'Unit Conversion'!A:B,2,FALSE)=VLOOKUP(AB105,'Unit Conversion'!A:B,2,FALSE),"OK","Check W/V mismatch"),"Check unit"))</f>
        <v/>
      </c>
      <c r="AI105" s="8" t="n"/>
    </row>
    <row r="106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">
        <f>IF(Y106="","",IFERROR(VLOOKUP(Y106,'Ingredients + Stock'!B:D,3,FALSE),""))</f>
        <v/>
      </c>
      <c r="AC106" s="7">
        <f>IF(Y106="","",IFERROR(VLOOKUP(Y106,'Ingredients + Stock'!B:G,6,FALSE),0))</f>
        <v/>
      </c>
      <c r="AD106" s="7">
        <f>IF(AA106="","",IFERROR(VLOOKUP(AA106,'Unit Conversion'!A:D,4,FALSE),1))</f>
        <v/>
      </c>
      <c r="AE106" s="7">
        <f>IF(AB106="","",IFERROR(VLOOKUP(AB106,'Unit Conversion'!A:D,4,FALSE),1))</f>
        <v/>
      </c>
      <c r="AF106" s="7">
        <f>IF(AA106="","",Z106*AD106/AE106)</f>
        <v/>
      </c>
      <c r="AG106" s="7">
        <f>AF106*AC106</f>
        <v/>
      </c>
      <c r="AH106" s="7">
        <f>IF(AA106="","",IFERROR(IF(VLOOKUP(AA106,'Unit Conversion'!A:B,2,FALSE)=VLOOKUP(AB106,'Unit Conversion'!A:B,2,FALSE),"OK","Check W/V mismatch"),"Check unit"))</f>
        <v/>
      </c>
      <c r="AI106" s="7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8">
        <f>IF(Y107="","",IFERROR(VLOOKUP(Y107,'Ingredients + Stock'!B:D,3,FALSE),""))</f>
        <v/>
      </c>
      <c r="AC107" s="8">
        <f>IF(Y107="","",IFERROR(VLOOKUP(Y107,'Ingredients + Stock'!B:G,6,FALSE),0))</f>
        <v/>
      </c>
      <c r="AD107" s="8">
        <f>IF(AA107="","",IFERROR(VLOOKUP(AA107,'Unit Conversion'!A:D,4,FALSE),1))</f>
        <v/>
      </c>
      <c r="AE107" s="8">
        <f>IF(AB107="","",IFERROR(VLOOKUP(AB107,'Unit Conversion'!A:D,4,FALSE),1))</f>
        <v/>
      </c>
      <c r="AF107" s="8">
        <f>IF(AA107="","",Z107*AD107/AE107)</f>
        <v/>
      </c>
      <c r="AG107" s="8">
        <f>AF107*AC107</f>
        <v/>
      </c>
      <c r="AH107" s="8">
        <f>IF(AA107="","",IFERROR(IF(VLOOKUP(AA107,'Unit Conversion'!A:B,2,FALSE)=VLOOKUP(AB107,'Unit Conversion'!A:B,2,FALSE),"OK","Check W/V mismatch"),"Check unit"))</f>
        <v/>
      </c>
      <c r="AI107" s="8" t="n"/>
    </row>
    <row r="108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">
        <f>IF(Y108="","",IFERROR(VLOOKUP(Y108,'Ingredients + Stock'!B:D,3,FALSE),""))</f>
        <v/>
      </c>
      <c r="AC108" s="7">
        <f>IF(Y108="","",IFERROR(VLOOKUP(Y108,'Ingredients + Stock'!B:G,6,FALSE),0))</f>
        <v/>
      </c>
      <c r="AD108" s="7">
        <f>IF(AA108="","",IFERROR(VLOOKUP(AA108,'Unit Conversion'!A:D,4,FALSE),1))</f>
        <v/>
      </c>
      <c r="AE108" s="7">
        <f>IF(AB108="","",IFERROR(VLOOKUP(AB108,'Unit Conversion'!A:D,4,FALSE),1))</f>
        <v/>
      </c>
      <c r="AF108" s="7">
        <f>IF(AA108="","",Z108*AD108/AE108)</f>
        <v/>
      </c>
      <c r="AG108" s="7">
        <f>AF108*AC108</f>
        <v/>
      </c>
      <c r="AH108" s="7">
        <f>IF(AA108="","",IFERROR(IF(VLOOKUP(AA108,'Unit Conversion'!A:B,2,FALSE)=VLOOKUP(AB108,'Unit Conversion'!A:B,2,FALSE),"OK","Check W/V mismatch"),"Check unit"))</f>
        <v/>
      </c>
      <c r="AI108" s="7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8">
        <f>IF(Y109="","",IFERROR(VLOOKUP(Y109,'Ingredients + Stock'!B:D,3,FALSE),""))</f>
        <v/>
      </c>
      <c r="AC109" s="8">
        <f>IF(Y109="","",IFERROR(VLOOKUP(Y109,'Ingredients + Stock'!B:G,6,FALSE),0))</f>
        <v/>
      </c>
      <c r="AD109" s="8">
        <f>IF(AA109="","",IFERROR(VLOOKUP(AA109,'Unit Conversion'!A:D,4,FALSE),1))</f>
        <v/>
      </c>
      <c r="AE109" s="8">
        <f>IF(AB109="","",IFERROR(VLOOKUP(AB109,'Unit Conversion'!A:D,4,FALSE),1))</f>
        <v/>
      </c>
      <c r="AF109" s="8">
        <f>IF(AA109="","",Z109*AD109/AE109)</f>
        <v/>
      </c>
      <c r="AG109" s="8">
        <f>AF109*AC109</f>
        <v/>
      </c>
      <c r="AH109" s="8">
        <f>IF(AA109="","",IFERROR(IF(VLOOKUP(AA109,'Unit Conversion'!A:B,2,FALSE)=VLOOKUP(AB109,'Unit Conversion'!A:B,2,FALSE),"OK","Check W/V mismatch"),"Check unit"))</f>
        <v/>
      </c>
      <c r="AI109" s="8" t="n"/>
    </row>
    <row r="110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">
        <f>IF(Y110="","",IFERROR(VLOOKUP(Y110,'Ingredients + Stock'!B:D,3,FALSE),""))</f>
        <v/>
      </c>
      <c r="AC110" s="7">
        <f>IF(Y110="","",IFERROR(VLOOKUP(Y110,'Ingredients + Stock'!B:G,6,FALSE),0))</f>
        <v/>
      </c>
      <c r="AD110" s="7">
        <f>IF(AA110="","",IFERROR(VLOOKUP(AA110,'Unit Conversion'!A:D,4,FALSE),1))</f>
        <v/>
      </c>
      <c r="AE110" s="7">
        <f>IF(AB110="","",IFERROR(VLOOKUP(AB110,'Unit Conversion'!A:D,4,FALSE),1))</f>
        <v/>
      </c>
      <c r="AF110" s="7">
        <f>IF(AA110="","",Z110*AD110/AE110)</f>
        <v/>
      </c>
      <c r="AG110" s="7">
        <f>AF110*AC110</f>
        <v/>
      </c>
      <c r="AH110" s="7">
        <f>IF(AA110="","",IFERROR(IF(VLOOKUP(AA110,'Unit Conversion'!A:B,2,FALSE)=VLOOKUP(AB110,'Unit Conversion'!A:B,2,FALSE),"OK","Check W/V mismatch"),"Check unit"))</f>
        <v/>
      </c>
      <c r="AI110" s="7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8">
        <f>IF(Y111="","",IFERROR(VLOOKUP(Y111,'Ingredients + Stock'!B:D,3,FALSE),""))</f>
        <v/>
      </c>
      <c r="AC111" s="8">
        <f>IF(Y111="","",IFERROR(VLOOKUP(Y111,'Ingredients + Stock'!B:G,6,FALSE),0))</f>
        <v/>
      </c>
      <c r="AD111" s="8">
        <f>IF(AA111="","",IFERROR(VLOOKUP(AA111,'Unit Conversion'!A:D,4,FALSE),1))</f>
        <v/>
      </c>
      <c r="AE111" s="8">
        <f>IF(AB111="","",IFERROR(VLOOKUP(AB111,'Unit Conversion'!A:D,4,FALSE),1))</f>
        <v/>
      </c>
      <c r="AF111" s="8">
        <f>IF(AA111="","",Z111*AD111/AE111)</f>
        <v/>
      </c>
      <c r="AG111" s="8">
        <f>AF111*AC111</f>
        <v/>
      </c>
      <c r="AH111" s="8">
        <f>IF(AA111="","",IFERROR(IF(VLOOKUP(AA111,'Unit Conversion'!A:B,2,FALSE)=VLOOKUP(AB111,'Unit Conversion'!A:B,2,FALSE),"OK","Check W/V mismatch"),"Check unit"))</f>
        <v/>
      </c>
      <c r="AI111" s="8" t="n"/>
    </row>
    <row r="112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  <c r="Z112" s="71" t="n"/>
      <c r="AA112" s="71" t="n"/>
      <c r="AB112" s="7">
        <f>IF(Y112="","",IFERROR(VLOOKUP(Y112,'Ingredients + Stock'!B:D,3,FALSE),""))</f>
        <v/>
      </c>
      <c r="AC112" s="7">
        <f>IF(Y112="","",IFERROR(VLOOKUP(Y112,'Ingredients + Stock'!B:G,6,FALSE),0))</f>
        <v/>
      </c>
      <c r="AD112" s="7">
        <f>IF(AA112="","",IFERROR(VLOOKUP(AA112,'Unit Conversion'!A:D,4,FALSE),1))</f>
        <v/>
      </c>
      <c r="AE112" s="7">
        <f>IF(AB112="","",IFERROR(VLOOKUP(AB112,'Unit Conversion'!A:D,4,FALSE),1))</f>
        <v/>
      </c>
      <c r="AF112" s="7">
        <f>IF(AA112="","",Z112*AD112/AE112)</f>
        <v/>
      </c>
      <c r="AG112" s="7">
        <f>AF112*AC112</f>
        <v/>
      </c>
      <c r="AH112" s="7">
        <f>IF(AA112="","",IFERROR(IF(VLOOKUP(AA112,'Unit Conversion'!A:B,2,FALSE)=VLOOKUP(AB112,'Unit Conversion'!A:B,2,FALSE),"OK","Check W/V mismatch"),"Check unit"))</f>
        <v/>
      </c>
      <c r="AI112" s="7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8">
        <f>IF(Y113="","",IFERROR(VLOOKUP(Y113,'Ingredients + Stock'!B:D,3,FALSE),""))</f>
        <v/>
      </c>
      <c r="AC113" s="8">
        <f>IF(Y113="","",IFERROR(VLOOKUP(Y113,'Ingredients + Stock'!B:G,6,FALSE),0))</f>
        <v/>
      </c>
      <c r="AD113" s="8">
        <f>IF(AA113="","",IFERROR(VLOOKUP(AA113,'Unit Conversion'!A:D,4,FALSE),1))</f>
        <v/>
      </c>
      <c r="AE113" s="8">
        <f>IF(AB113="","",IFERROR(VLOOKUP(AB113,'Unit Conversion'!A:D,4,FALSE),1))</f>
        <v/>
      </c>
      <c r="AF113" s="8">
        <f>IF(AA113="","",Z113*AD113/AE113)</f>
        <v/>
      </c>
      <c r="AG113" s="8">
        <f>AF113*AC113</f>
        <v/>
      </c>
      <c r="AH113" s="8">
        <f>IF(AA113="","",IFERROR(IF(VLOOKUP(AA113,'Unit Conversion'!A:B,2,FALSE)=VLOOKUP(AB113,'Unit Conversion'!A:B,2,FALSE),"OK","Check W/V mismatch"),"Check unit"))</f>
        <v/>
      </c>
      <c r="AI113" s="8" t="n"/>
    </row>
    <row r="114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">
        <f>IF(Y114="","",IFERROR(VLOOKUP(Y114,'Ingredients + Stock'!B:D,3,FALSE),""))</f>
        <v/>
      </c>
      <c r="AC114" s="7">
        <f>IF(Y114="","",IFERROR(VLOOKUP(Y114,'Ingredients + Stock'!B:G,6,FALSE),0))</f>
        <v/>
      </c>
      <c r="AD114" s="7">
        <f>IF(AA114="","",IFERROR(VLOOKUP(AA114,'Unit Conversion'!A:D,4,FALSE),1))</f>
        <v/>
      </c>
      <c r="AE114" s="7">
        <f>IF(AB114="","",IFERROR(VLOOKUP(AB114,'Unit Conversion'!A:D,4,FALSE),1))</f>
        <v/>
      </c>
      <c r="AF114" s="7">
        <f>IF(AA114="","",Z114*AD114/AE114)</f>
        <v/>
      </c>
      <c r="AG114" s="7">
        <f>AF114*AC114</f>
        <v/>
      </c>
      <c r="AH114" s="7">
        <f>IF(AA114="","",IFERROR(IF(VLOOKUP(AA114,'Unit Conversion'!A:B,2,FALSE)=VLOOKUP(AB114,'Unit Conversion'!A:B,2,FALSE),"OK","Check W/V mismatch"),"Check unit"))</f>
        <v/>
      </c>
      <c r="AI114" s="7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  <c r="AA115" s="72" t="n"/>
      <c r="AB115" s="8">
        <f>IF(Y115="","",IFERROR(VLOOKUP(Y115,'Ingredients + Stock'!B:D,3,FALSE),""))</f>
        <v/>
      </c>
      <c r="AC115" s="8">
        <f>IF(Y115="","",IFERROR(VLOOKUP(Y115,'Ingredients + Stock'!B:G,6,FALSE),0))</f>
        <v/>
      </c>
      <c r="AD115" s="8">
        <f>IF(AA115="","",IFERROR(VLOOKUP(AA115,'Unit Conversion'!A:D,4,FALSE),1))</f>
        <v/>
      </c>
      <c r="AE115" s="8">
        <f>IF(AB115="","",IFERROR(VLOOKUP(AB115,'Unit Conversion'!A:D,4,FALSE),1))</f>
        <v/>
      </c>
      <c r="AF115" s="8">
        <f>IF(AA115="","",Z115*AD115/AE115)</f>
        <v/>
      </c>
      <c r="AG115" s="8">
        <f>AF115*AC115</f>
        <v/>
      </c>
      <c r="AH115" s="8">
        <f>IF(AA115="","",IFERROR(IF(VLOOKUP(AA115,'Unit Conversion'!A:B,2,FALSE)=VLOOKUP(AB115,'Unit Conversion'!A:B,2,FALSE),"OK","Check W/V mismatch"),"Check unit"))</f>
        <v/>
      </c>
      <c r="AI115" s="8" t="n"/>
    </row>
    <row r="116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">
        <f>IF(Y116="","",IFERROR(VLOOKUP(Y116,'Ingredients + Stock'!B:D,3,FALSE),""))</f>
        <v/>
      </c>
      <c r="AC116" s="7">
        <f>IF(Y116="","",IFERROR(VLOOKUP(Y116,'Ingredients + Stock'!B:G,6,FALSE),0))</f>
        <v/>
      </c>
      <c r="AD116" s="7">
        <f>IF(AA116="","",IFERROR(VLOOKUP(AA116,'Unit Conversion'!A:D,4,FALSE),1))</f>
        <v/>
      </c>
      <c r="AE116" s="7">
        <f>IF(AB116="","",IFERROR(VLOOKUP(AB116,'Unit Conversion'!A:D,4,FALSE),1))</f>
        <v/>
      </c>
      <c r="AF116" s="7">
        <f>IF(AA116="","",Z116*AD116/AE116)</f>
        <v/>
      </c>
      <c r="AG116" s="7">
        <f>AF116*AC116</f>
        <v/>
      </c>
      <c r="AH116" s="7">
        <f>IF(AA116="","",IFERROR(IF(VLOOKUP(AA116,'Unit Conversion'!A:B,2,FALSE)=VLOOKUP(AB116,'Unit Conversion'!A:B,2,FALSE),"OK","Check W/V mismatch"),"Check unit"))</f>
        <v/>
      </c>
      <c r="AI116" s="7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  <c r="AA117" s="72" t="n"/>
      <c r="AB117" s="8">
        <f>IF(Y117="","",IFERROR(VLOOKUP(Y117,'Ingredients + Stock'!B:D,3,FALSE),""))</f>
        <v/>
      </c>
      <c r="AC117" s="8">
        <f>IF(Y117="","",IFERROR(VLOOKUP(Y117,'Ingredients + Stock'!B:G,6,FALSE),0))</f>
        <v/>
      </c>
      <c r="AD117" s="8">
        <f>IF(AA117="","",IFERROR(VLOOKUP(AA117,'Unit Conversion'!A:D,4,FALSE),1))</f>
        <v/>
      </c>
      <c r="AE117" s="8">
        <f>IF(AB117="","",IFERROR(VLOOKUP(AB117,'Unit Conversion'!A:D,4,FALSE),1))</f>
        <v/>
      </c>
      <c r="AF117" s="8">
        <f>IF(AA117="","",Z117*AD117/AE117)</f>
        <v/>
      </c>
      <c r="AG117" s="8">
        <f>AF117*AC117</f>
        <v/>
      </c>
      <c r="AH117" s="8">
        <f>IF(AA117="","",IFERROR(IF(VLOOKUP(AA117,'Unit Conversion'!A:B,2,FALSE)=VLOOKUP(AB117,'Unit Conversion'!A:B,2,FALSE),"OK","Check W/V mismatch"),"Check unit"))</f>
        <v/>
      </c>
      <c r="AI117" s="8" t="n"/>
    </row>
    <row r="118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  <c r="Z118" s="71" t="n"/>
      <c r="AA118" s="71" t="n"/>
      <c r="AB118" s="7">
        <f>IF(Y118="","",IFERROR(VLOOKUP(Y118,'Ingredients + Stock'!B:D,3,FALSE),""))</f>
        <v/>
      </c>
      <c r="AC118" s="7">
        <f>IF(Y118="","",IFERROR(VLOOKUP(Y118,'Ingredients + Stock'!B:G,6,FALSE),0))</f>
        <v/>
      </c>
      <c r="AD118" s="7">
        <f>IF(AA118="","",IFERROR(VLOOKUP(AA118,'Unit Conversion'!A:D,4,FALSE),1))</f>
        <v/>
      </c>
      <c r="AE118" s="7">
        <f>IF(AB118="","",IFERROR(VLOOKUP(AB118,'Unit Conversion'!A:D,4,FALSE),1))</f>
        <v/>
      </c>
      <c r="AF118" s="7">
        <f>IF(AA118="","",Z118*AD118/AE118)</f>
        <v/>
      </c>
      <c r="AG118" s="7">
        <f>AF118*AC118</f>
        <v/>
      </c>
      <c r="AH118" s="7">
        <f>IF(AA118="","",IFERROR(IF(VLOOKUP(AA118,'Unit Conversion'!A:B,2,FALSE)=VLOOKUP(AB118,'Unit Conversion'!A:B,2,FALSE),"OK","Check W/V mismatch"),"Check unit"))</f>
        <v/>
      </c>
      <c r="AI118" s="7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8">
        <f>IF(Y119="","",IFERROR(VLOOKUP(Y119,'Ingredients + Stock'!B:D,3,FALSE),""))</f>
        <v/>
      </c>
      <c r="AC119" s="8">
        <f>IF(Y119="","",IFERROR(VLOOKUP(Y119,'Ingredients + Stock'!B:G,6,FALSE),0))</f>
        <v/>
      </c>
      <c r="AD119" s="8">
        <f>IF(AA119="","",IFERROR(VLOOKUP(AA119,'Unit Conversion'!A:D,4,FALSE),1))</f>
        <v/>
      </c>
      <c r="AE119" s="8">
        <f>IF(AB119="","",IFERROR(VLOOKUP(AB119,'Unit Conversion'!A:D,4,FALSE),1))</f>
        <v/>
      </c>
      <c r="AF119" s="8">
        <f>IF(AA119="","",Z119*AD119/AE119)</f>
        <v/>
      </c>
      <c r="AG119" s="8">
        <f>AF119*AC119</f>
        <v/>
      </c>
      <c r="AH119" s="8">
        <f>IF(AA119="","",IFERROR(IF(VLOOKUP(AA119,'Unit Conversion'!A:B,2,FALSE)=VLOOKUP(AB119,'Unit Conversion'!A:B,2,FALSE),"OK","Check W/V mismatch"),"Check unit"))</f>
        <v/>
      </c>
      <c r="AI119" s="8" t="n"/>
    </row>
    <row r="120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">
        <f>IF(Y120="","",IFERROR(VLOOKUP(Y120,'Ingredients + Stock'!B:D,3,FALSE),""))</f>
        <v/>
      </c>
      <c r="AC120" s="7">
        <f>IF(Y120="","",IFERROR(VLOOKUP(Y120,'Ingredients + Stock'!B:G,6,FALSE),0))</f>
        <v/>
      </c>
      <c r="AD120" s="7">
        <f>IF(AA120="","",IFERROR(VLOOKUP(AA120,'Unit Conversion'!A:D,4,FALSE),1))</f>
        <v/>
      </c>
      <c r="AE120" s="7">
        <f>IF(AB120="","",IFERROR(VLOOKUP(AB120,'Unit Conversion'!A:D,4,FALSE),1))</f>
        <v/>
      </c>
      <c r="AF120" s="7">
        <f>IF(AA120="","",Z120*AD120/AE120)</f>
        <v/>
      </c>
      <c r="AG120" s="7">
        <f>AF120*AC120</f>
        <v/>
      </c>
      <c r="AH120" s="7">
        <f>IF(AA120="","",IFERROR(IF(VLOOKUP(AA120,'Unit Conversion'!A:B,2,FALSE)=VLOOKUP(AB120,'Unit Conversion'!A:B,2,FALSE),"OK","Check W/V mismatch"),"Check unit"))</f>
        <v/>
      </c>
      <c r="AI120" s="7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  <c r="AA121" s="72" t="n"/>
      <c r="AB121" s="8">
        <f>IF(Y121="","",IFERROR(VLOOKUP(Y121,'Ingredients + Stock'!B:D,3,FALSE),""))</f>
        <v/>
      </c>
      <c r="AC121" s="8">
        <f>IF(Y121="","",IFERROR(VLOOKUP(Y121,'Ingredients + Stock'!B:G,6,FALSE),0))</f>
        <v/>
      </c>
      <c r="AD121" s="8">
        <f>IF(AA121="","",IFERROR(VLOOKUP(AA121,'Unit Conversion'!A:D,4,FALSE),1))</f>
        <v/>
      </c>
      <c r="AE121" s="8">
        <f>IF(AB121="","",IFERROR(VLOOKUP(AB121,'Unit Conversion'!A:D,4,FALSE),1))</f>
        <v/>
      </c>
      <c r="AF121" s="8">
        <f>IF(AA121="","",Z121*AD121/AE121)</f>
        <v/>
      </c>
      <c r="AG121" s="8">
        <f>AF121*AC121</f>
        <v/>
      </c>
      <c r="AH121" s="8">
        <f>IF(AA121="","",IFERROR(IF(VLOOKUP(AA121,'Unit Conversion'!A:B,2,FALSE)=VLOOKUP(AB121,'Unit Conversion'!A:B,2,FALSE),"OK","Check W/V mismatch"),"Check unit"))</f>
        <v/>
      </c>
      <c r="AI121" s="8" t="n"/>
    </row>
    <row r="122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  <c r="Z122" s="71" t="n"/>
      <c r="AA122" s="71" t="n"/>
      <c r="AB122" s="7">
        <f>IF(Y122="","",IFERROR(VLOOKUP(Y122,'Ingredients + Stock'!B:D,3,FALSE),""))</f>
        <v/>
      </c>
      <c r="AC122" s="7">
        <f>IF(Y122="","",IFERROR(VLOOKUP(Y122,'Ingredients + Stock'!B:G,6,FALSE),0))</f>
        <v/>
      </c>
      <c r="AD122" s="7">
        <f>IF(AA122="","",IFERROR(VLOOKUP(AA122,'Unit Conversion'!A:D,4,FALSE),1))</f>
        <v/>
      </c>
      <c r="AE122" s="7">
        <f>IF(AB122="","",IFERROR(VLOOKUP(AB122,'Unit Conversion'!A:D,4,FALSE),1))</f>
        <v/>
      </c>
      <c r="AF122" s="7">
        <f>IF(AA122="","",Z122*AD122/AE122)</f>
        <v/>
      </c>
      <c r="AG122" s="7">
        <f>AF122*AC122</f>
        <v/>
      </c>
      <c r="AH122" s="7">
        <f>IF(AA122="","",IFERROR(IF(VLOOKUP(AA122,'Unit Conversion'!A:B,2,FALSE)=VLOOKUP(AB122,'Unit Conversion'!A:B,2,FALSE),"OK","Check W/V mismatch"),"Check unit"))</f>
        <v/>
      </c>
      <c r="AI122" s="7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  <c r="AA123" s="72" t="n"/>
      <c r="AB123" s="8">
        <f>IF(Y123="","",IFERROR(VLOOKUP(Y123,'Ingredients + Stock'!B:D,3,FALSE),""))</f>
        <v/>
      </c>
      <c r="AC123" s="8">
        <f>IF(Y123="","",IFERROR(VLOOKUP(Y123,'Ingredients + Stock'!B:G,6,FALSE),0))</f>
        <v/>
      </c>
      <c r="AD123" s="8">
        <f>IF(AA123="","",IFERROR(VLOOKUP(AA123,'Unit Conversion'!A:D,4,FALSE),1))</f>
        <v/>
      </c>
      <c r="AE123" s="8">
        <f>IF(AB123="","",IFERROR(VLOOKUP(AB123,'Unit Conversion'!A:D,4,FALSE),1))</f>
        <v/>
      </c>
      <c r="AF123" s="8">
        <f>IF(AA123="","",Z123*AD123/AE123)</f>
        <v/>
      </c>
      <c r="AG123" s="8">
        <f>AF123*AC123</f>
        <v/>
      </c>
      <c r="AH123" s="8">
        <f>IF(AA123="","",IFERROR(IF(VLOOKUP(AA123,'Unit Conversion'!A:B,2,FALSE)=VLOOKUP(AB123,'Unit Conversion'!A:B,2,FALSE),"OK","Check W/V mismatch"),"Check unit"))</f>
        <v/>
      </c>
      <c r="AI123" s="8" t="n"/>
    </row>
    <row r="124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">
        <f>IF(Y124="","",IFERROR(VLOOKUP(Y124,'Ingredients + Stock'!B:D,3,FALSE),""))</f>
        <v/>
      </c>
      <c r="AC124" s="7">
        <f>IF(Y124="","",IFERROR(VLOOKUP(Y124,'Ingredients + Stock'!B:G,6,FALSE),0))</f>
        <v/>
      </c>
      <c r="AD124" s="7">
        <f>IF(AA124="","",IFERROR(VLOOKUP(AA124,'Unit Conversion'!A:D,4,FALSE),1))</f>
        <v/>
      </c>
      <c r="AE124" s="7">
        <f>IF(AB124="","",IFERROR(VLOOKUP(AB124,'Unit Conversion'!A:D,4,FALSE),1))</f>
        <v/>
      </c>
      <c r="AF124" s="7">
        <f>IF(AA124="","",Z124*AD124/AE124)</f>
        <v/>
      </c>
      <c r="AG124" s="7">
        <f>AF124*AC124</f>
        <v/>
      </c>
      <c r="AH124" s="7">
        <f>IF(AA124="","",IFERROR(IF(VLOOKUP(AA124,'Unit Conversion'!A:B,2,FALSE)=VLOOKUP(AB124,'Unit Conversion'!A:B,2,FALSE),"OK","Check W/V mismatch"),"Check unit"))</f>
        <v/>
      </c>
      <c r="AI124" s="7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8">
        <f>IF(Y125="","",IFERROR(VLOOKUP(Y125,'Ingredients + Stock'!B:D,3,FALSE),""))</f>
        <v/>
      </c>
      <c r="AC125" s="8">
        <f>IF(Y125="","",IFERROR(VLOOKUP(Y125,'Ingredients + Stock'!B:G,6,FALSE),0))</f>
        <v/>
      </c>
      <c r="AD125" s="8">
        <f>IF(AA125="","",IFERROR(VLOOKUP(AA125,'Unit Conversion'!A:D,4,FALSE),1))</f>
        <v/>
      </c>
      <c r="AE125" s="8">
        <f>IF(AB125="","",IFERROR(VLOOKUP(AB125,'Unit Conversion'!A:D,4,FALSE),1))</f>
        <v/>
      </c>
      <c r="AF125" s="8">
        <f>IF(AA125="","",Z125*AD125/AE125)</f>
        <v/>
      </c>
      <c r="AG125" s="8">
        <f>AF125*AC125</f>
        <v/>
      </c>
      <c r="AH125" s="8">
        <f>IF(AA125="","",IFERROR(IF(VLOOKUP(AA125,'Unit Conversion'!A:B,2,FALSE)=VLOOKUP(AB125,'Unit Conversion'!A:B,2,FALSE),"OK","Check W/V mismatch"),"Check unit"))</f>
        <v/>
      </c>
      <c r="AI125" s="8" t="n"/>
    </row>
    <row r="126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  <c r="Z126" s="71" t="n"/>
      <c r="AA126" s="71" t="n"/>
      <c r="AB126" s="7">
        <f>IF(Y126="","",IFERROR(VLOOKUP(Y126,'Ingredients + Stock'!B:D,3,FALSE),""))</f>
        <v/>
      </c>
      <c r="AC126" s="7">
        <f>IF(Y126="","",IFERROR(VLOOKUP(Y126,'Ingredients + Stock'!B:G,6,FALSE),0))</f>
        <v/>
      </c>
      <c r="AD126" s="7">
        <f>IF(AA126="","",IFERROR(VLOOKUP(AA126,'Unit Conversion'!A:D,4,FALSE),1))</f>
        <v/>
      </c>
      <c r="AE126" s="7">
        <f>IF(AB126="","",IFERROR(VLOOKUP(AB126,'Unit Conversion'!A:D,4,FALSE),1))</f>
        <v/>
      </c>
      <c r="AF126" s="7">
        <f>IF(AA126="","",Z126*AD126/AE126)</f>
        <v/>
      </c>
      <c r="AG126" s="7">
        <f>AF126*AC126</f>
        <v/>
      </c>
      <c r="AH126" s="7">
        <f>IF(AA126="","",IFERROR(IF(VLOOKUP(AA126,'Unit Conversion'!A:B,2,FALSE)=VLOOKUP(AB126,'Unit Conversion'!A:B,2,FALSE),"OK","Check W/V mismatch"),"Check unit"))</f>
        <v/>
      </c>
      <c r="AI126" s="7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  <c r="AA127" s="72" t="n"/>
      <c r="AB127" s="8">
        <f>IF(Y127="","",IFERROR(VLOOKUP(Y127,'Ingredients + Stock'!B:D,3,FALSE),""))</f>
        <v/>
      </c>
      <c r="AC127" s="8">
        <f>IF(Y127="","",IFERROR(VLOOKUP(Y127,'Ingredients + Stock'!B:G,6,FALSE),0))</f>
        <v/>
      </c>
      <c r="AD127" s="8">
        <f>IF(AA127="","",IFERROR(VLOOKUP(AA127,'Unit Conversion'!A:D,4,FALSE),1))</f>
        <v/>
      </c>
      <c r="AE127" s="8">
        <f>IF(AB127="","",IFERROR(VLOOKUP(AB127,'Unit Conversion'!A:D,4,FALSE),1))</f>
        <v/>
      </c>
      <c r="AF127" s="8">
        <f>IF(AA127="","",Z127*AD127/AE127)</f>
        <v/>
      </c>
      <c r="AG127" s="8">
        <f>AF127*AC127</f>
        <v/>
      </c>
      <c r="AH127" s="8">
        <f>IF(AA127="","",IFERROR(IF(VLOOKUP(AA127,'Unit Conversion'!A:B,2,FALSE)=VLOOKUP(AB127,'Unit Conversion'!A:B,2,FALSE),"OK","Check W/V mismatch"),"Check unit"))</f>
        <v/>
      </c>
      <c r="AI127" s="8" t="n"/>
    </row>
    <row r="128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">
        <f>IF(Y128="","",IFERROR(VLOOKUP(Y128,'Ingredients + Stock'!B:D,3,FALSE),""))</f>
        <v/>
      </c>
      <c r="AC128" s="7">
        <f>IF(Y128="","",IFERROR(VLOOKUP(Y128,'Ingredients + Stock'!B:G,6,FALSE),0))</f>
        <v/>
      </c>
      <c r="AD128" s="7">
        <f>IF(AA128="","",IFERROR(VLOOKUP(AA128,'Unit Conversion'!A:D,4,FALSE),1))</f>
        <v/>
      </c>
      <c r="AE128" s="7">
        <f>IF(AB128="","",IFERROR(VLOOKUP(AB128,'Unit Conversion'!A:D,4,FALSE),1))</f>
        <v/>
      </c>
      <c r="AF128" s="7">
        <f>IF(AA128="","",Z128*AD128/AE128)</f>
        <v/>
      </c>
      <c r="AG128" s="7">
        <f>AF128*AC128</f>
        <v/>
      </c>
      <c r="AH128" s="7">
        <f>IF(AA128="","",IFERROR(IF(VLOOKUP(AA128,'Unit Conversion'!A:B,2,FALSE)=VLOOKUP(AB128,'Unit Conversion'!A:B,2,FALSE),"OK","Check W/V mismatch"),"Check unit"))</f>
        <v/>
      </c>
      <c r="AI128" s="7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  <c r="AA129" s="72" t="n"/>
      <c r="AB129" s="8">
        <f>IF(Y129="","",IFERROR(VLOOKUP(Y129,'Ingredients + Stock'!B:D,3,FALSE),""))</f>
        <v/>
      </c>
      <c r="AC129" s="8">
        <f>IF(Y129="","",IFERROR(VLOOKUP(Y129,'Ingredients + Stock'!B:G,6,FALSE),0))</f>
        <v/>
      </c>
      <c r="AD129" s="8">
        <f>IF(AA129="","",IFERROR(VLOOKUP(AA129,'Unit Conversion'!A:D,4,FALSE),1))</f>
        <v/>
      </c>
      <c r="AE129" s="8">
        <f>IF(AB129="","",IFERROR(VLOOKUP(AB129,'Unit Conversion'!A:D,4,FALSE),1))</f>
        <v/>
      </c>
      <c r="AF129" s="8">
        <f>IF(AA129="","",Z129*AD129/AE129)</f>
        <v/>
      </c>
      <c r="AG129" s="8">
        <f>AF129*AC129</f>
        <v/>
      </c>
      <c r="AH129" s="8">
        <f>IF(AA129="","",IFERROR(IF(VLOOKUP(AA129,'Unit Conversion'!A:B,2,FALSE)=VLOOKUP(AB129,'Unit Conversion'!A:B,2,FALSE),"OK","Check W/V mismatch"),"Check unit"))</f>
        <v/>
      </c>
      <c r="AI129" s="8" t="n"/>
    </row>
    <row r="130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">
        <f>IF(Y130="","",IFERROR(VLOOKUP(Y130,'Ingredients + Stock'!B:D,3,FALSE),""))</f>
        <v/>
      </c>
      <c r="AC130" s="7">
        <f>IF(Y130="","",IFERROR(VLOOKUP(Y130,'Ingredients + Stock'!B:G,6,FALSE),0))</f>
        <v/>
      </c>
      <c r="AD130" s="7">
        <f>IF(AA130="","",IFERROR(VLOOKUP(AA130,'Unit Conversion'!A:D,4,FALSE),1))</f>
        <v/>
      </c>
      <c r="AE130" s="7">
        <f>IF(AB130="","",IFERROR(VLOOKUP(AB130,'Unit Conversion'!A:D,4,FALSE),1))</f>
        <v/>
      </c>
      <c r="AF130" s="7">
        <f>IF(AA130="","",Z130*AD130/AE130)</f>
        <v/>
      </c>
      <c r="AG130" s="7">
        <f>AF130*AC130</f>
        <v/>
      </c>
      <c r="AH130" s="7">
        <f>IF(AA130="","",IFERROR(IF(VLOOKUP(AA130,'Unit Conversion'!A:B,2,FALSE)=VLOOKUP(AB130,'Unit Conversion'!A:B,2,FALSE),"OK","Check W/V mismatch"),"Check unit"))</f>
        <v/>
      </c>
      <c r="AI130" s="7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  <c r="AA131" s="72" t="n"/>
      <c r="AB131" s="8">
        <f>IF(Y131="","",IFERROR(VLOOKUP(Y131,'Ingredients + Stock'!B:D,3,FALSE),""))</f>
        <v/>
      </c>
      <c r="AC131" s="8">
        <f>IF(Y131="","",IFERROR(VLOOKUP(Y131,'Ingredients + Stock'!B:G,6,FALSE),0))</f>
        <v/>
      </c>
      <c r="AD131" s="8">
        <f>IF(AA131="","",IFERROR(VLOOKUP(AA131,'Unit Conversion'!A:D,4,FALSE),1))</f>
        <v/>
      </c>
      <c r="AE131" s="8">
        <f>IF(AB131="","",IFERROR(VLOOKUP(AB131,'Unit Conversion'!A:D,4,FALSE),1))</f>
        <v/>
      </c>
      <c r="AF131" s="8">
        <f>IF(AA131="","",Z131*AD131/AE131)</f>
        <v/>
      </c>
      <c r="AG131" s="8">
        <f>AF131*AC131</f>
        <v/>
      </c>
      <c r="AH131" s="8">
        <f>IF(AA131="","",IFERROR(IF(VLOOKUP(AA131,'Unit Conversion'!A:B,2,FALSE)=VLOOKUP(AB131,'Unit Conversion'!A:B,2,FALSE),"OK","Check W/V mismatch"),"Check unit"))</f>
        <v/>
      </c>
      <c r="AI131" s="8" t="n"/>
    </row>
    <row r="132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">
        <f>IF(Y132="","",IFERROR(VLOOKUP(Y132,'Ingredients + Stock'!B:D,3,FALSE),""))</f>
        <v/>
      </c>
      <c r="AC132" s="7">
        <f>IF(Y132="","",IFERROR(VLOOKUP(Y132,'Ingredients + Stock'!B:G,6,FALSE),0))</f>
        <v/>
      </c>
      <c r="AD132" s="7">
        <f>IF(AA132="","",IFERROR(VLOOKUP(AA132,'Unit Conversion'!A:D,4,FALSE),1))</f>
        <v/>
      </c>
      <c r="AE132" s="7">
        <f>IF(AB132="","",IFERROR(VLOOKUP(AB132,'Unit Conversion'!A:D,4,FALSE),1))</f>
        <v/>
      </c>
      <c r="AF132" s="7">
        <f>IF(AA132="","",Z132*AD132/AE132)</f>
        <v/>
      </c>
      <c r="AG132" s="7">
        <f>AF132*AC132</f>
        <v/>
      </c>
      <c r="AH132" s="7">
        <f>IF(AA132="","",IFERROR(IF(VLOOKUP(AA132,'Unit Conversion'!A:B,2,FALSE)=VLOOKUP(AB132,'Unit Conversion'!A:B,2,FALSE),"OK","Check W/V mismatch"),"Check unit"))</f>
        <v/>
      </c>
      <c r="AI132" s="7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8">
        <f>IF(Y133="","",IFERROR(VLOOKUP(Y133,'Ingredients + Stock'!B:D,3,FALSE),""))</f>
        <v/>
      </c>
      <c r="AC133" s="8">
        <f>IF(Y133="","",IFERROR(VLOOKUP(Y133,'Ingredients + Stock'!B:G,6,FALSE),0))</f>
        <v/>
      </c>
      <c r="AD133" s="8">
        <f>IF(AA133="","",IFERROR(VLOOKUP(AA133,'Unit Conversion'!A:D,4,FALSE),1))</f>
        <v/>
      </c>
      <c r="AE133" s="8">
        <f>IF(AB133="","",IFERROR(VLOOKUP(AB133,'Unit Conversion'!A:D,4,FALSE),1))</f>
        <v/>
      </c>
      <c r="AF133" s="8">
        <f>IF(AA133="","",Z133*AD133/AE133)</f>
        <v/>
      </c>
      <c r="AG133" s="8">
        <f>AF133*AC133</f>
        <v/>
      </c>
      <c r="AH133" s="8">
        <f>IF(AA133="","",IFERROR(IF(VLOOKUP(AA133,'Unit Conversion'!A:B,2,FALSE)=VLOOKUP(AB133,'Unit Conversion'!A:B,2,FALSE),"OK","Check W/V mismatch"),"Check unit"))</f>
        <v/>
      </c>
      <c r="AI133" s="8" t="n"/>
    </row>
    <row r="134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">
        <f>IF(Y134="","",IFERROR(VLOOKUP(Y134,'Ingredients + Stock'!B:D,3,FALSE),""))</f>
        <v/>
      </c>
      <c r="AC134" s="7">
        <f>IF(Y134="","",IFERROR(VLOOKUP(Y134,'Ingredients + Stock'!B:G,6,FALSE),0))</f>
        <v/>
      </c>
      <c r="AD134" s="7">
        <f>IF(AA134="","",IFERROR(VLOOKUP(AA134,'Unit Conversion'!A:D,4,FALSE),1))</f>
        <v/>
      </c>
      <c r="AE134" s="7">
        <f>IF(AB134="","",IFERROR(VLOOKUP(AB134,'Unit Conversion'!A:D,4,FALSE),1))</f>
        <v/>
      </c>
      <c r="AF134" s="7">
        <f>IF(AA134="","",Z134*AD134/AE134)</f>
        <v/>
      </c>
      <c r="AG134" s="7">
        <f>AF134*AC134</f>
        <v/>
      </c>
      <c r="AH134" s="7">
        <f>IF(AA134="","",IFERROR(IF(VLOOKUP(AA134,'Unit Conversion'!A:B,2,FALSE)=VLOOKUP(AB134,'Unit Conversion'!A:B,2,FALSE),"OK","Check W/V mismatch"),"Check unit"))</f>
        <v/>
      </c>
      <c r="AI134" s="7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  <c r="AA135" s="72" t="n"/>
      <c r="AB135" s="8">
        <f>IF(Y135="","",IFERROR(VLOOKUP(Y135,'Ingredients + Stock'!B:D,3,FALSE),""))</f>
        <v/>
      </c>
      <c r="AC135" s="8">
        <f>IF(Y135="","",IFERROR(VLOOKUP(Y135,'Ingredients + Stock'!B:G,6,FALSE),0))</f>
        <v/>
      </c>
      <c r="AD135" s="8">
        <f>IF(AA135="","",IFERROR(VLOOKUP(AA135,'Unit Conversion'!A:D,4,FALSE),1))</f>
        <v/>
      </c>
      <c r="AE135" s="8">
        <f>IF(AB135="","",IFERROR(VLOOKUP(AB135,'Unit Conversion'!A:D,4,FALSE),1))</f>
        <v/>
      </c>
      <c r="AF135" s="8">
        <f>IF(AA135="","",Z135*AD135/AE135)</f>
        <v/>
      </c>
      <c r="AG135" s="8">
        <f>AF135*AC135</f>
        <v/>
      </c>
      <c r="AH135" s="8">
        <f>IF(AA135="","",IFERROR(IF(VLOOKUP(AA135,'Unit Conversion'!A:B,2,FALSE)=VLOOKUP(AB135,'Unit Conversion'!A:B,2,FALSE),"OK","Check W/V mismatch"),"Check unit"))</f>
        <v/>
      </c>
      <c r="AI135" s="8" t="n"/>
    </row>
    <row r="136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">
        <f>IF(Y136="","",IFERROR(VLOOKUP(Y136,'Ingredients + Stock'!B:D,3,FALSE),""))</f>
        <v/>
      </c>
      <c r="AC136" s="7">
        <f>IF(Y136="","",IFERROR(VLOOKUP(Y136,'Ingredients + Stock'!B:G,6,FALSE),0))</f>
        <v/>
      </c>
      <c r="AD136" s="7">
        <f>IF(AA136="","",IFERROR(VLOOKUP(AA136,'Unit Conversion'!A:D,4,FALSE),1))</f>
        <v/>
      </c>
      <c r="AE136" s="7">
        <f>IF(AB136="","",IFERROR(VLOOKUP(AB136,'Unit Conversion'!A:D,4,FALSE),1))</f>
        <v/>
      </c>
      <c r="AF136" s="7">
        <f>IF(AA136="","",Z136*AD136/AE136)</f>
        <v/>
      </c>
      <c r="AG136" s="7">
        <f>AF136*AC136</f>
        <v/>
      </c>
      <c r="AH136" s="7">
        <f>IF(AA136="","",IFERROR(IF(VLOOKUP(AA136,'Unit Conversion'!A:B,2,FALSE)=VLOOKUP(AB136,'Unit Conversion'!A:B,2,FALSE),"OK","Check W/V mismatch"),"Check unit"))</f>
        <v/>
      </c>
      <c r="AI136" s="7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8">
        <f>IF(Y137="","",IFERROR(VLOOKUP(Y137,'Ingredients + Stock'!B:D,3,FALSE),""))</f>
        <v/>
      </c>
      <c r="AC137" s="8">
        <f>IF(Y137="","",IFERROR(VLOOKUP(Y137,'Ingredients + Stock'!B:G,6,FALSE),0))</f>
        <v/>
      </c>
      <c r="AD137" s="8">
        <f>IF(AA137="","",IFERROR(VLOOKUP(AA137,'Unit Conversion'!A:D,4,FALSE),1))</f>
        <v/>
      </c>
      <c r="AE137" s="8">
        <f>IF(AB137="","",IFERROR(VLOOKUP(AB137,'Unit Conversion'!A:D,4,FALSE),1))</f>
        <v/>
      </c>
      <c r="AF137" s="8">
        <f>IF(AA137="","",Z137*AD137/AE137)</f>
        <v/>
      </c>
      <c r="AG137" s="8">
        <f>AF137*AC137</f>
        <v/>
      </c>
      <c r="AH137" s="8">
        <f>IF(AA137="","",IFERROR(IF(VLOOKUP(AA137,'Unit Conversion'!A:B,2,FALSE)=VLOOKUP(AB137,'Unit Conversion'!A:B,2,FALSE),"OK","Check W/V mismatch"),"Check unit"))</f>
        <v/>
      </c>
      <c r="AI137" s="8" t="n"/>
    </row>
    <row r="138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">
        <f>IF(Y138="","",IFERROR(VLOOKUP(Y138,'Ingredients + Stock'!B:D,3,FALSE),""))</f>
        <v/>
      </c>
      <c r="AC138" s="7">
        <f>IF(Y138="","",IFERROR(VLOOKUP(Y138,'Ingredients + Stock'!B:G,6,FALSE),0))</f>
        <v/>
      </c>
      <c r="AD138" s="7">
        <f>IF(AA138="","",IFERROR(VLOOKUP(AA138,'Unit Conversion'!A:D,4,FALSE),1))</f>
        <v/>
      </c>
      <c r="AE138" s="7">
        <f>IF(AB138="","",IFERROR(VLOOKUP(AB138,'Unit Conversion'!A:D,4,FALSE),1))</f>
        <v/>
      </c>
      <c r="AF138" s="7">
        <f>IF(AA138="","",Z138*AD138/AE138)</f>
        <v/>
      </c>
      <c r="AG138" s="7">
        <f>AF138*AC138</f>
        <v/>
      </c>
      <c r="AH138" s="7">
        <f>IF(AA138="","",IFERROR(IF(VLOOKUP(AA138,'Unit Conversion'!A:B,2,FALSE)=VLOOKUP(AB138,'Unit Conversion'!A:B,2,FALSE),"OK","Check W/V mismatch"),"Check unit"))</f>
        <v/>
      </c>
      <c r="AI138" s="7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  <c r="AA139" s="72" t="n"/>
      <c r="AB139" s="8">
        <f>IF(Y139="","",IFERROR(VLOOKUP(Y139,'Ingredients + Stock'!B:D,3,FALSE),""))</f>
        <v/>
      </c>
      <c r="AC139" s="8">
        <f>IF(Y139="","",IFERROR(VLOOKUP(Y139,'Ingredients + Stock'!B:G,6,FALSE),0))</f>
        <v/>
      </c>
      <c r="AD139" s="8">
        <f>IF(AA139="","",IFERROR(VLOOKUP(AA139,'Unit Conversion'!A:D,4,FALSE),1))</f>
        <v/>
      </c>
      <c r="AE139" s="8">
        <f>IF(AB139="","",IFERROR(VLOOKUP(AB139,'Unit Conversion'!A:D,4,FALSE),1))</f>
        <v/>
      </c>
      <c r="AF139" s="8">
        <f>IF(AA139="","",Z139*AD139/AE139)</f>
        <v/>
      </c>
      <c r="AG139" s="8">
        <f>AF139*AC139</f>
        <v/>
      </c>
      <c r="AH139" s="8">
        <f>IF(AA139="","",IFERROR(IF(VLOOKUP(AA139,'Unit Conversion'!A:B,2,FALSE)=VLOOKUP(AB139,'Unit Conversion'!A:B,2,FALSE),"OK","Check W/V mismatch"),"Check unit"))</f>
        <v/>
      </c>
      <c r="AI139" s="8" t="n"/>
    </row>
    <row r="140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  <c r="AA140" s="71" t="n"/>
      <c r="AB140" s="7">
        <f>IF(Y140="","",IFERROR(VLOOKUP(Y140,'Ingredients + Stock'!B:D,3,FALSE),""))</f>
        <v/>
      </c>
      <c r="AC140" s="7">
        <f>IF(Y140="","",IFERROR(VLOOKUP(Y140,'Ingredients + Stock'!B:G,6,FALSE),0))</f>
        <v/>
      </c>
      <c r="AD140" s="7">
        <f>IF(AA140="","",IFERROR(VLOOKUP(AA140,'Unit Conversion'!A:D,4,FALSE),1))</f>
        <v/>
      </c>
      <c r="AE140" s="7">
        <f>IF(AB140="","",IFERROR(VLOOKUP(AB140,'Unit Conversion'!A:D,4,FALSE),1))</f>
        <v/>
      </c>
      <c r="AF140" s="7">
        <f>IF(AA140="","",Z140*AD140/AE140)</f>
        <v/>
      </c>
      <c r="AG140" s="7">
        <f>AF140*AC140</f>
        <v/>
      </c>
      <c r="AH140" s="7">
        <f>IF(AA140="","",IFERROR(IF(VLOOKUP(AA140,'Unit Conversion'!A:B,2,FALSE)=VLOOKUP(AB140,'Unit Conversion'!A:B,2,FALSE),"OK","Check W/V mismatch"),"Check unit"))</f>
        <v/>
      </c>
      <c r="AI140" s="7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8">
        <f>IF(Y141="","",IFERROR(VLOOKUP(Y141,'Ingredients + Stock'!B:D,3,FALSE),""))</f>
        <v/>
      </c>
      <c r="AC141" s="8">
        <f>IF(Y141="","",IFERROR(VLOOKUP(Y141,'Ingredients + Stock'!B:G,6,FALSE),0))</f>
        <v/>
      </c>
      <c r="AD141" s="8">
        <f>IF(AA141="","",IFERROR(VLOOKUP(AA141,'Unit Conversion'!A:D,4,FALSE),1))</f>
        <v/>
      </c>
      <c r="AE141" s="8">
        <f>IF(AB141="","",IFERROR(VLOOKUP(AB141,'Unit Conversion'!A:D,4,FALSE),1))</f>
        <v/>
      </c>
      <c r="AF141" s="8">
        <f>IF(AA141="","",Z141*AD141/AE141)</f>
        <v/>
      </c>
      <c r="AG141" s="8">
        <f>AF141*AC141</f>
        <v/>
      </c>
      <c r="AH141" s="8">
        <f>IF(AA141="","",IFERROR(IF(VLOOKUP(AA141,'Unit Conversion'!A:B,2,FALSE)=VLOOKUP(AB141,'Unit Conversion'!A:B,2,FALSE),"OK","Check W/V mismatch"),"Check unit"))</f>
        <v/>
      </c>
      <c r="AI141" s="8" t="n"/>
    </row>
    <row r="142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">
        <f>IF(Y142="","",IFERROR(VLOOKUP(Y142,'Ingredients + Stock'!B:D,3,FALSE),""))</f>
        <v/>
      </c>
      <c r="AC142" s="7">
        <f>IF(Y142="","",IFERROR(VLOOKUP(Y142,'Ingredients + Stock'!B:G,6,FALSE),0))</f>
        <v/>
      </c>
      <c r="AD142" s="7">
        <f>IF(AA142="","",IFERROR(VLOOKUP(AA142,'Unit Conversion'!A:D,4,FALSE),1))</f>
        <v/>
      </c>
      <c r="AE142" s="7">
        <f>IF(AB142="","",IFERROR(VLOOKUP(AB142,'Unit Conversion'!A:D,4,FALSE),1))</f>
        <v/>
      </c>
      <c r="AF142" s="7">
        <f>IF(AA142="","",Z142*AD142/AE142)</f>
        <v/>
      </c>
      <c r="AG142" s="7">
        <f>AF142*AC142</f>
        <v/>
      </c>
      <c r="AH142" s="7">
        <f>IF(AA142="","",IFERROR(IF(VLOOKUP(AA142,'Unit Conversion'!A:B,2,FALSE)=VLOOKUP(AB142,'Unit Conversion'!A:B,2,FALSE),"OK","Check W/V mismatch"),"Check unit"))</f>
        <v/>
      </c>
      <c r="AI142" s="7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8">
        <f>IF(Y143="","",IFERROR(VLOOKUP(Y143,'Ingredients + Stock'!B:D,3,FALSE),""))</f>
        <v/>
      </c>
      <c r="AC143" s="8">
        <f>IF(Y143="","",IFERROR(VLOOKUP(Y143,'Ingredients + Stock'!B:G,6,FALSE),0))</f>
        <v/>
      </c>
      <c r="AD143" s="8">
        <f>IF(AA143="","",IFERROR(VLOOKUP(AA143,'Unit Conversion'!A:D,4,FALSE),1))</f>
        <v/>
      </c>
      <c r="AE143" s="8">
        <f>IF(AB143="","",IFERROR(VLOOKUP(AB143,'Unit Conversion'!A:D,4,FALSE),1))</f>
        <v/>
      </c>
      <c r="AF143" s="8">
        <f>IF(AA143="","",Z143*AD143/AE143)</f>
        <v/>
      </c>
      <c r="AG143" s="8">
        <f>AF143*AC143</f>
        <v/>
      </c>
      <c r="AH143" s="8">
        <f>IF(AA143="","",IFERROR(IF(VLOOKUP(AA143,'Unit Conversion'!A:B,2,FALSE)=VLOOKUP(AB143,'Unit Conversion'!A:B,2,FALSE),"OK","Check W/V mismatch"),"Check unit"))</f>
        <v/>
      </c>
      <c r="AI143" s="8" t="n"/>
    </row>
    <row r="144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">
        <f>IF(Y144="","",IFERROR(VLOOKUP(Y144,'Ingredients + Stock'!B:D,3,FALSE),""))</f>
        <v/>
      </c>
      <c r="AC144" s="7">
        <f>IF(Y144="","",IFERROR(VLOOKUP(Y144,'Ingredients + Stock'!B:G,6,FALSE),0))</f>
        <v/>
      </c>
      <c r="AD144" s="7">
        <f>IF(AA144="","",IFERROR(VLOOKUP(AA144,'Unit Conversion'!A:D,4,FALSE),1))</f>
        <v/>
      </c>
      <c r="AE144" s="7">
        <f>IF(AB144="","",IFERROR(VLOOKUP(AB144,'Unit Conversion'!A:D,4,FALSE),1))</f>
        <v/>
      </c>
      <c r="AF144" s="7">
        <f>IF(AA144="","",Z144*AD144/AE144)</f>
        <v/>
      </c>
      <c r="AG144" s="7">
        <f>AF144*AC144</f>
        <v/>
      </c>
      <c r="AH144" s="7">
        <f>IF(AA144="","",IFERROR(IF(VLOOKUP(AA144,'Unit Conversion'!A:B,2,FALSE)=VLOOKUP(AB144,'Unit Conversion'!A:B,2,FALSE),"OK","Check W/V mismatch"),"Check unit"))</f>
        <v/>
      </c>
      <c r="AI144" s="7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8">
        <f>IF(Y145="","",IFERROR(VLOOKUP(Y145,'Ingredients + Stock'!B:D,3,FALSE),""))</f>
        <v/>
      </c>
      <c r="AC145" s="8">
        <f>IF(Y145="","",IFERROR(VLOOKUP(Y145,'Ingredients + Stock'!B:G,6,FALSE),0))</f>
        <v/>
      </c>
      <c r="AD145" s="8">
        <f>IF(AA145="","",IFERROR(VLOOKUP(AA145,'Unit Conversion'!A:D,4,FALSE),1))</f>
        <v/>
      </c>
      <c r="AE145" s="8">
        <f>IF(AB145="","",IFERROR(VLOOKUP(AB145,'Unit Conversion'!A:D,4,FALSE),1))</f>
        <v/>
      </c>
      <c r="AF145" s="8">
        <f>IF(AA145="","",Z145*AD145/AE145)</f>
        <v/>
      </c>
      <c r="AG145" s="8">
        <f>AF145*AC145</f>
        <v/>
      </c>
      <c r="AH145" s="8">
        <f>IF(AA145="","",IFERROR(IF(VLOOKUP(AA145,'Unit Conversion'!A:B,2,FALSE)=VLOOKUP(AB145,'Unit Conversion'!A:B,2,FALSE),"OK","Check W/V mismatch"),"Check unit"))</f>
        <v/>
      </c>
      <c r="AI145" s="8" t="n"/>
    </row>
    <row r="146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">
        <f>IF(Y146="","",IFERROR(VLOOKUP(Y146,'Ingredients + Stock'!B:D,3,FALSE),""))</f>
        <v/>
      </c>
      <c r="AC146" s="7">
        <f>IF(Y146="","",IFERROR(VLOOKUP(Y146,'Ingredients + Stock'!B:G,6,FALSE),0))</f>
        <v/>
      </c>
      <c r="AD146" s="7">
        <f>IF(AA146="","",IFERROR(VLOOKUP(AA146,'Unit Conversion'!A:D,4,FALSE),1))</f>
        <v/>
      </c>
      <c r="AE146" s="7">
        <f>IF(AB146="","",IFERROR(VLOOKUP(AB146,'Unit Conversion'!A:D,4,FALSE),1))</f>
        <v/>
      </c>
      <c r="AF146" s="7">
        <f>IF(AA146="","",Z146*AD146/AE146)</f>
        <v/>
      </c>
      <c r="AG146" s="7">
        <f>AF146*AC146</f>
        <v/>
      </c>
      <c r="AH146" s="7">
        <f>IF(AA146="","",IFERROR(IF(VLOOKUP(AA146,'Unit Conversion'!A:B,2,FALSE)=VLOOKUP(AB146,'Unit Conversion'!A:B,2,FALSE),"OK","Check W/V mismatch"),"Check unit"))</f>
        <v/>
      </c>
      <c r="AI146" s="7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8">
        <f>IF(Y147="","",IFERROR(VLOOKUP(Y147,'Ingredients + Stock'!B:D,3,FALSE),""))</f>
        <v/>
      </c>
      <c r="AC147" s="8">
        <f>IF(Y147="","",IFERROR(VLOOKUP(Y147,'Ingredients + Stock'!B:G,6,FALSE),0))</f>
        <v/>
      </c>
      <c r="AD147" s="8">
        <f>IF(AA147="","",IFERROR(VLOOKUP(AA147,'Unit Conversion'!A:D,4,FALSE),1))</f>
        <v/>
      </c>
      <c r="AE147" s="8">
        <f>IF(AB147="","",IFERROR(VLOOKUP(AB147,'Unit Conversion'!A:D,4,FALSE),1))</f>
        <v/>
      </c>
      <c r="AF147" s="8">
        <f>IF(AA147="","",Z147*AD147/AE147)</f>
        <v/>
      </c>
      <c r="AG147" s="8">
        <f>AF147*AC147</f>
        <v/>
      </c>
      <c r="AH147" s="8">
        <f>IF(AA147="","",IFERROR(IF(VLOOKUP(AA147,'Unit Conversion'!A:B,2,FALSE)=VLOOKUP(AB147,'Unit Conversion'!A:B,2,FALSE),"OK","Check W/V mismatch"),"Check unit"))</f>
        <v/>
      </c>
      <c r="AI147" s="8" t="n"/>
    </row>
    <row r="148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">
        <f>IF(Y148="","",IFERROR(VLOOKUP(Y148,'Ingredients + Stock'!B:D,3,FALSE),""))</f>
        <v/>
      </c>
      <c r="AC148" s="7">
        <f>IF(Y148="","",IFERROR(VLOOKUP(Y148,'Ingredients + Stock'!B:G,6,FALSE),0))</f>
        <v/>
      </c>
      <c r="AD148" s="7">
        <f>IF(AA148="","",IFERROR(VLOOKUP(AA148,'Unit Conversion'!A:D,4,FALSE),1))</f>
        <v/>
      </c>
      <c r="AE148" s="7">
        <f>IF(AB148="","",IFERROR(VLOOKUP(AB148,'Unit Conversion'!A:D,4,FALSE),1))</f>
        <v/>
      </c>
      <c r="AF148" s="7">
        <f>IF(AA148="","",Z148*AD148/AE148)</f>
        <v/>
      </c>
      <c r="AG148" s="7">
        <f>AF148*AC148</f>
        <v/>
      </c>
      <c r="AH148" s="7">
        <f>IF(AA148="","",IFERROR(IF(VLOOKUP(AA148,'Unit Conversion'!A:B,2,FALSE)=VLOOKUP(AB148,'Unit Conversion'!A:B,2,FALSE),"OK","Check W/V mismatch"),"Check unit"))</f>
        <v/>
      </c>
      <c r="AI148" s="7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  <c r="AA149" s="72" t="n"/>
      <c r="AB149" s="8">
        <f>IF(Y149="","",IFERROR(VLOOKUP(Y149,'Ingredients + Stock'!B:D,3,FALSE),""))</f>
        <v/>
      </c>
      <c r="AC149" s="8">
        <f>IF(Y149="","",IFERROR(VLOOKUP(Y149,'Ingredients + Stock'!B:G,6,FALSE),0))</f>
        <v/>
      </c>
      <c r="AD149" s="8">
        <f>IF(AA149="","",IFERROR(VLOOKUP(AA149,'Unit Conversion'!A:D,4,FALSE),1))</f>
        <v/>
      </c>
      <c r="AE149" s="8">
        <f>IF(AB149="","",IFERROR(VLOOKUP(AB149,'Unit Conversion'!A:D,4,FALSE),1))</f>
        <v/>
      </c>
      <c r="AF149" s="8">
        <f>IF(AA149="","",Z149*AD149/AE149)</f>
        <v/>
      </c>
      <c r="AG149" s="8">
        <f>AF149*AC149</f>
        <v/>
      </c>
      <c r="AH149" s="8">
        <f>IF(AA149="","",IFERROR(IF(VLOOKUP(AA149,'Unit Conversion'!A:B,2,FALSE)=VLOOKUP(AB149,'Unit Conversion'!A:B,2,FALSE),"OK","Check W/V mismatch"),"Check unit"))</f>
        <v/>
      </c>
      <c r="AI149" s="8" t="n"/>
    </row>
    <row r="150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  <c r="AA150" s="71" t="n"/>
      <c r="AB150" s="7">
        <f>IF(Y150="","",IFERROR(VLOOKUP(Y150,'Ingredients + Stock'!B:D,3,FALSE),""))</f>
        <v/>
      </c>
      <c r="AC150" s="7">
        <f>IF(Y150="","",IFERROR(VLOOKUP(Y150,'Ingredients + Stock'!B:G,6,FALSE),0))</f>
        <v/>
      </c>
      <c r="AD150" s="7">
        <f>IF(AA150="","",IFERROR(VLOOKUP(AA150,'Unit Conversion'!A:D,4,FALSE),1))</f>
        <v/>
      </c>
      <c r="AE150" s="7">
        <f>IF(AB150="","",IFERROR(VLOOKUP(AB150,'Unit Conversion'!A:D,4,FALSE),1))</f>
        <v/>
      </c>
      <c r="AF150" s="7">
        <f>IF(AA150="","",Z150*AD150/AE150)</f>
        <v/>
      </c>
      <c r="AG150" s="7">
        <f>AF150*AC150</f>
        <v/>
      </c>
      <c r="AH150" s="7">
        <f>IF(AA150="","",IFERROR(IF(VLOOKUP(AA150,'Unit Conversion'!A:B,2,FALSE)=VLOOKUP(AB150,'Unit Conversion'!A:B,2,FALSE),"OK","Check W/V mismatch"),"Check unit"))</f>
        <v/>
      </c>
      <c r="AI150" s="7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  <c r="AA151" s="72" t="n"/>
      <c r="AB151" s="8">
        <f>IF(Y151="","",IFERROR(VLOOKUP(Y151,'Ingredients + Stock'!B:D,3,FALSE),""))</f>
        <v/>
      </c>
      <c r="AC151" s="8">
        <f>IF(Y151="","",IFERROR(VLOOKUP(Y151,'Ingredients + Stock'!B:G,6,FALSE),0))</f>
        <v/>
      </c>
      <c r="AD151" s="8">
        <f>IF(AA151="","",IFERROR(VLOOKUP(AA151,'Unit Conversion'!A:D,4,FALSE),1))</f>
        <v/>
      </c>
      <c r="AE151" s="8">
        <f>IF(AB151="","",IFERROR(VLOOKUP(AB151,'Unit Conversion'!A:D,4,FALSE),1))</f>
        <v/>
      </c>
      <c r="AF151" s="8">
        <f>IF(AA151="","",Z151*AD151/AE151)</f>
        <v/>
      </c>
      <c r="AG151" s="8">
        <f>AF151*AC151</f>
        <v/>
      </c>
      <c r="AH151" s="8">
        <f>IF(AA151="","",IFERROR(IF(VLOOKUP(AA151,'Unit Conversion'!A:B,2,FALSE)=VLOOKUP(AB151,'Unit Conversion'!A:B,2,FALSE),"OK","Check W/V mismatch"),"Check unit"))</f>
        <v/>
      </c>
      <c r="AI151" s="8" t="n"/>
    </row>
    <row r="152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">
        <f>IF(Y152="","",IFERROR(VLOOKUP(Y152,'Ingredients + Stock'!B:D,3,FALSE),""))</f>
        <v/>
      </c>
      <c r="AC152" s="7">
        <f>IF(Y152="","",IFERROR(VLOOKUP(Y152,'Ingredients + Stock'!B:G,6,FALSE),0))</f>
        <v/>
      </c>
      <c r="AD152" s="7">
        <f>IF(AA152="","",IFERROR(VLOOKUP(AA152,'Unit Conversion'!A:D,4,FALSE),1))</f>
        <v/>
      </c>
      <c r="AE152" s="7">
        <f>IF(AB152="","",IFERROR(VLOOKUP(AB152,'Unit Conversion'!A:D,4,FALSE),1))</f>
        <v/>
      </c>
      <c r="AF152" s="7">
        <f>IF(AA152="","",Z152*AD152/AE152)</f>
        <v/>
      </c>
      <c r="AG152" s="7">
        <f>AF152*AC152</f>
        <v/>
      </c>
      <c r="AH152" s="7">
        <f>IF(AA152="","",IFERROR(IF(VLOOKUP(AA152,'Unit Conversion'!A:B,2,FALSE)=VLOOKUP(AB152,'Unit Conversion'!A:B,2,FALSE),"OK","Check W/V mismatch"),"Check unit"))</f>
        <v/>
      </c>
      <c r="AI152" s="7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  <c r="AA153" s="72" t="n"/>
      <c r="AB153" s="8">
        <f>IF(Y153="","",IFERROR(VLOOKUP(Y153,'Ingredients + Stock'!B:D,3,FALSE),""))</f>
        <v/>
      </c>
      <c r="AC153" s="8">
        <f>IF(Y153="","",IFERROR(VLOOKUP(Y153,'Ingredients + Stock'!B:G,6,FALSE),0))</f>
        <v/>
      </c>
      <c r="AD153" s="8">
        <f>IF(AA153="","",IFERROR(VLOOKUP(AA153,'Unit Conversion'!A:D,4,FALSE),1))</f>
        <v/>
      </c>
      <c r="AE153" s="8">
        <f>IF(AB153="","",IFERROR(VLOOKUP(AB153,'Unit Conversion'!A:D,4,FALSE),1))</f>
        <v/>
      </c>
      <c r="AF153" s="8">
        <f>IF(AA153="","",Z153*AD153/AE153)</f>
        <v/>
      </c>
      <c r="AG153" s="8">
        <f>AF153*AC153</f>
        <v/>
      </c>
      <c r="AH153" s="8">
        <f>IF(AA153="","",IFERROR(IF(VLOOKUP(AA153,'Unit Conversion'!A:B,2,FALSE)=VLOOKUP(AB153,'Unit Conversion'!A:B,2,FALSE),"OK","Check W/V mismatch"),"Check unit"))</f>
        <v/>
      </c>
      <c r="AI153" s="8" t="n"/>
    </row>
    <row r="154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">
        <f>IF(Y154="","",IFERROR(VLOOKUP(Y154,'Ingredients + Stock'!B:D,3,FALSE),""))</f>
        <v/>
      </c>
      <c r="AC154" s="7">
        <f>IF(Y154="","",IFERROR(VLOOKUP(Y154,'Ingredients + Stock'!B:G,6,FALSE),0))</f>
        <v/>
      </c>
      <c r="AD154" s="7">
        <f>IF(AA154="","",IFERROR(VLOOKUP(AA154,'Unit Conversion'!A:D,4,FALSE),1))</f>
        <v/>
      </c>
      <c r="AE154" s="7">
        <f>IF(AB154="","",IFERROR(VLOOKUP(AB154,'Unit Conversion'!A:D,4,FALSE),1))</f>
        <v/>
      </c>
      <c r="AF154" s="7">
        <f>IF(AA154="","",Z154*AD154/AE154)</f>
        <v/>
      </c>
      <c r="AG154" s="7">
        <f>AF154*AC154</f>
        <v/>
      </c>
      <c r="AH154" s="7">
        <f>IF(AA154="","",IFERROR(IF(VLOOKUP(AA154,'Unit Conversion'!A:B,2,FALSE)=VLOOKUP(AB154,'Unit Conversion'!A:B,2,FALSE),"OK","Check W/V mismatch"),"Check unit"))</f>
        <v/>
      </c>
      <c r="AI154" s="7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  <c r="AA155" s="72" t="n"/>
      <c r="AB155" s="8">
        <f>IF(Y155="","",IFERROR(VLOOKUP(Y155,'Ingredients + Stock'!B:D,3,FALSE),""))</f>
        <v/>
      </c>
      <c r="AC155" s="8">
        <f>IF(Y155="","",IFERROR(VLOOKUP(Y155,'Ingredients + Stock'!B:G,6,FALSE),0))</f>
        <v/>
      </c>
      <c r="AD155" s="8">
        <f>IF(AA155="","",IFERROR(VLOOKUP(AA155,'Unit Conversion'!A:D,4,FALSE),1))</f>
        <v/>
      </c>
      <c r="AE155" s="8">
        <f>IF(AB155="","",IFERROR(VLOOKUP(AB155,'Unit Conversion'!A:D,4,FALSE),1))</f>
        <v/>
      </c>
      <c r="AF155" s="8">
        <f>IF(AA155="","",Z155*AD155/AE155)</f>
        <v/>
      </c>
      <c r="AG155" s="8">
        <f>AF155*AC155</f>
        <v/>
      </c>
      <c r="AH155" s="8">
        <f>IF(AA155="","",IFERROR(IF(VLOOKUP(AA155,'Unit Conversion'!A:B,2,FALSE)=VLOOKUP(AB155,'Unit Conversion'!A:B,2,FALSE),"OK","Check W/V mismatch"),"Check unit"))</f>
        <v/>
      </c>
      <c r="AI155" s="8" t="n"/>
    </row>
    <row r="156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">
        <f>IF(Y156="","",IFERROR(VLOOKUP(Y156,'Ingredients + Stock'!B:D,3,FALSE),""))</f>
        <v/>
      </c>
      <c r="AC156" s="7">
        <f>IF(Y156="","",IFERROR(VLOOKUP(Y156,'Ingredients + Stock'!B:G,6,FALSE),0))</f>
        <v/>
      </c>
      <c r="AD156" s="7">
        <f>IF(AA156="","",IFERROR(VLOOKUP(AA156,'Unit Conversion'!A:D,4,FALSE),1))</f>
        <v/>
      </c>
      <c r="AE156" s="7">
        <f>IF(AB156="","",IFERROR(VLOOKUP(AB156,'Unit Conversion'!A:D,4,FALSE),1))</f>
        <v/>
      </c>
      <c r="AF156" s="7">
        <f>IF(AA156="","",Z156*AD156/AE156)</f>
        <v/>
      </c>
      <c r="AG156" s="7">
        <f>AF156*AC156</f>
        <v/>
      </c>
      <c r="AH156" s="7">
        <f>IF(AA156="","",IFERROR(IF(VLOOKUP(AA156,'Unit Conversion'!A:B,2,FALSE)=VLOOKUP(AB156,'Unit Conversion'!A:B,2,FALSE),"OK","Check W/V mismatch"),"Check unit"))</f>
        <v/>
      </c>
      <c r="AI156" s="7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  <c r="AA157" s="72" t="n"/>
      <c r="AB157" s="8">
        <f>IF(Y157="","",IFERROR(VLOOKUP(Y157,'Ingredients + Stock'!B:D,3,FALSE),""))</f>
        <v/>
      </c>
      <c r="AC157" s="8">
        <f>IF(Y157="","",IFERROR(VLOOKUP(Y157,'Ingredients + Stock'!B:G,6,FALSE),0))</f>
        <v/>
      </c>
      <c r="AD157" s="8">
        <f>IF(AA157="","",IFERROR(VLOOKUP(AA157,'Unit Conversion'!A:D,4,FALSE),1))</f>
        <v/>
      </c>
      <c r="AE157" s="8">
        <f>IF(AB157="","",IFERROR(VLOOKUP(AB157,'Unit Conversion'!A:D,4,FALSE),1))</f>
        <v/>
      </c>
      <c r="AF157" s="8">
        <f>IF(AA157="","",Z157*AD157/AE157)</f>
        <v/>
      </c>
      <c r="AG157" s="8">
        <f>AF157*AC157</f>
        <v/>
      </c>
      <c r="AH157" s="8">
        <f>IF(AA157="","",IFERROR(IF(VLOOKUP(AA157,'Unit Conversion'!A:B,2,FALSE)=VLOOKUP(AB157,'Unit Conversion'!A:B,2,FALSE),"OK","Check W/V mismatch"),"Check unit"))</f>
        <v/>
      </c>
      <c r="AI157" s="8" t="n"/>
    </row>
    <row r="158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">
        <f>IF(Y158="","",IFERROR(VLOOKUP(Y158,'Ingredients + Stock'!B:D,3,FALSE),""))</f>
        <v/>
      </c>
      <c r="AC158" s="7">
        <f>IF(Y158="","",IFERROR(VLOOKUP(Y158,'Ingredients + Stock'!B:G,6,FALSE),0))</f>
        <v/>
      </c>
      <c r="AD158" s="7">
        <f>IF(AA158="","",IFERROR(VLOOKUP(AA158,'Unit Conversion'!A:D,4,FALSE),1))</f>
        <v/>
      </c>
      <c r="AE158" s="7">
        <f>IF(AB158="","",IFERROR(VLOOKUP(AB158,'Unit Conversion'!A:D,4,FALSE),1))</f>
        <v/>
      </c>
      <c r="AF158" s="7">
        <f>IF(AA158="","",Z158*AD158/AE158)</f>
        <v/>
      </c>
      <c r="AG158" s="7">
        <f>AF158*AC158</f>
        <v/>
      </c>
      <c r="AH158" s="7">
        <f>IF(AA158="","",IFERROR(IF(VLOOKUP(AA158,'Unit Conversion'!A:B,2,FALSE)=VLOOKUP(AB158,'Unit Conversion'!A:B,2,FALSE),"OK","Check W/V mismatch"),"Check unit"))</f>
        <v/>
      </c>
      <c r="AI158" s="7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  <c r="AA159" s="72" t="n"/>
      <c r="AB159" s="8">
        <f>IF(Y159="","",IFERROR(VLOOKUP(Y159,'Ingredients + Stock'!B:D,3,FALSE),""))</f>
        <v/>
      </c>
      <c r="AC159" s="8">
        <f>IF(Y159="","",IFERROR(VLOOKUP(Y159,'Ingredients + Stock'!B:G,6,FALSE),0))</f>
        <v/>
      </c>
      <c r="AD159" s="8">
        <f>IF(AA159="","",IFERROR(VLOOKUP(AA159,'Unit Conversion'!A:D,4,FALSE),1))</f>
        <v/>
      </c>
      <c r="AE159" s="8">
        <f>IF(AB159="","",IFERROR(VLOOKUP(AB159,'Unit Conversion'!A:D,4,FALSE),1))</f>
        <v/>
      </c>
      <c r="AF159" s="8">
        <f>IF(AA159="","",Z159*AD159/AE159)</f>
        <v/>
      </c>
      <c r="AG159" s="8">
        <f>AF159*AC159</f>
        <v/>
      </c>
      <c r="AH159" s="8">
        <f>IF(AA159="","",IFERROR(IF(VLOOKUP(AA159,'Unit Conversion'!A:B,2,FALSE)=VLOOKUP(AB159,'Unit Conversion'!A:B,2,FALSE),"OK","Check W/V mismatch"),"Check unit"))</f>
        <v/>
      </c>
      <c r="AI159" s="8" t="n"/>
    </row>
    <row r="160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">
        <f>IF(Y160="","",IFERROR(VLOOKUP(Y160,'Ingredients + Stock'!B:D,3,FALSE),""))</f>
        <v/>
      </c>
      <c r="AC160" s="7">
        <f>IF(Y160="","",IFERROR(VLOOKUP(Y160,'Ingredients + Stock'!B:G,6,FALSE),0))</f>
        <v/>
      </c>
      <c r="AD160" s="7">
        <f>IF(AA160="","",IFERROR(VLOOKUP(AA160,'Unit Conversion'!A:D,4,FALSE),1))</f>
        <v/>
      </c>
      <c r="AE160" s="7">
        <f>IF(AB160="","",IFERROR(VLOOKUP(AB160,'Unit Conversion'!A:D,4,FALSE),1))</f>
        <v/>
      </c>
      <c r="AF160" s="7">
        <f>IF(AA160="","",Z160*AD160/AE160)</f>
        <v/>
      </c>
      <c r="AG160" s="7">
        <f>AF160*AC160</f>
        <v/>
      </c>
      <c r="AH160" s="7">
        <f>IF(AA160="","",IFERROR(IF(VLOOKUP(AA160,'Unit Conversion'!A:B,2,FALSE)=VLOOKUP(AB160,'Unit Conversion'!A:B,2,FALSE),"OK","Check W/V mismatch"),"Check unit"))</f>
        <v/>
      </c>
      <c r="AI160" s="7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  <c r="AA161" s="72" t="n"/>
      <c r="AB161" s="8">
        <f>IF(Y161="","",IFERROR(VLOOKUP(Y161,'Ingredients + Stock'!B:D,3,FALSE),""))</f>
        <v/>
      </c>
      <c r="AC161" s="8">
        <f>IF(Y161="","",IFERROR(VLOOKUP(Y161,'Ingredients + Stock'!B:G,6,FALSE),0))</f>
        <v/>
      </c>
      <c r="AD161" s="8">
        <f>IF(AA161="","",IFERROR(VLOOKUP(AA161,'Unit Conversion'!A:D,4,FALSE),1))</f>
        <v/>
      </c>
      <c r="AE161" s="8">
        <f>IF(AB161="","",IFERROR(VLOOKUP(AB161,'Unit Conversion'!A:D,4,FALSE),1))</f>
        <v/>
      </c>
      <c r="AF161" s="8">
        <f>IF(AA161="","",Z161*AD161/AE161)</f>
        <v/>
      </c>
      <c r="AG161" s="8">
        <f>AF161*AC161</f>
        <v/>
      </c>
      <c r="AH161" s="8">
        <f>IF(AA161="","",IFERROR(IF(VLOOKUP(AA161,'Unit Conversion'!A:B,2,FALSE)=VLOOKUP(AB161,'Unit Conversion'!A:B,2,FALSE),"OK","Check W/V mismatch"),"Check unit"))</f>
        <v/>
      </c>
      <c r="AI161" s="8" t="n"/>
    </row>
    <row r="162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">
        <f>IF(Y162="","",IFERROR(VLOOKUP(Y162,'Ingredients + Stock'!B:D,3,FALSE),""))</f>
        <v/>
      </c>
      <c r="AC162" s="7">
        <f>IF(Y162="","",IFERROR(VLOOKUP(Y162,'Ingredients + Stock'!B:G,6,FALSE),0))</f>
        <v/>
      </c>
      <c r="AD162" s="7">
        <f>IF(AA162="","",IFERROR(VLOOKUP(AA162,'Unit Conversion'!A:D,4,FALSE),1))</f>
        <v/>
      </c>
      <c r="AE162" s="7">
        <f>IF(AB162="","",IFERROR(VLOOKUP(AB162,'Unit Conversion'!A:D,4,FALSE),1))</f>
        <v/>
      </c>
      <c r="AF162" s="7">
        <f>IF(AA162="","",Z162*AD162/AE162)</f>
        <v/>
      </c>
      <c r="AG162" s="7">
        <f>AF162*AC162</f>
        <v/>
      </c>
      <c r="AH162" s="7">
        <f>IF(AA162="","",IFERROR(IF(VLOOKUP(AA162,'Unit Conversion'!A:B,2,FALSE)=VLOOKUP(AB162,'Unit Conversion'!A:B,2,FALSE),"OK","Check W/V mismatch"),"Check unit"))</f>
        <v/>
      </c>
      <c r="AI162" s="7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  <c r="AA163" s="72" t="n"/>
      <c r="AB163" s="8">
        <f>IF(Y163="","",IFERROR(VLOOKUP(Y163,'Ingredients + Stock'!B:D,3,FALSE),""))</f>
        <v/>
      </c>
      <c r="AC163" s="8">
        <f>IF(Y163="","",IFERROR(VLOOKUP(Y163,'Ingredients + Stock'!B:G,6,FALSE),0))</f>
        <v/>
      </c>
      <c r="AD163" s="8">
        <f>IF(AA163="","",IFERROR(VLOOKUP(AA163,'Unit Conversion'!A:D,4,FALSE),1))</f>
        <v/>
      </c>
      <c r="AE163" s="8">
        <f>IF(AB163="","",IFERROR(VLOOKUP(AB163,'Unit Conversion'!A:D,4,FALSE),1))</f>
        <v/>
      </c>
      <c r="AF163" s="8">
        <f>IF(AA163="","",Z163*AD163/AE163)</f>
        <v/>
      </c>
      <c r="AG163" s="8">
        <f>AF163*AC163</f>
        <v/>
      </c>
      <c r="AH163" s="8">
        <f>IF(AA163="","",IFERROR(IF(VLOOKUP(AA163,'Unit Conversion'!A:B,2,FALSE)=VLOOKUP(AB163,'Unit Conversion'!A:B,2,FALSE),"OK","Check W/V mismatch"),"Check unit"))</f>
        <v/>
      </c>
      <c r="AI163" s="8" t="n"/>
    </row>
    <row r="164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">
        <f>IF(Y164="","",IFERROR(VLOOKUP(Y164,'Ingredients + Stock'!B:D,3,FALSE),""))</f>
        <v/>
      </c>
      <c r="AC164" s="7">
        <f>IF(Y164="","",IFERROR(VLOOKUP(Y164,'Ingredients + Stock'!B:G,6,FALSE),0))</f>
        <v/>
      </c>
      <c r="AD164" s="7">
        <f>IF(AA164="","",IFERROR(VLOOKUP(AA164,'Unit Conversion'!A:D,4,FALSE),1))</f>
        <v/>
      </c>
      <c r="AE164" s="7">
        <f>IF(AB164="","",IFERROR(VLOOKUP(AB164,'Unit Conversion'!A:D,4,FALSE),1))</f>
        <v/>
      </c>
      <c r="AF164" s="7">
        <f>IF(AA164="","",Z164*AD164/AE164)</f>
        <v/>
      </c>
      <c r="AG164" s="7">
        <f>AF164*AC164</f>
        <v/>
      </c>
      <c r="AH164" s="7">
        <f>IF(AA164="","",IFERROR(IF(VLOOKUP(AA164,'Unit Conversion'!A:B,2,FALSE)=VLOOKUP(AB164,'Unit Conversion'!A:B,2,FALSE),"OK","Check W/V mismatch"),"Check unit"))</f>
        <v/>
      </c>
      <c r="AI164" s="7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  <c r="AA165" s="72" t="n"/>
      <c r="AB165" s="8">
        <f>IF(Y165="","",IFERROR(VLOOKUP(Y165,'Ingredients + Stock'!B:D,3,FALSE),""))</f>
        <v/>
      </c>
      <c r="AC165" s="8">
        <f>IF(Y165="","",IFERROR(VLOOKUP(Y165,'Ingredients + Stock'!B:G,6,FALSE),0))</f>
        <v/>
      </c>
      <c r="AD165" s="8">
        <f>IF(AA165="","",IFERROR(VLOOKUP(AA165,'Unit Conversion'!A:D,4,FALSE),1))</f>
        <v/>
      </c>
      <c r="AE165" s="8">
        <f>IF(AB165="","",IFERROR(VLOOKUP(AB165,'Unit Conversion'!A:D,4,FALSE),1))</f>
        <v/>
      </c>
      <c r="AF165" s="8">
        <f>IF(AA165="","",Z165*AD165/AE165)</f>
        <v/>
      </c>
      <c r="AG165" s="8">
        <f>AF165*AC165</f>
        <v/>
      </c>
      <c r="AH165" s="8">
        <f>IF(AA165="","",IFERROR(IF(VLOOKUP(AA165,'Unit Conversion'!A:B,2,FALSE)=VLOOKUP(AB165,'Unit Conversion'!A:B,2,FALSE),"OK","Check W/V mismatch"),"Check unit"))</f>
        <v/>
      </c>
      <c r="AI165" s="8" t="n"/>
    </row>
    <row r="166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">
        <f>IF(Y166="","",IFERROR(VLOOKUP(Y166,'Ingredients + Stock'!B:D,3,FALSE),""))</f>
        <v/>
      </c>
      <c r="AC166" s="7">
        <f>IF(Y166="","",IFERROR(VLOOKUP(Y166,'Ingredients + Stock'!B:G,6,FALSE),0))</f>
        <v/>
      </c>
      <c r="AD166" s="7">
        <f>IF(AA166="","",IFERROR(VLOOKUP(AA166,'Unit Conversion'!A:D,4,FALSE),1))</f>
        <v/>
      </c>
      <c r="AE166" s="7">
        <f>IF(AB166="","",IFERROR(VLOOKUP(AB166,'Unit Conversion'!A:D,4,FALSE),1))</f>
        <v/>
      </c>
      <c r="AF166" s="7">
        <f>IF(AA166="","",Z166*AD166/AE166)</f>
        <v/>
      </c>
      <c r="AG166" s="7">
        <f>AF166*AC166</f>
        <v/>
      </c>
      <c r="AH166" s="7">
        <f>IF(AA166="","",IFERROR(IF(VLOOKUP(AA166,'Unit Conversion'!A:B,2,FALSE)=VLOOKUP(AB166,'Unit Conversion'!A:B,2,FALSE),"OK","Check W/V mismatch"),"Check unit"))</f>
        <v/>
      </c>
      <c r="AI166" s="7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  <c r="AA167" s="72" t="n"/>
      <c r="AB167" s="8">
        <f>IF(Y167="","",IFERROR(VLOOKUP(Y167,'Ingredients + Stock'!B:D,3,FALSE),""))</f>
        <v/>
      </c>
      <c r="AC167" s="8">
        <f>IF(Y167="","",IFERROR(VLOOKUP(Y167,'Ingredients + Stock'!B:G,6,FALSE),0))</f>
        <v/>
      </c>
      <c r="AD167" s="8">
        <f>IF(AA167="","",IFERROR(VLOOKUP(AA167,'Unit Conversion'!A:D,4,FALSE),1))</f>
        <v/>
      </c>
      <c r="AE167" s="8">
        <f>IF(AB167="","",IFERROR(VLOOKUP(AB167,'Unit Conversion'!A:D,4,FALSE),1))</f>
        <v/>
      </c>
      <c r="AF167" s="8">
        <f>IF(AA167="","",Z167*AD167/AE167)</f>
        <v/>
      </c>
      <c r="AG167" s="8">
        <f>AF167*AC167</f>
        <v/>
      </c>
      <c r="AH167" s="8">
        <f>IF(AA167="","",IFERROR(IF(VLOOKUP(AA167,'Unit Conversion'!A:B,2,FALSE)=VLOOKUP(AB167,'Unit Conversion'!A:B,2,FALSE),"OK","Check W/V mismatch"),"Check unit"))</f>
        <v/>
      </c>
      <c r="AI167" s="8" t="n"/>
    </row>
    <row r="168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">
        <f>IF(Y168="","",IFERROR(VLOOKUP(Y168,'Ingredients + Stock'!B:D,3,FALSE),""))</f>
        <v/>
      </c>
      <c r="AC168" s="7">
        <f>IF(Y168="","",IFERROR(VLOOKUP(Y168,'Ingredients + Stock'!B:G,6,FALSE),0))</f>
        <v/>
      </c>
      <c r="AD168" s="7">
        <f>IF(AA168="","",IFERROR(VLOOKUP(AA168,'Unit Conversion'!A:D,4,FALSE),1))</f>
        <v/>
      </c>
      <c r="AE168" s="7">
        <f>IF(AB168="","",IFERROR(VLOOKUP(AB168,'Unit Conversion'!A:D,4,FALSE),1))</f>
        <v/>
      </c>
      <c r="AF168" s="7">
        <f>IF(AA168="","",Z168*AD168/AE168)</f>
        <v/>
      </c>
      <c r="AG168" s="7">
        <f>AF168*AC168</f>
        <v/>
      </c>
      <c r="AH168" s="7">
        <f>IF(AA168="","",IFERROR(IF(VLOOKUP(AA168,'Unit Conversion'!A:B,2,FALSE)=VLOOKUP(AB168,'Unit Conversion'!A:B,2,FALSE),"OK","Check W/V mismatch"),"Check unit"))</f>
        <v/>
      </c>
      <c r="AI168" s="7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  <c r="AA169" s="72" t="n"/>
      <c r="AB169" s="8">
        <f>IF(Y169="","",IFERROR(VLOOKUP(Y169,'Ingredients + Stock'!B:D,3,FALSE),""))</f>
        <v/>
      </c>
      <c r="AC169" s="8">
        <f>IF(Y169="","",IFERROR(VLOOKUP(Y169,'Ingredients + Stock'!B:G,6,FALSE),0))</f>
        <v/>
      </c>
      <c r="AD169" s="8">
        <f>IF(AA169="","",IFERROR(VLOOKUP(AA169,'Unit Conversion'!A:D,4,FALSE),1))</f>
        <v/>
      </c>
      <c r="AE169" s="8">
        <f>IF(AB169="","",IFERROR(VLOOKUP(AB169,'Unit Conversion'!A:D,4,FALSE),1))</f>
        <v/>
      </c>
      <c r="AF169" s="8">
        <f>IF(AA169="","",Z169*AD169/AE169)</f>
        <v/>
      </c>
      <c r="AG169" s="8">
        <f>AF169*AC169</f>
        <v/>
      </c>
      <c r="AH169" s="8">
        <f>IF(AA169="","",IFERROR(IF(VLOOKUP(AA169,'Unit Conversion'!A:B,2,FALSE)=VLOOKUP(AB169,'Unit Conversion'!A:B,2,FALSE),"OK","Check W/V mismatch"),"Check unit"))</f>
        <v/>
      </c>
      <c r="AI169" s="8" t="n"/>
    </row>
    <row r="170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">
        <f>IF(Y170="","",IFERROR(VLOOKUP(Y170,'Ingredients + Stock'!B:D,3,FALSE),""))</f>
        <v/>
      </c>
      <c r="AC170" s="7">
        <f>IF(Y170="","",IFERROR(VLOOKUP(Y170,'Ingredients + Stock'!B:G,6,FALSE),0))</f>
        <v/>
      </c>
      <c r="AD170" s="7">
        <f>IF(AA170="","",IFERROR(VLOOKUP(AA170,'Unit Conversion'!A:D,4,FALSE),1))</f>
        <v/>
      </c>
      <c r="AE170" s="7">
        <f>IF(AB170="","",IFERROR(VLOOKUP(AB170,'Unit Conversion'!A:D,4,FALSE),1))</f>
        <v/>
      </c>
      <c r="AF170" s="7">
        <f>IF(AA170="","",Z170*AD170/AE170)</f>
        <v/>
      </c>
      <c r="AG170" s="7">
        <f>AF170*AC170</f>
        <v/>
      </c>
      <c r="AH170" s="7">
        <f>IF(AA170="","",IFERROR(IF(VLOOKUP(AA170,'Unit Conversion'!A:B,2,FALSE)=VLOOKUP(AB170,'Unit Conversion'!A:B,2,FALSE),"OK","Check W/V mismatch"),"Check unit"))</f>
        <v/>
      </c>
      <c r="AI170" s="7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  <c r="AA171" s="72" t="n"/>
      <c r="AB171" s="8">
        <f>IF(Y171="","",IFERROR(VLOOKUP(Y171,'Ingredients + Stock'!B:D,3,FALSE),""))</f>
        <v/>
      </c>
      <c r="AC171" s="8">
        <f>IF(Y171="","",IFERROR(VLOOKUP(Y171,'Ingredients + Stock'!B:G,6,FALSE),0))</f>
        <v/>
      </c>
      <c r="AD171" s="8">
        <f>IF(AA171="","",IFERROR(VLOOKUP(AA171,'Unit Conversion'!A:D,4,FALSE),1))</f>
        <v/>
      </c>
      <c r="AE171" s="8">
        <f>IF(AB171="","",IFERROR(VLOOKUP(AB171,'Unit Conversion'!A:D,4,FALSE),1))</f>
        <v/>
      </c>
      <c r="AF171" s="8">
        <f>IF(AA171="","",Z171*AD171/AE171)</f>
        <v/>
      </c>
      <c r="AG171" s="8">
        <f>AF171*AC171</f>
        <v/>
      </c>
      <c r="AH171" s="8">
        <f>IF(AA171="","",IFERROR(IF(VLOOKUP(AA171,'Unit Conversion'!A:B,2,FALSE)=VLOOKUP(AB171,'Unit Conversion'!A:B,2,FALSE),"OK","Check W/V mismatch"),"Check unit"))</f>
        <v/>
      </c>
      <c r="AI171" s="8" t="n"/>
    </row>
    <row r="172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">
        <f>IF(Y172="","",IFERROR(VLOOKUP(Y172,'Ingredients + Stock'!B:D,3,FALSE),""))</f>
        <v/>
      </c>
      <c r="AC172" s="7">
        <f>IF(Y172="","",IFERROR(VLOOKUP(Y172,'Ingredients + Stock'!B:G,6,FALSE),0))</f>
        <v/>
      </c>
      <c r="AD172" s="7">
        <f>IF(AA172="","",IFERROR(VLOOKUP(AA172,'Unit Conversion'!A:D,4,FALSE),1))</f>
        <v/>
      </c>
      <c r="AE172" s="7">
        <f>IF(AB172="","",IFERROR(VLOOKUP(AB172,'Unit Conversion'!A:D,4,FALSE),1))</f>
        <v/>
      </c>
      <c r="AF172" s="7">
        <f>IF(AA172="","",Z172*AD172/AE172)</f>
        <v/>
      </c>
      <c r="AG172" s="7">
        <f>AF172*AC172</f>
        <v/>
      </c>
      <c r="AH172" s="7">
        <f>IF(AA172="","",IFERROR(IF(VLOOKUP(AA172,'Unit Conversion'!A:B,2,FALSE)=VLOOKUP(AB172,'Unit Conversion'!A:B,2,FALSE),"OK","Check W/V mismatch"),"Check unit"))</f>
        <v/>
      </c>
      <c r="AI172" s="7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  <c r="AA173" s="72" t="n"/>
      <c r="AB173" s="8">
        <f>IF(Y173="","",IFERROR(VLOOKUP(Y173,'Ingredients + Stock'!B:D,3,FALSE),""))</f>
        <v/>
      </c>
      <c r="AC173" s="8">
        <f>IF(Y173="","",IFERROR(VLOOKUP(Y173,'Ingredients + Stock'!B:G,6,FALSE),0))</f>
        <v/>
      </c>
      <c r="AD173" s="8">
        <f>IF(AA173="","",IFERROR(VLOOKUP(AA173,'Unit Conversion'!A:D,4,FALSE),1))</f>
        <v/>
      </c>
      <c r="AE173" s="8">
        <f>IF(AB173="","",IFERROR(VLOOKUP(AB173,'Unit Conversion'!A:D,4,FALSE),1))</f>
        <v/>
      </c>
      <c r="AF173" s="8">
        <f>IF(AA173="","",Z173*AD173/AE173)</f>
        <v/>
      </c>
      <c r="AG173" s="8">
        <f>AF173*AC173</f>
        <v/>
      </c>
      <c r="AH173" s="8">
        <f>IF(AA173="","",IFERROR(IF(VLOOKUP(AA173,'Unit Conversion'!A:B,2,FALSE)=VLOOKUP(AB173,'Unit Conversion'!A:B,2,FALSE),"OK","Check W/V mismatch"),"Check unit"))</f>
        <v/>
      </c>
      <c r="AI173" s="8" t="n"/>
    </row>
    <row r="174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">
        <f>IF(Y174="","",IFERROR(VLOOKUP(Y174,'Ingredients + Stock'!B:D,3,FALSE),""))</f>
        <v/>
      </c>
      <c r="AC174" s="7">
        <f>IF(Y174="","",IFERROR(VLOOKUP(Y174,'Ingredients + Stock'!B:G,6,FALSE),0))</f>
        <v/>
      </c>
      <c r="AD174" s="7">
        <f>IF(AA174="","",IFERROR(VLOOKUP(AA174,'Unit Conversion'!A:D,4,FALSE),1))</f>
        <v/>
      </c>
      <c r="AE174" s="7">
        <f>IF(AB174="","",IFERROR(VLOOKUP(AB174,'Unit Conversion'!A:D,4,FALSE),1))</f>
        <v/>
      </c>
      <c r="AF174" s="7">
        <f>IF(AA174="","",Z174*AD174/AE174)</f>
        <v/>
      </c>
      <c r="AG174" s="7">
        <f>AF174*AC174</f>
        <v/>
      </c>
      <c r="AH174" s="7">
        <f>IF(AA174="","",IFERROR(IF(VLOOKUP(AA174,'Unit Conversion'!A:B,2,FALSE)=VLOOKUP(AB174,'Unit Conversion'!A:B,2,FALSE),"OK","Check W/V mismatch"),"Check unit"))</f>
        <v/>
      </c>
      <c r="AI174" s="7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  <c r="AA175" s="72" t="n"/>
      <c r="AB175" s="8">
        <f>IF(Y175="","",IFERROR(VLOOKUP(Y175,'Ingredients + Stock'!B:D,3,FALSE),""))</f>
        <v/>
      </c>
      <c r="AC175" s="8">
        <f>IF(Y175="","",IFERROR(VLOOKUP(Y175,'Ingredients + Stock'!B:G,6,FALSE),0))</f>
        <v/>
      </c>
      <c r="AD175" s="8">
        <f>IF(AA175="","",IFERROR(VLOOKUP(AA175,'Unit Conversion'!A:D,4,FALSE),1))</f>
        <v/>
      </c>
      <c r="AE175" s="8">
        <f>IF(AB175="","",IFERROR(VLOOKUP(AB175,'Unit Conversion'!A:D,4,FALSE),1))</f>
        <v/>
      </c>
      <c r="AF175" s="8">
        <f>IF(AA175="","",Z175*AD175/AE175)</f>
        <v/>
      </c>
      <c r="AG175" s="8">
        <f>AF175*AC175</f>
        <v/>
      </c>
      <c r="AH175" s="8">
        <f>IF(AA175="","",IFERROR(IF(VLOOKUP(AA175,'Unit Conversion'!A:B,2,FALSE)=VLOOKUP(AB175,'Unit Conversion'!A:B,2,FALSE),"OK","Check W/V mismatch"),"Check unit"))</f>
        <v/>
      </c>
      <c r="AI175" s="8" t="n"/>
    </row>
    <row r="176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">
        <f>IF(Y176="","",IFERROR(VLOOKUP(Y176,'Ingredients + Stock'!B:D,3,FALSE),""))</f>
        <v/>
      </c>
      <c r="AC176" s="7">
        <f>IF(Y176="","",IFERROR(VLOOKUP(Y176,'Ingredients + Stock'!B:G,6,FALSE),0))</f>
        <v/>
      </c>
      <c r="AD176" s="7">
        <f>IF(AA176="","",IFERROR(VLOOKUP(AA176,'Unit Conversion'!A:D,4,FALSE),1))</f>
        <v/>
      </c>
      <c r="AE176" s="7">
        <f>IF(AB176="","",IFERROR(VLOOKUP(AB176,'Unit Conversion'!A:D,4,FALSE),1))</f>
        <v/>
      </c>
      <c r="AF176" s="7">
        <f>IF(AA176="","",Z176*AD176/AE176)</f>
        <v/>
      </c>
      <c r="AG176" s="7">
        <f>AF176*AC176</f>
        <v/>
      </c>
      <c r="AH176" s="7">
        <f>IF(AA176="","",IFERROR(IF(VLOOKUP(AA176,'Unit Conversion'!A:B,2,FALSE)=VLOOKUP(AB176,'Unit Conversion'!A:B,2,FALSE),"OK","Check W/V mismatch"),"Check unit"))</f>
        <v/>
      </c>
      <c r="AI176" s="7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  <c r="AA177" s="72" t="n"/>
      <c r="AB177" s="8">
        <f>IF(Y177="","",IFERROR(VLOOKUP(Y177,'Ingredients + Stock'!B:D,3,FALSE),""))</f>
        <v/>
      </c>
      <c r="AC177" s="8">
        <f>IF(Y177="","",IFERROR(VLOOKUP(Y177,'Ingredients + Stock'!B:G,6,FALSE),0))</f>
        <v/>
      </c>
      <c r="AD177" s="8">
        <f>IF(AA177="","",IFERROR(VLOOKUP(AA177,'Unit Conversion'!A:D,4,FALSE),1))</f>
        <v/>
      </c>
      <c r="AE177" s="8">
        <f>IF(AB177="","",IFERROR(VLOOKUP(AB177,'Unit Conversion'!A:D,4,FALSE),1))</f>
        <v/>
      </c>
      <c r="AF177" s="8">
        <f>IF(AA177="","",Z177*AD177/AE177)</f>
        <v/>
      </c>
      <c r="AG177" s="8">
        <f>AF177*AC177</f>
        <v/>
      </c>
      <c r="AH177" s="8">
        <f>IF(AA177="","",IFERROR(IF(VLOOKUP(AA177,'Unit Conversion'!A:B,2,FALSE)=VLOOKUP(AB177,'Unit Conversion'!A:B,2,FALSE),"OK","Check W/V mismatch"),"Check unit"))</f>
        <v/>
      </c>
      <c r="AI177" s="8" t="n"/>
    </row>
    <row r="178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">
        <f>IF(Y178="","",IFERROR(VLOOKUP(Y178,'Ingredients + Stock'!B:D,3,FALSE),""))</f>
        <v/>
      </c>
      <c r="AC178" s="7">
        <f>IF(Y178="","",IFERROR(VLOOKUP(Y178,'Ingredients + Stock'!B:G,6,FALSE),0))</f>
        <v/>
      </c>
      <c r="AD178" s="7">
        <f>IF(AA178="","",IFERROR(VLOOKUP(AA178,'Unit Conversion'!A:D,4,FALSE),1))</f>
        <v/>
      </c>
      <c r="AE178" s="7">
        <f>IF(AB178="","",IFERROR(VLOOKUP(AB178,'Unit Conversion'!A:D,4,FALSE),1))</f>
        <v/>
      </c>
      <c r="AF178" s="7">
        <f>IF(AA178="","",Z178*AD178/AE178)</f>
        <v/>
      </c>
      <c r="AG178" s="7">
        <f>AF178*AC178</f>
        <v/>
      </c>
      <c r="AH178" s="7">
        <f>IF(AA178="","",IFERROR(IF(VLOOKUP(AA178,'Unit Conversion'!A:B,2,FALSE)=VLOOKUP(AB178,'Unit Conversion'!A:B,2,FALSE),"OK","Check W/V mismatch"),"Check unit"))</f>
        <v/>
      </c>
      <c r="AI178" s="7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  <c r="AA179" s="72" t="n"/>
      <c r="AB179" s="8">
        <f>IF(Y179="","",IFERROR(VLOOKUP(Y179,'Ingredients + Stock'!B:D,3,FALSE),""))</f>
        <v/>
      </c>
      <c r="AC179" s="8">
        <f>IF(Y179="","",IFERROR(VLOOKUP(Y179,'Ingredients + Stock'!B:G,6,FALSE),0))</f>
        <v/>
      </c>
      <c r="AD179" s="8">
        <f>IF(AA179="","",IFERROR(VLOOKUP(AA179,'Unit Conversion'!A:D,4,FALSE),1))</f>
        <v/>
      </c>
      <c r="AE179" s="8">
        <f>IF(AB179="","",IFERROR(VLOOKUP(AB179,'Unit Conversion'!A:D,4,FALSE),1))</f>
        <v/>
      </c>
      <c r="AF179" s="8">
        <f>IF(AA179="","",Z179*AD179/AE179)</f>
        <v/>
      </c>
      <c r="AG179" s="8">
        <f>AF179*AC179</f>
        <v/>
      </c>
      <c r="AH179" s="8">
        <f>IF(AA179="","",IFERROR(IF(VLOOKUP(AA179,'Unit Conversion'!A:B,2,FALSE)=VLOOKUP(AB179,'Unit Conversion'!A:B,2,FALSE),"OK","Check W/V mismatch"),"Check unit"))</f>
        <v/>
      </c>
      <c r="AI179" s="8" t="n"/>
    </row>
    <row r="180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">
        <f>IF(Y180="","",IFERROR(VLOOKUP(Y180,'Ingredients + Stock'!B:D,3,FALSE),""))</f>
        <v/>
      </c>
      <c r="AC180" s="7">
        <f>IF(Y180="","",IFERROR(VLOOKUP(Y180,'Ingredients + Stock'!B:G,6,FALSE),0))</f>
        <v/>
      </c>
      <c r="AD180" s="7">
        <f>IF(AA180="","",IFERROR(VLOOKUP(AA180,'Unit Conversion'!A:D,4,FALSE),1))</f>
        <v/>
      </c>
      <c r="AE180" s="7">
        <f>IF(AB180="","",IFERROR(VLOOKUP(AB180,'Unit Conversion'!A:D,4,FALSE),1))</f>
        <v/>
      </c>
      <c r="AF180" s="7">
        <f>IF(AA180="","",Z180*AD180/AE180)</f>
        <v/>
      </c>
      <c r="AG180" s="7">
        <f>AF180*AC180</f>
        <v/>
      </c>
      <c r="AH180" s="7">
        <f>IF(AA180="","",IFERROR(IF(VLOOKUP(AA180,'Unit Conversion'!A:B,2,FALSE)=VLOOKUP(AB180,'Unit Conversion'!A:B,2,FALSE),"OK","Check W/V mismatch"),"Check unit"))</f>
        <v/>
      </c>
      <c r="AI180" s="7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  <c r="AA181" s="72" t="n"/>
      <c r="AB181" s="8">
        <f>IF(Y181="","",IFERROR(VLOOKUP(Y181,'Ingredients + Stock'!B:D,3,FALSE),""))</f>
        <v/>
      </c>
      <c r="AC181" s="8">
        <f>IF(Y181="","",IFERROR(VLOOKUP(Y181,'Ingredients + Stock'!B:G,6,FALSE),0))</f>
        <v/>
      </c>
      <c r="AD181" s="8">
        <f>IF(AA181="","",IFERROR(VLOOKUP(AA181,'Unit Conversion'!A:D,4,FALSE),1))</f>
        <v/>
      </c>
      <c r="AE181" s="8">
        <f>IF(AB181="","",IFERROR(VLOOKUP(AB181,'Unit Conversion'!A:D,4,FALSE),1))</f>
        <v/>
      </c>
      <c r="AF181" s="8">
        <f>IF(AA181="","",Z181*AD181/AE181)</f>
        <v/>
      </c>
      <c r="AG181" s="8">
        <f>AF181*AC181</f>
        <v/>
      </c>
      <c r="AH181" s="8">
        <f>IF(AA181="","",IFERROR(IF(VLOOKUP(AA181,'Unit Conversion'!A:B,2,FALSE)=VLOOKUP(AB181,'Unit Conversion'!A:B,2,FALSE),"OK","Check W/V mismatch"),"Check unit"))</f>
        <v/>
      </c>
      <c r="AI181" s="8" t="n"/>
    </row>
    <row r="182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">
        <f>IF(Y182="","",IFERROR(VLOOKUP(Y182,'Ingredients + Stock'!B:D,3,FALSE),""))</f>
        <v/>
      </c>
      <c r="AC182" s="7">
        <f>IF(Y182="","",IFERROR(VLOOKUP(Y182,'Ingredients + Stock'!B:G,6,FALSE),0))</f>
        <v/>
      </c>
      <c r="AD182" s="7">
        <f>IF(AA182="","",IFERROR(VLOOKUP(AA182,'Unit Conversion'!A:D,4,FALSE),1))</f>
        <v/>
      </c>
      <c r="AE182" s="7">
        <f>IF(AB182="","",IFERROR(VLOOKUP(AB182,'Unit Conversion'!A:D,4,FALSE),1))</f>
        <v/>
      </c>
      <c r="AF182" s="7">
        <f>IF(AA182="","",Z182*AD182/AE182)</f>
        <v/>
      </c>
      <c r="AG182" s="7">
        <f>AF182*AC182</f>
        <v/>
      </c>
      <c r="AH182" s="7">
        <f>IF(AA182="","",IFERROR(IF(VLOOKUP(AA182,'Unit Conversion'!A:B,2,FALSE)=VLOOKUP(AB182,'Unit Conversion'!A:B,2,FALSE),"OK","Check W/V mismatch"),"Check unit"))</f>
        <v/>
      </c>
      <c r="AI182" s="7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  <c r="AA183" s="72" t="n"/>
      <c r="AB183" s="8">
        <f>IF(Y183="","",IFERROR(VLOOKUP(Y183,'Ingredients + Stock'!B:D,3,FALSE),""))</f>
        <v/>
      </c>
      <c r="AC183" s="8">
        <f>IF(Y183="","",IFERROR(VLOOKUP(Y183,'Ingredients + Stock'!B:G,6,FALSE),0))</f>
        <v/>
      </c>
      <c r="AD183" s="8">
        <f>IF(AA183="","",IFERROR(VLOOKUP(AA183,'Unit Conversion'!A:D,4,FALSE),1))</f>
        <v/>
      </c>
      <c r="AE183" s="8">
        <f>IF(AB183="","",IFERROR(VLOOKUP(AB183,'Unit Conversion'!A:D,4,FALSE),1))</f>
        <v/>
      </c>
      <c r="AF183" s="8">
        <f>IF(AA183="","",Z183*AD183/AE183)</f>
        <v/>
      </c>
      <c r="AG183" s="8">
        <f>AF183*AC183</f>
        <v/>
      </c>
      <c r="AH183" s="8">
        <f>IF(AA183="","",IFERROR(IF(VLOOKUP(AA183,'Unit Conversion'!A:B,2,FALSE)=VLOOKUP(AB183,'Unit Conversion'!A:B,2,FALSE),"OK","Check W/V mismatch"),"Check unit"))</f>
        <v/>
      </c>
      <c r="AI183" s="8" t="n"/>
    </row>
    <row r="184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">
        <f>IF(Y184="","",IFERROR(VLOOKUP(Y184,'Ingredients + Stock'!B:D,3,FALSE),""))</f>
        <v/>
      </c>
      <c r="AC184" s="7">
        <f>IF(Y184="","",IFERROR(VLOOKUP(Y184,'Ingredients + Stock'!B:G,6,FALSE),0))</f>
        <v/>
      </c>
      <c r="AD184" s="7">
        <f>IF(AA184="","",IFERROR(VLOOKUP(AA184,'Unit Conversion'!A:D,4,FALSE),1))</f>
        <v/>
      </c>
      <c r="AE184" s="7">
        <f>IF(AB184="","",IFERROR(VLOOKUP(AB184,'Unit Conversion'!A:D,4,FALSE),1))</f>
        <v/>
      </c>
      <c r="AF184" s="7">
        <f>IF(AA184="","",Z184*AD184/AE184)</f>
        <v/>
      </c>
      <c r="AG184" s="7">
        <f>AF184*AC184</f>
        <v/>
      </c>
      <c r="AH184" s="7">
        <f>IF(AA184="","",IFERROR(IF(VLOOKUP(AA184,'Unit Conversion'!A:B,2,FALSE)=VLOOKUP(AB184,'Unit Conversion'!A:B,2,FALSE),"OK","Check W/V mismatch"),"Check unit"))</f>
        <v/>
      </c>
      <c r="AI184" s="7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  <c r="AA185" s="72" t="n"/>
      <c r="AB185" s="8">
        <f>IF(Y185="","",IFERROR(VLOOKUP(Y185,'Ingredients + Stock'!B:D,3,FALSE),""))</f>
        <v/>
      </c>
      <c r="AC185" s="8">
        <f>IF(Y185="","",IFERROR(VLOOKUP(Y185,'Ingredients + Stock'!B:G,6,FALSE),0))</f>
        <v/>
      </c>
      <c r="AD185" s="8">
        <f>IF(AA185="","",IFERROR(VLOOKUP(AA185,'Unit Conversion'!A:D,4,FALSE),1))</f>
        <v/>
      </c>
      <c r="AE185" s="8">
        <f>IF(AB185="","",IFERROR(VLOOKUP(AB185,'Unit Conversion'!A:D,4,FALSE),1))</f>
        <v/>
      </c>
      <c r="AF185" s="8">
        <f>IF(AA185="","",Z185*AD185/AE185)</f>
        <v/>
      </c>
      <c r="AG185" s="8">
        <f>AF185*AC185</f>
        <v/>
      </c>
      <c r="AH185" s="8">
        <f>IF(AA185="","",IFERROR(IF(VLOOKUP(AA185,'Unit Conversion'!A:B,2,FALSE)=VLOOKUP(AB185,'Unit Conversion'!A:B,2,FALSE),"OK","Check W/V mismatch"),"Check unit"))</f>
        <v/>
      </c>
      <c r="AI185" s="8" t="n"/>
    </row>
    <row r="186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">
        <f>IF(Y186="","",IFERROR(VLOOKUP(Y186,'Ingredients + Stock'!B:D,3,FALSE),""))</f>
        <v/>
      </c>
      <c r="AC186" s="7">
        <f>IF(Y186="","",IFERROR(VLOOKUP(Y186,'Ingredients + Stock'!B:G,6,FALSE),0))</f>
        <v/>
      </c>
      <c r="AD186" s="7">
        <f>IF(AA186="","",IFERROR(VLOOKUP(AA186,'Unit Conversion'!A:D,4,FALSE),1))</f>
        <v/>
      </c>
      <c r="AE186" s="7">
        <f>IF(AB186="","",IFERROR(VLOOKUP(AB186,'Unit Conversion'!A:D,4,FALSE),1))</f>
        <v/>
      </c>
      <c r="AF186" s="7">
        <f>IF(AA186="","",Z186*AD186/AE186)</f>
        <v/>
      </c>
      <c r="AG186" s="7">
        <f>AF186*AC186</f>
        <v/>
      </c>
      <c r="AH186" s="7">
        <f>IF(AA186="","",IFERROR(IF(VLOOKUP(AA186,'Unit Conversion'!A:B,2,FALSE)=VLOOKUP(AB186,'Unit Conversion'!A:B,2,FALSE),"OK","Check W/V mismatch"),"Check unit"))</f>
        <v/>
      </c>
      <c r="AI186" s="7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8">
        <f>IF(Y187="","",IFERROR(VLOOKUP(Y187,'Ingredients + Stock'!B:D,3,FALSE),""))</f>
        <v/>
      </c>
      <c r="AC187" s="8">
        <f>IF(Y187="","",IFERROR(VLOOKUP(Y187,'Ingredients + Stock'!B:G,6,FALSE),0))</f>
        <v/>
      </c>
      <c r="AD187" s="8">
        <f>IF(AA187="","",IFERROR(VLOOKUP(AA187,'Unit Conversion'!A:D,4,FALSE),1))</f>
        <v/>
      </c>
      <c r="AE187" s="8">
        <f>IF(AB187="","",IFERROR(VLOOKUP(AB187,'Unit Conversion'!A:D,4,FALSE),1))</f>
        <v/>
      </c>
      <c r="AF187" s="8">
        <f>IF(AA187="","",Z187*AD187/AE187)</f>
        <v/>
      </c>
      <c r="AG187" s="8">
        <f>AF187*AC187</f>
        <v/>
      </c>
      <c r="AH187" s="8">
        <f>IF(AA187="","",IFERROR(IF(VLOOKUP(AA187,'Unit Conversion'!A:B,2,FALSE)=VLOOKUP(AB187,'Unit Conversion'!A:B,2,FALSE),"OK","Check W/V mismatch"),"Check unit"))</f>
        <v/>
      </c>
      <c r="AI187" s="8" t="n"/>
    </row>
    <row r="188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">
        <f>IF(Y188="","",IFERROR(VLOOKUP(Y188,'Ingredients + Stock'!B:D,3,FALSE),""))</f>
        <v/>
      </c>
      <c r="AC188" s="7">
        <f>IF(Y188="","",IFERROR(VLOOKUP(Y188,'Ingredients + Stock'!B:G,6,FALSE),0))</f>
        <v/>
      </c>
      <c r="AD188" s="7">
        <f>IF(AA188="","",IFERROR(VLOOKUP(AA188,'Unit Conversion'!A:D,4,FALSE),1))</f>
        <v/>
      </c>
      <c r="AE188" s="7">
        <f>IF(AB188="","",IFERROR(VLOOKUP(AB188,'Unit Conversion'!A:D,4,FALSE),1))</f>
        <v/>
      </c>
      <c r="AF188" s="7">
        <f>IF(AA188="","",Z188*AD188/AE188)</f>
        <v/>
      </c>
      <c r="AG188" s="7">
        <f>AF188*AC188</f>
        <v/>
      </c>
      <c r="AH188" s="7">
        <f>IF(AA188="","",IFERROR(IF(VLOOKUP(AA188,'Unit Conversion'!A:B,2,FALSE)=VLOOKUP(AB188,'Unit Conversion'!A:B,2,FALSE),"OK","Check W/V mismatch"),"Check unit"))</f>
        <v/>
      </c>
      <c r="AI188" s="7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8">
        <f>IF(Y189="","",IFERROR(VLOOKUP(Y189,'Ingredients + Stock'!B:D,3,FALSE),""))</f>
        <v/>
      </c>
      <c r="AC189" s="8">
        <f>IF(Y189="","",IFERROR(VLOOKUP(Y189,'Ingredients + Stock'!B:G,6,FALSE),0))</f>
        <v/>
      </c>
      <c r="AD189" s="8">
        <f>IF(AA189="","",IFERROR(VLOOKUP(AA189,'Unit Conversion'!A:D,4,FALSE),1))</f>
        <v/>
      </c>
      <c r="AE189" s="8">
        <f>IF(AB189="","",IFERROR(VLOOKUP(AB189,'Unit Conversion'!A:D,4,FALSE),1))</f>
        <v/>
      </c>
      <c r="AF189" s="8">
        <f>IF(AA189="","",Z189*AD189/AE189)</f>
        <v/>
      </c>
      <c r="AG189" s="8">
        <f>AF189*AC189</f>
        <v/>
      </c>
      <c r="AH189" s="8">
        <f>IF(AA189="","",IFERROR(IF(VLOOKUP(AA189,'Unit Conversion'!A:B,2,FALSE)=VLOOKUP(AB189,'Unit Conversion'!A:B,2,FALSE),"OK","Check W/V mismatch"),"Check unit"))</f>
        <v/>
      </c>
      <c r="AI189" s="8" t="n"/>
    </row>
    <row r="190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  <c r="AA190" s="71" t="n"/>
      <c r="AB190" s="7">
        <f>IF(Y190="","",IFERROR(VLOOKUP(Y190,'Ingredients + Stock'!B:D,3,FALSE),""))</f>
        <v/>
      </c>
      <c r="AC190" s="7">
        <f>IF(Y190="","",IFERROR(VLOOKUP(Y190,'Ingredients + Stock'!B:G,6,FALSE),0))</f>
        <v/>
      </c>
      <c r="AD190" s="7">
        <f>IF(AA190="","",IFERROR(VLOOKUP(AA190,'Unit Conversion'!A:D,4,FALSE),1))</f>
        <v/>
      </c>
      <c r="AE190" s="7">
        <f>IF(AB190="","",IFERROR(VLOOKUP(AB190,'Unit Conversion'!A:D,4,FALSE),1))</f>
        <v/>
      </c>
      <c r="AF190" s="7">
        <f>IF(AA190="","",Z190*AD190/AE190)</f>
        <v/>
      </c>
      <c r="AG190" s="7">
        <f>AF190*AC190</f>
        <v/>
      </c>
      <c r="AH190" s="7">
        <f>IF(AA190="","",IFERROR(IF(VLOOKUP(AA190,'Unit Conversion'!A:B,2,FALSE)=VLOOKUP(AB190,'Unit Conversion'!A:B,2,FALSE),"OK","Check W/V mismatch"),"Check unit"))</f>
        <v/>
      </c>
      <c r="AI190" s="7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8">
        <f>IF(Y191="","",IFERROR(VLOOKUP(Y191,'Ingredients + Stock'!B:D,3,FALSE),""))</f>
        <v/>
      </c>
      <c r="AC191" s="8">
        <f>IF(Y191="","",IFERROR(VLOOKUP(Y191,'Ingredients + Stock'!B:G,6,FALSE),0))</f>
        <v/>
      </c>
      <c r="AD191" s="8">
        <f>IF(AA191="","",IFERROR(VLOOKUP(AA191,'Unit Conversion'!A:D,4,FALSE),1))</f>
        <v/>
      </c>
      <c r="AE191" s="8">
        <f>IF(AB191="","",IFERROR(VLOOKUP(AB191,'Unit Conversion'!A:D,4,FALSE),1))</f>
        <v/>
      </c>
      <c r="AF191" s="8">
        <f>IF(AA191="","",Z191*AD191/AE191)</f>
        <v/>
      </c>
      <c r="AG191" s="8">
        <f>AF191*AC191</f>
        <v/>
      </c>
      <c r="AH191" s="8">
        <f>IF(AA191="","",IFERROR(IF(VLOOKUP(AA191,'Unit Conversion'!A:B,2,FALSE)=VLOOKUP(AB191,'Unit Conversion'!A:B,2,FALSE),"OK","Check W/V mismatch"),"Check unit"))</f>
        <v/>
      </c>
      <c r="AI191" s="8" t="n"/>
    </row>
    <row r="192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">
        <f>IF(Y192="","",IFERROR(VLOOKUP(Y192,'Ingredients + Stock'!B:D,3,FALSE),""))</f>
        <v/>
      </c>
      <c r="AC192" s="7">
        <f>IF(Y192="","",IFERROR(VLOOKUP(Y192,'Ingredients + Stock'!B:G,6,FALSE),0))</f>
        <v/>
      </c>
      <c r="AD192" s="7">
        <f>IF(AA192="","",IFERROR(VLOOKUP(AA192,'Unit Conversion'!A:D,4,FALSE),1))</f>
        <v/>
      </c>
      <c r="AE192" s="7">
        <f>IF(AB192="","",IFERROR(VLOOKUP(AB192,'Unit Conversion'!A:D,4,FALSE),1))</f>
        <v/>
      </c>
      <c r="AF192" s="7">
        <f>IF(AA192="","",Z192*AD192/AE192)</f>
        <v/>
      </c>
      <c r="AG192" s="7">
        <f>AF192*AC192</f>
        <v/>
      </c>
      <c r="AH192" s="7">
        <f>IF(AA192="","",IFERROR(IF(VLOOKUP(AA192,'Unit Conversion'!A:B,2,FALSE)=VLOOKUP(AB192,'Unit Conversion'!A:B,2,FALSE),"OK","Check W/V mismatch"),"Check unit"))</f>
        <v/>
      </c>
      <c r="AI192" s="7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  <c r="AA193" s="72" t="n"/>
      <c r="AB193" s="8">
        <f>IF(Y193="","",IFERROR(VLOOKUP(Y193,'Ingredients + Stock'!B:D,3,FALSE),""))</f>
        <v/>
      </c>
      <c r="AC193" s="8">
        <f>IF(Y193="","",IFERROR(VLOOKUP(Y193,'Ingredients + Stock'!B:G,6,FALSE),0))</f>
        <v/>
      </c>
      <c r="AD193" s="8">
        <f>IF(AA193="","",IFERROR(VLOOKUP(AA193,'Unit Conversion'!A:D,4,FALSE),1))</f>
        <v/>
      </c>
      <c r="AE193" s="8">
        <f>IF(AB193="","",IFERROR(VLOOKUP(AB193,'Unit Conversion'!A:D,4,FALSE),1))</f>
        <v/>
      </c>
      <c r="AF193" s="8">
        <f>IF(AA193="","",Z193*AD193/AE193)</f>
        <v/>
      </c>
      <c r="AG193" s="8">
        <f>AF193*AC193</f>
        <v/>
      </c>
      <c r="AH193" s="8">
        <f>IF(AA193="","",IFERROR(IF(VLOOKUP(AA193,'Unit Conversion'!A:B,2,FALSE)=VLOOKUP(AB193,'Unit Conversion'!A:B,2,FALSE),"OK","Check W/V mismatch"),"Check unit"))</f>
        <v/>
      </c>
      <c r="AI193" s="8" t="n"/>
    </row>
    <row r="194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">
        <f>IF(Y194="","",IFERROR(VLOOKUP(Y194,'Ingredients + Stock'!B:D,3,FALSE),""))</f>
        <v/>
      </c>
      <c r="AC194" s="7">
        <f>IF(Y194="","",IFERROR(VLOOKUP(Y194,'Ingredients + Stock'!B:G,6,FALSE),0))</f>
        <v/>
      </c>
      <c r="AD194" s="7">
        <f>IF(AA194="","",IFERROR(VLOOKUP(AA194,'Unit Conversion'!A:D,4,FALSE),1))</f>
        <v/>
      </c>
      <c r="AE194" s="7">
        <f>IF(AB194="","",IFERROR(VLOOKUP(AB194,'Unit Conversion'!A:D,4,FALSE),1))</f>
        <v/>
      </c>
      <c r="AF194" s="7">
        <f>IF(AA194="","",Z194*AD194/AE194)</f>
        <v/>
      </c>
      <c r="AG194" s="7">
        <f>AF194*AC194</f>
        <v/>
      </c>
      <c r="AH194" s="7">
        <f>IF(AA194="","",IFERROR(IF(VLOOKUP(AA194,'Unit Conversion'!A:B,2,FALSE)=VLOOKUP(AB194,'Unit Conversion'!A:B,2,FALSE),"OK","Check W/V mismatch"),"Check unit"))</f>
        <v/>
      </c>
      <c r="AI194" s="7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  <c r="AA195" s="72" t="n"/>
      <c r="AB195" s="8">
        <f>IF(Y195="","",IFERROR(VLOOKUP(Y195,'Ingredients + Stock'!B:D,3,FALSE),""))</f>
        <v/>
      </c>
      <c r="AC195" s="8">
        <f>IF(Y195="","",IFERROR(VLOOKUP(Y195,'Ingredients + Stock'!B:G,6,FALSE),0))</f>
        <v/>
      </c>
      <c r="AD195" s="8">
        <f>IF(AA195="","",IFERROR(VLOOKUP(AA195,'Unit Conversion'!A:D,4,FALSE),1))</f>
        <v/>
      </c>
      <c r="AE195" s="8">
        <f>IF(AB195="","",IFERROR(VLOOKUP(AB195,'Unit Conversion'!A:D,4,FALSE),1))</f>
        <v/>
      </c>
      <c r="AF195" s="8">
        <f>IF(AA195="","",Z195*AD195/AE195)</f>
        <v/>
      </c>
      <c r="AG195" s="8">
        <f>AF195*AC195</f>
        <v/>
      </c>
      <c r="AH195" s="8">
        <f>IF(AA195="","",IFERROR(IF(VLOOKUP(AA195,'Unit Conversion'!A:B,2,FALSE)=VLOOKUP(AB195,'Unit Conversion'!A:B,2,FALSE),"OK","Check W/V mismatch"),"Check unit"))</f>
        <v/>
      </c>
      <c r="AI195" s="8" t="n"/>
    </row>
    <row r="196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  <c r="AA196" s="71" t="n"/>
      <c r="AB196" s="7">
        <f>IF(Y196="","",IFERROR(VLOOKUP(Y196,'Ingredients + Stock'!B:D,3,FALSE),""))</f>
        <v/>
      </c>
      <c r="AC196" s="7">
        <f>IF(Y196="","",IFERROR(VLOOKUP(Y196,'Ingredients + Stock'!B:G,6,FALSE),0))</f>
        <v/>
      </c>
      <c r="AD196" s="7">
        <f>IF(AA196="","",IFERROR(VLOOKUP(AA196,'Unit Conversion'!A:D,4,FALSE),1))</f>
        <v/>
      </c>
      <c r="AE196" s="7">
        <f>IF(AB196="","",IFERROR(VLOOKUP(AB196,'Unit Conversion'!A:D,4,FALSE),1))</f>
        <v/>
      </c>
      <c r="AF196" s="7">
        <f>IF(AA196="","",Z196*AD196/AE196)</f>
        <v/>
      </c>
      <c r="AG196" s="7">
        <f>AF196*AC196</f>
        <v/>
      </c>
      <c r="AH196" s="7">
        <f>IF(AA196="","",IFERROR(IF(VLOOKUP(AA196,'Unit Conversion'!A:B,2,FALSE)=VLOOKUP(AB196,'Unit Conversion'!A:B,2,FALSE),"OK","Check W/V mismatch"),"Check unit"))</f>
        <v/>
      </c>
      <c r="AI196" s="7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  <c r="AA197" s="72" t="n"/>
      <c r="AB197" s="8">
        <f>IF(Y197="","",IFERROR(VLOOKUP(Y197,'Ingredients + Stock'!B:D,3,FALSE),""))</f>
        <v/>
      </c>
      <c r="AC197" s="8">
        <f>IF(Y197="","",IFERROR(VLOOKUP(Y197,'Ingredients + Stock'!B:G,6,FALSE),0))</f>
        <v/>
      </c>
      <c r="AD197" s="8">
        <f>IF(AA197="","",IFERROR(VLOOKUP(AA197,'Unit Conversion'!A:D,4,FALSE),1))</f>
        <v/>
      </c>
      <c r="AE197" s="8">
        <f>IF(AB197="","",IFERROR(VLOOKUP(AB197,'Unit Conversion'!A:D,4,FALSE),1))</f>
        <v/>
      </c>
      <c r="AF197" s="8">
        <f>IF(AA197="","",Z197*AD197/AE197)</f>
        <v/>
      </c>
      <c r="AG197" s="8">
        <f>AF197*AC197</f>
        <v/>
      </c>
      <c r="AH197" s="8">
        <f>IF(AA197="","",IFERROR(IF(VLOOKUP(AA197,'Unit Conversion'!A:B,2,FALSE)=VLOOKUP(AB197,'Unit Conversion'!A:B,2,FALSE),"OK","Check W/V mismatch"),"Check unit"))</f>
        <v/>
      </c>
      <c r="AI197" s="8" t="n"/>
    </row>
    <row r="198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">
        <f>IF(Y198="","",IFERROR(VLOOKUP(Y198,'Ingredients + Stock'!B:D,3,FALSE),""))</f>
        <v/>
      </c>
      <c r="AC198" s="7">
        <f>IF(Y198="","",IFERROR(VLOOKUP(Y198,'Ingredients + Stock'!B:G,6,FALSE),0))</f>
        <v/>
      </c>
      <c r="AD198" s="7">
        <f>IF(AA198="","",IFERROR(VLOOKUP(AA198,'Unit Conversion'!A:D,4,FALSE),1))</f>
        <v/>
      </c>
      <c r="AE198" s="7">
        <f>IF(AB198="","",IFERROR(VLOOKUP(AB198,'Unit Conversion'!A:D,4,FALSE),1))</f>
        <v/>
      </c>
      <c r="AF198" s="7">
        <f>IF(AA198="","",Z198*AD198/AE198)</f>
        <v/>
      </c>
      <c r="AG198" s="7">
        <f>AF198*AC198</f>
        <v/>
      </c>
      <c r="AH198" s="7">
        <f>IF(AA198="","",IFERROR(IF(VLOOKUP(AA198,'Unit Conversion'!A:B,2,FALSE)=VLOOKUP(AB198,'Unit Conversion'!A:B,2,FALSE),"OK","Check W/V mismatch"),"Check unit"))</f>
        <v/>
      </c>
      <c r="AI198" s="7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  <c r="AA199" s="72" t="n"/>
      <c r="AB199" s="8">
        <f>IF(Y199="","",IFERROR(VLOOKUP(Y199,'Ingredients + Stock'!B:D,3,FALSE),""))</f>
        <v/>
      </c>
      <c r="AC199" s="8">
        <f>IF(Y199="","",IFERROR(VLOOKUP(Y199,'Ingredients + Stock'!B:G,6,FALSE),0))</f>
        <v/>
      </c>
      <c r="AD199" s="8">
        <f>IF(AA199="","",IFERROR(VLOOKUP(AA199,'Unit Conversion'!A:D,4,FALSE),1))</f>
        <v/>
      </c>
      <c r="AE199" s="8">
        <f>IF(AB199="","",IFERROR(VLOOKUP(AB199,'Unit Conversion'!A:D,4,FALSE),1))</f>
        <v/>
      </c>
      <c r="AF199" s="8">
        <f>IF(AA199="","",Z199*AD199/AE199)</f>
        <v/>
      </c>
      <c r="AG199" s="8">
        <f>AF199*AC199</f>
        <v/>
      </c>
      <c r="AH199" s="8">
        <f>IF(AA199="","",IFERROR(IF(VLOOKUP(AA199,'Unit Conversion'!A:B,2,FALSE)=VLOOKUP(AB199,'Unit Conversion'!A:B,2,FALSE),"OK","Check W/V mismatch"),"Check unit"))</f>
        <v/>
      </c>
      <c r="AI199" s="8" t="n"/>
    </row>
    <row r="200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">
        <f>IF(Y200="","",IFERROR(VLOOKUP(Y200,'Ingredients + Stock'!B:D,3,FALSE),""))</f>
        <v/>
      </c>
      <c r="AC200" s="7">
        <f>IF(Y200="","",IFERROR(VLOOKUP(Y200,'Ingredients + Stock'!B:G,6,FALSE),0))</f>
        <v/>
      </c>
      <c r="AD200" s="7">
        <f>IF(AA200="","",IFERROR(VLOOKUP(AA200,'Unit Conversion'!A:D,4,FALSE),1))</f>
        <v/>
      </c>
      <c r="AE200" s="7">
        <f>IF(AB200="","",IFERROR(VLOOKUP(AB200,'Unit Conversion'!A:D,4,FALSE),1))</f>
        <v/>
      </c>
      <c r="AF200" s="7">
        <f>IF(AA200="","",Z200*AD200/AE200)</f>
        <v/>
      </c>
      <c r="AG200" s="7">
        <f>AF200*AC200</f>
        <v/>
      </c>
      <c r="AH200" s="7">
        <f>IF(AA200="","",IFERROR(IF(VLOOKUP(AA200,'Unit Conversion'!A:B,2,FALSE)=VLOOKUP(AB200,'Unit Conversion'!A:B,2,FALSE),"OK","Check W/V mismatch"),"Check unit"))</f>
        <v/>
      </c>
      <c r="AI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>
        <f>IF(Y201="","",IFERROR(VLOOKUP(Y201,'Ingredients + Stock'!B:D,3,FALSE),""))</f>
        <v/>
      </c>
      <c r="AC201" s="8">
        <f>IF(Y201="","",IFERROR(VLOOKUP(Y201,'Ingredients + Stock'!B:G,6,FALSE),0))</f>
        <v/>
      </c>
      <c r="AD201" s="8">
        <f>IF(AA201="","",IFERROR(VLOOKUP(AA201,'Unit Conversion'!A:D,4,FALSE),1))</f>
        <v/>
      </c>
      <c r="AE201" s="8">
        <f>IF(AB201="","",IFERROR(VLOOKUP(AB201,'Unit Conversion'!A:D,4,FALSE),1))</f>
        <v/>
      </c>
      <c r="AF201" s="8">
        <f>IF(AA201="","",Z201*AD201/AE201)</f>
        <v/>
      </c>
      <c r="AG201" s="8">
        <f>AF201*AC201</f>
        <v/>
      </c>
      <c r="AH201" s="8">
        <f>IF(AA201="","",IFERROR(IF(VLOOKUP(AA201,'Unit Conversion'!A:B,2,FALSE)=VLOOKUP(AB201,'Unit Conversion'!A:B,2,FALSE),"OK","Check W/V mismatch"),"Check unit"))</f>
        <v/>
      </c>
      <c r="AI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>
        <f>IF(Y202="","",IFERROR(VLOOKUP(Y202,'Ingredients + Stock'!B:D,3,FALSE),""))</f>
        <v/>
      </c>
      <c r="AC202" s="7">
        <f>IF(Y202="","",IFERROR(VLOOKUP(Y202,'Ingredients + Stock'!B:G,6,FALSE),0))</f>
        <v/>
      </c>
      <c r="AD202" s="7">
        <f>IF(AA202="","",IFERROR(VLOOKUP(AA202,'Unit Conversion'!A:D,4,FALSE),1))</f>
        <v/>
      </c>
      <c r="AE202" s="7">
        <f>IF(AB202="","",IFERROR(VLOOKUP(AB202,'Unit Conversion'!A:D,4,FALSE),1))</f>
        <v/>
      </c>
      <c r="AF202" s="7">
        <f>IF(AA202="","",Z202*AD202/AE202)</f>
        <v/>
      </c>
      <c r="AG202" s="7">
        <f>AF202*AC202</f>
        <v/>
      </c>
      <c r="AH202" s="7">
        <f>IF(AA202="","",IFERROR(IF(VLOOKUP(AA202,'Unit Conversion'!A:B,2,FALSE)=VLOOKUP(AB202,'Unit Conversion'!A:B,2,FALSE),"OK","Check W/V mismatch"),"Check unit"))</f>
        <v/>
      </c>
      <c r="AI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>
        <f>IF(Y203="","",IFERROR(VLOOKUP(Y203,'Ingredients + Stock'!B:D,3,FALSE),""))</f>
        <v/>
      </c>
      <c r="AC203" s="8">
        <f>IF(Y203="","",IFERROR(VLOOKUP(Y203,'Ingredients + Stock'!B:G,6,FALSE),0))</f>
        <v/>
      </c>
      <c r="AD203" s="8">
        <f>IF(AA203="","",IFERROR(VLOOKUP(AA203,'Unit Conversion'!A:D,4,FALSE),1))</f>
        <v/>
      </c>
      <c r="AE203" s="8">
        <f>IF(AB203="","",IFERROR(VLOOKUP(AB203,'Unit Conversion'!A:D,4,FALSE),1))</f>
        <v/>
      </c>
      <c r="AF203" s="8">
        <f>IF(AA203="","",Z203*AD203/AE203)</f>
        <v/>
      </c>
      <c r="AG203" s="8">
        <f>AF203*AC203</f>
        <v/>
      </c>
      <c r="AH203" s="8">
        <f>IF(AA203="","",IFERROR(IF(VLOOKUP(AA203,'Unit Conversion'!A:B,2,FALSE)=VLOOKUP(AB203,'Unit Conversion'!A:B,2,FALSE),"OK","Check W/V mismatch"),"Check unit"))</f>
        <v/>
      </c>
      <c r="AI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>
        <f>IF(Y204="","",IFERROR(VLOOKUP(Y204,'Ingredients + Stock'!B:D,3,FALSE),""))</f>
        <v/>
      </c>
      <c r="AC204" s="7">
        <f>IF(Y204="","",IFERROR(VLOOKUP(Y204,'Ingredients + Stock'!B:G,6,FALSE),0))</f>
        <v/>
      </c>
      <c r="AD204" s="7">
        <f>IF(AA204="","",IFERROR(VLOOKUP(AA204,'Unit Conversion'!A:D,4,FALSE),1))</f>
        <v/>
      </c>
      <c r="AE204" s="7">
        <f>IF(AB204="","",IFERROR(VLOOKUP(AB204,'Unit Conversion'!A:D,4,FALSE),1))</f>
        <v/>
      </c>
      <c r="AF204" s="7">
        <f>IF(AA204="","",Z204*AD204/AE204)</f>
        <v/>
      </c>
      <c r="AG204" s="7">
        <f>AF204*AC204</f>
        <v/>
      </c>
      <c r="AH204" s="7">
        <f>IF(AA204="","",IFERROR(IF(VLOOKUP(AA204,'Unit Conversion'!A:B,2,FALSE)=VLOOKUP(AB204,'Unit Conversion'!A:B,2,FALSE),"OK","Check W/V mismatch"),"Check unit"))</f>
        <v/>
      </c>
      <c r="AI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>
        <f>IF(Y205="","",IFERROR(VLOOKUP(Y205,'Ingredients + Stock'!B:D,3,FALSE),""))</f>
        <v/>
      </c>
      <c r="AC205" s="8">
        <f>IF(Y205="","",IFERROR(VLOOKUP(Y205,'Ingredients + Stock'!B:G,6,FALSE),0))</f>
        <v/>
      </c>
      <c r="AD205" s="8">
        <f>IF(AA205="","",IFERROR(VLOOKUP(AA205,'Unit Conversion'!A:D,4,FALSE),1))</f>
        <v/>
      </c>
      <c r="AE205" s="8">
        <f>IF(AB205="","",IFERROR(VLOOKUP(AB205,'Unit Conversion'!A:D,4,FALSE),1))</f>
        <v/>
      </c>
      <c r="AF205" s="8">
        <f>IF(AA205="","",Z205*AD205/AE205)</f>
        <v/>
      </c>
      <c r="AG205" s="8">
        <f>AF205*AC205</f>
        <v/>
      </c>
      <c r="AH205" s="8">
        <f>IF(AA205="","",IFERROR(IF(VLOOKUP(AA205,'Unit Conversion'!A:B,2,FALSE)=VLOOKUP(AB205,'Unit Conversion'!A:B,2,FALSE),"OK","Check W/V mismatch"),"Check unit"))</f>
        <v/>
      </c>
      <c r="AI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>
        <f>IF(Y206="","",IFERROR(VLOOKUP(Y206,'Ingredients + Stock'!B:D,3,FALSE),""))</f>
        <v/>
      </c>
      <c r="AC206" s="7">
        <f>IF(Y206="","",IFERROR(VLOOKUP(Y206,'Ingredients + Stock'!B:G,6,FALSE),0))</f>
        <v/>
      </c>
      <c r="AD206" s="7">
        <f>IF(AA206="","",IFERROR(VLOOKUP(AA206,'Unit Conversion'!A:D,4,FALSE),1))</f>
        <v/>
      </c>
      <c r="AE206" s="7">
        <f>IF(AB206="","",IFERROR(VLOOKUP(AB206,'Unit Conversion'!A:D,4,FALSE),1))</f>
        <v/>
      </c>
      <c r="AF206" s="7">
        <f>IF(AA206="","",Z206*AD206/AE206)</f>
        <v/>
      </c>
      <c r="AG206" s="7">
        <f>AF206*AC206</f>
        <v/>
      </c>
      <c r="AH206" s="7">
        <f>IF(AA206="","",IFERROR(IF(VLOOKUP(AA206,'Unit Conversion'!A:B,2,FALSE)=VLOOKUP(AB206,'Unit Conversion'!A:B,2,FALSE),"OK","Check W/V mismatch"),"Check unit"))</f>
        <v/>
      </c>
      <c r="AI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>
        <f>IF(Y207="","",IFERROR(VLOOKUP(Y207,'Ingredients + Stock'!B:D,3,FALSE),""))</f>
        <v/>
      </c>
      <c r="AC207" s="8">
        <f>IF(Y207="","",IFERROR(VLOOKUP(Y207,'Ingredients + Stock'!B:G,6,FALSE),0))</f>
        <v/>
      </c>
      <c r="AD207" s="8">
        <f>IF(AA207="","",IFERROR(VLOOKUP(AA207,'Unit Conversion'!A:D,4,FALSE),1))</f>
        <v/>
      </c>
      <c r="AE207" s="8">
        <f>IF(AB207="","",IFERROR(VLOOKUP(AB207,'Unit Conversion'!A:D,4,FALSE),1))</f>
        <v/>
      </c>
      <c r="AF207" s="8">
        <f>IF(AA207="","",Z207*AD207/AE207)</f>
        <v/>
      </c>
      <c r="AG207" s="8">
        <f>AF207*AC207</f>
        <v/>
      </c>
      <c r="AH207" s="8">
        <f>IF(AA207="","",IFERROR(IF(VLOOKUP(AA207,'Unit Conversion'!A:B,2,FALSE)=VLOOKUP(AB207,'Unit Conversion'!A:B,2,FALSE),"OK","Check W/V mismatch"),"Check unit"))</f>
        <v/>
      </c>
      <c r="AI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>
        <f>IF(Y208="","",IFERROR(VLOOKUP(Y208,'Ingredients + Stock'!B:D,3,FALSE),""))</f>
        <v/>
      </c>
      <c r="AC208" s="7">
        <f>IF(Y208="","",IFERROR(VLOOKUP(Y208,'Ingredients + Stock'!B:G,6,FALSE),0))</f>
        <v/>
      </c>
      <c r="AD208" s="7">
        <f>IF(AA208="","",IFERROR(VLOOKUP(AA208,'Unit Conversion'!A:D,4,FALSE),1))</f>
        <v/>
      </c>
      <c r="AE208" s="7">
        <f>IF(AB208="","",IFERROR(VLOOKUP(AB208,'Unit Conversion'!A:D,4,FALSE),1))</f>
        <v/>
      </c>
      <c r="AF208" s="7">
        <f>IF(AA208="","",Z208*AD208/AE208)</f>
        <v/>
      </c>
      <c r="AG208" s="7">
        <f>AF208*AC208</f>
        <v/>
      </c>
      <c r="AH208" s="7">
        <f>IF(AA208="","",IFERROR(IF(VLOOKUP(AA208,'Unit Conversion'!A:B,2,FALSE)=VLOOKUP(AB208,'Unit Conversion'!A:B,2,FALSE),"OK","Check W/V mismatch"),"Check unit"))</f>
        <v/>
      </c>
      <c r="AI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>
        <f>IF(Y209="","",IFERROR(VLOOKUP(Y209,'Ingredients + Stock'!B:D,3,FALSE),""))</f>
        <v/>
      </c>
      <c r="AC209" s="8">
        <f>IF(Y209="","",IFERROR(VLOOKUP(Y209,'Ingredients + Stock'!B:G,6,FALSE),0))</f>
        <v/>
      </c>
      <c r="AD209" s="8">
        <f>IF(AA209="","",IFERROR(VLOOKUP(AA209,'Unit Conversion'!A:D,4,FALSE),1))</f>
        <v/>
      </c>
      <c r="AE209" s="8">
        <f>IF(AB209="","",IFERROR(VLOOKUP(AB209,'Unit Conversion'!A:D,4,FALSE),1))</f>
        <v/>
      </c>
      <c r="AF209" s="8">
        <f>IF(AA209="","",Z209*AD209/AE209)</f>
        <v/>
      </c>
      <c r="AG209" s="8">
        <f>AF209*AC209</f>
        <v/>
      </c>
      <c r="AH209" s="8">
        <f>IF(AA209="","",IFERROR(IF(VLOOKUP(AA209,'Unit Conversion'!A:B,2,FALSE)=VLOOKUP(AB209,'Unit Conversion'!A:B,2,FALSE),"OK","Check W/V mismatch"),"Check unit"))</f>
        <v/>
      </c>
      <c r="AI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>
        <f>IF(Y210="","",IFERROR(VLOOKUP(Y210,'Ingredients + Stock'!B:D,3,FALSE),""))</f>
        <v/>
      </c>
      <c r="AC210" s="7">
        <f>IF(Y210="","",IFERROR(VLOOKUP(Y210,'Ingredients + Stock'!B:G,6,FALSE),0))</f>
        <v/>
      </c>
      <c r="AD210" s="7">
        <f>IF(AA210="","",IFERROR(VLOOKUP(AA210,'Unit Conversion'!A:D,4,FALSE),1))</f>
        <v/>
      </c>
      <c r="AE210" s="7">
        <f>IF(AB210="","",IFERROR(VLOOKUP(AB210,'Unit Conversion'!A:D,4,FALSE),1))</f>
        <v/>
      </c>
      <c r="AF210" s="7">
        <f>IF(AA210="","",Z210*AD210/AE210)</f>
        <v/>
      </c>
      <c r="AG210" s="7">
        <f>AF210*AC210</f>
        <v/>
      </c>
      <c r="AH210" s="7">
        <f>IF(AA210="","",IFERROR(IF(VLOOKUP(AA210,'Unit Conversion'!A:B,2,FALSE)=VLOOKUP(AB210,'Unit Conversion'!A:B,2,FALSE),"OK","Check W/V mismatch"),"Check unit"))</f>
        <v/>
      </c>
      <c r="AI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>
        <f>IF(Y211="","",IFERROR(VLOOKUP(Y211,'Ingredients + Stock'!B:D,3,FALSE),""))</f>
        <v/>
      </c>
      <c r="AC211" s="8">
        <f>IF(Y211="","",IFERROR(VLOOKUP(Y211,'Ingredients + Stock'!B:G,6,FALSE),0))</f>
        <v/>
      </c>
      <c r="AD211" s="8">
        <f>IF(AA211="","",IFERROR(VLOOKUP(AA211,'Unit Conversion'!A:D,4,FALSE),1))</f>
        <v/>
      </c>
      <c r="AE211" s="8">
        <f>IF(AB211="","",IFERROR(VLOOKUP(AB211,'Unit Conversion'!A:D,4,FALSE),1))</f>
        <v/>
      </c>
      <c r="AF211" s="8">
        <f>IF(AA211="","",Z211*AD211/AE211)</f>
        <v/>
      </c>
      <c r="AG211" s="8">
        <f>AF211*AC211</f>
        <v/>
      </c>
      <c r="AH211" s="8">
        <f>IF(AA211="","",IFERROR(IF(VLOOKUP(AA211,'Unit Conversion'!A:B,2,FALSE)=VLOOKUP(AB211,'Unit Conversion'!A:B,2,FALSE),"OK","Check W/V mismatch"),"Check unit"))</f>
        <v/>
      </c>
      <c r="AI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>
        <f>IF(Y212="","",IFERROR(VLOOKUP(Y212,'Ingredients + Stock'!B:D,3,FALSE),""))</f>
        <v/>
      </c>
      <c r="AC212" s="7">
        <f>IF(Y212="","",IFERROR(VLOOKUP(Y212,'Ingredients + Stock'!B:G,6,FALSE),0))</f>
        <v/>
      </c>
      <c r="AD212" s="7">
        <f>IF(AA212="","",IFERROR(VLOOKUP(AA212,'Unit Conversion'!A:D,4,FALSE),1))</f>
        <v/>
      </c>
      <c r="AE212" s="7">
        <f>IF(AB212="","",IFERROR(VLOOKUP(AB212,'Unit Conversion'!A:D,4,FALSE),1))</f>
        <v/>
      </c>
      <c r="AF212" s="7">
        <f>IF(AA212="","",Z212*AD212/AE212)</f>
        <v/>
      </c>
      <c r="AG212" s="7">
        <f>AF212*AC212</f>
        <v/>
      </c>
      <c r="AH212" s="7">
        <f>IF(AA212="","",IFERROR(IF(VLOOKUP(AA212,'Unit Conversion'!A:B,2,FALSE)=VLOOKUP(AB212,'Unit Conversion'!A:B,2,FALSE),"OK","Check W/V mismatch"),"Check unit"))</f>
        <v/>
      </c>
      <c r="AI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>
        <f>IF(Y213="","",IFERROR(VLOOKUP(Y213,'Ingredients + Stock'!B:D,3,FALSE),""))</f>
        <v/>
      </c>
      <c r="AC213" s="8">
        <f>IF(Y213="","",IFERROR(VLOOKUP(Y213,'Ingredients + Stock'!B:G,6,FALSE),0))</f>
        <v/>
      </c>
      <c r="AD213" s="8">
        <f>IF(AA213="","",IFERROR(VLOOKUP(AA213,'Unit Conversion'!A:D,4,FALSE),1))</f>
        <v/>
      </c>
      <c r="AE213" s="8">
        <f>IF(AB213="","",IFERROR(VLOOKUP(AB213,'Unit Conversion'!A:D,4,FALSE),1))</f>
        <v/>
      </c>
      <c r="AF213" s="8">
        <f>IF(AA213="","",Z213*AD213/AE213)</f>
        <v/>
      </c>
      <c r="AG213" s="8">
        <f>AF213*AC213</f>
        <v/>
      </c>
      <c r="AH213" s="8">
        <f>IF(AA213="","",IFERROR(IF(VLOOKUP(AA213,'Unit Conversion'!A:B,2,FALSE)=VLOOKUP(AB213,'Unit Conversion'!A:B,2,FALSE),"OK","Check W/V mismatch"),"Check unit"))</f>
        <v/>
      </c>
      <c r="AI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>
        <f>IF(Y214="","",IFERROR(VLOOKUP(Y214,'Ingredients + Stock'!B:D,3,FALSE),""))</f>
        <v/>
      </c>
      <c r="AC214" s="7">
        <f>IF(Y214="","",IFERROR(VLOOKUP(Y214,'Ingredients + Stock'!B:G,6,FALSE),0))</f>
        <v/>
      </c>
      <c r="AD214" s="7">
        <f>IF(AA214="","",IFERROR(VLOOKUP(AA214,'Unit Conversion'!A:D,4,FALSE),1))</f>
        <v/>
      </c>
      <c r="AE214" s="7">
        <f>IF(AB214="","",IFERROR(VLOOKUP(AB214,'Unit Conversion'!A:D,4,FALSE),1))</f>
        <v/>
      </c>
      <c r="AF214" s="7">
        <f>IF(AA214="","",Z214*AD214/AE214)</f>
        <v/>
      </c>
      <c r="AG214" s="7">
        <f>AF214*AC214</f>
        <v/>
      </c>
      <c r="AH214" s="7">
        <f>IF(AA214="","",IFERROR(IF(VLOOKUP(AA214,'Unit Conversion'!A:B,2,FALSE)=VLOOKUP(AB214,'Unit Conversion'!A:B,2,FALSE),"OK","Check W/V mismatch"),"Check unit"))</f>
        <v/>
      </c>
      <c r="AI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>
        <f>IF(Y215="","",IFERROR(VLOOKUP(Y215,'Ingredients + Stock'!B:D,3,FALSE),""))</f>
        <v/>
      </c>
      <c r="AC215" s="8">
        <f>IF(Y215="","",IFERROR(VLOOKUP(Y215,'Ingredients + Stock'!B:G,6,FALSE),0))</f>
        <v/>
      </c>
      <c r="AD215" s="8">
        <f>IF(AA215="","",IFERROR(VLOOKUP(AA215,'Unit Conversion'!A:D,4,FALSE),1))</f>
        <v/>
      </c>
      <c r="AE215" s="8">
        <f>IF(AB215="","",IFERROR(VLOOKUP(AB215,'Unit Conversion'!A:D,4,FALSE),1))</f>
        <v/>
      </c>
      <c r="AF215" s="8">
        <f>IF(AA215="","",Z215*AD215/AE215)</f>
        <v/>
      </c>
      <c r="AG215" s="8">
        <f>AF215*AC215</f>
        <v/>
      </c>
      <c r="AH215" s="8">
        <f>IF(AA215="","",IFERROR(IF(VLOOKUP(AA215,'Unit Conversion'!A:B,2,FALSE)=VLOOKUP(AB215,'Unit Conversion'!A:B,2,FALSE),"OK","Check W/V mismatch"),"Check unit"))</f>
        <v/>
      </c>
      <c r="AI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>
        <f>IF(Y216="","",IFERROR(VLOOKUP(Y216,'Ingredients + Stock'!B:D,3,FALSE),""))</f>
        <v/>
      </c>
      <c r="AC216" s="7">
        <f>IF(Y216="","",IFERROR(VLOOKUP(Y216,'Ingredients + Stock'!B:G,6,FALSE),0))</f>
        <v/>
      </c>
      <c r="AD216" s="7">
        <f>IF(AA216="","",IFERROR(VLOOKUP(AA216,'Unit Conversion'!A:D,4,FALSE),1))</f>
        <v/>
      </c>
      <c r="AE216" s="7">
        <f>IF(AB216="","",IFERROR(VLOOKUP(AB216,'Unit Conversion'!A:D,4,FALSE),1))</f>
        <v/>
      </c>
      <c r="AF216" s="7">
        <f>IF(AA216="","",Z216*AD216/AE216)</f>
        <v/>
      </c>
      <c r="AG216" s="7">
        <f>AF216*AC216</f>
        <v/>
      </c>
      <c r="AH216" s="7">
        <f>IF(AA216="","",IFERROR(IF(VLOOKUP(AA216,'Unit Conversion'!A:B,2,FALSE)=VLOOKUP(AB216,'Unit Conversion'!A:B,2,FALSE),"OK","Check W/V mismatch"),"Check unit"))</f>
        <v/>
      </c>
      <c r="AI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>
        <f>IF(Y217="","",IFERROR(VLOOKUP(Y217,'Ingredients + Stock'!B:D,3,FALSE),""))</f>
        <v/>
      </c>
      <c r="AC217" s="8">
        <f>IF(Y217="","",IFERROR(VLOOKUP(Y217,'Ingredients + Stock'!B:G,6,FALSE),0))</f>
        <v/>
      </c>
      <c r="AD217" s="8">
        <f>IF(AA217="","",IFERROR(VLOOKUP(AA217,'Unit Conversion'!A:D,4,FALSE),1))</f>
        <v/>
      </c>
      <c r="AE217" s="8">
        <f>IF(AB217="","",IFERROR(VLOOKUP(AB217,'Unit Conversion'!A:D,4,FALSE),1))</f>
        <v/>
      </c>
      <c r="AF217" s="8">
        <f>IF(AA217="","",Z217*AD217/AE217)</f>
        <v/>
      </c>
      <c r="AG217" s="8">
        <f>AF217*AC217</f>
        <v/>
      </c>
      <c r="AH217" s="8">
        <f>IF(AA217="","",IFERROR(IF(VLOOKUP(AA217,'Unit Conversion'!A:B,2,FALSE)=VLOOKUP(AB217,'Unit Conversion'!A:B,2,FALSE),"OK","Check W/V mismatch"),"Check unit"))</f>
        <v/>
      </c>
      <c r="AI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>
        <f>IF(Y218="","",IFERROR(VLOOKUP(Y218,'Ingredients + Stock'!B:D,3,FALSE),""))</f>
        <v/>
      </c>
      <c r="AC218" s="7">
        <f>IF(Y218="","",IFERROR(VLOOKUP(Y218,'Ingredients + Stock'!B:G,6,FALSE),0))</f>
        <v/>
      </c>
      <c r="AD218" s="7">
        <f>IF(AA218="","",IFERROR(VLOOKUP(AA218,'Unit Conversion'!A:D,4,FALSE),1))</f>
        <v/>
      </c>
      <c r="AE218" s="7">
        <f>IF(AB218="","",IFERROR(VLOOKUP(AB218,'Unit Conversion'!A:D,4,FALSE),1))</f>
        <v/>
      </c>
      <c r="AF218" s="7">
        <f>IF(AA218="","",Z218*AD218/AE218)</f>
        <v/>
      </c>
      <c r="AG218" s="7">
        <f>AF218*AC218</f>
        <v/>
      </c>
      <c r="AH218" s="7">
        <f>IF(AA218="","",IFERROR(IF(VLOOKUP(AA218,'Unit Conversion'!A:B,2,FALSE)=VLOOKUP(AB218,'Unit Conversion'!A:B,2,FALSE),"OK","Check W/V mismatch"),"Check unit"))</f>
        <v/>
      </c>
      <c r="AI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>
        <f>IF(Y219="","",IFERROR(VLOOKUP(Y219,'Ingredients + Stock'!B:D,3,FALSE),""))</f>
        <v/>
      </c>
      <c r="AC219" s="8">
        <f>IF(Y219="","",IFERROR(VLOOKUP(Y219,'Ingredients + Stock'!B:G,6,FALSE),0))</f>
        <v/>
      </c>
      <c r="AD219" s="8">
        <f>IF(AA219="","",IFERROR(VLOOKUP(AA219,'Unit Conversion'!A:D,4,FALSE),1))</f>
        <v/>
      </c>
      <c r="AE219" s="8">
        <f>IF(AB219="","",IFERROR(VLOOKUP(AB219,'Unit Conversion'!A:D,4,FALSE),1))</f>
        <v/>
      </c>
      <c r="AF219" s="8">
        <f>IF(AA219="","",Z219*AD219/AE219)</f>
        <v/>
      </c>
      <c r="AG219" s="8">
        <f>AF219*AC219</f>
        <v/>
      </c>
      <c r="AH219" s="8">
        <f>IF(AA219="","",IFERROR(IF(VLOOKUP(AA219,'Unit Conversion'!A:B,2,FALSE)=VLOOKUP(AB219,'Unit Conversion'!A:B,2,FALSE),"OK","Check W/V mismatch"),"Check unit"))</f>
        <v/>
      </c>
      <c r="AI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>
        <f>IF(Y220="","",IFERROR(VLOOKUP(Y220,'Ingredients + Stock'!B:D,3,FALSE),""))</f>
        <v/>
      </c>
      <c r="AC220" s="7">
        <f>IF(Y220="","",IFERROR(VLOOKUP(Y220,'Ingredients + Stock'!B:G,6,FALSE),0))</f>
        <v/>
      </c>
      <c r="AD220" s="7">
        <f>IF(AA220="","",IFERROR(VLOOKUP(AA220,'Unit Conversion'!A:D,4,FALSE),1))</f>
        <v/>
      </c>
      <c r="AE220" s="7">
        <f>IF(AB220="","",IFERROR(VLOOKUP(AB220,'Unit Conversion'!A:D,4,FALSE),1))</f>
        <v/>
      </c>
      <c r="AF220" s="7">
        <f>IF(AA220="","",Z220*AD220/AE220)</f>
        <v/>
      </c>
      <c r="AG220" s="7">
        <f>AF220*AC220</f>
        <v/>
      </c>
      <c r="AH220" s="7">
        <f>IF(AA220="","",IFERROR(IF(VLOOKUP(AA220,'Unit Conversion'!A:B,2,FALSE)=VLOOKUP(AB220,'Unit Conversion'!A:B,2,FALSE),"OK","Check W/V mismatch"),"Check unit"))</f>
        <v/>
      </c>
      <c r="AI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>
        <f>IF(Y221="","",IFERROR(VLOOKUP(Y221,'Ingredients + Stock'!B:D,3,FALSE),""))</f>
        <v/>
      </c>
      <c r="AC221" s="8">
        <f>IF(Y221="","",IFERROR(VLOOKUP(Y221,'Ingredients + Stock'!B:G,6,FALSE),0))</f>
        <v/>
      </c>
      <c r="AD221" s="8">
        <f>IF(AA221="","",IFERROR(VLOOKUP(AA221,'Unit Conversion'!A:D,4,FALSE),1))</f>
        <v/>
      </c>
      <c r="AE221" s="8">
        <f>IF(AB221="","",IFERROR(VLOOKUP(AB221,'Unit Conversion'!A:D,4,FALSE),1))</f>
        <v/>
      </c>
      <c r="AF221" s="8">
        <f>IF(AA221="","",Z221*AD221/AE221)</f>
        <v/>
      </c>
      <c r="AG221" s="8">
        <f>AF221*AC221</f>
        <v/>
      </c>
      <c r="AH221" s="8">
        <f>IF(AA221="","",IFERROR(IF(VLOOKUP(AA221,'Unit Conversion'!A:B,2,FALSE)=VLOOKUP(AB221,'Unit Conversion'!A:B,2,FALSE),"OK","Check W/V mismatch"),"Check unit"))</f>
        <v/>
      </c>
      <c r="AI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>
        <f>IF(Y222="","",IFERROR(VLOOKUP(Y222,'Ingredients + Stock'!B:D,3,FALSE),""))</f>
        <v/>
      </c>
      <c r="AC222" s="7">
        <f>IF(Y222="","",IFERROR(VLOOKUP(Y222,'Ingredients + Stock'!B:G,6,FALSE),0))</f>
        <v/>
      </c>
      <c r="AD222" s="7">
        <f>IF(AA222="","",IFERROR(VLOOKUP(AA222,'Unit Conversion'!A:D,4,FALSE),1))</f>
        <v/>
      </c>
      <c r="AE222" s="7">
        <f>IF(AB222="","",IFERROR(VLOOKUP(AB222,'Unit Conversion'!A:D,4,FALSE),1))</f>
        <v/>
      </c>
      <c r="AF222" s="7">
        <f>IF(AA222="","",Z222*AD222/AE222)</f>
        <v/>
      </c>
      <c r="AG222" s="7">
        <f>AF222*AC222</f>
        <v/>
      </c>
      <c r="AH222" s="7">
        <f>IF(AA222="","",IFERROR(IF(VLOOKUP(AA222,'Unit Conversion'!A:B,2,FALSE)=VLOOKUP(AB222,'Unit Conversion'!A:B,2,FALSE),"OK","Check W/V mismatch"),"Check unit"))</f>
        <v/>
      </c>
      <c r="AI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>
        <f>IF(Y223="","",IFERROR(VLOOKUP(Y223,'Ingredients + Stock'!B:D,3,FALSE),""))</f>
        <v/>
      </c>
      <c r="AC223" s="8">
        <f>IF(Y223="","",IFERROR(VLOOKUP(Y223,'Ingredients + Stock'!B:G,6,FALSE),0))</f>
        <v/>
      </c>
      <c r="AD223" s="8">
        <f>IF(AA223="","",IFERROR(VLOOKUP(AA223,'Unit Conversion'!A:D,4,FALSE),1))</f>
        <v/>
      </c>
      <c r="AE223" s="8">
        <f>IF(AB223="","",IFERROR(VLOOKUP(AB223,'Unit Conversion'!A:D,4,FALSE),1))</f>
        <v/>
      </c>
      <c r="AF223" s="8">
        <f>IF(AA223="","",Z223*AD223/AE223)</f>
        <v/>
      </c>
      <c r="AG223" s="8">
        <f>AF223*AC223</f>
        <v/>
      </c>
      <c r="AH223" s="8">
        <f>IF(AA223="","",IFERROR(IF(VLOOKUP(AA223,'Unit Conversion'!A:B,2,FALSE)=VLOOKUP(AB223,'Unit Conversion'!A:B,2,FALSE),"OK","Check W/V mismatch"),"Check unit"))</f>
        <v/>
      </c>
      <c r="AI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>
        <f>IF(Y224="","",IFERROR(VLOOKUP(Y224,'Ingredients + Stock'!B:D,3,FALSE),""))</f>
        <v/>
      </c>
      <c r="AC224" s="7">
        <f>IF(Y224="","",IFERROR(VLOOKUP(Y224,'Ingredients + Stock'!B:G,6,FALSE),0))</f>
        <v/>
      </c>
      <c r="AD224" s="7">
        <f>IF(AA224="","",IFERROR(VLOOKUP(AA224,'Unit Conversion'!A:D,4,FALSE),1))</f>
        <v/>
      </c>
      <c r="AE224" s="7">
        <f>IF(AB224="","",IFERROR(VLOOKUP(AB224,'Unit Conversion'!A:D,4,FALSE),1))</f>
        <v/>
      </c>
      <c r="AF224" s="7">
        <f>IF(AA224="","",Z224*AD224/AE224)</f>
        <v/>
      </c>
      <c r="AG224" s="7">
        <f>AF224*AC224</f>
        <v/>
      </c>
      <c r="AH224" s="7">
        <f>IF(AA224="","",IFERROR(IF(VLOOKUP(AA224,'Unit Conversion'!A:B,2,FALSE)=VLOOKUP(AB224,'Unit Conversion'!A:B,2,FALSE),"OK","Check W/V mismatch"),"Check unit"))</f>
        <v/>
      </c>
      <c r="AI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>
        <f>IF(Y225="","",IFERROR(VLOOKUP(Y225,'Ingredients + Stock'!B:D,3,FALSE),""))</f>
        <v/>
      </c>
      <c r="AC225" s="8">
        <f>IF(Y225="","",IFERROR(VLOOKUP(Y225,'Ingredients + Stock'!B:G,6,FALSE),0))</f>
        <v/>
      </c>
      <c r="AD225" s="8">
        <f>IF(AA225="","",IFERROR(VLOOKUP(AA225,'Unit Conversion'!A:D,4,FALSE),1))</f>
        <v/>
      </c>
      <c r="AE225" s="8">
        <f>IF(AB225="","",IFERROR(VLOOKUP(AB225,'Unit Conversion'!A:D,4,FALSE),1))</f>
        <v/>
      </c>
      <c r="AF225" s="8">
        <f>IF(AA225="","",Z225*AD225/AE225)</f>
        <v/>
      </c>
      <c r="AG225" s="8">
        <f>AF225*AC225</f>
        <v/>
      </c>
      <c r="AH225" s="8">
        <f>IF(AA225="","",IFERROR(IF(VLOOKUP(AA225,'Unit Conversion'!A:B,2,FALSE)=VLOOKUP(AB225,'Unit Conversion'!A:B,2,FALSE),"OK","Check W/V mismatch"),"Check unit"))</f>
        <v/>
      </c>
      <c r="AI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>
        <f>IF(Y226="","",IFERROR(VLOOKUP(Y226,'Ingredients + Stock'!B:D,3,FALSE),""))</f>
        <v/>
      </c>
      <c r="AC226" s="7">
        <f>IF(Y226="","",IFERROR(VLOOKUP(Y226,'Ingredients + Stock'!B:G,6,FALSE),0))</f>
        <v/>
      </c>
      <c r="AD226" s="7">
        <f>IF(AA226="","",IFERROR(VLOOKUP(AA226,'Unit Conversion'!A:D,4,FALSE),1))</f>
        <v/>
      </c>
      <c r="AE226" s="7">
        <f>IF(AB226="","",IFERROR(VLOOKUP(AB226,'Unit Conversion'!A:D,4,FALSE),1))</f>
        <v/>
      </c>
      <c r="AF226" s="7">
        <f>IF(AA226="","",Z226*AD226/AE226)</f>
        <v/>
      </c>
      <c r="AG226" s="7">
        <f>AF226*AC226</f>
        <v/>
      </c>
      <c r="AH226" s="7">
        <f>IF(AA226="","",IFERROR(IF(VLOOKUP(AA226,'Unit Conversion'!A:B,2,FALSE)=VLOOKUP(AB226,'Unit Conversion'!A:B,2,FALSE),"OK","Check W/V mismatch"),"Check unit"))</f>
        <v/>
      </c>
      <c r="AI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>
        <f>IF(Y227="","",IFERROR(VLOOKUP(Y227,'Ingredients + Stock'!B:D,3,FALSE),""))</f>
        <v/>
      </c>
      <c r="AC227" s="8">
        <f>IF(Y227="","",IFERROR(VLOOKUP(Y227,'Ingredients + Stock'!B:G,6,FALSE),0))</f>
        <v/>
      </c>
      <c r="AD227" s="8">
        <f>IF(AA227="","",IFERROR(VLOOKUP(AA227,'Unit Conversion'!A:D,4,FALSE),1))</f>
        <v/>
      </c>
      <c r="AE227" s="8">
        <f>IF(AB227="","",IFERROR(VLOOKUP(AB227,'Unit Conversion'!A:D,4,FALSE),1))</f>
        <v/>
      </c>
      <c r="AF227" s="8">
        <f>IF(AA227="","",Z227*AD227/AE227)</f>
        <v/>
      </c>
      <c r="AG227" s="8">
        <f>AF227*AC227</f>
        <v/>
      </c>
      <c r="AH227" s="8">
        <f>IF(AA227="","",IFERROR(IF(VLOOKUP(AA227,'Unit Conversion'!A:B,2,FALSE)=VLOOKUP(AB227,'Unit Conversion'!A:B,2,FALSE),"OK","Check W/V mismatch"),"Check unit"))</f>
        <v/>
      </c>
      <c r="AI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>
        <f>IF(Y228="","",IFERROR(VLOOKUP(Y228,'Ingredients + Stock'!B:D,3,FALSE),""))</f>
        <v/>
      </c>
      <c r="AC228" s="7">
        <f>IF(Y228="","",IFERROR(VLOOKUP(Y228,'Ingredients + Stock'!B:G,6,FALSE),0))</f>
        <v/>
      </c>
      <c r="AD228" s="7">
        <f>IF(AA228="","",IFERROR(VLOOKUP(AA228,'Unit Conversion'!A:D,4,FALSE),1))</f>
        <v/>
      </c>
      <c r="AE228" s="7">
        <f>IF(AB228="","",IFERROR(VLOOKUP(AB228,'Unit Conversion'!A:D,4,FALSE),1))</f>
        <v/>
      </c>
      <c r="AF228" s="7">
        <f>IF(AA228="","",Z228*AD228/AE228)</f>
        <v/>
      </c>
      <c r="AG228" s="7">
        <f>AF228*AC228</f>
        <v/>
      </c>
      <c r="AH228" s="7">
        <f>IF(AA228="","",IFERROR(IF(VLOOKUP(AA228,'Unit Conversion'!A:B,2,FALSE)=VLOOKUP(AB228,'Unit Conversion'!A:B,2,FALSE),"OK","Check W/V mismatch"),"Check unit"))</f>
        <v/>
      </c>
      <c r="AI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>
        <f>IF(Y229="","",IFERROR(VLOOKUP(Y229,'Ingredients + Stock'!B:D,3,FALSE),""))</f>
        <v/>
      </c>
      <c r="AC229" s="8">
        <f>IF(Y229="","",IFERROR(VLOOKUP(Y229,'Ingredients + Stock'!B:G,6,FALSE),0))</f>
        <v/>
      </c>
      <c r="AD229" s="8">
        <f>IF(AA229="","",IFERROR(VLOOKUP(AA229,'Unit Conversion'!A:D,4,FALSE),1))</f>
        <v/>
      </c>
      <c r="AE229" s="8">
        <f>IF(AB229="","",IFERROR(VLOOKUP(AB229,'Unit Conversion'!A:D,4,FALSE),1))</f>
        <v/>
      </c>
      <c r="AF229" s="8">
        <f>IF(AA229="","",Z229*AD229/AE229)</f>
        <v/>
      </c>
      <c r="AG229" s="8">
        <f>AF229*AC229</f>
        <v/>
      </c>
      <c r="AH229" s="8">
        <f>IF(AA229="","",IFERROR(IF(VLOOKUP(AA229,'Unit Conversion'!A:B,2,FALSE)=VLOOKUP(AB229,'Unit Conversion'!A:B,2,FALSE),"OK","Check W/V mismatch"),"Check unit"))</f>
        <v/>
      </c>
      <c r="AI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>
        <f>IF(Y230="","",IFERROR(VLOOKUP(Y230,'Ingredients + Stock'!B:D,3,FALSE),""))</f>
        <v/>
      </c>
      <c r="AC230" s="7">
        <f>IF(Y230="","",IFERROR(VLOOKUP(Y230,'Ingredients + Stock'!B:G,6,FALSE),0))</f>
        <v/>
      </c>
      <c r="AD230" s="7">
        <f>IF(AA230="","",IFERROR(VLOOKUP(AA230,'Unit Conversion'!A:D,4,FALSE),1))</f>
        <v/>
      </c>
      <c r="AE230" s="7">
        <f>IF(AB230="","",IFERROR(VLOOKUP(AB230,'Unit Conversion'!A:D,4,FALSE),1))</f>
        <v/>
      </c>
      <c r="AF230" s="7">
        <f>IF(AA230="","",Z230*AD230/AE230)</f>
        <v/>
      </c>
      <c r="AG230" s="7">
        <f>AF230*AC230</f>
        <v/>
      </c>
      <c r="AH230" s="7">
        <f>IF(AA230="","",IFERROR(IF(VLOOKUP(AA230,'Unit Conversion'!A:B,2,FALSE)=VLOOKUP(AB230,'Unit Conversion'!A:B,2,FALSE),"OK","Check W/V mismatch"),"Check unit"))</f>
        <v/>
      </c>
      <c r="AI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>
        <f>IF(Y231="","",IFERROR(VLOOKUP(Y231,'Ingredients + Stock'!B:D,3,FALSE),""))</f>
        <v/>
      </c>
      <c r="AC231" s="8">
        <f>IF(Y231="","",IFERROR(VLOOKUP(Y231,'Ingredients + Stock'!B:G,6,FALSE),0))</f>
        <v/>
      </c>
      <c r="AD231" s="8">
        <f>IF(AA231="","",IFERROR(VLOOKUP(AA231,'Unit Conversion'!A:D,4,FALSE),1))</f>
        <v/>
      </c>
      <c r="AE231" s="8">
        <f>IF(AB231="","",IFERROR(VLOOKUP(AB231,'Unit Conversion'!A:D,4,FALSE),1))</f>
        <v/>
      </c>
      <c r="AF231" s="8">
        <f>IF(AA231="","",Z231*AD231/AE231)</f>
        <v/>
      </c>
      <c r="AG231" s="8">
        <f>AF231*AC231</f>
        <v/>
      </c>
      <c r="AH231" s="8">
        <f>IF(AA231="","",IFERROR(IF(VLOOKUP(AA231,'Unit Conversion'!A:B,2,FALSE)=VLOOKUP(AB231,'Unit Conversion'!A:B,2,FALSE),"OK","Check W/V mismatch"),"Check unit"))</f>
        <v/>
      </c>
      <c r="AI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>
        <f>IF(Y232="","",IFERROR(VLOOKUP(Y232,'Ingredients + Stock'!B:D,3,FALSE),""))</f>
        <v/>
      </c>
      <c r="AC232" s="7">
        <f>IF(Y232="","",IFERROR(VLOOKUP(Y232,'Ingredients + Stock'!B:G,6,FALSE),0))</f>
        <v/>
      </c>
      <c r="AD232" s="7">
        <f>IF(AA232="","",IFERROR(VLOOKUP(AA232,'Unit Conversion'!A:D,4,FALSE),1))</f>
        <v/>
      </c>
      <c r="AE232" s="7">
        <f>IF(AB232="","",IFERROR(VLOOKUP(AB232,'Unit Conversion'!A:D,4,FALSE),1))</f>
        <v/>
      </c>
      <c r="AF232" s="7">
        <f>IF(AA232="","",Z232*AD232/AE232)</f>
        <v/>
      </c>
      <c r="AG232" s="7">
        <f>AF232*AC232</f>
        <v/>
      </c>
      <c r="AH232" s="7">
        <f>IF(AA232="","",IFERROR(IF(VLOOKUP(AA232,'Unit Conversion'!A:B,2,FALSE)=VLOOKUP(AB232,'Unit Conversion'!A:B,2,FALSE),"OK","Check W/V mismatch"),"Check unit"))</f>
        <v/>
      </c>
      <c r="AI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>
        <f>IF(Y233="","",IFERROR(VLOOKUP(Y233,'Ingredients + Stock'!B:D,3,FALSE),""))</f>
        <v/>
      </c>
      <c r="AC233" s="8">
        <f>IF(Y233="","",IFERROR(VLOOKUP(Y233,'Ingredients + Stock'!B:G,6,FALSE),0))</f>
        <v/>
      </c>
      <c r="AD233" s="8">
        <f>IF(AA233="","",IFERROR(VLOOKUP(AA233,'Unit Conversion'!A:D,4,FALSE),1))</f>
        <v/>
      </c>
      <c r="AE233" s="8">
        <f>IF(AB233="","",IFERROR(VLOOKUP(AB233,'Unit Conversion'!A:D,4,FALSE),1))</f>
        <v/>
      </c>
      <c r="AF233" s="8">
        <f>IF(AA233="","",Z233*AD233/AE233)</f>
        <v/>
      </c>
      <c r="AG233" s="8">
        <f>AF233*AC233</f>
        <v/>
      </c>
      <c r="AH233" s="8">
        <f>IF(AA233="","",IFERROR(IF(VLOOKUP(AA233,'Unit Conversion'!A:B,2,FALSE)=VLOOKUP(AB233,'Unit Conversion'!A:B,2,FALSE),"OK","Check W/V mismatch"),"Check unit"))</f>
        <v/>
      </c>
      <c r="AI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>
        <f>IF(Y234="","",IFERROR(VLOOKUP(Y234,'Ingredients + Stock'!B:D,3,FALSE),""))</f>
        <v/>
      </c>
      <c r="AC234" s="7">
        <f>IF(Y234="","",IFERROR(VLOOKUP(Y234,'Ingredients + Stock'!B:G,6,FALSE),0))</f>
        <v/>
      </c>
      <c r="AD234" s="7">
        <f>IF(AA234="","",IFERROR(VLOOKUP(AA234,'Unit Conversion'!A:D,4,FALSE),1))</f>
        <v/>
      </c>
      <c r="AE234" s="7">
        <f>IF(AB234="","",IFERROR(VLOOKUP(AB234,'Unit Conversion'!A:D,4,FALSE),1))</f>
        <v/>
      </c>
      <c r="AF234" s="7">
        <f>IF(AA234="","",Z234*AD234/AE234)</f>
        <v/>
      </c>
      <c r="AG234" s="7">
        <f>AF234*AC234</f>
        <v/>
      </c>
      <c r="AH234" s="7">
        <f>IF(AA234="","",IFERROR(IF(VLOOKUP(AA234,'Unit Conversion'!A:B,2,FALSE)=VLOOKUP(AB234,'Unit Conversion'!A:B,2,FALSE),"OK","Check W/V mismatch"),"Check unit"))</f>
        <v/>
      </c>
      <c r="AI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>
        <f>IF(Y235="","",IFERROR(VLOOKUP(Y235,'Ingredients + Stock'!B:D,3,FALSE),""))</f>
        <v/>
      </c>
      <c r="AC235" s="8">
        <f>IF(Y235="","",IFERROR(VLOOKUP(Y235,'Ingredients + Stock'!B:G,6,FALSE),0))</f>
        <v/>
      </c>
      <c r="AD235" s="8">
        <f>IF(AA235="","",IFERROR(VLOOKUP(AA235,'Unit Conversion'!A:D,4,FALSE),1))</f>
        <v/>
      </c>
      <c r="AE235" s="8">
        <f>IF(AB235="","",IFERROR(VLOOKUP(AB235,'Unit Conversion'!A:D,4,FALSE),1))</f>
        <v/>
      </c>
      <c r="AF235" s="8">
        <f>IF(AA235="","",Z235*AD235/AE235)</f>
        <v/>
      </c>
      <c r="AG235" s="8">
        <f>AF235*AC235</f>
        <v/>
      </c>
      <c r="AH235" s="8">
        <f>IF(AA235="","",IFERROR(IF(VLOOKUP(AA235,'Unit Conversion'!A:B,2,FALSE)=VLOOKUP(AB235,'Unit Conversion'!A:B,2,FALSE),"OK","Check W/V mismatch"),"Check unit"))</f>
        <v/>
      </c>
      <c r="AI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>
        <f>IF(Y236="","",IFERROR(VLOOKUP(Y236,'Ingredients + Stock'!B:D,3,FALSE),""))</f>
        <v/>
      </c>
      <c r="AC236" s="7">
        <f>IF(Y236="","",IFERROR(VLOOKUP(Y236,'Ingredients + Stock'!B:G,6,FALSE),0))</f>
        <v/>
      </c>
      <c r="AD236" s="7">
        <f>IF(AA236="","",IFERROR(VLOOKUP(AA236,'Unit Conversion'!A:D,4,FALSE),1))</f>
        <v/>
      </c>
      <c r="AE236" s="7">
        <f>IF(AB236="","",IFERROR(VLOOKUP(AB236,'Unit Conversion'!A:D,4,FALSE),1))</f>
        <v/>
      </c>
      <c r="AF236" s="7">
        <f>IF(AA236="","",Z236*AD236/AE236)</f>
        <v/>
      </c>
      <c r="AG236" s="7">
        <f>AF236*AC236</f>
        <v/>
      </c>
      <c r="AH236" s="7">
        <f>IF(AA236="","",IFERROR(IF(VLOOKUP(AA236,'Unit Conversion'!A:B,2,FALSE)=VLOOKUP(AB236,'Unit Conversion'!A:B,2,FALSE),"OK","Check W/V mismatch"),"Check unit"))</f>
        <v/>
      </c>
      <c r="AI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>
        <f>IF(Y237="","",IFERROR(VLOOKUP(Y237,'Ingredients + Stock'!B:D,3,FALSE),""))</f>
        <v/>
      </c>
      <c r="AC237" s="8">
        <f>IF(Y237="","",IFERROR(VLOOKUP(Y237,'Ingredients + Stock'!B:G,6,FALSE),0))</f>
        <v/>
      </c>
      <c r="AD237" s="8">
        <f>IF(AA237="","",IFERROR(VLOOKUP(AA237,'Unit Conversion'!A:D,4,FALSE),1))</f>
        <v/>
      </c>
      <c r="AE237" s="8">
        <f>IF(AB237="","",IFERROR(VLOOKUP(AB237,'Unit Conversion'!A:D,4,FALSE),1))</f>
        <v/>
      </c>
      <c r="AF237" s="8">
        <f>IF(AA237="","",Z237*AD237/AE237)</f>
        <v/>
      </c>
      <c r="AG237" s="8">
        <f>AF237*AC237</f>
        <v/>
      </c>
      <c r="AH237" s="8">
        <f>IF(AA237="","",IFERROR(IF(VLOOKUP(AA237,'Unit Conversion'!A:B,2,FALSE)=VLOOKUP(AB237,'Unit Conversion'!A:B,2,FALSE),"OK","Check W/V mismatch"),"Check unit"))</f>
        <v/>
      </c>
      <c r="AI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>
        <f>IF(Y238="","",IFERROR(VLOOKUP(Y238,'Ingredients + Stock'!B:D,3,FALSE),""))</f>
        <v/>
      </c>
      <c r="AC238" s="7">
        <f>IF(Y238="","",IFERROR(VLOOKUP(Y238,'Ingredients + Stock'!B:G,6,FALSE),0))</f>
        <v/>
      </c>
      <c r="AD238" s="7">
        <f>IF(AA238="","",IFERROR(VLOOKUP(AA238,'Unit Conversion'!A:D,4,FALSE),1))</f>
        <v/>
      </c>
      <c r="AE238" s="7">
        <f>IF(AB238="","",IFERROR(VLOOKUP(AB238,'Unit Conversion'!A:D,4,FALSE),1))</f>
        <v/>
      </c>
      <c r="AF238" s="7">
        <f>IF(AA238="","",Z238*AD238/AE238)</f>
        <v/>
      </c>
      <c r="AG238" s="7">
        <f>AF238*AC238</f>
        <v/>
      </c>
      <c r="AH238" s="7">
        <f>IF(AA238="","",IFERROR(IF(VLOOKUP(AA238,'Unit Conversion'!A:B,2,FALSE)=VLOOKUP(AB238,'Unit Conversion'!A:B,2,FALSE),"OK","Check W/V mismatch"),"Check unit"))</f>
        <v/>
      </c>
      <c r="AI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>
        <f>IF(Y239="","",IFERROR(VLOOKUP(Y239,'Ingredients + Stock'!B:D,3,FALSE),""))</f>
        <v/>
      </c>
      <c r="AC239" s="8">
        <f>IF(Y239="","",IFERROR(VLOOKUP(Y239,'Ingredients + Stock'!B:G,6,FALSE),0))</f>
        <v/>
      </c>
      <c r="AD239" s="8">
        <f>IF(AA239="","",IFERROR(VLOOKUP(AA239,'Unit Conversion'!A:D,4,FALSE),1))</f>
        <v/>
      </c>
      <c r="AE239" s="8">
        <f>IF(AB239="","",IFERROR(VLOOKUP(AB239,'Unit Conversion'!A:D,4,FALSE),1))</f>
        <v/>
      </c>
      <c r="AF239" s="8">
        <f>IF(AA239="","",Z239*AD239/AE239)</f>
        <v/>
      </c>
      <c r="AG239" s="8">
        <f>AF239*AC239</f>
        <v/>
      </c>
      <c r="AH239" s="8">
        <f>IF(AA239="","",IFERROR(IF(VLOOKUP(AA239,'Unit Conversion'!A:B,2,FALSE)=VLOOKUP(AB239,'Unit Conversion'!A:B,2,FALSE),"OK","Check W/V mismatch"),"Check unit"))</f>
        <v/>
      </c>
      <c r="AI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>
        <f>IF(Y240="","",IFERROR(VLOOKUP(Y240,'Ingredients + Stock'!B:D,3,FALSE),""))</f>
        <v/>
      </c>
      <c r="AC240" s="7">
        <f>IF(Y240="","",IFERROR(VLOOKUP(Y240,'Ingredients + Stock'!B:G,6,FALSE),0))</f>
        <v/>
      </c>
      <c r="AD240" s="7">
        <f>IF(AA240="","",IFERROR(VLOOKUP(AA240,'Unit Conversion'!A:D,4,FALSE),1))</f>
        <v/>
      </c>
      <c r="AE240" s="7">
        <f>IF(AB240="","",IFERROR(VLOOKUP(AB240,'Unit Conversion'!A:D,4,FALSE),1))</f>
        <v/>
      </c>
      <c r="AF240" s="7">
        <f>IF(AA240="","",Z240*AD240/AE240)</f>
        <v/>
      </c>
      <c r="AG240" s="7">
        <f>AF240*AC240</f>
        <v/>
      </c>
      <c r="AH240" s="7">
        <f>IF(AA240="","",IFERROR(IF(VLOOKUP(AA240,'Unit Conversion'!A:B,2,FALSE)=VLOOKUP(AB240,'Unit Conversion'!A:B,2,FALSE),"OK","Check W/V mismatch"),"Check unit"))</f>
        <v/>
      </c>
      <c r="AI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>
        <f>IF(Y241="","",IFERROR(VLOOKUP(Y241,'Ingredients + Stock'!B:D,3,FALSE),""))</f>
        <v/>
      </c>
      <c r="AC241" s="8">
        <f>IF(Y241="","",IFERROR(VLOOKUP(Y241,'Ingredients + Stock'!B:G,6,FALSE),0))</f>
        <v/>
      </c>
      <c r="AD241" s="8">
        <f>IF(AA241="","",IFERROR(VLOOKUP(AA241,'Unit Conversion'!A:D,4,FALSE),1))</f>
        <v/>
      </c>
      <c r="AE241" s="8">
        <f>IF(AB241="","",IFERROR(VLOOKUP(AB241,'Unit Conversion'!A:D,4,FALSE),1))</f>
        <v/>
      </c>
      <c r="AF241" s="8">
        <f>IF(AA241="","",Z241*AD241/AE241)</f>
        <v/>
      </c>
      <c r="AG241" s="8">
        <f>AF241*AC241</f>
        <v/>
      </c>
      <c r="AH241" s="8">
        <f>IF(AA241="","",IFERROR(IF(VLOOKUP(AA241,'Unit Conversion'!A:B,2,FALSE)=VLOOKUP(AB241,'Unit Conversion'!A:B,2,FALSE),"OK","Check W/V mismatch"),"Check unit"))</f>
        <v/>
      </c>
      <c r="AI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>
        <f>IF(Y242="","",IFERROR(VLOOKUP(Y242,'Ingredients + Stock'!B:D,3,FALSE),""))</f>
        <v/>
      </c>
      <c r="AC242" s="7">
        <f>IF(Y242="","",IFERROR(VLOOKUP(Y242,'Ingredients + Stock'!B:G,6,FALSE),0))</f>
        <v/>
      </c>
      <c r="AD242" s="7">
        <f>IF(AA242="","",IFERROR(VLOOKUP(AA242,'Unit Conversion'!A:D,4,FALSE),1))</f>
        <v/>
      </c>
      <c r="AE242" s="7">
        <f>IF(AB242="","",IFERROR(VLOOKUP(AB242,'Unit Conversion'!A:D,4,FALSE),1))</f>
        <v/>
      </c>
      <c r="AF242" s="7">
        <f>IF(AA242="","",Z242*AD242/AE242)</f>
        <v/>
      </c>
      <c r="AG242" s="7">
        <f>AF242*AC242</f>
        <v/>
      </c>
      <c r="AH242" s="7">
        <f>IF(AA242="","",IFERROR(IF(VLOOKUP(AA242,'Unit Conversion'!A:B,2,FALSE)=VLOOKUP(AB242,'Unit Conversion'!A:B,2,FALSE),"OK","Check W/V mismatch"),"Check unit"))</f>
        <v/>
      </c>
      <c r="AI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>
        <f>IF(Y243="","",IFERROR(VLOOKUP(Y243,'Ingredients + Stock'!B:D,3,FALSE),""))</f>
        <v/>
      </c>
      <c r="AC243" s="8">
        <f>IF(Y243="","",IFERROR(VLOOKUP(Y243,'Ingredients + Stock'!B:G,6,FALSE),0))</f>
        <v/>
      </c>
      <c r="AD243" s="8">
        <f>IF(AA243="","",IFERROR(VLOOKUP(AA243,'Unit Conversion'!A:D,4,FALSE),1))</f>
        <v/>
      </c>
      <c r="AE243" s="8">
        <f>IF(AB243="","",IFERROR(VLOOKUP(AB243,'Unit Conversion'!A:D,4,FALSE),1))</f>
        <v/>
      </c>
      <c r="AF243" s="8">
        <f>IF(AA243="","",Z243*AD243/AE243)</f>
        <v/>
      </c>
      <c r="AG243" s="8">
        <f>AF243*AC243</f>
        <v/>
      </c>
      <c r="AH243" s="8">
        <f>IF(AA243="","",IFERROR(IF(VLOOKUP(AA243,'Unit Conversion'!A:B,2,FALSE)=VLOOKUP(AB243,'Unit Conversion'!A:B,2,FALSE),"OK","Check W/V mismatch"),"Check unit"))</f>
        <v/>
      </c>
      <c r="AI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>
        <f>IF(Y244="","",IFERROR(VLOOKUP(Y244,'Ingredients + Stock'!B:D,3,FALSE),""))</f>
        <v/>
      </c>
      <c r="AC244" s="7">
        <f>IF(Y244="","",IFERROR(VLOOKUP(Y244,'Ingredients + Stock'!B:G,6,FALSE),0))</f>
        <v/>
      </c>
      <c r="AD244" s="7">
        <f>IF(AA244="","",IFERROR(VLOOKUP(AA244,'Unit Conversion'!A:D,4,FALSE),1))</f>
        <v/>
      </c>
      <c r="AE244" s="7">
        <f>IF(AB244="","",IFERROR(VLOOKUP(AB244,'Unit Conversion'!A:D,4,FALSE),1))</f>
        <v/>
      </c>
      <c r="AF244" s="7">
        <f>IF(AA244="","",Z244*AD244/AE244)</f>
        <v/>
      </c>
      <c r="AG244" s="7">
        <f>AF244*AC244</f>
        <v/>
      </c>
      <c r="AH244" s="7">
        <f>IF(AA244="","",IFERROR(IF(VLOOKUP(AA244,'Unit Conversion'!A:B,2,FALSE)=VLOOKUP(AB244,'Unit Conversion'!A:B,2,FALSE),"OK","Check W/V mismatch"),"Check unit"))</f>
        <v/>
      </c>
      <c r="AI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>
        <f>IF(Y245="","",IFERROR(VLOOKUP(Y245,'Ingredients + Stock'!B:D,3,FALSE),""))</f>
        <v/>
      </c>
      <c r="AC245" s="8">
        <f>IF(Y245="","",IFERROR(VLOOKUP(Y245,'Ingredients + Stock'!B:G,6,FALSE),0))</f>
        <v/>
      </c>
      <c r="AD245" s="8">
        <f>IF(AA245="","",IFERROR(VLOOKUP(AA245,'Unit Conversion'!A:D,4,FALSE),1))</f>
        <v/>
      </c>
      <c r="AE245" s="8">
        <f>IF(AB245="","",IFERROR(VLOOKUP(AB245,'Unit Conversion'!A:D,4,FALSE),1))</f>
        <v/>
      </c>
      <c r="AF245" s="8">
        <f>IF(AA245="","",Z245*AD245/AE245)</f>
        <v/>
      </c>
      <c r="AG245" s="8">
        <f>AF245*AC245</f>
        <v/>
      </c>
      <c r="AH245" s="8">
        <f>IF(AA245="","",IFERROR(IF(VLOOKUP(AA245,'Unit Conversion'!A:B,2,FALSE)=VLOOKUP(AB245,'Unit Conversion'!A:B,2,FALSE),"OK","Check W/V mismatch"),"Check unit"))</f>
        <v/>
      </c>
      <c r="AI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>
        <f>IF(Y246="","",IFERROR(VLOOKUP(Y246,'Ingredients + Stock'!B:D,3,FALSE),""))</f>
        <v/>
      </c>
      <c r="AC246" s="7">
        <f>IF(Y246="","",IFERROR(VLOOKUP(Y246,'Ingredients + Stock'!B:G,6,FALSE),0))</f>
        <v/>
      </c>
      <c r="AD246" s="7">
        <f>IF(AA246="","",IFERROR(VLOOKUP(AA246,'Unit Conversion'!A:D,4,FALSE),1))</f>
        <v/>
      </c>
      <c r="AE246" s="7">
        <f>IF(AB246="","",IFERROR(VLOOKUP(AB246,'Unit Conversion'!A:D,4,FALSE),1))</f>
        <v/>
      </c>
      <c r="AF246" s="7">
        <f>IF(AA246="","",Z246*AD246/AE246)</f>
        <v/>
      </c>
      <c r="AG246" s="7">
        <f>AF246*AC246</f>
        <v/>
      </c>
      <c r="AH246" s="7">
        <f>IF(AA246="","",IFERROR(IF(VLOOKUP(AA246,'Unit Conversion'!A:B,2,FALSE)=VLOOKUP(AB246,'Unit Conversion'!A:B,2,FALSE),"OK","Check W/V mismatch"),"Check unit"))</f>
        <v/>
      </c>
      <c r="AI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>
        <f>IF(Y247="","",IFERROR(VLOOKUP(Y247,'Ingredients + Stock'!B:D,3,FALSE),""))</f>
        <v/>
      </c>
      <c r="AC247" s="8">
        <f>IF(Y247="","",IFERROR(VLOOKUP(Y247,'Ingredients + Stock'!B:G,6,FALSE),0))</f>
        <v/>
      </c>
      <c r="AD247" s="8">
        <f>IF(AA247="","",IFERROR(VLOOKUP(AA247,'Unit Conversion'!A:D,4,FALSE),1))</f>
        <v/>
      </c>
      <c r="AE247" s="8">
        <f>IF(AB247="","",IFERROR(VLOOKUP(AB247,'Unit Conversion'!A:D,4,FALSE),1))</f>
        <v/>
      </c>
      <c r="AF247" s="8">
        <f>IF(AA247="","",Z247*AD247/AE247)</f>
        <v/>
      </c>
      <c r="AG247" s="8">
        <f>AF247*AC247</f>
        <v/>
      </c>
      <c r="AH247" s="8">
        <f>IF(AA247="","",IFERROR(IF(VLOOKUP(AA247,'Unit Conversion'!A:B,2,FALSE)=VLOOKUP(AB247,'Unit Conversion'!A:B,2,FALSE),"OK","Check W/V mismatch"),"Check unit"))</f>
        <v/>
      </c>
      <c r="AI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>
        <f>IF(Y248="","",IFERROR(VLOOKUP(Y248,'Ingredients + Stock'!B:D,3,FALSE),""))</f>
        <v/>
      </c>
      <c r="AC248" s="7">
        <f>IF(Y248="","",IFERROR(VLOOKUP(Y248,'Ingredients + Stock'!B:G,6,FALSE),0))</f>
        <v/>
      </c>
      <c r="AD248" s="7">
        <f>IF(AA248="","",IFERROR(VLOOKUP(AA248,'Unit Conversion'!A:D,4,FALSE),1))</f>
        <v/>
      </c>
      <c r="AE248" s="7">
        <f>IF(AB248="","",IFERROR(VLOOKUP(AB248,'Unit Conversion'!A:D,4,FALSE),1))</f>
        <v/>
      </c>
      <c r="AF248" s="7">
        <f>IF(AA248="","",Z248*AD248/AE248)</f>
        <v/>
      </c>
      <c r="AG248" s="7">
        <f>AF248*AC248</f>
        <v/>
      </c>
      <c r="AH248" s="7">
        <f>IF(AA248="","",IFERROR(IF(VLOOKUP(AA248,'Unit Conversion'!A:B,2,FALSE)=VLOOKUP(AB248,'Unit Conversion'!A:B,2,FALSE),"OK","Check W/V mismatch"),"Check unit"))</f>
        <v/>
      </c>
      <c r="AI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>
        <f>IF(Y249="","",IFERROR(VLOOKUP(Y249,'Ingredients + Stock'!B:D,3,FALSE),""))</f>
        <v/>
      </c>
      <c r="AC249" s="8">
        <f>IF(Y249="","",IFERROR(VLOOKUP(Y249,'Ingredients + Stock'!B:G,6,FALSE),0))</f>
        <v/>
      </c>
      <c r="AD249" s="8">
        <f>IF(AA249="","",IFERROR(VLOOKUP(AA249,'Unit Conversion'!A:D,4,FALSE),1))</f>
        <v/>
      </c>
      <c r="AE249" s="8">
        <f>IF(AB249="","",IFERROR(VLOOKUP(AB249,'Unit Conversion'!A:D,4,FALSE),1))</f>
        <v/>
      </c>
      <c r="AF249" s="8">
        <f>IF(AA249="","",Z249*AD249/AE249)</f>
        <v/>
      </c>
      <c r="AG249" s="8">
        <f>AF249*AC249</f>
        <v/>
      </c>
      <c r="AH249" s="8">
        <f>IF(AA249="","",IFERROR(IF(VLOOKUP(AA249,'Unit Conversion'!A:B,2,FALSE)=VLOOKUP(AB249,'Unit Conversion'!A:B,2,FALSE),"OK","Check W/V mismatch"),"Check unit"))</f>
        <v/>
      </c>
      <c r="AI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>
        <f>IF(Y250="","",IFERROR(VLOOKUP(Y250,'Ingredients + Stock'!B:D,3,FALSE),""))</f>
        <v/>
      </c>
      <c r="AC250" s="7">
        <f>IF(Y250="","",IFERROR(VLOOKUP(Y250,'Ingredients + Stock'!B:G,6,FALSE),0))</f>
        <v/>
      </c>
      <c r="AD250" s="7">
        <f>IF(AA250="","",IFERROR(VLOOKUP(AA250,'Unit Conversion'!A:D,4,FALSE),1))</f>
        <v/>
      </c>
      <c r="AE250" s="7">
        <f>IF(AB250="","",IFERROR(VLOOKUP(AB250,'Unit Conversion'!A:D,4,FALSE),1))</f>
        <v/>
      </c>
      <c r="AF250" s="7">
        <f>IF(AA250="","",Z250*AD250/AE250)</f>
        <v/>
      </c>
      <c r="AG250" s="7">
        <f>AF250*AC250</f>
        <v/>
      </c>
      <c r="AH250" s="7">
        <f>IF(AA250="","",IFERROR(IF(VLOOKUP(AA250,'Unit Conversion'!A:B,2,FALSE)=VLOOKUP(AB250,'Unit Conversion'!A:B,2,FALSE),"OK","Check W/V mismatch"),"Check unit"))</f>
        <v/>
      </c>
      <c r="AI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>
        <f>IF(Y251="","",IFERROR(VLOOKUP(Y251,'Ingredients + Stock'!B:D,3,FALSE),""))</f>
        <v/>
      </c>
      <c r="AC251" s="8">
        <f>IF(Y251="","",IFERROR(VLOOKUP(Y251,'Ingredients + Stock'!B:G,6,FALSE),0))</f>
        <v/>
      </c>
      <c r="AD251" s="8">
        <f>IF(AA251="","",IFERROR(VLOOKUP(AA251,'Unit Conversion'!A:D,4,FALSE),1))</f>
        <v/>
      </c>
      <c r="AE251" s="8">
        <f>IF(AB251="","",IFERROR(VLOOKUP(AB251,'Unit Conversion'!A:D,4,FALSE),1))</f>
        <v/>
      </c>
      <c r="AF251" s="8">
        <f>IF(AA251="","",Z251*AD251/AE251)</f>
        <v/>
      </c>
      <c r="AG251" s="8">
        <f>AF251*AC251</f>
        <v/>
      </c>
      <c r="AH251" s="8">
        <f>IF(AA251="","",IFERROR(IF(VLOOKUP(AA251,'Unit Conversion'!A:B,2,FALSE)=VLOOKUP(AB251,'Unit Conversion'!A:B,2,FALSE),"OK","Check W/V mismatch"),"Check unit"))</f>
        <v/>
      </c>
      <c r="AI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>
        <f>IF(Y252="","",IFERROR(VLOOKUP(Y252,'Ingredients + Stock'!B:D,3,FALSE),""))</f>
        <v/>
      </c>
      <c r="AC252" s="7">
        <f>IF(Y252="","",IFERROR(VLOOKUP(Y252,'Ingredients + Stock'!B:G,6,FALSE),0))</f>
        <v/>
      </c>
      <c r="AD252" s="7">
        <f>IF(AA252="","",IFERROR(VLOOKUP(AA252,'Unit Conversion'!A:D,4,FALSE),1))</f>
        <v/>
      </c>
      <c r="AE252" s="7">
        <f>IF(AB252="","",IFERROR(VLOOKUP(AB252,'Unit Conversion'!A:D,4,FALSE),1))</f>
        <v/>
      </c>
      <c r="AF252" s="7">
        <f>IF(AA252="","",Z252*AD252/AE252)</f>
        <v/>
      </c>
      <c r="AG252" s="7">
        <f>AF252*AC252</f>
        <v/>
      </c>
      <c r="AH252" s="7">
        <f>IF(AA252="","",IFERROR(IF(VLOOKUP(AA252,'Unit Conversion'!A:B,2,FALSE)=VLOOKUP(AB252,'Unit Conversion'!A:B,2,FALSE),"OK","Check W/V mismatch"),"Check unit"))</f>
        <v/>
      </c>
      <c r="AI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>
        <f>IF(Y253="","",IFERROR(VLOOKUP(Y253,'Ingredients + Stock'!B:D,3,FALSE),""))</f>
        <v/>
      </c>
      <c r="AC253" s="8">
        <f>IF(Y253="","",IFERROR(VLOOKUP(Y253,'Ingredients + Stock'!B:G,6,FALSE),0))</f>
        <v/>
      </c>
      <c r="AD253" s="8">
        <f>IF(AA253="","",IFERROR(VLOOKUP(AA253,'Unit Conversion'!A:D,4,FALSE),1))</f>
        <v/>
      </c>
      <c r="AE253" s="8">
        <f>IF(AB253="","",IFERROR(VLOOKUP(AB253,'Unit Conversion'!A:D,4,FALSE),1))</f>
        <v/>
      </c>
      <c r="AF253" s="8">
        <f>IF(AA253="","",Z253*AD253/AE253)</f>
        <v/>
      </c>
      <c r="AG253" s="8">
        <f>AF253*AC253</f>
        <v/>
      </c>
      <c r="AH253" s="8">
        <f>IF(AA253="","",IFERROR(IF(VLOOKUP(AA253,'Unit Conversion'!A:B,2,FALSE)=VLOOKUP(AB253,'Unit Conversion'!A:B,2,FALSE),"OK","Check W/V mismatch"),"Check unit"))</f>
        <v/>
      </c>
      <c r="AI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>
        <f>IF(Y254="","",IFERROR(VLOOKUP(Y254,'Ingredients + Stock'!B:D,3,FALSE),""))</f>
        <v/>
      </c>
      <c r="AC254" s="7">
        <f>IF(Y254="","",IFERROR(VLOOKUP(Y254,'Ingredients + Stock'!B:G,6,FALSE),0))</f>
        <v/>
      </c>
      <c r="AD254" s="7">
        <f>IF(AA254="","",IFERROR(VLOOKUP(AA254,'Unit Conversion'!A:D,4,FALSE),1))</f>
        <v/>
      </c>
      <c r="AE254" s="7">
        <f>IF(AB254="","",IFERROR(VLOOKUP(AB254,'Unit Conversion'!A:D,4,FALSE),1))</f>
        <v/>
      </c>
      <c r="AF254" s="7">
        <f>IF(AA254="","",Z254*AD254/AE254)</f>
        <v/>
      </c>
      <c r="AG254" s="7">
        <f>AF254*AC254</f>
        <v/>
      </c>
      <c r="AH254" s="7">
        <f>IF(AA254="","",IFERROR(IF(VLOOKUP(AA254,'Unit Conversion'!A:B,2,FALSE)=VLOOKUP(AB254,'Unit Conversion'!A:B,2,FALSE),"OK","Check W/V mismatch"),"Check unit"))</f>
        <v/>
      </c>
      <c r="AI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>
        <f>IF(Y255="","",IFERROR(VLOOKUP(Y255,'Ingredients + Stock'!B:D,3,FALSE),""))</f>
        <v/>
      </c>
      <c r="AC255" s="8">
        <f>IF(Y255="","",IFERROR(VLOOKUP(Y255,'Ingredients + Stock'!B:G,6,FALSE),0))</f>
        <v/>
      </c>
      <c r="AD255" s="8">
        <f>IF(AA255="","",IFERROR(VLOOKUP(AA255,'Unit Conversion'!A:D,4,FALSE),1))</f>
        <v/>
      </c>
      <c r="AE255" s="8">
        <f>IF(AB255="","",IFERROR(VLOOKUP(AB255,'Unit Conversion'!A:D,4,FALSE),1))</f>
        <v/>
      </c>
      <c r="AF255" s="8">
        <f>IF(AA255="","",Z255*AD255/AE255)</f>
        <v/>
      </c>
      <c r="AG255" s="8">
        <f>AF255*AC255</f>
        <v/>
      </c>
      <c r="AH255" s="8">
        <f>IF(AA255="","",IFERROR(IF(VLOOKUP(AA255,'Unit Conversion'!A:B,2,FALSE)=VLOOKUP(AB255,'Unit Conversion'!A:B,2,FALSE),"OK","Check W/V mismatch"),"Check unit"))</f>
        <v/>
      </c>
      <c r="AI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>
        <f>IF(Y256="","",IFERROR(VLOOKUP(Y256,'Ingredients + Stock'!B:D,3,FALSE),""))</f>
        <v/>
      </c>
      <c r="AC256" s="7">
        <f>IF(Y256="","",IFERROR(VLOOKUP(Y256,'Ingredients + Stock'!B:G,6,FALSE),0))</f>
        <v/>
      </c>
      <c r="AD256" s="7">
        <f>IF(AA256="","",IFERROR(VLOOKUP(AA256,'Unit Conversion'!A:D,4,FALSE),1))</f>
        <v/>
      </c>
      <c r="AE256" s="7">
        <f>IF(AB256="","",IFERROR(VLOOKUP(AB256,'Unit Conversion'!A:D,4,FALSE),1))</f>
        <v/>
      </c>
      <c r="AF256" s="7">
        <f>IF(AA256="","",Z256*AD256/AE256)</f>
        <v/>
      </c>
      <c r="AG256" s="7">
        <f>AF256*AC256</f>
        <v/>
      </c>
      <c r="AH256" s="7">
        <f>IF(AA256="","",IFERROR(IF(VLOOKUP(AA256,'Unit Conversion'!A:B,2,FALSE)=VLOOKUP(AB256,'Unit Conversion'!A:B,2,FALSE),"OK","Check W/V mismatch"),"Check unit"))</f>
        <v/>
      </c>
      <c r="AI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>
        <f>IF(Y257="","",IFERROR(VLOOKUP(Y257,'Ingredients + Stock'!B:D,3,FALSE),""))</f>
        <v/>
      </c>
      <c r="AC257" s="8">
        <f>IF(Y257="","",IFERROR(VLOOKUP(Y257,'Ingredients + Stock'!B:G,6,FALSE),0))</f>
        <v/>
      </c>
      <c r="AD257" s="8">
        <f>IF(AA257="","",IFERROR(VLOOKUP(AA257,'Unit Conversion'!A:D,4,FALSE),1))</f>
        <v/>
      </c>
      <c r="AE257" s="8">
        <f>IF(AB257="","",IFERROR(VLOOKUP(AB257,'Unit Conversion'!A:D,4,FALSE),1))</f>
        <v/>
      </c>
      <c r="AF257" s="8">
        <f>IF(AA257="","",Z257*AD257/AE257)</f>
        <v/>
      </c>
      <c r="AG257" s="8">
        <f>AF257*AC257</f>
        <v/>
      </c>
      <c r="AH257" s="8">
        <f>IF(AA257="","",IFERROR(IF(VLOOKUP(AA257,'Unit Conversion'!A:B,2,FALSE)=VLOOKUP(AB257,'Unit Conversion'!A:B,2,FALSE),"OK","Check W/V mismatch"),"Check unit"))</f>
        <v/>
      </c>
      <c r="AI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>
        <f>IF(Y258="","",IFERROR(VLOOKUP(Y258,'Ingredients + Stock'!B:D,3,FALSE),""))</f>
        <v/>
      </c>
      <c r="AC258" s="7">
        <f>IF(Y258="","",IFERROR(VLOOKUP(Y258,'Ingredients + Stock'!B:G,6,FALSE),0))</f>
        <v/>
      </c>
      <c r="AD258" s="7">
        <f>IF(AA258="","",IFERROR(VLOOKUP(AA258,'Unit Conversion'!A:D,4,FALSE),1))</f>
        <v/>
      </c>
      <c r="AE258" s="7">
        <f>IF(AB258="","",IFERROR(VLOOKUP(AB258,'Unit Conversion'!A:D,4,FALSE),1))</f>
        <v/>
      </c>
      <c r="AF258" s="7">
        <f>IF(AA258="","",Z258*AD258/AE258)</f>
        <v/>
      </c>
      <c r="AG258" s="7">
        <f>AF258*AC258</f>
        <v/>
      </c>
      <c r="AH258" s="7">
        <f>IF(AA258="","",IFERROR(IF(VLOOKUP(AA258,'Unit Conversion'!A:B,2,FALSE)=VLOOKUP(AB258,'Unit Conversion'!A:B,2,FALSE),"OK","Check W/V mismatch"),"Check unit"))</f>
        <v/>
      </c>
      <c r="AI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>
        <f>IF(Y259="","",IFERROR(VLOOKUP(Y259,'Ingredients + Stock'!B:D,3,FALSE),""))</f>
        <v/>
      </c>
      <c r="AC259" s="8">
        <f>IF(Y259="","",IFERROR(VLOOKUP(Y259,'Ingredients + Stock'!B:G,6,FALSE),0))</f>
        <v/>
      </c>
      <c r="AD259" s="8">
        <f>IF(AA259="","",IFERROR(VLOOKUP(AA259,'Unit Conversion'!A:D,4,FALSE),1))</f>
        <v/>
      </c>
      <c r="AE259" s="8">
        <f>IF(AB259="","",IFERROR(VLOOKUP(AB259,'Unit Conversion'!A:D,4,FALSE),1))</f>
        <v/>
      </c>
      <c r="AF259" s="8">
        <f>IF(AA259="","",Z259*AD259/AE259)</f>
        <v/>
      </c>
      <c r="AG259" s="8">
        <f>AF259*AC259</f>
        <v/>
      </c>
      <c r="AH259" s="8">
        <f>IF(AA259="","",IFERROR(IF(VLOOKUP(AA259,'Unit Conversion'!A:B,2,FALSE)=VLOOKUP(AB259,'Unit Conversion'!A:B,2,FALSE),"OK","Check W/V mismatch"),"Check unit"))</f>
        <v/>
      </c>
      <c r="AI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>
        <f>IF(Y260="","",IFERROR(VLOOKUP(Y260,'Ingredients + Stock'!B:D,3,FALSE),""))</f>
        <v/>
      </c>
      <c r="AC260" s="7">
        <f>IF(Y260="","",IFERROR(VLOOKUP(Y260,'Ingredients + Stock'!B:G,6,FALSE),0))</f>
        <v/>
      </c>
      <c r="AD260" s="7">
        <f>IF(AA260="","",IFERROR(VLOOKUP(AA260,'Unit Conversion'!A:D,4,FALSE),1))</f>
        <v/>
      </c>
      <c r="AE260" s="7">
        <f>IF(AB260="","",IFERROR(VLOOKUP(AB260,'Unit Conversion'!A:D,4,FALSE),1))</f>
        <v/>
      </c>
      <c r="AF260" s="7">
        <f>IF(AA260="","",Z260*AD260/AE260)</f>
        <v/>
      </c>
      <c r="AG260" s="7">
        <f>AF260*AC260</f>
        <v/>
      </c>
      <c r="AH260" s="7">
        <f>IF(AA260="","",IFERROR(IF(VLOOKUP(AA260,'Unit Conversion'!A:B,2,FALSE)=VLOOKUP(AB260,'Unit Conversion'!A:B,2,FALSE),"OK","Check W/V mismatch"),"Check unit"))</f>
        <v/>
      </c>
      <c r="AI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>
        <f>IF(Y261="","",IFERROR(VLOOKUP(Y261,'Ingredients + Stock'!B:D,3,FALSE),""))</f>
        <v/>
      </c>
      <c r="AC261" s="8">
        <f>IF(Y261="","",IFERROR(VLOOKUP(Y261,'Ingredients + Stock'!B:G,6,FALSE),0))</f>
        <v/>
      </c>
      <c r="AD261" s="8">
        <f>IF(AA261="","",IFERROR(VLOOKUP(AA261,'Unit Conversion'!A:D,4,FALSE),1))</f>
        <v/>
      </c>
      <c r="AE261" s="8">
        <f>IF(AB261="","",IFERROR(VLOOKUP(AB261,'Unit Conversion'!A:D,4,FALSE),1))</f>
        <v/>
      </c>
      <c r="AF261" s="8">
        <f>IF(AA261="","",Z261*AD261/AE261)</f>
        <v/>
      </c>
      <c r="AG261" s="8">
        <f>AF261*AC261</f>
        <v/>
      </c>
      <c r="AH261" s="8">
        <f>IF(AA261="","",IFERROR(IF(VLOOKUP(AA261,'Unit Conversion'!A:B,2,FALSE)=VLOOKUP(AB261,'Unit Conversion'!A:B,2,FALSE),"OK","Check W/V mismatch"),"Check unit"))</f>
        <v/>
      </c>
      <c r="AI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>
        <f>IF(Y262="","",IFERROR(VLOOKUP(Y262,'Ingredients + Stock'!B:D,3,FALSE),""))</f>
        <v/>
      </c>
      <c r="AC262" s="7">
        <f>IF(Y262="","",IFERROR(VLOOKUP(Y262,'Ingredients + Stock'!B:G,6,FALSE),0))</f>
        <v/>
      </c>
      <c r="AD262" s="7">
        <f>IF(AA262="","",IFERROR(VLOOKUP(AA262,'Unit Conversion'!A:D,4,FALSE),1))</f>
        <v/>
      </c>
      <c r="AE262" s="7">
        <f>IF(AB262="","",IFERROR(VLOOKUP(AB262,'Unit Conversion'!A:D,4,FALSE),1))</f>
        <v/>
      </c>
      <c r="AF262" s="7">
        <f>IF(AA262="","",Z262*AD262/AE262)</f>
        <v/>
      </c>
      <c r="AG262" s="7">
        <f>AF262*AC262</f>
        <v/>
      </c>
      <c r="AH262" s="7">
        <f>IF(AA262="","",IFERROR(IF(VLOOKUP(AA262,'Unit Conversion'!A:B,2,FALSE)=VLOOKUP(AB262,'Unit Conversion'!A:B,2,FALSE),"OK","Check W/V mismatch"),"Check unit"))</f>
        <v/>
      </c>
      <c r="AI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>
        <f>IF(Y263="","",IFERROR(VLOOKUP(Y263,'Ingredients + Stock'!B:D,3,FALSE),""))</f>
        <v/>
      </c>
      <c r="AC263" s="8">
        <f>IF(Y263="","",IFERROR(VLOOKUP(Y263,'Ingredients + Stock'!B:G,6,FALSE),0))</f>
        <v/>
      </c>
      <c r="AD263" s="8">
        <f>IF(AA263="","",IFERROR(VLOOKUP(AA263,'Unit Conversion'!A:D,4,FALSE),1))</f>
        <v/>
      </c>
      <c r="AE263" s="8">
        <f>IF(AB263="","",IFERROR(VLOOKUP(AB263,'Unit Conversion'!A:D,4,FALSE),1))</f>
        <v/>
      </c>
      <c r="AF263" s="8">
        <f>IF(AA263="","",Z263*AD263/AE263)</f>
        <v/>
      </c>
      <c r="AG263" s="8">
        <f>AF263*AC263</f>
        <v/>
      </c>
      <c r="AH263" s="8">
        <f>IF(AA263="","",IFERROR(IF(VLOOKUP(AA263,'Unit Conversion'!A:B,2,FALSE)=VLOOKUP(AB263,'Unit Conversion'!A:B,2,FALSE),"OK","Check W/V mismatch"),"Check unit"))</f>
        <v/>
      </c>
      <c r="AI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>
        <f>IF(Y264="","",IFERROR(VLOOKUP(Y264,'Ingredients + Stock'!B:D,3,FALSE),""))</f>
        <v/>
      </c>
      <c r="AC264" s="7">
        <f>IF(Y264="","",IFERROR(VLOOKUP(Y264,'Ingredients + Stock'!B:G,6,FALSE),0))</f>
        <v/>
      </c>
      <c r="AD264" s="7">
        <f>IF(AA264="","",IFERROR(VLOOKUP(AA264,'Unit Conversion'!A:D,4,FALSE),1))</f>
        <v/>
      </c>
      <c r="AE264" s="7">
        <f>IF(AB264="","",IFERROR(VLOOKUP(AB264,'Unit Conversion'!A:D,4,FALSE),1))</f>
        <v/>
      </c>
      <c r="AF264" s="7">
        <f>IF(AA264="","",Z264*AD264/AE264)</f>
        <v/>
      </c>
      <c r="AG264" s="7">
        <f>AF264*AC264</f>
        <v/>
      </c>
      <c r="AH264" s="7">
        <f>IF(AA264="","",IFERROR(IF(VLOOKUP(AA264,'Unit Conversion'!A:B,2,FALSE)=VLOOKUP(AB264,'Unit Conversion'!A:B,2,FALSE),"OK","Check W/V mismatch"),"Check unit"))</f>
        <v/>
      </c>
      <c r="AI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>
        <f>IF(Y265="","",IFERROR(VLOOKUP(Y265,'Ingredients + Stock'!B:D,3,FALSE),""))</f>
        <v/>
      </c>
      <c r="AC265" s="8">
        <f>IF(Y265="","",IFERROR(VLOOKUP(Y265,'Ingredients + Stock'!B:G,6,FALSE),0))</f>
        <v/>
      </c>
      <c r="AD265" s="8">
        <f>IF(AA265="","",IFERROR(VLOOKUP(AA265,'Unit Conversion'!A:D,4,FALSE),1))</f>
        <v/>
      </c>
      <c r="AE265" s="8">
        <f>IF(AB265="","",IFERROR(VLOOKUP(AB265,'Unit Conversion'!A:D,4,FALSE),1))</f>
        <v/>
      </c>
      <c r="AF265" s="8">
        <f>IF(AA265="","",Z265*AD265/AE265)</f>
        <v/>
      </c>
      <c r="AG265" s="8">
        <f>AF265*AC265</f>
        <v/>
      </c>
      <c r="AH265" s="8">
        <f>IF(AA265="","",IFERROR(IF(VLOOKUP(AA265,'Unit Conversion'!A:B,2,FALSE)=VLOOKUP(AB265,'Unit Conversion'!A:B,2,FALSE),"OK","Check W/V mismatch"),"Check unit"))</f>
        <v/>
      </c>
      <c r="AI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>
        <f>IF(Y266="","",IFERROR(VLOOKUP(Y266,'Ingredients + Stock'!B:D,3,FALSE),""))</f>
        <v/>
      </c>
      <c r="AC266" s="7">
        <f>IF(Y266="","",IFERROR(VLOOKUP(Y266,'Ingredients + Stock'!B:G,6,FALSE),0))</f>
        <v/>
      </c>
      <c r="AD266" s="7">
        <f>IF(AA266="","",IFERROR(VLOOKUP(AA266,'Unit Conversion'!A:D,4,FALSE),1))</f>
        <v/>
      </c>
      <c r="AE266" s="7">
        <f>IF(AB266="","",IFERROR(VLOOKUP(AB266,'Unit Conversion'!A:D,4,FALSE),1))</f>
        <v/>
      </c>
      <c r="AF266" s="7">
        <f>IF(AA266="","",Z266*AD266/AE266)</f>
        <v/>
      </c>
      <c r="AG266" s="7">
        <f>AF266*AC266</f>
        <v/>
      </c>
      <c r="AH266" s="7">
        <f>IF(AA266="","",IFERROR(IF(VLOOKUP(AA266,'Unit Conversion'!A:B,2,FALSE)=VLOOKUP(AB266,'Unit Conversion'!A:B,2,FALSE),"OK","Check W/V mismatch"),"Check unit"))</f>
        <v/>
      </c>
      <c r="AI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>
        <f>IF(Y267="","",IFERROR(VLOOKUP(Y267,'Ingredients + Stock'!B:D,3,FALSE),""))</f>
        <v/>
      </c>
      <c r="AC267" s="8">
        <f>IF(Y267="","",IFERROR(VLOOKUP(Y267,'Ingredients + Stock'!B:G,6,FALSE),0))</f>
        <v/>
      </c>
      <c r="AD267" s="8">
        <f>IF(AA267="","",IFERROR(VLOOKUP(AA267,'Unit Conversion'!A:D,4,FALSE),1))</f>
        <v/>
      </c>
      <c r="AE267" s="8">
        <f>IF(AB267="","",IFERROR(VLOOKUP(AB267,'Unit Conversion'!A:D,4,FALSE),1))</f>
        <v/>
      </c>
      <c r="AF267" s="8">
        <f>IF(AA267="","",Z267*AD267/AE267)</f>
        <v/>
      </c>
      <c r="AG267" s="8">
        <f>AF267*AC267</f>
        <v/>
      </c>
      <c r="AH267" s="8">
        <f>IF(AA267="","",IFERROR(IF(VLOOKUP(AA267,'Unit Conversion'!A:B,2,FALSE)=VLOOKUP(AB267,'Unit Conversion'!A:B,2,FALSE),"OK","Check W/V mismatch"),"Check unit"))</f>
        <v/>
      </c>
      <c r="AI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>
        <f>IF(Y268="","",IFERROR(VLOOKUP(Y268,'Ingredients + Stock'!B:D,3,FALSE),""))</f>
        <v/>
      </c>
      <c r="AC268" s="7">
        <f>IF(Y268="","",IFERROR(VLOOKUP(Y268,'Ingredients + Stock'!B:G,6,FALSE),0))</f>
        <v/>
      </c>
      <c r="AD268" s="7">
        <f>IF(AA268="","",IFERROR(VLOOKUP(AA268,'Unit Conversion'!A:D,4,FALSE),1))</f>
        <v/>
      </c>
      <c r="AE268" s="7">
        <f>IF(AB268="","",IFERROR(VLOOKUP(AB268,'Unit Conversion'!A:D,4,FALSE),1))</f>
        <v/>
      </c>
      <c r="AF268" s="7">
        <f>IF(AA268="","",Z268*AD268/AE268)</f>
        <v/>
      </c>
      <c r="AG268" s="7">
        <f>AF268*AC268</f>
        <v/>
      </c>
      <c r="AH268" s="7">
        <f>IF(AA268="","",IFERROR(IF(VLOOKUP(AA268,'Unit Conversion'!A:B,2,FALSE)=VLOOKUP(AB268,'Unit Conversion'!A:B,2,FALSE),"OK","Check W/V mismatch"),"Check unit"))</f>
        <v/>
      </c>
      <c r="AI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>
        <f>IF(Y269="","",IFERROR(VLOOKUP(Y269,'Ingredients + Stock'!B:D,3,FALSE),""))</f>
        <v/>
      </c>
      <c r="AC269" s="8">
        <f>IF(Y269="","",IFERROR(VLOOKUP(Y269,'Ingredients + Stock'!B:G,6,FALSE),0))</f>
        <v/>
      </c>
      <c r="AD269" s="8">
        <f>IF(AA269="","",IFERROR(VLOOKUP(AA269,'Unit Conversion'!A:D,4,FALSE),1))</f>
        <v/>
      </c>
      <c r="AE269" s="8">
        <f>IF(AB269="","",IFERROR(VLOOKUP(AB269,'Unit Conversion'!A:D,4,FALSE),1))</f>
        <v/>
      </c>
      <c r="AF269" s="8">
        <f>IF(AA269="","",Z269*AD269/AE269)</f>
        <v/>
      </c>
      <c r="AG269" s="8">
        <f>AF269*AC269</f>
        <v/>
      </c>
      <c r="AH269" s="8">
        <f>IF(AA269="","",IFERROR(IF(VLOOKUP(AA269,'Unit Conversion'!A:B,2,FALSE)=VLOOKUP(AB269,'Unit Conversion'!A:B,2,FALSE),"OK","Check W/V mismatch"),"Check unit"))</f>
        <v/>
      </c>
      <c r="AI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>
        <f>IF(Y270="","",IFERROR(VLOOKUP(Y270,'Ingredients + Stock'!B:D,3,FALSE),""))</f>
        <v/>
      </c>
      <c r="AC270" s="7">
        <f>IF(Y270="","",IFERROR(VLOOKUP(Y270,'Ingredients + Stock'!B:G,6,FALSE),0))</f>
        <v/>
      </c>
      <c r="AD270" s="7">
        <f>IF(AA270="","",IFERROR(VLOOKUP(AA270,'Unit Conversion'!A:D,4,FALSE),1))</f>
        <v/>
      </c>
      <c r="AE270" s="7">
        <f>IF(AB270="","",IFERROR(VLOOKUP(AB270,'Unit Conversion'!A:D,4,FALSE),1))</f>
        <v/>
      </c>
      <c r="AF270" s="7">
        <f>IF(AA270="","",Z270*AD270/AE270)</f>
        <v/>
      </c>
      <c r="AG270" s="7">
        <f>AF270*AC270</f>
        <v/>
      </c>
      <c r="AH270" s="7">
        <f>IF(AA270="","",IFERROR(IF(VLOOKUP(AA270,'Unit Conversion'!A:B,2,FALSE)=VLOOKUP(AB270,'Unit Conversion'!A:B,2,FALSE),"OK","Check W/V mismatch"),"Check unit"))</f>
        <v/>
      </c>
      <c r="AI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>
        <f>IF(Y271="","",IFERROR(VLOOKUP(Y271,'Ingredients + Stock'!B:D,3,FALSE),""))</f>
        <v/>
      </c>
      <c r="AC271" s="8">
        <f>IF(Y271="","",IFERROR(VLOOKUP(Y271,'Ingredients + Stock'!B:G,6,FALSE),0))</f>
        <v/>
      </c>
      <c r="AD271" s="8">
        <f>IF(AA271="","",IFERROR(VLOOKUP(AA271,'Unit Conversion'!A:D,4,FALSE),1))</f>
        <v/>
      </c>
      <c r="AE271" s="8">
        <f>IF(AB271="","",IFERROR(VLOOKUP(AB271,'Unit Conversion'!A:D,4,FALSE),1))</f>
        <v/>
      </c>
      <c r="AF271" s="8">
        <f>IF(AA271="","",Z271*AD271/AE271)</f>
        <v/>
      </c>
      <c r="AG271" s="8">
        <f>AF271*AC271</f>
        <v/>
      </c>
      <c r="AH271" s="8">
        <f>IF(AA271="","",IFERROR(IF(VLOOKUP(AA271,'Unit Conversion'!A:B,2,FALSE)=VLOOKUP(AB271,'Unit Conversion'!A:B,2,FALSE),"OK","Check W/V mismatch"),"Check unit"))</f>
        <v/>
      </c>
      <c r="AI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>
        <f>IF(Y272="","",IFERROR(VLOOKUP(Y272,'Ingredients + Stock'!B:D,3,FALSE),""))</f>
        <v/>
      </c>
      <c r="AC272" s="7">
        <f>IF(Y272="","",IFERROR(VLOOKUP(Y272,'Ingredients + Stock'!B:G,6,FALSE),0))</f>
        <v/>
      </c>
      <c r="AD272" s="7">
        <f>IF(AA272="","",IFERROR(VLOOKUP(AA272,'Unit Conversion'!A:D,4,FALSE),1))</f>
        <v/>
      </c>
      <c r="AE272" s="7">
        <f>IF(AB272="","",IFERROR(VLOOKUP(AB272,'Unit Conversion'!A:D,4,FALSE),1))</f>
        <v/>
      </c>
      <c r="AF272" s="7">
        <f>IF(AA272="","",Z272*AD272/AE272)</f>
        <v/>
      </c>
      <c r="AG272" s="7">
        <f>AF272*AC272</f>
        <v/>
      </c>
      <c r="AH272" s="7">
        <f>IF(AA272="","",IFERROR(IF(VLOOKUP(AA272,'Unit Conversion'!A:B,2,FALSE)=VLOOKUP(AB272,'Unit Conversion'!A:B,2,FALSE),"OK","Check W/V mismatch"),"Check unit"))</f>
        <v/>
      </c>
      <c r="AI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>
        <f>IF(Y273="","",IFERROR(VLOOKUP(Y273,'Ingredients + Stock'!B:D,3,FALSE),""))</f>
        <v/>
      </c>
      <c r="AC273" s="8">
        <f>IF(Y273="","",IFERROR(VLOOKUP(Y273,'Ingredients + Stock'!B:G,6,FALSE),0))</f>
        <v/>
      </c>
      <c r="AD273" s="8">
        <f>IF(AA273="","",IFERROR(VLOOKUP(AA273,'Unit Conversion'!A:D,4,FALSE),1))</f>
        <v/>
      </c>
      <c r="AE273" s="8">
        <f>IF(AB273="","",IFERROR(VLOOKUP(AB273,'Unit Conversion'!A:D,4,FALSE),1))</f>
        <v/>
      </c>
      <c r="AF273" s="8">
        <f>IF(AA273="","",Z273*AD273/AE273)</f>
        <v/>
      </c>
      <c r="AG273" s="8">
        <f>AF273*AC273</f>
        <v/>
      </c>
      <c r="AH273" s="8">
        <f>IF(AA273="","",IFERROR(IF(VLOOKUP(AA273,'Unit Conversion'!A:B,2,FALSE)=VLOOKUP(AB273,'Unit Conversion'!A:B,2,FALSE),"OK","Check W/V mismatch"),"Check unit"))</f>
        <v/>
      </c>
      <c r="AI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>
        <f>IF(Y274="","",IFERROR(VLOOKUP(Y274,'Ingredients + Stock'!B:D,3,FALSE),""))</f>
        <v/>
      </c>
      <c r="AC274" s="7">
        <f>IF(Y274="","",IFERROR(VLOOKUP(Y274,'Ingredients + Stock'!B:G,6,FALSE),0))</f>
        <v/>
      </c>
      <c r="AD274" s="7">
        <f>IF(AA274="","",IFERROR(VLOOKUP(AA274,'Unit Conversion'!A:D,4,FALSE),1))</f>
        <v/>
      </c>
      <c r="AE274" s="7">
        <f>IF(AB274="","",IFERROR(VLOOKUP(AB274,'Unit Conversion'!A:D,4,FALSE),1))</f>
        <v/>
      </c>
      <c r="AF274" s="7">
        <f>IF(AA274="","",Z274*AD274/AE274)</f>
        <v/>
      </c>
      <c r="AG274" s="7">
        <f>AF274*AC274</f>
        <v/>
      </c>
      <c r="AH274" s="7">
        <f>IF(AA274="","",IFERROR(IF(VLOOKUP(AA274,'Unit Conversion'!A:B,2,FALSE)=VLOOKUP(AB274,'Unit Conversion'!A:B,2,FALSE),"OK","Check W/V mismatch"),"Check unit"))</f>
        <v/>
      </c>
      <c r="AI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>
        <f>IF(Y275="","",IFERROR(VLOOKUP(Y275,'Ingredients + Stock'!B:D,3,FALSE),""))</f>
        <v/>
      </c>
      <c r="AC275" s="8">
        <f>IF(Y275="","",IFERROR(VLOOKUP(Y275,'Ingredients + Stock'!B:G,6,FALSE),0))</f>
        <v/>
      </c>
      <c r="AD275" s="8">
        <f>IF(AA275="","",IFERROR(VLOOKUP(AA275,'Unit Conversion'!A:D,4,FALSE),1))</f>
        <v/>
      </c>
      <c r="AE275" s="8">
        <f>IF(AB275="","",IFERROR(VLOOKUP(AB275,'Unit Conversion'!A:D,4,FALSE),1))</f>
        <v/>
      </c>
      <c r="AF275" s="8">
        <f>IF(AA275="","",Z275*AD275/AE275)</f>
        <v/>
      </c>
      <c r="AG275" s="8">
        <f>AF275*AC275</f>
        <v/>
      </c>
      <c r="AH275" s="8">
        <f>IF(AA275="","",IFERROR(IF(VLOOKUP(AA275,'Unit Conversion'!A:B,2,FALSE)=VLOOKUP(AB275,'Unit Conversion'!A:B,2,FALSE),"OK","Check W/V mismatch"),"Check unit"))</f>
        <v/>
      </c>
      <c r="AI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>
        <f>IF(Y276="","",IFERROR(VLOOKUP(Y276,'Ingredients + Stock'!B:D,3,FALSE),""))</f>
        <v/>
      </c>
      <c r="AC276" s="7">
        <f>IF(Y276="","",IFERROR(VLOOKUP(Y276,'Ingredients + Stock'!B:G,6,FALSE),0))</f>
        <v/>
      </c>
      <c r="AD276" s="7">
        <f>IF(AA276="","",IFERROR(VLOOKUP(AA276,'Unit Conversion'!A:D,4,FALSE),1))</f>
        <v/>
      </c>
      <c r="AE276" s="7">
        <f>IF(AB276="","",IFERROR(VLOOKUP(AB276,'Unit Conversion'!A:D,4,FALSE),1))</f>
        <v/>
      </c>
      <c r="AF276" s="7">
        <f>IF(AA276="","",Z276*AD276/AE276)</f>
        <v/>
      </c>
      <c r="AG276" s="7">
        <f>AF276*AC276</f>
        <v/>
      </c>
      <c r="AH276" s="7">
        <f>IF(AA276="","",IFERROR(IF(VLOOKUP(AA276,'Unit Conversion'!A:B,2,FALSE)=VLOOKUP(AB276,'Unit Conversion'!A:B,2,FALSE),"OK","Check W/V mismatch"),"Check unit"))</f>
        <v/>
      </c>
      <c r="AI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>
        <f>IF(Y277="","",IFERROR(VLOOKUP(Y277,'Ingredients + Stock'!B:D,3,FALSE),""))</f>
        <v/>
      </c>
      <c r="AC277" s="8">
        <f>IF(Y277="","",IFERROR(VLOOKUP(Y277,'Ingredients + Stock'!B:G,6,FALSE),0))</f>
        <v/>
      </c>
      <c r="AD277" s="8">
        <f>IF(AA277="","",IFERROR(VLOOKUP(AA277,'Unit Conversion'!A:D,4,FALSE),1))</f>
        <v/>
      </c>
      <c r="AE277" s="8">
        <f>IF(AB277="","",IFERROR(VLOOKUP(AB277,'Unit Conversion'!A:D,4,FALSE),1))</f>
        <v/>
      </c>
      <c r="AF277" s="8">
        <f>IF(AA277="","",Z277*AD277/AE277)</f>
        <v/>
      </c>
      <c r="AG277" s="8">
        <f>AF277*AC277</f>
        <v/>
      </c>
      <c r="AH277" s="8">
        <f>IF(AA277="","",IFERROR(IF(VLOOKUP(AA277,'Unit Conversion'!A:B,2,FALSE)=VLOOKUP(AB277,'Unit Conversion'!A:B,2,FALSE),"OK","Check W/V mismatch"),"Check unit"))</f>
        <v/>
      </c>
      <c r="AI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>
        <f>IF(Y278="","",IFERROR(VLOOKUP(Y278,'Ingredients + Stock'!B:D,3,FALSE),""))</f>
        <v/>
      </c>
      <c r="AC278" s="7">
        <f>IF(Y278="","",IFERROR(VLOOKUP(Y278,'Ingredients + Stock'!B:G,6,FALSE),0))</f>
        <v/>
      </c>
      <c r="AD278" s="7">
        <f>IF(AA278="","",IFERROR(VLOOKUP(AA278,'Unit Conversion'!A:D,4,FALSE),1))</f>
        <v/>
      </c>
      <c r="AE278" s="7">
        <f>IF(AB278="","",IFERROR(VLOOKUP(AB278,'Unit Conversion'!A:D,4,FALSE),1))</f>
        <v/>
      </c>
      <c r="AF278" s="7">
        <f>IF(AA278="","",Z278*AD278/AE278)</f>
        <v/>
      </c>
      <c r="AG278" s="7">
        <f>AF278*AC278</f>
        <v/>
      </c>
      <c r="AH278" s="7">
        <f>IF(AA278="","",IFERROR(IF(VLOOKUP(AA278,'Unit Conversion'!A:B,2,FALSE)=VLOOKUP(AB278,'Unit Conversion'!A:B,2,FALSE),"OK","Check W/V mismatch"),"Check unit"))</f>
        <v/>
      </c>
      <c r="AI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>
        <f>IF(Y279="","",IFERROR(VLOOKUP(Y279,'Ingredients + Stock'!B:D,3,FALSE),""))</f>
        <v/>
      </c>
      <c r="AC279" s="8">
        <f>IF(Y279="","",IFERROR(VLOOKUP(Y279,'Ingredients + Stock'!B:G,6,FALSE),0))</f>
        <v/>
      </c>
      <c r="AD279" s="8">
        <f>IF(AA279="","",IFERROR(VLOOKUP(AA279,'Unit Conversion'!A:D,4,FALSE),1))</f>
        <v/>
      </c>
      <c r="AE279" s="8">
        <f>IF(AB279="","",IFERROR(VLOOKUP(AB279,'Unit Conversion'!A:D,4,FALSE),1))</f>
        <v/>
      </c>
      <c r="AF279" s="8">
        <f>IF(AA279="","",Z279*AD279/AE279)</f>
        <v/>
      </c>
      <c r="AG279" s="8">
        <f>AF279*AC279</f>
        <v/>
      </c>
      <c r="AH279" s="8">
        <f>IF(AA279="","",IFERROR(IF(VLOOKUP(AA279,'Unit Conversion'!A:B,2,FALSE)=VLOOKUP(AB279,'Unit Conversion'!A:B,2,FALSE),"OK","Check W/V mismatch"),"Check unit"))</f>
        <v/>
      </c>
      <c r="AI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>
        <f>IF(Y280="","",IFERROR(VLOOKUP(Y280,'Ingredients + Stock'!B:D,3,FALSE),""))</f>
        <v/>
      </c>
      <c r="AC280" s="7">
        <f>IF(Y280="","",IFERROR(VLOOKUP(Y280,'Ingredients + Stock'!B:G,6,FALSE),0))</f>
        <v/>
      </c>
      <c r="AD280" s="7">
        <f>IF(AA280="","",IFERROR(VLOOKUP(AA280,'Unit Conversion'!A:D,4,FALSE),1))</f>
        <v/>
      </c>
      <c r="AE280" s="7">
        <f>IF(AB280="","",IFERROR(VLOOKUP(AB280,'Unit Conversion'!A:D,4,FALSE),1))</f>
        <v/>
      </c>
      <c r="AF280" s="7">
        <f>IF(AA280="","",Z280*AD280/AE280)</f>
        <v/>
      </c>
      <c r="AG280" s="7">
        <f>AF280*AC280</f>
        <v/>
      </c>
      <c r="AH280" s="7">
        <f>IF(AA280="","",IFERROR(IF(VLOOKUP(AA280,'Unit Conversion'!A:B,2,FALSE)=VLOOKUP(AB280,'Unit Conversion'!A:B,2,FALSE),"OK","Check W/V mismatch"),"Check unit"))</f>
        <v/>
      </c>
      <c r="AI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>
        <f>IF(Y281="","",IFERROR(VLOOKUP(Y281,'Ingredients + Stock'!B:D,3,FALSE),""))</f>
        <v/>
      </c>
      <c r="AC281" s="8">
        <f>IF(Y281="","",IFERROR(VLOOKUP(Y281,'Ingredients + Stock'!B:G,6,FALSE),0))</f>
        <v/>
      </c>
      <c r="AD281" s="8">
        <f>IF(AA281="","",IFERROR(VLOOKUP(AA281,'Unit Conversion'!A:D,4,FALSE),1))</f>
        <v/>
      </c>
      <c r="AE281" s="8">
        <f>IF(AB281="","",IFERROR(VLOOKUP(AB281,'Unit Conversion'!A:D,4,FALSE),1))</f>
        <v/>
      </c>
      <c r="AF281" s="8">
        <f>IF(AA281="","",Z281*AD281/AE281)</f>
        <v/>
      </c>
      <c r="AG281" s="8">
        <f>AF281*AC281</f>
        <v/>
      </c>
      <c r="AH281" s="8">
        <f>IF(AA281="","",IFERROR(IF(VLOOKUP(AA281,'Unit Conversion'!A:B,2,FALSE)=VLOOKUP(AB281,'Unit Conversion'!A:B,2,FALSE),"OK","Check W/V mismatch"),"Check unit"))</f>
        <v/>
      </c>
      <c r="AI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>
        <f>IF(Y282="","",IFERROR(VLOOKUP(Y282,'Ingredients + Stock'!B:D,3,FALSE),""))</f>
        <v/>
      </c>
      <c r="AC282" s="7">
        <f>IF(Y282="","",IFERROR(VLOOKUP(Y282,'Ingredients + Stock'!B:G,6,FALSE),0))</f>
        <v/>
      </c>
      <c r="AD282" s="7">
        <f>IF(AA282="","",IFERROR(VLOOKUP(AA282,'Unit Conversion'!A:D,4,FALSE),1))</f>
        <v/>
      </c>
      <c r="AE282" s="7">
        <f>IF(AB282="","",IFERROR(VLOOKUP(AB282,'Unit Conversion'!A:D,4,FALSE),1))</f>
        <v/>
      </c>
      <c r="AF282" s="7">
        <f>IF(AA282="","",Z282*AD282/AE282)</f>
        <v/>
      </c>
      <c r="AG282" s="7">
        <f>AF282*AC282</f>
        <v/>
      </c>
      <c r="AH282" s="7">
        <f>IF(AA282="","",IFERROR(IF(VLOOKUP(AA282,'Unit Conversion'!A:B,2,FALSE)=VLOOKUP(AB282,'Unit Conversion'!A:B,2,FALSE),"OK","Check W/V mismatch"),"Check unit"))</f>
        <v/>
      </c>
      <c r="AI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>
        <f>IF(Y283="","",IFERROR(VLOOKUP(Y283,'Ingredients + Stock'!B:D,3,FALSE),""))</f>
        <v/>
      </c>
      <c r="AC283" s="8">
        <f>IF(Y283="","",IFERROR(VLOOKUP(Y283,'Ingredients + Stock'!B:G,6,FALSE),0))</f>
        <v/>
      </c>
      <c r="AD283" s="8">
        <f>IF(AA283="","",IFERROR(VLOOKUP(AA283,'Unit Conversion'!A:D,4,FALSE),1))</f>
        <v/>
      </c>
      <c r="AE283" s="8">
        <f>IF(AB283="","",IFERROR(VLOOKUP(AB283,'Unit Conversion'!A:D,4,FALSE),1))</f>
        <v/>
      </c>
      <c r="AF283" s="8">
        <f>IF(AA283="","",Z283*AD283/AE283)</f>
        <v/>
      </c>
      <c r="AG283" s="8">
        <f>AF283*AC283</f>
        <v/>
      </c>
      <c r="AH283" s="8">
        <f>IF(AA283="","",IFERROR(IF(VLOOKUP(AA283,'Unit Conversion'!A:B,2,FALSE)=VLOOKUP(AB283,'Unit Conversion'!A:B,2,FALSE),"OK","Check W/V mismatch"),"Check unit"))</f>
        <v/>
      </c>
      <c r="AI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>
        <f>IF(Y284="","",IFERROR(VLOOKUP(Y284,'Ingredients + Stock'!B:D,3,FALSE),""))</f>
        <v/>
      </c>
      <c r="AC284" s="7">
        <f>IF(Y284="","",IFERROR(VLOOKUP(Y284,'Ingredients + Stock'!B:G,6,FALSE),0))</f>
        <v/>
      </c>
      <c r="AD284" s="7">
        <f>IF(AA284="","",IFERROR(VLOOKUP(AA284,'Unit Conversion'!A:D,4,FALSE),1))</f>
        <v/>
      </c>
      <c r="AE284" s="7">
        <f>IF(AB284="","",IFERROR(VLOOKUP(AB284,'Unit Conversion'!A:D,4,FALSE),1))</f>
        <v/>
      </c>
      <c r="AF284" s="7">
        <f>IF(AA284="","",Z284*AD284/AE284)</f>
        <v/>
      </c>
      <c r="AG284" s="7">
        <f>AF284*AC284</f>
        <v/>
      </c>
      <c r="AH284" s="7">
        <f>IF(AA284="","",IFERROR(IF(VLOOKUP(AA284,'Unit Conversion'!A:B,2,FALSE)=VLOOKUP(AB284,'Unit Conversion'!A:B,2,FALSE),"OK","Check W/V mismatch"),"Check unit"))</f>
        <v/>
      </c>
      <c r="AI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>
        <f>IF(Y285="","",IFERROR(VLOOKUP(Y285,'Ingredients + Stock'!B:D,3,FALSE),""))</f>
        <v/>
      </c>
      <c r="AC285" s="8">
        <f>IF(Y285="","",IFERROR(VLOOKUP(Y285,'Ingredients + Stock'!B:G,6,FALSE),0))</f>
        <v/>
      </c>
      <c r="AD285" s="8">
        <f>IF(AA285="","",IFERROR(VLOOKUP(AA285,'Unit Conversion'!A:D,4,FALSE),1))</f>
        <v/>
      </c>
      <c r="AE285" s="8">
        <f>IF(AB285="","",IFERROR(VLOOKUP(AB285,'Unit Conversion'!A:D,4,FALSE),1))</f>
        <v/>
      </c>
      <c r="AF285" s="8">
        <f>IF(AA285="","",Z285*AD285/AE285)</f>
        <v/>
      </c>
      <c r="AG285" s="8">
        <f>AF285*AC285</f>
        <v/>
      </c>
      <c r="AH285" s="8">
        <f>IF(AA285="","",IFERROR(IF(VLOOKUP(AA285,'Unit Conversion'!A:B,2,FALSE)=VLOOKUP(AB285,'Unit Conversion'!A:B,2,FALSE),"OK","Check W/V mismatch"),"Check unit"))</f>
        <v/>
      </c>
      <c r="AI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>
        <f>IF(Y286="","",IFERROR(VLOOKUP(Y286,'Ingredients + Stock'!B:D,3,FALSE),""))</f>
        <v/>
      </c>
      <c r="AC286" s="7">
        <f>IF(Y286="","",IFERROR(VLOOKUP(Y286,'Ingredients + Stock'!B:G,6,FALSE),0))</f>
        <v/>
      </c>
      <c r="AD286" s="7">
        <f>IF(AA286="","",IFERROR(VLOOKUP(AA286,'Unit Conversion'!A:D,4,FALSE),1))</f>
        <v/>
      </c>
      <c r="AE286" s="7">
        <f>IF(AB286="","",IFERROR(VLOOKUP(AB286,'Unit Conversion'!A:D,4,FALSE),1))</f>
        <v/>
      </c>
      <c r="AF286" s="7">
        <f>IF(AA286="","",Z286*AD286/AE286)</f>
        <v/>
      </c>
      <c r="AG286" s="7">
        <f>AF286*AC286</f>
        <v/>
      </c>
      <c r="AH286" s="7">
        <f>IF(AA286="","",IFERROR(IF(VLOOKUP(AA286,'Unit Conversion'!A:B,2,FALSE)=VLOOKUP(AB286,'Unit Conversion'!A:B,2,FALSE),"OK","Check W/V mismatch"),"Check unit"))</f>
        <v/>
      </c>
      <c r="AI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>
        <f>IF(Y287="","",IFERROR(VLOOKUP(Y287,'Ingredients + Stock'!B:D,3,FALSE),""))</f>
        <v/>
      </c>
      <c r="AC287" s="8">
        <f>IF(Y287="","",IFERROR(VLOOKUP(Y287,'Ingredients + Stock'!B:G,6,FALSE),0))</f>
        <v/>
      </c>
      <c r="AD287" s="8">
        <f>IF(AA287="","",IFERROR(VLOOKUP(AA287,'Unit Conversion'!A:D,4,FALSE),1))</f>
        <v/>
      </c>
      <c r="AE287" s="8">
        <f>IF(AB287="","",IFERROR(VLOOKUP(AB287,'Unit Conversion'!A:D,4,FALSE),1))</f>
        <v/>
      </c>
      <c r="AF287" s="8">
        <f>IF(AA287="","",Z287*AD287/AE287)</f>
        <v/>
      </c>
      <c r="AG287" s="8">
        <f>AF287*AC287</f>
        <v/>
      </c>
      <c r="AH287" s="8">
        <f>IF(AA287="","",IFERROR(IF(VLOOKUP(AA287,'Unit Conversion'!A:B,2,FALSE)=VLOOKUP(AB287,'Unit Conversion'!A:B,2,FALSE),"OK","Check W/V mismatch"),"Check unit"))</f>
        <v/>
      </c>
      <c r="AI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>
        <f>IF(Y288="","",IFERROR(VLOOKUP(Y288,'Ingredients + Stock'!B:D,3,FALSE),""))</f>
        <v/>
      </c>
      <c r="AC288" s="7">
        <f>IF(Y288="","",IFERROR(VLOOKUP(Y288,'Ingredients + Stock'!B:G,6,FALSE),0))</f>
        <v/>
      </c>
      <c r="AD288" s="7">
        <f>IF(AA288="","",IFERROR(VLOOKUP(AA288,'Unit Conversion'!A:D,4,FALSE),1))</f>
        <v/>
      </c>
      <c r="AE288" s="7">
        <f>IF(AB288="","",IFERROR(VLOOKUP(AB288,'Unit Conversion'!A:D,4,FALSE),1))</f>
        <v/>
      </c>
      <c r="AF288" s="7">
        <f>IF(AA288="","",Z288*AD288/AE288)</f>
        <v/>
      </c>
      <c r="AG288" s="7">
        <f>AF288*AC288</f>
        <v/>
      </c>
      <c r="AH288" s="7">
        <f>IF(AA288="","",IFERROR(IF(VLOOKUP(AA288,'Unit Conversion'!A:B,2,FALSE)=VLOOKUP(AB288,'Unit Conversion'!A:B,2,FALSE),"OK","Check W/V mismatch"),"Check unit"))</f>
        <v/>
      </c>
      <c r="AI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>
        <f>IF(Y289="","",IFERROR(VLOOKUP(Y289,'Ingredients + Stock'!B:D,3,FALSE),""))</f>
        <v/>
      </c>
      <c r="AC289" s="8">
        <f>IF(Y289="","",IFERROR(VLOOKUP(Y289,'Ingredients + Stock'!B:G,6,FALSE),0))</f>
        <v/>
      </c>
      <c r="AD289" s="8">
        <f>IF(AA289="","",IFERROR(VLOOKUP(AA289,'Unit Conversion'!A:D,4,FALSE),1))</f>
        <v/>
      </c>
      <c r="AE289" s="8">
        <f>IF(AB289="","",IFERROR(VLOOKUP(AB289,'Unit Conversion'!A:D,4,FALSE),1))</f>
        <v/>
      </c>
      <c r="AF289" s="8">
        <f>IF(AA289="","",Z289*AD289/AE289)</f>
        <v/>
      </c>
      <c r="AG289" s="8">
        <f>AF289*AC289</f>
        <v/>
      </c>
      <c r="AH289" s="8">
        <f>IF(AA289="","",IFERROR(IF(VLOOKUP(AA289,'Unit Conversion'!A:B,2,FALSE)=VLOOKUP(AB289,'Unit Conversion'!A:B,2,FALSE),"OK","Check W/V mismatch"),"Check unit"))</f>
        <v/>
      </c>
      <c r="AI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>
        <f>IF(Y290="","",IFERROR(VLOOKUP(Y290,'Ingredients + Stock'!B:D,3,FALSE),""))</f>
        <v/>
      </c>
      <c r="AC290" s="7">
        <f>IF(Y290="","",IFERROR(VLOOKUP(Y290,'Ingredients + Stock'!B:G,6,FALSE),0))</f>
        <v/>
      </c>
      <c r="AD290" s="7">
        <f>IF(AA290="","",IFERROR(VLOOKUP(AA290,'Unit Conversion'!A:D,4,FALSE),1))</f>
        <v/>
      </c>
      <c r="AE290" s="7">
        <f>IF(AB290="","",IFERROR(VLOOKUP(AB290,'Unit Conversion'!A:D,4,FALSE),1))</f>
        <v/>
      </c>
      <c r="AF290" s="7">
        <f>IF(AA290="","",Z290*AD290/AE290)</f>
        <v/>
      </c>
      <c r="AG290" s="7">
        <f>AF290*AC290</f>
        <v/>
      </c>
      <c r="AH290" s="7">
        <f>IF(AA290="","",IFERROR(IF(VLOOKUP(AA290,'Unit Conversion'!A:B,2,FALSE)=VLOOKUP(AB290,'Unit Conversion'!A:B,2,FALSE),"OK","Check W/V mismatch"),"Check unit"))</f>
        <v/>
      </c>
      <c r="AI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>
        <f>IF(Y291="","",IFERROR(VLOOKUP(Y291,'Ingredients + Stock'!B:D,3,FALSE),""))</f>
        <v/>
      </c>
      <c r="AC291" s="8">
        <f>IF(Y291="","",IFERROR(VLOOKUP(Y291,'Ingredients + Stock'!B:G,6,FALSE),0))</f>
        <v/>
      </c>
      <c r="AD291" s="8">
        <f>IF(AA291="","",IFERROR(VLOOKUP(AA291,'Unit Conversion'!A:D,4,FALSE),1))</f>
        <v/>
      </c>
      <c r="AE291" s="8">
        <f>IF(AB291="","",IFERROR(VLOOKUP(AB291,'Unit Conversion'!A:D,4,FALSE),1))</f>
        <v/>
      </c>
      <c r="AF291" s="8">
        <f>IF(AA291="","",Z291*AD291/AE291)</f>
        <v/>
      </c>
      <c r="AG291" s="8">
        <f>AF291*AC291</f>
        <v/>
      </c>
      <c r="AH291" s="8">
        <f>IF(AA291="","",IFERROR(IF(VLOOKUP(AA291,'Unit Conversion'!A:B,2,FALSE)=VLOOKUP(AB291,'Unit Conversion'!A:B,2,FALSE),"OK","Check W/V mismatch"),"Check unit"))</f>
        <v/>
      </c>
      <c r="AI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>
        <f>IF(Y292="","",IFERROR(VLOOKUP(Y292,'Ingredients + Stock'!B:D,3,FALSE),""))</f>
        <v/>
      </c>
      <c r="AC292" s="7">
        <f>IF(Y292="","",IFERROR(VLOOKUP(Y292,'Ingredients + Stock'!B:G,6,FALSE),0))</f>
        <v/>
      </c>
      <c r="AD292" s="7">
        <f>IF(AA292="","",IFERROR(VLOOKUP(AA292,'Unit Conversion'!A:D,4,FALSE),1))</f>
        <v/>
      </c>
      <c r="AE292" s="7">
        <f>IF(AB292="","",IFERROR(VLOOKUP(AB292,'Unit Conversion'!A:D,4,FALSE),1))</f>
        <v/>
      </c>
      <c r="AF292" s="7">
        <f>IF(AA292="","",Z292*AD292/AE292)</f>
        <v/>
      </c>
      <c r="AG292" s="7">
        <f>AF292*AC292</f>
        <v/>
      </c>
      <c r="AH292" s="7">
        <f>IF(AA292="","",IFERROR(IF(VLOOKUP(AA292,'Unit Conversion'!A:B,2,FALSE)=VLOOKUP(AB292,'Unit Conversion'!A:B,2,FALSE),"OK","Check W/V mismatch"),"Check unit"))</f>
        <v/>
      </c>
      <c r="AI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>
        <f>IF(Y293="","",IFERROR(VLOOKUP(Y293,'Ingredients + Stock'!B:D,3,FALSE),""))</f>
        <v/>
      </c>
      <c r="AC293" s="8">
        <f>IF(Y293="","",IFERROR(VLOOKUP(Y293,'Ingredients + Stock'!B:G,6,FALSE),0))</f>
        <v/>
      </c>
      <c r="AD293" s="8">
        <f>IF(AA293="","",IFERROR(VLOOKUP(AA293,'Unit Conversion'!A:D,4,FALSE),1))</f>
        <v/>
      </c>
      <c r="AE293" s="8">
        <f>IF(AB293="","",IFERROR(VLOOKUP(AB293,'Unit Conversion'!A:D,4,FALSE),1))</f>
        <v/>
      </c>
      <c r="AF293" s="8">
        <f>IF(AA293="","",Z293*AD293/AE293)</f>
        <v/>
      </c>
      <c r="AG293" s="8">
        <f>AF293*AC293</f>
        <v/>
      </c>
      <c r="AH293" s="8">
        <f>IF(AA293="","",IFERROR(IF(VLOOKUP(AA293,'Unit Conversion'!A:B,2,FALSE)=VLOOKUP(AB293,'Unit Conversion'!A:B,2,FALSE),"OK","Check W/V mismatch"),"Check unit"))</f>
        <v/>
      </c>
      <c r="AI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>
        <f>IF(Y294="","",IFERROR(VLOOKUP(Y294,'Ingredients + Stock'!B:D,3,FALSE),""))</f>
        <v/>
      </c>
      <c r="AC294" s="7">
        <f>IF(Y294="","",IFERROR(VLOOKUP(Y294,'Ingredients + Stock'!B:G,6,FALSE),0))</f>
        <v/>
      </c>
      <c r="AD294" s="7">
        <f>IF(AA294="","",IFERROR(VLOOKUP(AA294,'Unit Conversion'!A:D,4,FALSE),1))</f>
        <v/>
      </c>
      <c r="AE294" s="7">
        <f>IF(AB294="","",IFERROR(VLOOKUP(AB294,'Unit Conversion'!A:D,4,FALSE),1))</f>
        <v/>
      </c>
      <c r="AF294" s="7">
        <f>IF(AA294="","",Z294*AD294/AE294)</f>
        <v/>
      </c>
      <c r="AG294" s="7">
        <f>AF294*AC294</f>
        <v/>
      </c>
      <c r="AH294" s="7">
        <f>IF(AA294="","",IFERROR(IF(VLOOKUP(AA294,'Unit Conversion'!A:B,2,FALSE)=VLOOKUP(AB294,'Unit Conversion'!A:B,2,FALSE),"OK","Check W/V mismatch"),"Check unit"))</f>
        <v/>
      </c>
      <c r="AI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>
        <f>IF(Y295="","",IFERROR(VLOOKUP(Y295,'Ingredients + Stock'!B:D,3,FALSE),""))</f>
        <v/>
      </c>
      <c r="AC295" s="8">
        <f>IF(Y295="","",IFERROR(VLOOKUP(Y295,'Ingredients + Stock'!B:G,6,FALSE),0))</f>
        <v/>
      </c>
      <c r="AD295" s="8">
        <f>IF(AA295="","",IFERROR(VLOOKUP(AA295,'Unit Conversion'!A:D,4,FALSE),1))</f>
        <v/>
      </c>
      <c r="AE295" s="8">
        <f>IF(AB295="","",IFERROR(VLOOKUP(AB295,'Unit Conversion'!A:D,4,FALSE),1))</f>
        <v/>
      </c>
      <c r="AF295" s="8">
        <f>IF(AA295="","",Z295*AD295/AE295)</f>
        <v/>
      </c>
      <c r="AG295" s="8">
        <f>AF295*AC295</f>
        <v/>
      </c>
      <c r="AH295" s="8">
        <f>IF(AA295="","",IFERROR(IF(VLOOKUP(AA295,'Unit Conversion'!A:B,2,FALSE)=VLOOKUP(AB295,'Unit Conversion'!A:B,2,FALSE),"OK","Check W/V mismatch"),"Check unit"))</f>
        <v/>
      </c>
      <c r="AI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>
        <f>IF(Y296="","",IFERROR(VLOOKUP(Y296,'Ingredients + Stock'!B:D,3,FALSE),""))</f>
        <v/>
      </c>
      <c r="AC296" s="7">
        <f>IF(Y296="","",IFERROR(VLOOKUP(Y296,'Ingredients + Stock'!B:G,6,FALSE),0))</f>
        <v/>
      </c>
      <c r="AD296" s="7">
        <f>IF(AA296="","",IFERROR(VLOOKUP(AA296,'Unit Conversion'!A:D,4,FALSE),1))</f>
        <v/>
      </c>
      <c r="AE296" s="7">
        <f>IF(AB296="","",IFERROR(VLOOKUP(AB296,'Unit Conversion'!A:D,4,FALSE),1))</f>
        <v/>
      </c>
      <c r="AF296" s="7">
        <f>IF(AA296="","",Z296*AD296/AE296)</f>
        <v/>
      </c>
      <c r="AG296" s="7">
        <f>AF296*AC296</f>
        <v/>
      </c>
      <c r="AH296" s="7">
        <f>IF(AA296="","",IFERROR(IF(VLOOKUP(AA296,'Unit Conversion'!A:B,2,FALSE)=VLOOKUP(AB296,'Unit Conversion'!A:B,2,FALSE),"OK","Check W/V mismatch"),"Check unit"))</f>
        <v/>
      </c>
      <c r="AI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>
        <f>IF(Y297="","",IFERROR(VLOOKUP(Y297,'Ingredients + Stock'!B:D,3,FALSE),""))</f>
        <v/>
      </c>
      <c r="AC297" s="8">
        <f>IF(Y297="","",IFERROR(VLOOKUP(Y297,'Ingredients + Stock'!B:G,6,FALSE),0))</f>
        <v/>
      </c>
      <c r="AD297" s="8">
        <f>IF(AA297="","",IFERROR(VLOOKUP(AA297,'Unit Conversion'!A:D,4,FALSE),1))</f>
        <v/>
      </c>
      <c r="AE297" s="8">
        <f>IF(AB297="","",IFERROR(VLOOKUP(AB297,'Unit Conversion'!A:D,4,FALSE),1))</f>
        <v/>
      </c>
      <c r="AF297" s="8">
        <f>IF(AA297="","",Z297*AD297/AE297)</f>
        <v/>
      </c>
      <c r="AG297" s="8">
        <f>AF297*AC297</f>
        <v/>
      </c>
      <c r="AH297" s="8">
        <f>IF(AA297="","",IFERROR(IF(VLOOKUP(AA297,'Unit Conversion'!A:B,2,FALSE)=VLOOKUP(AB297,'Unit Conversion'!A:B,2,FALSE),"OK","Check W/V mismatch"),"Check unit"))</f>
        <v/>
      </c>
      <c r="AI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>
        <f>IF(Y298="","",IFERROR(VLOOKUP(Y298,'Ingredients + Stock'!B:D,3,FALSE),""))</f>
        <v/>
      </c>
      <c r="AC298" s="7">
        <f>IF(Y298="","",IFERROR(VLOOKUP(Y298,'Ingredients + Stock'!B:G,6,FALSE),0))</f>
        <v/>
      </c>
      <c r="AD298" s="7">
        <f>IF(AA298="","",IFERROR(VLOOKUP(AA298,'Unit Conversion'!A:D,4,FALSE),1))</f>
        <v/>
      </c>
      <c r="AE298" s="7">
        <f>IF(AB298="","",IFERROR(VLOOKUP(AB298,'Unit Conversion'!A:D,4,FALSE),1))</f>
        <v/>
      </c>
      <c r="AF298" s="7">
        <f>IF(AA298="","",Z298*AD298/AE298)</f>
        <v/>
      </c>
      <c r="AG298" s="7">
        <f>AF298*AC298</f>
        <v/>
      </c>
      <c r="AH298" s="7">
        <f>IF(AA298="","",IFERROR(IF(VLOOKUP(AA298,'Unit Conversion'!A:B,2,FALSE)=VLOOKUP(AB298,'Unit Conversion'!A:B,2,FALSE),"OK","Check W/V mismatch"),"Check unit"))</f>
        <v/>
      </c>
      <c r="AI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>
        <f>IF(Y299="","",IFERROR(VLOOKUP(Y299,'Ingredients + Stock'!B:D,3,FALSE),""))</f>
        <v/>
      </c>
      <c r="AC299" s="8">
        <f>IF(Y299="","",IFERROR(VLOOKUP(Y299,'Ingredients + Stock'!B:G,6,FALSE),0))</f>
        <v/>
      </c>
      <c r="AD299" s="8">
        <f>IF(AA299="","",IFERROR(VLOOKUP(AA299,'Unit Conversion'!A:D,4,FALSE),1))</f>
        <v/>
      </c>
      <c r="AE299" s="8">
        <f>IF(AB299="","",IFERROR(VLOOKUP(AB299,'Unit Conversion'!A:D,4,FALSE),1))</f>
        <v/>
      </c>
      <c r="AF299" s="8">
        <f>IF(AA299="","",Z299*AD299/AE299)</f>
        <v/>
      </c>
      <c r="AG299" s="8">
        <f>AF299*AC299</f>
        <v/>
      </c>
      <c r="AH299" s="8">
        <f>IF(AA299="","",IFERROR(IF(VLOOKUP(AA299,'Unit Conversion'!A:B,2,FALSE)=VLOOKUP(AB299,'Unit Conversion'!A:B,2,FALSE),"OK","Check W/V mismatch"),"Check unit"))</f>
        <v/>
      </c>
      <c r="AI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>
        <f>IF(Y300="","",IFERROR(VLOOKUP(Y300,'Ingredients + Stock'!B:D,3,FALSE),""))</f>
        <v/>
      </c>
      <c r="AC300" s="7">
        <f>IF(Y300="","",IFERROR(VLOOKUP(Y300,'Ingredients + Stock'!B:G,6,FALSE),0))</f>
        <v/>
      </c>
      <c r="AD300" s="7">
        <f>IF(AA300="","",IFERROR(VLOOKUP(AA300,'Unit Conversion'!A:D,4,FALSE),1))</f>
        <v/>
      </c>
      <c r="AE300" s="7">
        <f>IF(AB300="","",IFERROR(VLOOKUP(AB300,'Unit Conversion'!A:D,4,FALSE),1))</f>
        <v/>
      </c>
      <c r="AF300" s="7">
        <f>IF(AA300="","",Z300*AD300/AE300)</f>
        <v/>
      </c>
      <c r="AG300" s="7">
        <f>AF300*AC300</f>
        <v/>
      </c>
      <c r="AH300" s="7">
        <f>IF(AA300="","",IFERROR(IF(VLOOKUP(AA300,'Unit Conversion'!A:B,2,FALSE)=VLOOKUP(AB300,'Unit Conversion'!A:B,2,FALSE),"OK","Check W/V mismatch"),"Check unit"))</f>
        <v/>
      </c>
      <c r="AI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>
        <f>IF(Y301="","",IFERROR(VLOOKUP(Y301,'Ingredients + Stock'!B:D,3,FALSE),""))</f>
        <v/>
      </c>
      <c r="AC301" s="8">
        <f>IF(Y301="","",IFERROR(VLOOKUP(Y301,'Ingredients + Stock'!B:G,6,FALSE),0))</f>
        <v/>
      </c>
      <c r="AD301" s="8">
        <f>IF(AA301="","",IFERROR(VLOOKUP(AA301,'Unit Conversion'!A:D,4,FALSE),1))</f>
        <v/>
      </c>
      <c r="AE301" s="8">
        <f>IF(AB301="","",IFERROR(VLOOKUP(AB301,'Unit Conversion'!A:D,4,FALSE),1))</f>
        <v/>
      </c>
      <c r="AF301" s="8">
        <f>IF(AA301="","",Z301*AD301/AE301)</f>
        <v/>
      </c>
      <c r="AG301" s="8">
        <f>AF301*AC301</f>
        <v/>
      </c>
      <c r="AH301" s="8">
        <f>IF(AA301="","",IFERROR(IF(VLOOKUP(AA301,'Unit Conversion'!A:B,2,FALSE)=VLOOKUP(AB301,'Unit Conversion'!A:B,2,FALSE),"OK","Check W/V mismatch"),"Check unit"))</f>
        <v/>
      </c>
      <c r="AI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>
        <f>IF(Y302="","",IFERROR(VLOOKUP(Y302,'Ingredients + Stock'!B:D,3,FALSE),""))</f>
        <v/>
      </c>
      <c r="AC302" s="7">
        <f>IF(Y302="","",IFERROR(VLOOKUP(Y302,'Ingredients + Stock'!B:G,6,FALSE),0))</f>
        <v/>
      </c>
      <c r="AD302" s="7">
        <f>IF(AA302="","",IFERROR(VLOOKUP(AA302,'Unit Conversion'!A:D,4,FALSE),1))</f>
        <v/>
      </c>
      <c r="AE302" s="7">
        <f>IF(AB302="","",IFERROR(VLOOKUP(AB302,'Unit Conversion'!A:D,4,FALSE),1))</f>
        <v/>
      </c>
      <c r="AF302" s="7">
        <f>IF(AA302="","",Z302*AD302/AE302)</f>
        <v/>
      </c>
      <c r="AG302" s="7">
        <f>AF302*AC302</f>
        <v/>
      </c>
      <c r="AH302" s="7">
        <f>IF(AA302="","",IFERROR(IF(VLOOKUP(AA302,'Unit Conversion'!A:B,2,FALSE)=VLOOKUP(AB302,'Unit Conversion'!A:B,2,FALSE),"OK","Check W/V mismatch"),"Check unit"))</f>
        <v/>
      </c>
      <c r="AI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>
        <f>IF(Y303="","",IFERROR(VLOOKUP(Y303,'Ingredients + Stock'!B:D,3,FALSE),""))</f>
        <v/>
      </c>
      <c r="AC303" s="8">
        <f>IF(Y303="","",IFERROR(VLOOKUP(Y303,'Ingredients + Stock'!B:G,6,FALSE),0))</f>
        <v/>
      </c>
      <c r="AD303" s="8">
        <f>IF(AA303="","",IFERROR(VLOOKUP(AA303,'Unit Conversion'!A:D,4,FALSE),1))</f>
        <v/>
      </c>
      <c r="AE303" s="8">
        <f>IF(AB303="","",IFERROR(VLOOKUP(AB303,'Unit Conversion'!A:D,4,FALSE),1))</f>
        <v/>
      </c>
      <c r="AF303" s="8">
        <f>IF(AA303="","",Z303*AD303/AE303)</f>
        <v/>
      </c>
      <c r="AG303" s="8">
        <f>AF303*AC303</f>
        <v/>
      </c>
      <c r="AH303" s="8">
        <f>IF(AA303="","",IFERROR(IF(VLOOKUP(AA303,'Unit Conversion'!A:B,2,FALSE)=VLOOKUP(AB303,'Unit Conversion'!A:B,2,FALSE),"OK","Check W/V mismatch"),"Check unit"))</f>
        <v/>
      </c>
      <c r="AI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>
        <f>IF(Y304="","",IFERROR(VLOOKUP(Y304,'Ingredients + Stock'!B:D,3,FALSE),""))</f>
        <v/>
      </c>
      <c r="AC304" s="7">
        <f>IF(Y304="","",IFERROR(VLOOKUP(Y304,'Ingredients + Stock'!B:G,6,FALSE),0))</f>
        <v/>
      </c>
      <c r="AD304" s="7">
        <f>IF(AA304="","",IFERROR(VLOOKUP(AA304,'Unit Conversion'!A:D,4,FALSE),1))</f>
        <v/>
      </c>
      <c r="AE304" s="7">
        <f>IF(AB304="","",IFERROR(VLOOKUP(AB304,'Unit Conversion'!A:D,4,FALSE),1))</f>
        <v/>
      </c>
      <c r="AF304" s="7">
        <f>IF(AA304="","",Z304*AD304/AE304)</f>
        <v/>
      </c>
      <c r="AG304" s="7">
        <f>AF304*AC304</f>
        <v/>
      </c>
      <c r="AH304" s="7">
        <f>IF(AA304="","",IFERROR(IF(VLOOKUP(AA304,'Unit Conversion'!A:B,2,FALSE)=VLOOKUP(AB304,'Unit Conversion'!A:B,2,FALSE),"OK","Check W/V mismatch"),"Check unit"))</f>
        <v/>
      </c>
      <c r="AI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>
        <f>IF(Y305="","",IFERROR(VLOOKUP(Y305,'Ingredients + Stock'!B:D,3,FALSE),""))</f>
        <v/>
      </c>
      <c r="AC305" s="8">
        <f>IF(Y305="","",IFERROR(VLOOKUP(Y305,'Ingredients + Stock'!B:G,6,FALSE),0))</f>
        <v/>
      </c>
      <c r="AD305" s="8">
        <f>IF(AA305="","",IFERROR(VLOOKUP(AA305,'Unit Conversion'!A:D,4,FALSE),1))</f>
        <v/>
      </c>
      <c r="AE305" s="8">
        <f>IF(AB305="","",IFERROR(VLOOKUP(AB305,'Unit Conversion'!A:D,4,FALSE),1))</f>
        <v/>
      </c>
      <c r="AF305" s="8">
        <f>IF(AA305="","",Z305*AD305/AE305)</f>
        <v/>
      </c>
      <c r="AG305" s="8">
        <f>AF305*AC305</f>
        <v/>
      </c>
      <c r="AH305" s="8">
        <f>IF(AA305="","",IFERROR(IF(VLOOKUP(AA305,'Unit Conversion'!A:B,2,FALSE)=VLOOKUP(AB305,'Unit Conversion'!A:B,2,FALSE),"OK","Check W/V mismatch"),"Check unit"))</f>
        <v/>
      </c>
      <c r="AI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>
        <f>IF(Y306="","",IFERROR(VLOOKUP(Y306,'Ingredients + Stock'!B:D,3,FALSE),""))</f>
        <v/>
      </c>
      <c r="AC306" s="7">
        <f>IF(Y306="","",IFERROR(VLOOKUP(Y306,'Ingredients + Stock'!B:G,6,FALSE),0))</f>
        <v/>
      </c>
      <c r="AD306" s="7">
        <f>IF(AA306="","",IFERROR(VLOOKUP(AA306,'Unit Conversion'!A:D,4,FALSE),1))</f>
        <v/>
      </c>
      <c r="AE306" s="7">
        <f>IF(AB306="","",IFERROR(VLOOKUP(AB306,'Unit Conversion'!A:D,4,FALSE),1))</f>
        <v/>
      </c>
      <c r="AF306" s="7">
        <f>IF(AA306="","",Z306*AD306/AE306)</f>
        <v/>
      </c>
      <c r="AG306" s="7">
        <f>AF306*AC306</f>
        <v/>
      </c>
      <c r="AH306" s="7">
        <f>IF(AA306="","",IFERROR(IF(VLOOKUP(AA306,'Unit Conversion'!A:B,2,FALSE)=VLOOKUP(AB306,'Unit Conversion'!A:B,2,FALSE),"OK","Check W/V mismatch"),"Check unit"))</f>
        <v/>
      </c>
      <c r="AI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>
        <f>IF(Y307="","",IFERROR(VLOOKUP(Y307,'Ingredients + Stock'!B:D,3,FALSE),""))</f>
        <v/>
      </c>
      <c r="AC307" s="8">
        <f>IF(Y307="","",IFERROR(VLOOKUP(Y307,'Ingredients + Stock'!B:G,6,FALSE),0))</f>
        <v/>
      </c>
      <c r="AD307" s="8">
        <f>IF(AA307="","",IFERROR(VLOOKUP(AA307,'Unit Conversion'!A:D,4,FALSE),1))</f>
        <v/>
      </c>
      <c r="AE307" s="8">
        <f>IF(AB307="","",IFERROR(VLOOKUP(AB307,'Unit Conversion'!A:D,4,FALSE),1))</f>
        <v/>
      </c>
      <c r="AF307" s="8">
        <f>IF(AA307="","",Z307*AD307/AE307)</f>
        <v/>
      </c>
      <c r="AG307" s="8">
        <f>AF307*AC307</f>
        <v/>
      </c>
      <c r="AH307" s="8">
        <f>IF(AA307="","",IFERROR(IF(VLOOKUP(AA307,'Unit Conversion'!A:B,2,FALSE)=VLOOKUP(AB307,'Unit Conversion'!A:B,2,FALSE),"OK","Check W/V mismatch"),"Check unit"))</f>
        <v/>
      </c>
      <c r="AI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>
        <f>IF(Y308="","",IFERROR(VLOOKUP(Y308,'Ingredients + Stock'!B:D,3,FALSE),""))</f>
        <v/>
      </c>
      <c r="AC308" s="7">
        <f>IF(Y308="","",IFERROR(VLOOKUP(Y308,'Ingredients + Stock'!B:G,6,FALSE),0))</f>
        <v/>
      </c>
      <c r="AD308" s="7">
        <f>IF(AA308="","",IFERROR(VLOOKUP(AA308,'Unit Conversion'!A:D,4,FALSE),1))</f>
        <v/>
      </c>
      <c r="AE308" s="7">
        <f>IF(AB308="","",IFERROR(VLOOKUP(AB308,'Unit Conversion'!A:D,4,FALSE),1))</f>
        <v/>
      </c>
      <c r="AF308" s="7">
        <f>IF(AA308="","",Z308*AD308/AE308)</f>
        <v/>
      </c>
      <c r="AG308" s="7">
        <f>AF308*AC308</f>
        <v/>
      </c>
      <c r="AH308" s="7">
        <f>IF(AA308="","",IFERROR(IF(VLOOKUP(AA308,'Unit Conversion'!A:B,2,FALSE)=VLOOKUP(AB308,'Unit Conversion'!A:B,2,FALSE),"OK","Check W/V mismatch"),"Check unit"))</f>
        <v/>
      </c>
      <c r="AI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>
        <f>IF(Y309="","",IFERROR(VLOOKUP(Y309,'Ingredients + Stock'!B:D,3,FALSE),""))</f>
        <v/>
      </c>
      <c r="AC309" s="8">
        <f>IF(Y309="","",IFERROR(VLOOKUP(Y309,'Ingredients + Stock'!B:G,6,FALSE),0))</f>
        <v/>
      </c>
      <c r="AD309" s="8">
        <f>IF(AA309="","",IFERROR(VLOOKUP(AA309,'Unit Conversion'!A:D,4,FALSE),1))</f>
        <v/>
      </c>
      <c r="AE309" s="8">
        <f>IF(AB309="","",IFERROR(VLOOKUP(AB309,'Unit Conversion'!A:D,4,FALSE),1))</f>
        <v/>
      </c>
      <c r="AF309" s="8">
        <f>IF(AA309="","",Z309*AD309/AE309)</f>
        <v/>
      </c>
      <c r="AG309" s="8">
        <f>AF309*AC309</f>
        <v/>
      </c>
      <c r="AH309" s="8">
        <f>IF(AA309="","",IFERROR(IF(VLOOKUP(AA309,'Unit Conversion'!A:B,2,FALSE)=VLOOKUP(AB309,'Unit Conversion'!A:B,2,FALSE),"OK","Check W/V mismatch"),"Check unit"))</f>
        <v/>
      </c>
      <c r="AI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>
        <f>IF(Y310="","",IFERROR(VLOOKUP(Y310,'Ingredients + Stock'!B:D,3,FALSE),""))</f>
        <v/>
      </c>
      <c r="AC310" s="7">
        <f>IF(Y310="","",IFERROR(VLOOKUP(Y310,'Ingredients + Stock'!B:G,6,FALSE),0))</f>
        <v/>
      </c>
      <c r="AD310" s="7">
        <f>IF(AA310="","",IFERROR(VLOOKUP(AA310,'Unit Conversion'!A:D,4,FALSE),1))</f>
        <v/>
      </c>
      <c r="AE310" s="7">
        <f>IF(AB310="","",IFERROR(VLOOKUP(AB310,'Unit Conversion'!A:D,4,FALSE),1))</f>
        <v/>
      </c>
      <c r="AF310" s="7">
        <f>IF(AA310="","",Z310*AD310/AE310)</f>
        <v/>
      </c>
      <c r="AG310" s="7">
        <f>AF310*AC310</f>
        <v/>
      </c>
      <c r="AH310" s="7">
        <f>IF(AA310="","",IFERROR(IF(VLOOKUP(AA310,'Unit Conversion'!A:B,2,FALSE)=VLOOKUP(AB310,'Unit Conversion'!A:B,2,FALSE),"OK","Check W/V mismatch"),"Check unit"))</f>
        <v/>
      </c>
      <c r="AI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>
        <f>IF(Y311="","",IFERROR(VLOOKUP(Y311,'Ingredients + Stock'!B:D,3,FALSE),""))</f>
        <v/>
      </c>
      <c r="AC311" s="8">
        <f>IF(Y311="","",IFERROR(VLOOKUP(Y311,'Ingredients + Stock'!B:G,6,FALSE),0))</f>
        <v/>
      </c>
      <c r="AD311" s="8">
        <f>IF(AA311="","",IFERROR(VLOOKUP(AA311,'Unit Conversion'!A:D,4,FALSE),1))</f>
        <v/>
      </c>
      <c r="AE311" s="8">
        <f>IF(AB311="","",IFERROR(VLOOKUP(AB311,'Unit Conversion'!A:D,4,FALSE),1))</f>
        <v/>
      </c>
      <c r="AF311" s="8">
        <f>IF(AA311="","",Z311*AD311/AE311)</f>
        <v/>
      </c>
      <c r="AG311" s="8">
        <f>AF311*AC311</f>
        <v/>
      </c>
      <c r="AH311" s="8">
        <f>IF(AA311="","",IFERROR(IF(VLOOKUP(AA311,'Unit Conversion'!A:B,2,FALSE)=VLOOKUP(AB311,'Unit Conversion'!A:B,2,FALSE),"OK","Check W/V mismatch"),"Check unit"))</f>
        <v/>
      </c>
      <c r="AI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>
        <f>IF(Y312="","",IFERROR(VLOOKUP(Y312,'Ingredients + Stock'!B:D,3,FALSE),""))</f>
        <v/>
      </c>
      <c r="AC312" s="7">
        <f>IF(Y312="","",IFERROR(VLOOKUP(Y312,'Ingredients + Stock'!B:G,6,FALSE),0))</f>
        <v/>
      </c>
      <c r="AD312" s="7">
        <f>IF(AA312="","",IFERROR(VLOOKUP(AA312,'Unit Conversion'!A:D,4,FALSE),1))</f>
        <v/>
      </c>
      <c r="AE312" s="7">
        <f>IF(AB312="","",IFERROR(VLOOKUP(AB312,'Unit Conversion'!A:D,4,FALSE),1))</f>
        <v/>
      </c>
      <c r="AF312" s="7">
        <f>IF(AA312="","",Z312*AD312/AE312)</f>
        <v/>
      </c>
      <c r="AG312" s="7">
        <f>AF312*AC312</f>
        <v/>
      </c>
      <c r="AH312" s="7">
        <f>IF(AA312="","",IFERROR(IF(VLOOKUP(AA312,'Unit Conversion'!A:B,2,FALSE)=VLOOKUP(AB312,'Unit Conversion'!A:B,2,FALSE),"OK","Check W/V mismatch"),"Check unit"))</f>
        <v/>
      </c>
      <c r="AI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>
        <f>IF(Y313="","",IFERROR(VLOOKUP(Y313,'Ingredients + Stock'!B:D,3,FALSE),""))</f>
        <v/>
      </c>
      <c r="AC313" s="8">
        <f>IF(Y313="","",IFERROR(VLOOKUP(Y313,'Ingredients + Stock'!B:G,6,FALSE),0))</f>
        <v/>
      </c>
      <c r="AD313" s="8">
        <f>IF(AA313="","",IFERROR(VLOOKUP(AA313,'Unit Conversion'!A:D,4,FALSE),1))</f>
        <v/>
      </c>
      <c r="AE313" s="8">
        <f>IF(AB313="","",IFERROR(VLOOKUP(AB313,'Unit Conversion'!A:D,4,FALSE),1))</f>
        <v/>
      </c>
      <c r="AF313" s="8">
        <f>IF(AA313="","",Z313*AD313/AE313)</f>
        <v/>
      </c>
      <c r="AG313" s="8">
        <f>AF313*AC313</f>
        <v/>
      </c>
      <c r="AH313" s="8">
        <f>IF(AA313="","",IFERROR(IF(VLOOKUP(AA313,'Unit Conversion'!A:B,2,FALSE)=VLOOKUP(AB313,'Unit Conversion'!A:B,2,FALSE),"OK","Check W/V mismatch"),"Check unit"))</f>
        <v/>
      </c>
      <c r="AI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>
        <f>IF(Y314="","",IFERROR(VLOOKUP(Y314,'Ingredients + Stock'!B:D,3,FALSE),""))</f>
        <v/>
      </c>
      <c r="AC314" s="7">
        <f>IF(Y314="","",IFERROR(VLOOKUP(Y314,'Ingredients + Stock'!B:G,6,FALSE),0))</f>
        <v/>
      </c>
      <c r="AD314" s="7">
        <f>IF(AA314="","",IFERROR(VLOOKUP(AA314,'Unit Conversion'!A:D,4,FALSE),1))</f>
        <v/>
      </c>
      <c r="AE314" s="7">
        <f>IF(AB314="","",IFERROR(VLOOKUP(AB314,'Unit Conversion'!A:D,4,FALSE),1))</f>
        <v/>
      </c>
      <c r="AF314" s="7">
        <f>IF(AA314="","",Z314*AD314/AE314)</f>
        <v/>
      </c>
      <c r="AG314" s="7">
        <f>AF314*AC314</f>
        <v/>
      </c>
      <c r="AH314" s="7">
        <f>IF(AA314="","",IFERROR(IF(VLOOKUP(AA314,'Unit Conversion'!A:B,2,FALSE)=VLOOKUP(AB314,'Unit Conversion'!A:B,2,FALSE),"OK","Check W/V mismatch"),"Check unit"))</f>
        <v/>
      </c>
      <c r="AI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>
        <f>IF(Y315="","",IFERROR(VLOOKUP(Y315,'Ingredients + Stock'!B:D,3,FALSE),""))</f>
        <v/>
      </c>
      <c r="AC315" s="8">
        <f>IF(Y315="","",IFERROR(VLOOKUP(Y315,'Ingredients + Stock'!B:G,6,FALSE),0))</f>
        <v/>
      </c>
      <c r="AD315" s="8">
        <f>IF(AA315="","",IFERROR(VLOOKUP(AA315,'Unit Conversion'!A:D,4,FALSE),1))</f>
        <v/>
      </c>
      <c r="AE315" s="8">
        <f>IF(AB315="","",IFERROR(VLOOKUP(AB315,'Unit Conversion'!A:D,4,FALSE),1))</f>
        <v/>
      </c>
      <c r="AF315" s="8">
        <f>IF(AA315="","",Z315*AD315/AE315)</f>
        <v/>
      </c>
      <c r="AG315" s="8">
        <f>AF315*AC315</f>
        <v/>
      </c>
      <c r="AH315" s="8">
        <f>IF(AA315="","",IFERROR(IF(VLOOKUP(AA315,'Unit Conversion'!A:B,2,FALSE)=VLOOKUP(AB315,'Unit Conversion'!A:B,2,FALSE),"OK","Check W/V mismatch"),"Check unit"))</f>
        <v/>
      </c>
      <c r="AI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>
        <f>IF(Y316="","",IFERROR(VLOOKUP(Y316,'Ingredients + Stock'!B:D,3,FALSE),""))</f>
        <v/>
      </c>
      <c r="AC316" s="7">
        <f>IF(Y316="","",IFERROR(VLOOKUP(Y316,'Ingredients + Stock'!B:G,6,FALSE),0))</f>
        <v/>
      </c>
      <c r="AD316" s="7">
        <f>IF(AA316="","",IFERROR(VLOOKUP(AA316,'Unit Conversion'!A:D,4,FALSE),1))</f>
        <v/>
      </c>
      <c r="AE316" s="7">
        <f>IF(AB316="","",IFERROR(VLOOKUP(AB316,'Unit Conversion'!A:D,4,FALSE),1))</f>
        <v/>
      </c>
      <c r="AF316" s="7">
        <f>IF(AA316="","",Z316*AD316/AE316)</f>
        <v/>
      </c>
      <c r="AG316" s="7">
        <f>AF316*AC316</f>
        <v/>
      </c>
      <c r="AH316" s="7">
        <f>IF(AA316="","",IFERROR(IF(VLOOKUP(AA316,'Unit Conversion'!A:B,2,FALSE)=VLOOKUP(AB316,'Unit Conversion'!A:B,2,FALSE),"OK","Check W/V mismatch"),"Check unit"))</f>
        <v/>
      </c>
      <c r="AI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>
        <f>IF(Y317="","",IFERROR(VLOOKUP(Y317,'Ingredients + Stock'!B:D,3,FALSE),""))</f>
        <v/>
      </c>
      <c r="AC317" s="8">
        <f>IF(Y317="","",IFERROR(VLOOKUP(Y317,'Ingredients + Stock'!B:G,6,FALSE),0))</f>
        <v/>
      </c>
      <c r="AD317" s="8">
        <f>IF(AA317="","",IFERROR(VLOOKUP(AA317,'Unit Conversion'!A:D,4,FALSE),1))</f>
        <v/>
      </c>
      <c r="AE317" s="8">
        <f>IF(AB317="","",IFERROR(VLOOKUP(AB317,'Unit Conversion'!A:D,4,FALSE),1))</f>
        <v/>
      </c>
      <c r="AF317" s="8">
        <f>IF(AA317="","",Z317*AD317/AE317)</f>
        <v/>
      </c>
      <c r="AG317" s="8">
        <f>AF317*AC317</f>
        <v/>
      </c>
      <c r="AH317" s="8">
        <f>IF(AA317="","",IFERROR(IF(VLOOKUP(AA317,'Unit Conversion'!A:B,2,FALSE)=VLOOKUP(AB317,'Unit Conversion'!A:B,2,FALSE),"OK","Check W/V mismatch"),"Check unit"))</f>
        <v/>
      </c>
      <c r="AI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>
        <f>IF(Y318="","",IFERROR(VLOOKUP(Y318,'Ingredients + Stock'!B:D,3,FALSE),""))</f>
        <v/>
      </c>
      <c r="AC318" s="7">
        <f>IF(Y318="","",IFERROR(VLOOKUP(Y318,'Ingredients + Stock'!B:G,6,FALSE),0))</f>
        <v/>
      </c>
      <c r="AD318" s="7">
        <f>IF(AA318="","",IFERROR(VLOOKUP(AA318,'Unit Conversion'!A:D,4,FALSE),1))</f>
        <v/>
      </c>
      <c r="AE318" s="7">
        <f>IF(AB318="","",IFERROR(VLOOKUP(AB318,'Unit Conversion'!A:D,4,FALSE),1))</f>
        <v/>
      </c>
      <c r="AF318" s="7">
        <f>IF(AA318="","",Z318*AD318/AE318)</f>
        <v/>
      </c>
      <c r="AG318" s="7">
        <f>AF318*AC318</f>
        <v/>
      </c>
      <c r="AH318" s="7">
        <f>IF(AA318="","",IFERROR(IF(VLOOKUP(AA318,'Unit Conversion'!A:B,2,FALSE)=VLOOKUP(AB318,'Unit Conversion'!A:B,2,FALSE),"OK","Check W/V mismatch"),"Check unit"))</f>
        <v/>
      </c>
      <c r="AI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>
        <f>IF(Y319="","",IFERROR(VLOOKUP(Y319,'Ingredients + Stock'!B:D,3,FALSE),""))</f>
        <v/>
      </c>
      <c r="AC319" s="8">
        <f>IF(Y319="","",IFERROR(VLOOKUP(Y319,'Ingredients + Stock'!B:G,6,FALSE),0))</f>
        <v/>
      </c>
      <c r="AD319" s="8">
        <f>IF(AA319="","",IFERROR(VLOOKUP(AA319,'Unit Conversion'!A:D,4,FALSE),1))</f>
        <v/>
      </c>
      <c r="AE319" s="8">
        <f>IF(AB319="","",IFERROR(VLOOKUP(AB319,'Unit Conversion'!A:D,4,FALSE),1))</f>
        <v/>
      </c>
      <c r="AF319" s="8">
        <f>IF(AA319="","",Z319*AD319/AE319)</f>
        <v/>
      </c>
      <c r="AG319" s="8">
        <f>AF319*AC319</f>
        <v/>
      </c>
      <c r="AH319" s="8">
        <f>IF(AA319="","",IFERROR(IF(VLOOKUP(AA319,'Unit Conversion'!A:B,2,FALSE)=VLOOKUP(AB319,'Unit Conversion'!A:B,2,FALSE),"OK","Check W/V mismatch"),"Check unit"))</f>
        <v/>
      </c>
      <c r="AI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>
        <f>IF(Y320="","",IFERROR(VLOOKUP(Y320,'Ingredients + Stock'!B:D,3,FALSE),""))</f>
        <v/>
      </c>
      <c r="AC320" s="7">
        <f>IF(Y320="","",IFERROR(VLOOKUP(Y320,'Ingredients + Stock'!B:G,6,FALSE),0))</f>
        <v/>
      </c>
      <c r="AD320" s="7">
        <f>IF(AA320="","",IFERROR(VLOOKUP(AA320,'Unit Conversion'!A:D,4,FALSE),1))</f>
        <v/>
      </c>
      <c r="AE320" s="7">
        <f>IF(AB320="","",IFERROR(VLOOKUP(AB320,'Unit Conversion'!A:D,4,FALSE),1))</f>
        <v/>
      </c>
      <c r="AF320" s="7">
        <f>IF(AA320="","",Z320*AD320/AE320)</f>
        <v/>
      </c>
      <c r="AG320" s="7">
        <f>AF320*AC320</f>
        <v/>
      </c>
      <c r="AH320" s="7">
        <f>IF(AA320="","",IFERROR(IF(VLOOKUP(AA320,'Unit Conversion'!A:B,2,FALSE)=VLOOKUP(AB320,'Unit Conversion'!A:B,2,FALSE),"OK","Check W/V mismatch"),"Check unit"))</f>
        <v/>
      </c>
      <c r="AI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>
        <f>IF(Y321="","",IFERROR(VLOOKUP(Y321,'Ingredients + Stock'!B:D,3,FALSE),""))</f>
        <v/>
      </c>
      <c r="AC321" s="8">
        <f>IF(Y321="","",IFERROR(VLOOKUP(Y321,'Ingredients + Stock'!B:G,6,FALSE),0))</f>
        <v/>
      </c>
      <c r="AD321" s="8">
        <f>IF(AA321="","",IFERROR(VLOOKUP(AA321,'Unit Conversion'!A:D,4,FALSE),1))</f>
        <v/>
      </c>
      <c r="AE321" s="8">
        <f>IF(AB321="","",IFERROR(VLOOKUP(AB321,'Unit Conversion'!A:D,4,FALSE),1))</f>
        <v/>
      </c>
      <c r="AF321" s="8">
        <f>IF(AA321="","",Z321*AD321/AE321)</f>
        <v/>
      </c>
      <c r="AG321" s="8">
        <f>AF321*AC321</f>
        <v/>
      </c>
      <c r="AH321" s="8">
        <f>IF(AA321="","",IFERROR(IF(VLOOKUP(AA321,'Unit Conversion'!A:B,2,FALSE)=VLOOKUP(AB321,'Unit Conversion'!A:B,2,FALSE),"OK","Check W/V mismatch"),"Check unit"))</f>
        <v/>
      </c>
      <c r="AI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>
        <f>IF(Y322="","",IFERROR(VLOOKUP(Y322,'Ingredients + Stock'!B:D,3,FALSE),""))</f>
        <v/>
      </c>
      <c r="AC322" s="7">
        <f>IF(Y322="","",IFERROR(VLOOKUP(Y322,'Ingredients + Stock'!B:G,6,FALSE),0))</f>
        <v/>
      </c>
      <c r="AD322" s="7">
        <f>IF(AA322="","",IFERROR(VLOOKUP(AA322,'Unit Conversion'!A:D,4,FALSE),1))</f>
        <v/>
      </c>
      <c r="AE322" s="7">
        <f>IF(AB322="","",IFERROR(VLOOKUP(AB322,'Unit Conversion'!A:D,4,FALSE),1))</f>
        <v/>
      </c>
      <c r="AF322" s="7">
        <f>IF(AA322="","",Z322*AD322/AE322)</f>
        <v/>
      </c>
      <c r="AG322" s="7">
        <f>AF322*AC322</f>
        <v/>
      </c>
      <c r="AH322" s="7">
        <f>IF(AA322="","",IFERROR(IF(VLOOKUP(AA322,'Unit Conversion'!A:B,2,FALSE)=VLOOKUP(AB322,'Unit Conversion'!A:B,2,FALSE),"OK","Check W/V mismatch"),"Check unit"))</f>
        <v/>
      </c>
      <c r="AI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>
        <f>IF(Y323="","",IFERROR(VLOOKUP(Y323,'Ingredients + Stock'!B:D,3,FALSE),""))</f>
        <v/>
      </c>
      <c r="AC323" s="8">
        <f>IF(Y323="","",IFERROR(VLOOKUP(Y323,'Ingredients + Stock'!B:G,6,FALSE),0))</f>
        <v/>
      </c>
      <c r="AD323" s="8">
        <f>IF(AA323="","",IFERROR(VLOOKUP(AA323,'Unit Conversion'!A:D,4,FALSE),1))</f>
        <v/>
      </c>
      <c r="AE323" s="8">
        <f>IF(AB323="","",IFERROR(VLOOKUP(AB323,'Unit Conversion'!A:D,4,FALSE),1))</f>
        <v/>
      </c>
      <c r="AF323" s="8">
        <f>IF(AA323="","",Z323*AD323/AE323)</f>
        <v/>
      </c>
      <c r="AG323" s="8">
        <f>AF323*AC323</f>
        <v/>
      </c>
      <c r="AH323" s="8">
        <f>IF(AA323="","",IFERROR(IF(VLOOKUP(AA323,'Unit Conversion'!A:B,2,FALSE)=VLOOKUP(AB323,'Unit Conversion'!A:B,2,FALSE),"OK","Check W/V mismatch"),"Check unit"))</f>
        <v/>
      </c>
      <c r="AI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>
        <f>IF(Y324="","",IFERROR(VLOOKUP(Y324,'Ingredients + Stock'!B:D,3,FALSE),""))</f>
        <v/>
      </c>
      <c r="AC324" s="7">
        <f>IF(Y324="","",IFERROR(VLOOKUP(Y324,'Ingredients + Stock'!B:G,6,FALSE),0))</f>
        <v/>
      </c>
      <c r="AD324" s="7">
        <f>IF(AA324="","",IFERROR(VLOOKUP(AA324,'Unit Conversion'!A:D,4,FALSE),1))</f>
        <v/>
      </c>
      <c r="AE324" s="7">
        <f>IF(AB324="","",IFERROR(VLOOKUP(AB324,'Unit Conversion'!A:D,4,FALSE),1))</f>
        <v/>
      </c>
      <c r="AF324" s="7">
        <f>IF(AA324="","",Z324*AD324/AE324)</f>
        <v/>
      </c>
      <c r="AG324" s="7">
        <f>AF324*AC324</f>
        <v/>
      </c>
      <c r="AH324" s="7">
        <f>IF(AA324="","",IFERROR(IF(VLOOKUP(AA324,'Unit Conversion'!A:B,2,FALSE)=VLOOKUP(AB324,'Unit Conversion'!A:B,2,FALSE),"OK","Check W/V mismatch"),"Check unit"))</f>
        <v/>
      </c>
      <c r="AI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>
        <f>IF(Y325="","",IFERROR(VLOOKUP(Y325,'Ingredients + Stock'!B:D,3,FALSE),""))</f>
        <v/>
      </c>
      <c r="AC325" s="8">
        <f>IF(Y325="","",IFERROR(VLOOKUP(Y325,'Ingredients + Stock'!B:G,6,FALSE),0))</f>
        <v/>
      </c>
      <c r="AD325" s="8">
        <f>IF(AA325="","",IFERROR(VLOOKUP(AA325,'Unit Conversion'!A:D,4,FALSE),1))</f>
        <v/>
      </c>
      <c r="AE325" s="8">
        <f>IF(AB325="","",IFERROR(VLOOKUP(AB325,'Unit Conversion'!A:D,4,FALSE),1))</f>
        <v/>
      </c>
      <c r="AF325" s="8">
        <f>IF(AA325="","",Z325*AD325/AE325)</f>
        <v/>
      </c>
      <c r="AG325" s="8">
        <f>AF325*AC325</f>
        <v/>
      </c>
      <c r="AH325" s="8">
        <f>IF(AA325="","",IFERROR(IF(VLOOKUP(AA325,'Unit Conversion'!A:B,2,FALSE)=VLOOKUP(AB325,'Unit Conversion'!A:B,2,FALSE),"OK","Check W/V mismatch"),"Check unit"))</f>
        <v/>
      </c>
      <c r="AI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>
        <f>IF(Y326="","",IFERROR(VLOOKUP(Y326,'Ingredients + Stock'!B:D,3,FALSE),""))</f>
        <v/>
      </c>
      <c r="AC326" s="7">
        <f>IF(Y326="","",IFERROR(VLOOKUP(Y326,'Ingredients + Stock'!B:G,6,FALSE),0))</f>
        <v/>
      </c>
      <c r="AD326" s="7">
        <f>IF(AA326="","",IFERROR(VLOOKUP(AA326,'Unit Conversion'!A:D,4,FALSE),1))</f>
        <v/>
      </c>
      <c r="AE326" s="7">
        <f>IF(AB326="","",IFERROR(VLOOKUP(AB326,'Unit Conversion'!A:D,4,FALSE),1))</f>
        <v/>
      </c>
      <c r="AF326" s="7">
        <f>IF(AA326="","",Z326*AD326/AE326)</f>
        <v/>
      </c>
      <c r="AG326" s="7">
        <f>AF326*AC326</f>
        <v/>
      </c>
      <c r="AH326" s="7">
        <f>IF(AA326="","",IFERROR(IF(VLOOKUP(AA326,'Unit Conversion'!A:B,2,FALSE)=VLOOKUP(AB326,'Unit Conversion'!A:B,2,FALSE),"OK","Check W/V mismatch"),"Check unit"))</f>
        <v/>
      </c>
      <c r="AI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>
        <f>IF(Y327="","",IFERROR(VLOOKUP(Y327,'Ingredients + Stock'!B:D,3,FALSE),""))</f>
        <v/>
      </c>
      <c r="AC327" s="8">
        <f>IF(Y327="","",IFERROR(VLOOKUP(Y327,'Ingredients + Stock'!B:G,6,FALSE),0))</f>
        <v/>
      </c>
      <c r="AD327" s="8">
        <f>IF(AA327="","",IFERROR(VLOOKUP(AA327,'Unit Conversion'!A:D,4,FALSE),1))</f>
        <v/>
      </c>
      <c r="AE327" s="8">
        <f>IF(AB327="","",IFERROR(VLOOKUP(AB327,'Unit Conversion'!A:D,4,FALSE),1))</f>
        <v/>
      </c>
      <c r="AF327" s="8">
        <f>IF(AA327="","",Z327*AD327/AE327)</f>
        <v/>
      </c>
      <c r="AG327" s="8">
        <f>AF327*AC327</f>
        <v/>
      </c>
      <c r="AH327" s="8">
        <f>IF(AA327="","",IFERROR(IF(VLOOKUP(AA327,'Unit Conversion'!A:B,2,FALSE)=VLOOKUP(AB327,'Unit Conversion'!A:B,2,FALSE),"OK","Check W/V mismatch"),"Check unit"))</f>
        <v/>
      </c>
      <c r="AI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>
        <f>IF(Y328="","",IFERROR(VLOOKUP(Y328,'Ingredients + Stock'!B:D,3,FALSE),""))</f>
        <v/>
      </c>
      <c r="AC328" s="7">
        <f>IF(Y328="","",IFERROR(VLOOKUP(Y328,'Ingredients + Stock'!B:G,6,FALSE),0))</f>
        <v/>
      </c>
      <c r="AD328" s="7">
        <f>IF(AA328="","",IFERROR(VLOOKUP(AA328,'Unit Conversion'!A:D,4,FALSE),1))</f>
        <v/>
      </c>
      <c r="AE328" s="7">
        <f>IF(AB328="","",IFERROR(VLOOKUP(AB328,'Unit Conversion'!A:D,4,FALSE),1))</f>
        <v/>
      </c>
      <c r="AF328" s="7">
        <f>IF(AA328="","",Z328*AD328/AE328)</f>
        <v/>
      </c>
      <c r="AG328" s="7">
        <f>AF328*AC328</f>
        <v/>
      </c>
      <c r="AH328" s="7">
        <f>IF(AA328="","",IFERROR(IF(VLOOKUP(AA328,'Unit Conversion'!A:B,2,FALSE)=VLOOKUP(AB328,'Unit Conversion'!A:B,2,FALSE),"OK","Check W/V mismatch"),"Check unit"))</f>
        <v/>
      </c>
      <c r="AI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>
        <f>IF(Y329="","",IFERROR(VLOOKUP(Y329,'Ingredients + Stock'!B:D,3,FALSE),""))</f>
        <v/>
      </c>
      <c r="AC329" s="8">
        <f>IF(Y329="","",IFERROR(VLOOKUP(Y329,'Ingredients + Stock'!B:G,6,FALSE),0))</f>
        <v/>
      </c>
      <c r="AD329" s="8">
        <f>IF(AA329="","",IFERROR(VLOOKUP(AA329,'Unit Conversion'!A:D,4,FALSE),1))</f>
        <v/>
      </c>
      <c r="AE329" s="8">
        <f>IF(AB329="","",IFERROR(VLOOKUP(AB329,'Unit Conversion'!A:D,4,FALSE),1))</f>
        <v/>
      </c>
      <c r="AF329" s="8">
        <f>IF(AA329="","",Z329*AD329/AE329)</f>
        <v/>
      </c>
      <c r="AG329" s="8">
        <f>AF329*AC329</f>
        <v/>
      </c>
      <c r="AH329" s="8">
        <f>IF(AA329="","",IFERROR(IF(VLOOKUP(AA329,'Unit Conversion'!A:B,2,FALSE)=VLOOKUP(AB329,'Unit Conversion'!A:B,2,FALSE),"OK","Check W/V mismatch"),"Check unit"))</f>
        <v/>
      </c>
      <c r="AI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>
        <f>IF(Y330="","",IFERROR(VLOOKUP(Y330,'Ingredients + Stock'!B:D,3,FALSE),""))</f>
        <v/>
      </c>
      <c r="AC330" s="7">
        <f>IF(Y330="","",IFERROR(VLOOKUP(Y330,'Ingredients + Stock'!B:G,6,FALSE),0))</f>
        <v/>
      </c>
      <c r="AD330" s="7">
        <f>IF(AA330="","",IFERROR(VLOOKUP(AA330,'Unit Conversion'!A:D,4,FALSE),1))</f>
        <v/>
      </c>
      <c r="AE330" s="7">
        <f>IF(AB330="","",IFERROR(VLOOKUP(AB330,'Unit Conversion'!A:D,4,FALSE),1))</f>
        <v/>
      </c>
      <c r="AF330" s="7">
        <f>IF(AA330="","",Z330*AD330/AE330)</f>
        <v/>
      </c>
      <c r="AG330" s="7">
        <f>AF330*AC330</f>
        <v/>
      </c>
      <c r="AH330" s="7">
        <f>IF(AA330="","",IFERROR(IF(VLOOKUP(AA330,'Unit Conversion'!A:B,2,FALSE)=VLOOKUP(AB330,'Unit Conversion'!A:B,2,FALSE),"OK","Check W/V mismatch"),"Check unit"))</f>
        <v/>
      </c>
      <c r="AI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>
        <f>IF(Y331="","",IFERROR(VLOOKUP(Y331,'Ingredients + Stock'!B:D,3,FALSE),""))</f>
        <v/>
      </c>
      <c r="AC331" s="8">
        <f>IF(Y331="","",IFERROR(VLOOKUP(Y331,'Ingredients + Stock'!B:G,6,FALSE),0))</f>
        <v/>
      </c>
      <c r="AD331" s="8">
        <f>IF(AA331="","",IFERROR(VLOOKUP(AA331,'Unit Conversion'!A:D,4,FALSE),1))</f>
        <v/>
      </c>
      <c r="AE331" s="8">
        <f>IF(AB331="","",IFERROR(VLOOKUP(AB331,'Unit Conversion'!A:D,4,FALSE),1))</f>
        <v/>
      </c>
      <c r="AF331" s="8">
        <f>IF(AA331="","",Z331*AD331/AE331)</f>
        <v/>
      </c>
      <c r="AG331" s="8">
        <f>AF331*AC331</f>
        <v/>
      </c>
      <c r="AH331" s="8">
        <f>IF(AA331="","",IFERROR(IF(VLOOKUP(AA331,'Unit Conversion'!A:B,2,FALSE)=VLOOKUP(AB331,'Unit Conversion'!A:B,2,FALSE),"OK","Check W/V mismatch"),"Check unit"))</f>
        <v/>
      </c>
      <c r="AI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>
        <f>IF(Y332="","",IFERROR(VLOOKUP(Y332,'Ingredients + Stock'!B:D,3,FALSE),""))</f>
        <v/>
      </c>
      <c r="AC332" s="7">
        <f>IF(Y332="","",IFERROR(VLOOKUP(Y332,'Ingredients + Stock'!B:G,6,FALSE),0))</f>
        <v/>
      </c>
      <c r="AD332" s="7">
        <f>IF(AA332="","",IFERROR(VLOOKUP(AA332,'Unit Conversion'!A:D,4,FALSE),1))</f>
        <v/>
      </c>
      <c r="AE332" s="7">
        <f>IF(AB332="","",IFERROR(VLOOKUP(AB332,'Unit Conversion'!A:D,4,FALSE),1))</f>
        <v/>
      </c>
      <c r="AF332" s="7">
        <f>IF(AA332="","",Z332*AD332/AE332)</f>
        <v/>
      </c>
      <c r="AG332" s="7">
        <f>AF332*AC332</f>
        <v/>
      </c>
      <c r="AH332" s="7">
        <f>IF(AA332="","",IFERROR(IF(VLOOKUP(AA332,'Unit Conversion'!A:B,2,FALSE)=VLOOKUP(AB332,'Unit Conversion'!A:B,2,FALSE),"OK","Check W/V mismatch"),"Check unit"))</f>
        <v/>
      </c>
      <c r="AI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>
        <f>IF(Y333="","",IFERROR(VLOOKUP(Y333,'Ingredients + Stock'!B:D,3,FALSE),""))</f>
        <v/>
      </c>
      <c r="AC333" s="8">
        <f>IF(Y333="","",IFERROR(VLOOKUP(Y333,'Ingredients + Stock'!B:G,6,FALSE),0))</f>
        <v/>
      </c>
      <c r="AD333" s="8">
        <f>IF(AA333="","",IFERROR(VLOOKUP(AA333,'Unit Conversion'!A:D,4,FALSE),1))</f>
        <v/>
      </c>
      <c r="AE333" s="8">
        <f>IF(AB333="","",IFERROR(VLOOKUP(AB333,'Unit Conversion'!A:D,4,FALSE),1))</f>
        <v/>
      </c>
      <c r="AF333" s="8">
        <f>IF(AA333="","",Z333*AD333/AE333)</f>
        <v/>
      </c>
      <c r="AG333" s="8">
        <f>AF333*AC333</f>
        <v/>
      </c>
      <c r="AH333" s="8">
        <f>IF(AA333="","",IFERROR(IF(VLOOKUP(AA333,'Unit Conversion'!A:B,2,FALSE)=VLOOKUP(AB333,'Unit Conversion'!A:B,2,FALSE),"OK","Check W/V mismatch"),"Check unit"))</f>
        <v/>
      </c>
      <c r="AI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>
        <f>IF(Y334="","",IFERROR(VLOOKUP(Y334,'Ingredients + Stock'!B:D,3,FALSE),""))</f>
        <v/>
      </c>
      <c r="AC334" s="7">
        <f>IF(Y334="","",IFERROR(VLOOKUP(Y334,'Ingredients + Stock'!B:G,6,FALSE),0))</f>
        <v/>
      </c>
      <c r="AD334" s="7">
        <f>IF(AA334="","",IFERROR(VLOOKUP(AA334,'Unit Conversion'!A:D,4,FALSE),1))</f>
        <v/>
      </c>
      <c r="AE334" s="7">
        <f>IF(AB334="","",IFERROR(VLOOKUP(AB334,'Unit Conversion'!A:D,4,FALSE),1))</f>
        <v/>
      </c>
      <c r="AF334" s="7">
        <f>IF(AA334="","",Z334*AD334/AE334)</f>
        <v/>
      </c>
      <c r="AG334" s="7">
        <f>AF334*AC334</f>
        <v/>
      </c>
      <c r="AH334" s="7">
        <f>IF(AA334="","",IFERROR(IF(VLOOKUP(AA334,'Unit Conversion'!A:B,2,FALSE)=VLOOKUP(AB334,'Unit Conversion'!A:B,2,FALSE),"OK","Check W/V mismatch"),"Check unit"))</f>
        <v/>
      </c>
      <c r="AI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>
        <f>IF(Y335="","",IFERROR(VLOOKUP(Y335,'Ingredients + Stock'!B:D,3,FALSE),""))</f>
        <v/>
      </c>
      <c r="AC335" s="8">
        <f>IF(Y335="","",IFERROR(VLOOKUP(Y335,'Ingredients + Stock'!B:G,6,FALSE),0))</f>
        <v/>
      </c>
      <c r="AD335" s="8">
        <f>IF(AA335="","",IFERROR(VLOOKUP(AA335,'Unit Conversion'!A:D,4,FALSE),1))</f>
        <v/>
      </c>
      <c r="AE335" s="8">
        <f>IF(AB335="","",IFERROR(VLOOKUP(AB335,'Unit Conversion'!A:D,4,FALSE),1))</f>
        <v/>
      </c>
      <c r="AF335" s="8">
        <f>IF(AA335="","",Z335*AD335/AE335)</f>
        <v/>
      </c>
      <c r="AG335" s="8">
        <f>AF335*AC335</f>
        <v/>
      </c>
      <c r="AH335" s="8">
        <f>IF(AA335="","",IFERROR(IF(VLOOKUP(AA335,'Unit Conversion'!A:B,2,FALSE)=VLOOKUP(AB335,'Unit Conversion'!A:B,2,FALSE),"OK","Check W/V mismatch"),"Check unit"))</f>
        <v/>
      </c>
      <c r="AI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>
        <f>IF(Y336="","",IFERROR(VLOOKUP(Y336,'Ingredients + Stock'!B:D,3,FALSE),""))</f>
        <v/>
      </c>
      <c r="AC336" s="7">
        <f>IF(Y336="","",IFERROR(VLOOKUP(Y336,'Ingredients + Stock'!B:G,6,FALSE),0))</f>
        <v/>
      </c>
      <c r="AD336" s="7">
        <f>IF(AA336="","",IFERROR(VLOOKUP(AA336,'Unit Conversion'!A:D,4,FALSE),1))</f>
        <v/>
      </c>
      <c r="AE336" s="7">
        <f>IF(AB336="","",IFERROR(VLOOKUP(AB336,'Unit Conversion'!A:D,4,FALSE),1))</f>
        <v/>
      </c>
      <c r="AF336" s="7">
        <f>IF(AA336="","",Z336*AD336/AE336)</f>
        <v/>
      </c>
      <c r="AG336" s="7">
        <f>AF336*AC336</f>
        <v/>
      </c>
      <c r="AH336" s="7">
        <f>IF(AA336="","",IFERROR(IF(VLOOKUP(AA336,'Unit Conversion'!A:B,2,FALSE)=VLOOKUP(AB336,'Unit Conversion'!A:B,2,FALSE),"OK","Check W/V mismatch"),"Check unit"))</f>
        <v/>
      </c>
      <c r="AI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>
        <f>IF(Y337="","",IFERROR(VLOOKUP(Y337,'Ingredients + Stock'!B:D,3,FALSE),""))</f>
        <v/>
      </c>
      <c r="AC337" s="8">
        <f>IF(Y337="","",IFERROR(VLOOKUP(Y337,'Ingredients + Stock'!B:G,6,FALSE),0))</f>
        <v/>
      </c>
      <c r="AD337" s="8">
        <f>IF(AA337="","",IFERROR(VLOOKUP(AA337,'Unit Conversion'!A:D,4,FALSE),1))</f>
        <v/>
      </c>
      <c r="AE337" s="8">
        <f>IF(AB337="","",IFERROR(VLOOKUP(AB337,'Unit Conversion'!A:D,4,FALSE),1))</f>
        <v/>
      </c>
      <c r="AF337" s="8">
        <f>IF(AA337="","",Z337*AD337/AE337)</f>
        <v/>
      </c>
      <c r="AG337" s="8">
        <f>AF337*AC337</f>
        <v/>
      </c>
      <c r="AH337" s="8">
        <f>IF(AA337="","",IFERROR(IF(VLOOKUP(AA337,'Unit Conversion'!A:B,2,FALSE)=VLOOKUP(AB337,'Unit Conversion'!A:B,2,FALSE),"OK","Check W/V mismatch"),"Check unit"))</f>
        <v/>
      </c>
      <c r="AI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>
        <f>IF(Y338="","",IFERROR(VLOOKUP(Y338,'Ingredients + Stock'!B:D,3,FALSE),""))</f>
        <v/>
      </c>
      <c r="AC338" s="7">
        <f>IF(Y338="","",IFERROR(VLOOKUP(Y338,'Ingredients + Stock'!B:G,6,FALSE),0))</f>
        <v/>
      </c>
      <c r="AD338" s="7">
        <f>IF(AA338="","",IFERROR(VLOOKUP(AA338,'Unit Conversion'!A:D,4,FALSE),1))</f>
        <v/>
      </c>
      <c r="AE338" s="7">
        <f>IF(AB338="","",IFERROR(VLOOKUP(AB338,'Unit Conversion'!A:D,4,FALSE),1))</f>
        <v/>
      </c>
      <c r="AF338" s="7">
        <f>IF(AA338="","",Z338*AD338/AE338)</f>
        <v/>
      </c>
      <c r="AG338" s="7">
        <f>AF338*AC338</f>
        <v/>
      </c>
      <c r="AH338" s="7">
        <f>IF(AA338="","",IFERROR(IF(VLOOKUP(AA338,'Unit Conversion'!A:B,2,FALSE)=VLOOKUP(AB338,'Unit Conversion'!A:B,2,FALSE),"OK","Check W/V mismatch"),"Check unit"))</f>
        <v/>
      </c>
      <c r="AI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>
        <f>IF(Y339="","",IFERROR(VLOOKUP(Y339,'Ingredients + Stock'!B:D,3,FALSE),""))</f>
        <v/>
      </c>
      <c r="AC339" s="8">
        <f>IF(Y339="","",IFERROR(VLOOKUP(Y339,'Ingredients + Stock'!B:G,6,FALSE),0))</f>
        <v/>
      </c>
      <c r="AD339" s="8">
        <f>IF(AA339="","",IFERROR(VLOOKUP(AA339,'Unit Conversion'!A:D,4,FALSE),1))</f>
        <v/>
      </c>
      <c r="AE339" s="8">
        <f>IF(AB339="","",IFERROR(VLOOKUP(AB339,'Unit Conversion'!A:D,4,FALSE),1))</f>
        <v/>
      </c>
      <c r="AF339" s="8">
        <f>IF(AA339="","",Z339*AD339/AE339)</f>
        <v/>
      </c>
      <c r="AG339" s="8">
        <f>AF339*AC339</f>
        <v/>
      </c>
      <c r="AH339" s="8">
        <f>IF(AA339="","",IFERROR(IF(VLOOKUP(AA339,'Unit Conversion'!A:B,2,FALSE)=VLOOKUP(AB339,'Unit Conversion'!A:B,2,FALSE),"OK","Check W/V mismatch"),"Check unit"))</f>
        <v/>
      </c>
      <c r="AI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>
        <f>IF(Y340="","",IFERROR(VLOOKUP(Y340,'Ingredients + Stock'!B:D,3,FALSE),""))</f>
        <v/>
      </c>
      <c r="AC340" s="7">
        <f>IF(Y340="","",IFERROR(VLOOKUP(Y340,'Ingredients + Stock'!B:G,6,FALSE),0))</f>
        <v/>
      </c>
      <c r="AD340" s="7">
        <f>IF(AA340="","",IFERROR(VLOOKUP(AA340,'Unit Conversion'!A:D,4,FALSE),1))</f>
        <v/>
      </c>
      <c r="AE340" s="7">
        <f>IF(AB340="","",IFERROR(VLOOKUP(AB340,'Unit Conversion'!A:D,4,FALSE),1))</f>
        <v/>
      </c>
      <c r="AF340" s="7">
        <f>IF(AA340="","",Z340*AD340/AE340)</f>
        <v/>
      </c>
      <c r="AG340" s="7">
        <f>AF340*AC340</f>
        <v/>
      </c>
      <c r="AH340" s="7">
        <f>IF(AA340="","",IFERROR(IF(VLOOKUP(AA340,'Unit Conversion'!A:B,2,FALSE)=VLOOKUP(AB340,'Unit Conversion'!A:B,2,FALSE),"OK","Check W/V mismatch"),"Check unit"))</f>
        <v/>
      </c>
      <c r="AI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>
        <f>IF(Y341="","",IFERROR(VLOOKUP(Y341,'Ingredients + Stock'!B:D,3,FALSE),""))</f>
        <v/>
      </c>
      <c r="AC341" s="8">
        <f>IF(Y341="","",IFERROR(VLOOKUP(Y341,'Ingredients + Stock'!B:G,6,FALSE),0))</f>
        <v/>
      </c>
      <c r="AD341" s="8">
        <f>IF(AA341="","",IFERROR(VLOOKUP(AA341,'Unit Conversion'!A:D,4,FALSE),1))</f>
        <v/>
      </c>
      <c r="AE341" s="8">
        <f>IF(AB341="","",IFERROR(VLOOKUP(AB341,'Unit Conversion'!A:D,4,FALSE),1))</f>
        <v/>
      </c>
      <c r="AF341" s="8">
        <f>IF(AA341="","",Z341*AD341/AE341)</f>
        <v/>
      </c>
      <c r="AG341" s="8">
        <f>AF341*AC341</f>
        <v/>
      </c>
      <c r="AH341" s="8">
        <f>IF(AA341="","",IFERROR(IF(VLOOKUP(AA341,'Unit Conversion'!A:B,2,FALSE)=VLOOKUP(AB341,'Unit Conversion'!A:B,2,FALSE),"OK","Check W/V mismatch"),"Check unit"))</f>
        <v/>
      </c>
      <c r="AI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>
        <f>IF(Y342="","",IFERROR(VLOOKUP(Y342,'Ingredients + Stock'!B:D,3,FALSE),""))</f>
        <v/>
      </c>
      <c r="AC342" s="7">
        <f>IF(Y342="","",IFERROR(VLOOKUP(Y342,'Ingredients + Stock'!B:G,6,FALSE),0))</f>
        <v/>
      </c>
      <c r="AD342" s="7">
        <f>IF(AA342="","",IFERROR(VLOOKUP(AA342,'Unit Conversion'!A:D,4,FALSE),1))</f>
        <v/>
      </c>
      <c r="AE342" s="7">
        <f>IF(AB342="","",IFERROR(VLOOKUP(AB342,'Unit Conversion'!A:D,4,FALSE),1))</f>
        <v/>
      </c>
      <c r="AF342" s="7">
        <f>IF(AA342="","",Z342*AD342/AE342)</f>
        <v/>
      </c>
      <c r="AG342" s="7">
        <f>AF342*AC342</f>
        <v/>
      </c>
      <c r="AH342" s="7">
        <f>IF(AA342="","",IFERROR(IF(VLOOKUP(AA342,'Unit Conversion'!A:B,2,FALSE)=VLOOKUP(AB342,'Unit Conversion'!A:B,2,FALSE),"OK","Check W/V mismatch"),"Check unit"))</f>
        <v/>
      </c>
      <c r="AI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>
        <f>IF(Y343="","",IFERROR(VLOOKUP(Y343,'Ingredients + Stock'!B:D,3,FALSE),""))</f>
        <v/>
      </c>
      <c r="AC343" s="8">
        <f>IF(Y343="","",IFERROR(VLOOKUP(Y343,'Ingredients + Stock'!B:G,6,FALSE),0))</f>
        <v/>
      </c>
      <c r="AD343" s="8">
        <f>IF(AA343="","",IFERROR(VLOOKUP(AA343,'Unit Conversion'!A:D,4,FALSE),1))</f>
        <v/>
      </c>
      <c r="AE343" s="8">
        <f>IF(AB343="","",IFERROR(VLOOKUP(AB343,'Unit Conversion'!A:D,4,FALSE),1))</f>
        <v/>
      </c>
      <c r="AF343" s="8">
        <f>IF(AA343="","",Z343*AD343/AE343)</f>
        <v/>
      </c>
      <c r="AG343" s="8">
        <f>AF343*AC343</f>
        <v/>
      </c>
      <c r="AH343" s="8">
        <f>IF(AA343="","",IFERROR(IF(VLOOKUP(AA343,'Unit Conversion'!A:B,2,FALSE)=VLOOKUP(AB343,'Unit Conversion'!A:B,2,FALSE),"OK","Check W/V mismatch"),"Check unit"))</f>
        <v/>
      </c>
      <c r="AI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>
        <f>IF(Y344="","",IFERROR(VLOOKUP(Y344,'Ingredients + Stock'!B:D,3,FALSE),""))</f>
        <v/>
      </c>
      <c r="AC344" s="7">
        <f>IF(Y344="","",IFERROR(VLOOKUP(Y344,'Ingredients + Stock'!B:G,6,FALSE),0))</f>
        <v/>
      </c>
      <c r="AD344" s="7">
        <f>IF(AA344="","",IFERROR(VLOOKUP(AA344,'Unit Conversion'!A:D,4,FALSE),1))</f>
        <v/>
      </c>
      <c r="AE344" s="7">
        <f>IF(AB344="","",IFERROR(VLOOKUP(AB344,'Unit Conversion'!A:D,4,FALSE),1))</f>
        <v/>
      </c>
      <c r="AF344" s="7">
        <f>IF(AA344="","",Z344*AD344/AE344)</f>
        <v/>
      </c>
      <c r="AG344" s="7">
        <f>AF344*AC344</f>
        <v/>
      </c>
      <c r="AH344" s="7">
        <f>IF(AA344="","",IFERROR(IF(VLOOKUP(AA344,'Unit Conversion'!A:B,2,FALSE)=VLOOKUP(AB344,'Unit Conversion'!A:B,2,FALSE),"OK","Check W/V mismatch"),"Check unit"))</f>
        <v/>
      </c>
      <c r="AI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>
        <f>IF(Y345="","",IFERROR(VLOOKUP(Y345,'Ingredients + Stock'!B:D,3,FALSE),""))</f>
        <v/>
      </c>
      <c r="AC345" s="8">
        <f>IF(Y345="","",IFERROR(VLOOKUP(Y345,'Ingredients + Stock'!B:G,6,FALSE),0))</f>
        <v/>
      </c>
      <c r="AD345" s="8">
        <f>IF(AA345="","",IFERROR(VLOOKUP(AA345,'Unit Conversion'!A:D,4,FALSE),1))</f>
        <v/>
      </c>
      <c r="AE345" s="8">
        <f>IF(AB345="","",IFERROR(VLOOKUP(AB345,'Unit Conversion'!A:D,4,FALSE),1))</f>
        <v/>
      </c>
      <c r="AF345" s="8">
        <f>IF(AA345="","",Z345*AD345/AE345)</f>
        <v/>
      </c>
      <c r="AG345" s="8">
        <f>AF345*AC345</f>
        <v/>
      </c>
      <c r="AH345" s="8">
        <f>IF(AA345="","",IFERROR(IF(VLOOKUP(AA345,'Unit Conversion'!A:B,2,FALSE)=VLOOKUP(AB345,'Unit Conversion'!A:B,2,FALSE),"OK","Check W/V mismatch"),"Check unit"))</f>
        <v/>
      </c>
      <c r="AI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>
        <f>IF(Y346="","",IFERROR(VLOOKUP(Y346,'Ingredients + Stock'!B:D,3,FALSE),""))</f>
        <v/>
      </c>
      <c r="AC346" s="7">
        <f>IF(Y346="","",IFERROR(VLOOKUP(Y346,'Ingredients + Stock'!B:G,6,FALSE),0))</f>
        <v/>
      </c>
      <c r="AD346" s="7">
        <f>IF(AA346="","",IFERROR(VLOOKUP(AA346,'Unit Conversion'!A:D,4,FALSE),1))</f>
        <v/>
      </c>
      <c r="AE346" s="7">
        <f>IF(AB346="","",IFERROR(VLOOKUP(AB346,'Unit Conversion'!A:D,4,FALSE),1))</f>
        <v/>
      </c>
      <c r="AF346" s="7">
        <f>IF(AA346="","",Z346*AD346/AE346)</f>
        <v/>
      </c>
      <c r="AG346" s="7">
        <f>AF346*AC346</f>
        <v/>
      </c>
      <c r="AH346" s="7">
        <f>IF(AA346="","",IFERROR(IF(VLOOKUP(AA346,'Unit Conversion'!A:B,2,FALSE)=VLOOKUP(AB346,'Unit Conversion'!A:B,2,FALSE),"OK","Check W/V mismatch"),"Check unit"))</f>
        <v/>
      </c>
      <c r="AI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>
        <f>IF(Y347="","",IFERROR(VLOOKUP(Y347,'Ingredients + Stock'!B:D,3,FALSE),""))</f>
        <v/>
      </c>
      <c r="AC347" s="8">
        <f>IF(Y347="","",IFERROR(VLOOKUP(Y347,'Ingredients + Stock'!B:G,6,FALSE),0))</f>
        <v/>
      </c>
      <c r="AD347" s="8">
        <f>IF(AA347="","",IFERROR(VLOOKUP(AA347,'Unit Conversion'!A:D,4,FALSE),1))</f>
        <v/>
      </c>
      <c r="AE347" s="8">
        <f>IF(AB347="","",IFERROR(VLOOKUP(AB347,'Unit Conversion'!A:D,4,FALSE),1))</f>
        <v/>
      </c>
      <c r="AF347" s="8">
        <f>IF(AA347="","",Z347*AD347/AE347)</f>
        <v/>
      </c>
      <c r="AG347" s="8">
        <f>AF347*AC347</f>
        <v/>
      </c>
      <c r="AH347" s="8">
        <f>IF(AA347="","",IFERROR(IF(VLOOKUP(AA347,'Unit Conversion'!A:B,2,FALSE)=VLOOKUP(AB347,'Unit Conversion'!A:B,2,FALSE),"OK","Check W/V mismatch"),"Check unit"))</f>
        <v/>
      </c>
      <c r="AI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>
        <f>IF(Y348="","",IFERROR(VLOOKUP(Y348,'Ingredients + Stock'!B:D,3,FALSE),""))</f>
        <v/>
      </c>
      <c r="AC348" s="7">
        <f>IF(Y348="","",IFERROR(VLOOKUP(Y348,'Ingredients + Stock'!B:G,6,FALSE),0))</f>
        <v/>
      </c>
      <c r="AD348" s="7">
        <f>IF(AA348="","",IFERROR(VLOOKUP(AA348,'Unit Conversion'!A:D,4,FALSE),1))</f>
        <v/>
      </c>
      <c r="AE348" s="7">
        <f>IF(AB348="","",IFERROR(VLOOKUP(AB348,'Unit Conversion'!A:D,4,FALSE),1))</f>
        <v/>
      </c>
      <c r="AF348" s="7">
        <f>IF(AA348="","",Z348*AD348/AE348)</f>
        <v/>
      </c>
      <c r="AG348" s="7">
        <f>AF348*AC348</f>
        <v/>
      </c>
      <c r="AH348" s="7">
        <f>IF(AA348="","",IFERROR(IF(VLOOKUP(AA348,'Unit Conversion'!A:B,2,FALSE)=VLOOKUP(AB348,'Unit Conversion'!A:B,2,FALSE),"OK","Check W/V mismatch"),"Check unit"))</f>
        <v/>
      </c>
      <c r="AI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>
        <f>IF(Y349="","",IFERROR(VLOOKUP(Y349,'Ingredients + Stock'!B:D,3,FALSE),""))</f>
        <v/>
      </c>
      <c r="AC349" s="8">
        <f>IF(Y349="","",IFERROR(VLOOKUP(Y349,'Ingredients + Stock'!B:G,6,FALSE),0))</f>
        <v/>
      </c>
      <c r="AD349" s="8">
        <f>IF(AA349="","",IFERROR(VLOOKUP(AA349,'Unit Conversion'!A:D,4,FALSE),1))</f>
        <v/>
      </c>
      <c r="AE349" s="8">
        <f>IF(AB349="","",IFERROR(VLOOKUP(AB349,'Unit Conversion'!A:D,4,FALSE),1))</f>
        <v/>
      </c>
      <c r="AF349" s="8">
        <f>IF(AA349="","",Z349*AD349/AE349)</f>
        <v/>
      </c>
      <c r="AG349" s="8">
        <f>AF349*AC349</f>
        <v/>
      </c>
      <c r="AH349" s="8">
        <f>IF(AA349="","",IFERROR(IF(VLOOKUP(AA349,'Unit Conversion'!A:B,2,FALSE)=VLOOKUP(AB349,'Unit Conversion'!A:B,2,FALSE),"OK","Check W/V mismatch"),"Check unit"))</f>
        <v/>
      </c>
      <c r="AI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>
        <f>IF(Y350="","",IFERROR(VLOOKUP(Y350,'Ingredients + Stock'!B:D,3,FALSE),""))</f>
        <v/>
      </c>
      <c r="AC350" s="7">
        <f>IF(Y350="","",IFERROR(VLOOKUP(Y350,'Ingredients + Stock'!B:G,6,FALSE),0))</f>
        <v/>
      </c>
      <c r="AD350" s="7">
        <f>IF(AA350="","",IFERROR(VLOOKUP(AA350,'Unit Conversion'!A:D,4,FALSE),1))</f>
        <v/>
      </c>
      <c r="AE350" s="7">
        <f>IF(AB350="","",IFERROR(VLOOKUP(AB350,'Unit Conversion'!A:D,4,FALSE),1))</f>
        <v/>
      </c>
      <c r="AF350" s="7">
        <f>IF(AA350="","",Z350*AD350/AE350)</f>
        <v/>
      </c>
      <c r="AG350" s="7">
        <f>AF350*AC350</f>
        <v/>
      </c>
      <c r="AH350" s="7">
        <f>IF(AA350="","",IFERROR(IF(VLOOKUP(AA350,'Unit Conversion'!A:B,2,FALSE)=VLOOKUP(AB350,'Unit Conversion'!A:B,2,FALSE),"OK","Check W/V mismatch"),"Check unit"))</f>
        <v/>
      </c>
      <c r="AI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>
        <f>IF(Y351="","",IFERROR(VLOOKUP(Y351,'Ingredients + Stock'!B:D,3,FALSE),""))</f>
        <v/>
      </c>
      <c r="AC351" s="8">
        <f>IF(Y351="","",IFERROR(VLOOKUP(Y351,'Ingredients + Stock'!B:G,6,FALSE),0))</f>
        <v/>
      </c>
      <c r="AD351" s="8">
        <f>IF(AA351="","",IFERROR(VLOOKUP(AA351,'Unit Conversion'!A:D,4,FALSE),1))</f>
        <v/>
      </c>
      <c r="AE351" s="8">
        <f>IF(AB351="","",IFERROR(VLOOKUP(AB351,'Unit Conversion'!A:D,4,FALSE),1))</f>
        <v/>
      </c>
      <c r="AF351" s="8">
        <f>IF(AA351="","",Z351*AD351/AE351)</f>
        <v/>
      </c>
      <c r="AG351" s="8">
        <f>AF351*AC351</f>
        <v/>
      </c>
      <c r="AH351" s="8">
        <f>IF(AA351="","",IFERROR(IF(VLOOKUP(AA351,'Unit Conversion'!A:B,2,FALSE)=VLOOKUP(AB351,'Unit Conversion'!A:B,2,FALSE),"OK","Check W/V mismatch"),"Check unit"))</f>
        <v/>
      </c>
      <c r="AI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>
        <f>IF(Y352="","",IFERROR(VLOOKUP(Y352,'Ingredients + Stock'!B:D,3,FALSE),""))</f>
        <v/>
      </c>
      <c r="AC352" s="7">
        <f>IF(Y352="","",IFERROR(VLOOKUP(Y352,'Ingredients + Stock'!B:G,6,FALSE),0))</f>
        <v/>
      </c>
      <c r="AD352" s="7">
        <f>IF(AA352="","",IFERROR(VLOOKUP(AA352,'Unit Conversion'!A:D,4,FALSE),1))</f>
        <v/>
      </c>
      <c r="AE352" s="7">
        <f>IF(AB352="","",IFERROR(VLOOKUP(AB352,'Unit Conversion'!A:D,4,FALSE),1))</f>
        <v/>
      </c>
      <c r="AF352" s="7">
        <f>IF(AA352="","",Z352*AD352/AE352)</f>
        <v/>
      </c>
      <c r="AG352" s="7">
        <f>AF352*AC352</f>
        <v/>
      </c>
      <c r="AH352" s="7">
        <f>IF(AA352="","",IFERROR(IF(VLOOKUP(AA352,'Unit Conversion'!A:B,2,FALSE)=VLOOKUP(AB352,'Unit Conversion'!A:B,2,FALSE),"OK","Check W/V mismatch"),"Check unit"))</f>
        <v/>
      </c>
      <c r="AI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>
        <f>IF(Y353="","",IFERROR(VLOOKUP(Y353,'Ingredients + Stock'!B:D,3,FALSE),""))</f>
        <v/>
      </c>
      <c r="AC353" s="8">
        <f>IF(Y353="","",IFERROR(VLOOKUP(Y353,'Ingredients + Stock'!B:G,6,FALSE),0))</f>
        <v/>
      </c>
      <c r="AD353" s="8">
        <f>IF(AA353="","",IFERROR(VLOOKUP(AA353,'Unit Conversion'!A:D,4,FALSE),1))</f>
        <v/>
      </c>
      <c r="AE353" s="8">
        <f>IF(AB353="","",IFERROR(VLOOKUP(AB353,'Unit Conversion'!A:D,4,FALSE),1))</f>
        <v/>
      </c>
      <c r="AF353" s="8">
        <f>IF(AA353="","",Z353*AD353/AE353)</f>
        <v/>
      </c>
      <c r="AG353" s="8">
        <f>AF353*AC353</f>
        <v/>
      </c>
      <c r="AH353" s="8">
        <f>IF(AA353="","",IFERROR(IF(VLOOKUP(AA353,'Unit Conversion'!A:B,2,FALSE)=VLOOKUP(AB353,'Unit Conversion'!A:B,2,FALSE),"OK","Check W/V mismatch"),"Check unit"))</f>
        <v/>
      </c>
      <c r="AI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>
        <f>IF(Y354="","",IFERROR(VLOOKUP(Y354,'Ingredients + Stock'!B:D,3,FALSE),""))</f>
        <v/>
      </c>
      <c r="AC354" s="7">
        <f>IF(Y354="","",IFERROR(VLOOKUP(Y354,'Ingredients + Stock'!B:G,6,FALSE),0))</f>
        <v/>
      </c>
      <c r="AD354" s="7">
        <f>IF(AA354="","",IFERROR(VLOOKUP(AA354,'Unit Conversion'!A:D,4,FALSE),1))</f>
        <v/>
      </c>
      <c r="AE354" s="7">
        <f>IF(AB354="","",IFERROR(VLOOKUP(AB354,'Unit Conversion'!A:D,4,FALSE),1))</f>
        <v/>
      </c>
      <c r="AF354" s="7">
        <f>IF(AA354="","",Z354*AD354/AE354)</f>
        <v/>
      </c>
      <c r="AG354" s="7">
        <f>AF354*AC354</f>
        <v/>
      </c>
      <c r="AH354" s="7">
        <f>IF(AA354="","",IFERROR(IF(VLOOKUP(AA354,'Unit Conversion'!A:B,2,FALSE)=VLOOKUP(AB354,'Unit Conversion'!A:B,2,FALSE),"OK","Check W/V mismatch"),"Check unit"))</f>
        <v/>
      </c>
      <c r="AI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>
        <f>IF(Y355="","",IFERROR(VLOOKUP(Y355,'Ingredients + Stock'!B:D,3,FALSE),""))</f>
        <v/>
      </c>
      <c r="AC355" s="8">
        <f>IF(Y355="","",IFERROR(VLOOKUP(Y355,'Ingredients + Stock'!B:G,6,FALSE),0))</f>
        <v/>
      </c>
      <c r="AD355" s="8">
        <f>IF(AA355="","",IFERROR(VLOOKUP(AA355,'Unit Conversion'!A:D,4,FALSE),1))</f>
        <v/>
      </c>
      <c r="AE355" s="8">
        <f>IF(AB355="","",IFERROR(VLOOKUP(AB355,'Unit Conversion'!A:D,4,FALSE),1))</f>
        <v/>
      </c>
      <c r="AF355" s="8">
        <f>IF(AA355="","",Z355*AD355/AE355)</f>
        <v/>
      </c>
      <c r="AG355" s="8">
        <f>AF355*AC355</f>
        <v/>
      </c>
      <c r="AH355" s="8">
        <f>IF(AA355="","",IFERROR(IF(VLOOKUP(AA355,'Unit Conversion'!A:B,2,FALSE)=VLOOKUP(AB355,'Unit Conversion'!A:B,2,FALSE),"OK","Check W/V mismatch"),"Check unit"))</f>
        <v/>
      </c>
      <c r="AI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>
        <f>IF(Y356="","",IFERROR(VLOOKUP(Y356,'Ingredients + Stock'!B:D,3,FALSE),""))</f>
        <v/>
      </c>
      <c r="AC356" s="7">
        <f>IF(Y356="","",IFERROR(VLOOKUP(Y356,'Ingredients + Stock'!B:G,6,FALSE),0))</f>
        <v/>
      </c>
      <c r="AD356" s="7">
        <f>IF(AA356="","",IFERROR(VLOOKUP(AA356,'Unit Conversion'!A:D,4,FALSE),1))</f>
        <v/>
      </c>
      <c r="AE356" s="7">
        <f>IF(AB356="","",IFERROR(VLOOKUP(AB356,'Unit Conversion'!A:D,4,FALSE),1))</f>
        <v/>
      </c>
      <c r="AF356" s="7">
        <f>IF(AA356="","",Z356*AD356/AE356)</f>
        <v/>
      </c>
      <c r="AG356" s="7">
        <f>AF356*AC356</f>
        <v/>
      </c>
      <c r="AH356" s="7">
        <f>IF(AA356="","",IFERROR(IF(VLOOKUP(AA356,'Unit Conversion'!A:B,2,FALSE)=VLOOKUP(AB356,'Unit Conversion'!A:B,2,FALSE),"OK","Check W/V mismatch"),"Check unit"))</f>
        <v/>
      </c>
      <c r="AI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>
        <f>IF(Y357="","",IFERROR(VLOOKUP(Y357,'Ingredients + Stock'!B:D,3,FALSE),""))</f>
        <v/>
      </c>
      <c r="AC357" s="8">
        <f>IF(Y357="","",IFERROR(VLOOKUP(Y357,'Ingredients + Stock'!B:G,6,FALSE),0))</f>
        <v/>
      </c>
      <c r="AD357" s="8">
        <f>IF(AA357="","",IFERROR(VLOOKUP(AA357,'Unit Conversion'!A:D,4,FALSE),1))</f>
        <v/>
      </c>
      <c r="AE357" s="8">
        <f>IF(AB357="","",IFERROR(VLOOKUP(AB357,'Unit Conversion'!A:D,4,FALSE),1))</f>
        <v/>
      </c>
      <c r="AF357" s="8">
        <f>IF(AA357="","",Z357*AD357/AE357)</f>
        <v/>
      </c>
      <c r="AG357" s="8">
        <f>AF357*AC357</f>
        <v/>
      </c>
      <c r="AH357" s="8">
        <f>IF(AA357="","",IFERROR(IF(VLOOKUP(AA357,'Unit Conversion'!A:B,2,FALSE)=VLOOKUP(AB357,'Unit Conversion'!A:B,2,FALSE),"OK","Check W/V mismatch"),"Check unit"))</f>
        <v/>
      </c>
      <c r="AI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>
        <f>IF(Y358="","",IFERROR(VLOOKUP(Y358,'Ingredients + Stock'!B:D,3,FALSE),""))</f>
        <v/>
      </c>
      <c r="AC358" s="7">
        <f>IF(Y358="","",IFERROR(VLOOKUP(Y358,'Ingredients + Stock'!B:G,6,FALSE),0))</f>
        <v/>
      </c>
      <c r="AD358" s="7">
        <f>IF(AA358="","",IFERROR(VLOOKUP(AA358,'Unit Conversion'!A:D,4,FALSE),1))</f>
        <v/>
      </c>
      <c r="AE358" s="7">
        <f>IF(AB358="","",IFERROR(VLOOKUP(AB358,'Unit Conversion'!A:D,4,FALSE),1))</f>
        <v/>
      </c>
      <c r="AF358" s="7">
        <f>IF(AA358="","",Z358*AD358/AE358)</f>
        <v/>
      </c>
      <c r="AG358" s="7">
        <f>AF358*AC358</f>
        <v/>
      </c>
      <c r="AH358" s="7">
        <f>IF(AA358="","",IFERROR(IF(VLOOKUP(AA358,'Unit Conversion'!A:B,2,FALSE)=VLOOKUP(AB358,'Unit Conversion'!A:B,2,FALSE),"OK","Check W/V mismatch"),"Check unit"))</f>
        <v/>
      </c>
      <c r="AI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>
        <f>IF(Y359="","",IFERROR(VLOOKUP(Y359,'Ingredients + Stock'!B:D,3,FALSE),""))</f>
        <v/>
      </c>
      <c r="AC359" s="8">
        <f>IF(Y359="","",IFERROR(VLOOKUP(Y359,'Ingredients + Stock'!B:G,6,FALSE),0))</f>
        <v/>
      </c>
      <c r="AD359" s="8">
        <f>IF(AA359="","",IFERROR(VLOOKUP(AA359,'Unit Conversion'!A:D,4,FALSE),1))</f>
        <v/>
      </c>
      <c r="AE359" s="8">
        <f>IF(AB359="","",IFERROR(VLOOKUP(AB359,'Unit Conversion'!A:D,4,FALSE),1))</f>
        <v/>
      </c>
      <c r="AF359" s="8">
        <f>IF(AA359="","",Z359*AD359/AE359)</f>
        <v/>
      </c>
      <c r="AG359" s="8">
        <f>AF359*AC359</f>
        <v/>
      </c>
      <c r="AH359" s="8">
        <f>IF(AA359="","",IFERROR(IF(VLOOKUP(AA359,'Unit Conversion'!A:B,2,FALSE)=VLOOKUP(AB359,'Unit Conversion'!A:B,2,FALSE),"OK","Check W/V mismatch"),"Check unit"))</f>
        <v/>
      </c>
      <c r="AI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>
        <f>IF(Y360="","",IFERROR(VLOOKUP(Y360,'Ingredients + Stock'!B:D,3,FALSE),""))</f>
        <v/>
      </c>
      <c r="AC360" s="7">
        <f>IF(Y360="","",IFERROR(VLOOKUP(Y360,'Ingredients + Stock'!B:G,6,FALSE),0))</f>
        <v/>
      </c>
      <c r="AD360" s="7">
        <f>IF(AA360="","",IFERROR(VLOOKUP(AA360,'Unit Conversion'!A:D,4,FALSE),1))</f>
        <v/>
      </c>
      <c r="AE360" s="7">
        <f>IF(AB360="","",IFERROR(VLOOKUP(AB360,'Unit Conversion'!A:D,4,FALSE),1))</f>
        <v/>
      </c>
      <c r="AF360" s="7">
        <f>IF(AA360="","",Z360*AD360/AE360)</f>
        <v/>
      </c>
      <c r="AG360" s="7">
        <f>AF360*AC360</f>
        <v/>
      </c>
      <c r="AH360" s="7">
        <f>IF(AA360="","",IFERROR(IF(VLOOKUP(AA360,'Unit Conversion'!A:B,2,FALSE)=VLOOKUP(AB360,'Unit Conversion'!A:B,2,FALSE),"OK","Check W/V mismatch"),"Check unit"))</f>
        <v/>
      </c>
      <c r="AI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>
        <f>IF(Y361="","",IFERROR(VLOOKUP(Y361,'Ingredients + Stock'!B:D,3,FALSE),""))</f>
        <v/>
      </c>
      <c r="AC361" s="8">
        <f>IF(Y361="","",IFERROR(VLOOKUP(Y361,'Ingredients + Stock'!B:G,6,FALSE),0))</f>
        <v/>
      </c>
      <c r="AD361" s="8">
        <f>IF(AA361="","",IFERROR(VLOOKUP(AA361,'Unit Conversion'!A:D,4,FALSE),1))</f>
        <v/>
      </c>
      <c r="AE361" s="8">
        <f>IF(AB361="","",IFERROR(VLOOKUP(AB361,'Unit Conversion'!A:D,4,FALSE),1))</f>
        <v/>
      </c>
      <c r="AF361" s="8">
        <f>IF(AA361="","",Z361*AD361/AE361)</f>
        <v/>
      </c>
      <c r="AG361" s="8">
        <f>AF361*AC361</f>
        <v/>
      </c>
      <c r="AH361" s="8">
        <f>IF(AA361="","",IFERROR(IF(VLOOKUP(AA361,'Unit Conversion'!A:B,2,FALSE)=VLOOKUP(AB361,'Unit Conversion'!A:B,2,FALSE),"OK","Check W/V mismatch"),"Check unit"))</f>
        <v/>
      </c>
      <c r="AI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>
        <f>IF(Y362="","",IFERROR(VLOOKUP(Y362,'Ingredients + Stock'!B:D,3,FALSE),""))</f>
        <v/>
      </c>
      <c r="AC362" s="7">
        <f>IF(Y362="","",IFERROR(VLOOKUP(Y362,'Ingredients + Stock'!B:G,6,FALSE),0))</f>
        <v/>
      </c>
      <c r="AD362" s="7">
        <f>IF(AA362="","",IFERROR(VLOOKUP(AA362,'Unit Conversion'!A:D,4,FALSE),1))</f>
        <v/>
      </c>
      <c r="AE362" s="7">
        <f>IF(AB362="","",IFERROR(VLOOKUP(AB362,'Unit Conversion'!A:D,4,FALSE),1))</f>
        <v/>
      </c>
      <c r="AF362" s="7">
        <f>IF(AA362="","",Z362*AD362/AE362)</f>
        <v/>
      </c>
      <c r="AG362" s="7">
        <f>AF362*AC362</f>
        <v/>
      </c>
      <c r="AH362" s="7">
        <f>IF(AA362="","",IFERROR(IF(VLOOKUP(AA362,'Unit Conversion'!A:B,2,FALSE)=VLOOKUP(AB362,'Unit Conversion'!A:B,2,FALSE),"OK","Check W/V mismatch"),"Check unit"))</f>
        <v/>
      </c>
      <c r="AI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>
        <f>IF(Y363="","",IFERROR(VLOOKUP(Y363,'Ingredients + Stock'!B:D,3,FALSE),""))</f>
        <v/>
      </c>
      <c r="AC363" s="8">
        <f>IF(Y363="","",IFERROR(VLOOKUP(Y363,'Ingredients + Stock'!B:G,6,FALSE),0))</f>
        <v/>
      </c>
      <c r="AD363" s="8">
        <f>IF(AA363="","",IFERROR(VLOOKUP(AA363,'Unit Conversion'!A:D,4,FALSE),1))</f>
        <v/>
      </c>
      <c r="AE363" s="8">
        <f>IF(AB363="","",IFERROR(VLOOKUP(AB363,'Unit Conversion'!A:D,4,FALSE),1))</f>
        <v/>
      </c>
      <c r="AF363" s="8">
        <f>IF(AA363="","",Z363*AD363/AE363)</f>
        <v/>
      </c>
      <c r="AG363" s="8">
        <f>AF363*AC363</f>
        <v/>
      </c>
      <c r="AH363" s="8">
        <f>IF(AA363="","",IFERROR(IF(VLOOKUP(AA363,'Unit Conversion'!A:B,2,FALSE)=VLOOKUP(AB363,'Unit Conversion'!A:B,2,FALSE),"OK","Check W/V mismatch"),"Check unit"))</f>
        <v/>
      </c>
      <c r="AI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>
        <f>IF(Y364="","",IFERROR(VLOOKUP(Y364,'Ingredients + Stock'!B:D,3,FALSE),""))</f>
        <v/>
      </c>
      <c r="AC364" s="7">
        <f>IF(Y364="","",IFERROR(VLOOKUP(Y364,'Ingredients + Stock'!B:G,6,FALSE),0))</f>
        <v/>
      </c>
      <c r="AD364" s="7">
        <f>IF(AA364="","",IFERROR(VLOOKUP(AA364,'Unit Conversion'!A:D,4,FALSE),1))</f>
        <v/>
      </c>
      <c r="AE364" s="7">
        <f>IF(AB364="","",IFERROR(VLOOKUP(AB364,'Unit Conversion'!A:D,4,FALSE),1))</f>
        <v/>
      </c>
      <c r="AF364" s="7">
        <f>IF(AA364="","",Z364*AD364/AE364)</f>
        <v/>
      </c>
      <c r="AG364" s="7">
        <f>AF364*AC364</f>
        <v/>
      </c>
      <c r="AH364" s="7">
        <f>IF(AA364="","",IFERROR(IF(VLOOKUP(AA364,'Unit Conversion'!A:B,2,FALSE)=VLOOKUP(AB364,'Unit Conversion'!A:B,2,FALSE),"OK","Check W/V mismatch"),"Check unit"))</f>
        <v/>
      </c>
      <c r="AI364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3">
    <mergeCell ref="A1:F1"/>
    <mergeCell ref="A3:P3"/>
    <mergeCell ref="A63:AD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E4B7"/>
    <outlinePr summaryBelow="1" summaryRight="1"/>
    <pageSetUpPr/>
  </sheetPr>
  <dimension ref="A1:AD2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8" t="inlineStr">
        <is>
          <t>Recipe Calculator v4 - Multi-Recipe + Unit Conversion (Fixed missing formulas per review)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3" t="inlineStr">
        <is>
          <t>RECIPE 1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inlineStr">
        <is>
          <t>Recipe Name:</t>
        </is>
      </c>
      <c r="B4" s="95" t="inlineStr">
        <is>
          <t>Sourdough Loaf</t>
        </is>
      </c>
      <c r="C4" s="66" t="n"/>
      <c r="D4" s="66" t="inlineStr">
        <is>
          <t>Select from Library:</t>
        </is>
      </c>
      <c r="E4" s="96" t="inlineStr">
        <is>
          <t>REC-001</t>
        </is>
      </c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inlineStr">
        <is>
          <t>Batch Yield:</t>
        </is>
      </c>
      <c r="B5" s="96" t="n">
        <v>2</v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inlineStr">
        <is>
          <t>Portion Size:</t>
        </is>
      </c>
      <c r="B6" s="66" t="inlineStr">
        <is>
          <t>900g loaf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0" t="inlineStr">
        <is>
          <t>Ingredient</t>
        </is>
      </c>
      <c r="B8" s="70" t="inlineStr">
        <is>
          <t>Qty</t>
        </is>
      </c>
      <c r="C8" s="70" t="inlineStr">
        <is>
          <t>Unit (Recipe)</t>
        </is>
      </c>
      <c r="D8" s="70" t="inlineStr">
        <is>
          <t>Stock Unit</t>
        </is>
      </c>
      <c r="E8" s="70" t="inlineStr">
        <is>
          <t>Cost/Stock Unit $</t>
        </is>
      </c>
      <c r="F8" s="70" t="inlineStr">
        <is>
          <t>Recipe Factor</t>
        </is>
      </c>
      <c r="G8" s="70" t="inlineStr">
        <is>
          <t>Stock Factor</t>
        </is>
      </c>
      <c r="H8" s="70" t="inlineStr">
        <is>
          <t>Converted Qty</t>
        </is>
      </c>
      <c r="I8" s="70" t="inlineStr">
        <is>
          <t>Line Cost $</t>
        </is>
      </c>
      <c r="J8" s="70" t="inlineStr">
        <is>
          <t>Type Match</t>
        </is>
      </c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96" t="inlineStr">
        <is>
          <t>Bread Flour</t>
        </is>
      </c>
      <c r="B9" s="96" t="n">
        <v>1000</v>
      </c>
      <c r="C9" s="96" t="inlineStr">
        <is>
          <t>g</t>
        </is>
      </c>
      <c r="D9">
        <f>IF(A9="","",IFERROR(VLOOKUP(A9,'Ingredients + Stock'!B:D,3,FALSE),""))</f>
        <v/>
      </c>
      <c r="E9" s="97">
        <f>IF(A9="","",IFERROR(VLOOKUP(A9,'Ingredients + Stock'!B:G,6,FALSE),0))</f>
        <v/>
      </c>
      <c r="F9">
        <f>IF(C9="","",IFERROR(VLOOKUP(C9,'Unit Conversion'!A:D,4,FALSE),1))</f>
        <v/>
      </c>
      <c r="G9">
        <f>IF(D9="","",IFERROR(VLOOKUP(D9,'Unit Conversion'!A:D,4,FALSE),1))</f>
        <v/>
      </c>
      <c r="H9">
        <f>IF(C9="","",B9*F9/G9)</f>
        <v/>
      </c>
      <c r="I9" s="98">
        <f>H9*E9</f>
        <v/>
      </c>
      <c r="J9">
        <f>IF(C9="","",IFERROR(IF(VLOOKUP(C9,'Unit Conversion'!A:B,2,FALSE)=VLOOKUP(D9,'Unit Conversion'!A:B,2,FALSE),"OK","Check W/V"),"Check"))</f>
        <v/>
      </c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96" t="inlineStr">
        <is>
          <t>Water</t>
        </is>
      </c>
      <c r="B10" s="96" t="n">
        <v>700</v>
      </c>
      <c r="C10" s="96" t="inlineStr">
        <is>
          <t>ml</t>
        </is>
      </c>
      <c r="D10">
        <f>IF(A10="","",IFERROR(VLOOKUP(A10,'Ingredients + Stock'!B:D,3,FALSE),""))</f>
        <v/>
      </c>
      <c r="E10" s="97">
        <f>IF(A10="","",IFERROR(VLOOKUP(A10,'Ingredients + Stock'!B:G,6,FALSE),0))</f>
        <v/>
      </c>
      <c r="F10">
        <f>IF(C10="","",IFERROR(VLOOKUP(C10,'Unit Conversion'!A:D,4,FALSE),1))</f>
        <v/>
      </c>
      <c r="G10">
        <f>IF(D10="","",IFERROR(VLOOKUP(D10,'Unit Conversion'!A:D,4,FALSE),1))</f>
        <v/>
      </c>
      <c r="H10">
        <f>IF(C10="","",B10*F10/G10)</f>
        <v/>
      </c>
      <c r="I10" s="98">
        <f>H10*E10</f>
        <v/>
      </c>
      <c r="J10">
        <f>IF(C10="","",IFERROR(IF(VLOOKUP(C10,'Unit Conversion'!A:B,2,FALSE)=VLOOKUP(D10,'Unit Conversion'!A:B,2,FALSE),"OK","Check W/V"),"Check"))</f>
        <v/>
      </c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96" t="inlineStr">
        <is>
          <t>Sourdough Starter</t>
        </is>
      </c>
      <c r="B11" s="96" t="n">
        <v>200</v>
      </c>
      <c r="C11" s="96" t="inlineStr">
        <is>
          <t>g</t>
        </is>
      </c>
      <c r="D11">
        <f>IF(A11="","",IFERROR(VLOOKUP(A11,'Ingredients + Stock'!B:D,3,FALSE),""))</f>
        <v/>
      </c>
      <c r="E11" s="97">
        <f>IF(A11="","",IFERROR(VLOOKUP(A11,'Ingredients + Stock'!B:G,6,FALSE),0))</f>
        <v/>
      </c>
      <c r="F11">
        <f>IF(C11="","",IFERROR(VLOOKUP(C11,'Unit Conversion'!A:D,4,FALSE),1))</f>
        <v/>
      </c>
      <c r="G11">
        <f>IF(D11="","",IFERROR(VLOOKUP(D11,'Unit Conversion'!A:D,4,FALSE),1))</f>
        <v/>
      </c>
      <c r="H11">
        <f>IF(C11="","",B11*F11/G11)</f>
        <v/>
      </c>
      <c r="I11" s="98">
        <f>H11*E11</f>
        <v/>
      </c>
      <c r="J11">
        <f>IF(C11="","",IFERROR(IF(VLOOKUP(C11,'Unit Conversion'!A:B,2,FALSE)=VLOOKUP(D11,'Unit Conversion'!A:B,2,FALSE),"OK","Check W/V"),"Check"))</f>
        <v/>
      </c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96" t="inlineStr">
        <is>
          <t>Salt</t>
        </is>
      </c>
      <c r="B12" s="96" t="n">
        <v>20</v>
      </c>
      <c r="C12" s="96" t="inlineStr">
        <is>
          <t>g</t>
        </is>
      </c>
      <c r="D12">
        <f>IF(A12="","",IFERROR(VLOOKUP(A12,'Ingredients + Stock'!B:D,3,FALSE),""))</f>
        <v/>
      </c>
      <c r="E12" s="97">
        <f>IF(A12="","",IFERROR(VLOOKUP(A12,'Ingredients + Stock'!B:G,6,FALSE),0))</f>
        <v/>
      </c>
      <c r="F12">
        <f>IF(C12="","",IFERROR(VLOOKUP(C12,'Unit Conversion'!A:D,4,FALSE),1))</f>
        <v/>
      </c>
      <c r="G12">
        <f>IF(D12="","",IFERROR(VLOOKUP(D12,'Unit Conversion'!A:D,4,FALSE),1))</f>
        <v/>
      </c>
      <c r="H12">
        <f>IF(C12="","",B12*F12/G12)</f>
        <v/>
      </c>
      <c r="I12" s="98">
        <f>H12*E12</f>
        <v/>
      </c>
      <c r="J12">
        <f>IF(C12="","",IFERROR(IF(VLOOKUP(C12,'Unit Conversion'!A:B,2,FALSE)=VLOOKUP(D12,'Unit Conversion'!A:B,2,FALSE),"OK","Check W/V"),"Check"))</f>
        <v/>
      </c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96" t="inlineStr">
        <is>
          <t>Olive Oil</t>
        </is>
      </c>
      <c r="B13" s="96" t="n">
        <v>2</v>
      </c>
      <c r="C13" s="96" t="inlineStr">
        <is>
          <t>tbsp</t>
        </is>
      </c>
      <c r="D13">
        <f>IF(A13="","",IFERROR(VLOOKUP(A13,'Ingredients + Stock'!B:D,3,FALSE),""))</f>
        <v/>
      </c>
      <c r="E13" s="97">
        <f>IF(A13="","",IFERROR(VLOOKUP(A13,'Ingredients + Stock'!B:G,6,FALSE),0))</f>
        <v/>
      </c>
      <c r="F13">
        <f>IF(C13="","",IFERROR(VLOOKUP(C13,'Unit Conversion'!A:D,4,FALSE),1))</f>
        <v/>
      </c>
      <c r="G13">
        <f>IF(D13="","",IFERROR(VLOOKUP(D13,'Unit Conversion'!A:D,4,FALSE),1))</f>
        <v/>
      </c>
      <c r="H13">
        <f>IF(C13="","",B13*F13/G13)</f>
        <v/>
      </c>
      <c r="I13" s="98">
        <f>H13*E13</f>
        <v/>
      </c>
      <c r="J13">
        <f>IF(C13="","",IFERROR(IF(VLOOKUP(C13,'Unit Conversion'!A:B,2,FALSE)=VLOOKUP(D13,'Unit Conversion'!A:B,2,FALSE),"OK","Check W/V"),"Check"))</f>
        <v/>
      </c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96" t="n"/>
      <c r="B14" s="96" t="n"/>
      <c r="C14" s="96" t="n"/>
      <c r="D14">
        <f>IF(A14="","",IFERROR(VLOOKUP(A14,'Ingredients + Stock'!B:D,3,FALSE),""))</f>
        <v/>
      </c>
      <c r="E14" s="97">
        <f>IF(A14="","",IFERROR(VLOOKUP(A14,'Ingredients + Stock'!B:G,6,FALSE),0))</f>
        <v/>
      </c>
      <c r="F14">
        <f>IF(C14="","",IFERROR(VLOOKUP(C14,'Unit Conversion'!A:D,4,FALSE),1))</f>
        <v/>
      </c>
      <c r="G14">
        <f>IF(D14="","",IFERROR(VLOOKUP(D14,'Unit Conversion'!A:D,4,FALSE),1))</f>
        <v/>
      </c>
      <c r="H14">
        <f>IF(C14="","",B14*F14/G14)</f>
        <v/>
      </c>
      <c r="I14" s="98">
        <f>H14*E14</f>
        <v/>
      </c>
      <c r="J14">
        <f>IF(C14="","",IFERROR(IF(VLOOKUP(C14,'Unit Conversion'!A:B,2,FALSE)=VLOOKUP(D14,'Unit Conversion'!A:B,2,FALSE),"OK","Check W/V"),"Check"))</f>
        <v/>
      </c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96" t="n"/>
      <c r="B15" s="96" t="n"/>
      <c r="C15" s="96" t="n"/>
      <c r="D15">
        <f>IF(A15="","",IFERROR(VLOOKUP(A15,'Ingredients + Stock'!B:D,3,FALSE),""))</f>
        <v/>
      </c>
      <c r="E15" s="97">
        <f>IF(A15="","",IFERROR(VLOOKUP(A15,'Ingredients + Stock'!B:G,6,FALSE),0))</f>
        <v/>
      </c>
      <c r="F15">
        <f>IF(C15="","",IFERROR(VLOOKUP(C15,'Unit Conversion'!A:D,4,FALSE),1))</f>
        <v/>
      </c>
      <c r="G15">
        <f>IF(D15="","",IFERROR(VLOOKUP(D15,'Unit Conversion'!A:D,4,FALSE),1))</f>
        <v/>
      </c>
      <c r="H15">
        <f>IF(C15="","",B15*F15/G15)</f>
        <v/>
      </c>
      <c r="I15" s="98">
        <f>H15*E15</f>
        <v/>
      </c>
      <c r="J15">
        <f>IF(C15="","",IFERROR(IF(VLOOKUP(C15,'Unit Conversion'!A:B,2,FALSE)=VLOOKUP(D15,'Unit Conversion'!A:B,2,FALSE),"OK","Check W/V"),"Check"))</f>
        <v/>
      </c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96" t="n"/>
      <c r="B16" s="96" t="n"/>
      <c r="C16" s="96" t="n"/>
      <c r="D16">
        <f>IF(A16="","",IFERROR(VLOOKUP(A16,'Ingredients + Stock'!B:D,3,FALSE),""))</f>
        <v/>
      </c>
      <c r="E16" s="97">
        <f>IF(A16="","",IFERROR(VLOOKUP(A16,'Ingredients + Stock'!B:G,6,FALSE),0))</f>
        <v/>
      </c>
      <c r="F16">
        <f>IF(C16="","",IFERROR(VLOOKUP(C16,'Unit Conversion'!A:D,4,FALSE),1))</f>
        <v/>
      </c>
      <c r="G16">
        <f>IF(D16="","",IFERROR(VLOOKUP(D16,'Unit Conversion'!A:D,4,FALSE),1))</f>
        <v/>
      </c>
      <c r="H16">
        <f>IF(C16="","",B16*F16/G16)</f>
        <v/>
      </c>
      <c r="I16" s="98">
        <f>H16*E16</f>
        <v/>
      </c>
      <c r="J16">
        <f>IF(C16="","",IFERROR(IF(VLOOKUP(C16,'Unit Conversion'!A:B,2,FALSE)=VLOOKUP(D16,'Unit Conversion'!A:B,2,FALSE),"OK","Check W/V"),"Check"))</f>
        <v/>
      </c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96" t="n"/>
      <c r="B17" s="96" t="n"/>
      <c r="C17" s="96" t="n"/>
      <c r="D17">
        <f>IF(A17="","",IFERROR(VLOOKUP(A17,'Ingredients + Stock'!B:D,3,FALSE),""))</f>
        <v/>
      </c>
      <c r="E17" s="97">
        <f>IF(A17="","",IFERROR(VLOOKUP(A17,'Ingredients + Stock'!B:G,6,FALSE),0))</f>
        <v/>
      </c>
      <c r="F17">
        <f>IF(C17="","",IFERROR(VLOOKUP(C17,'Unit Conversion'!A:D,4,FALSE),1))</f>
        <v/>
      </c>
      <c r="G17">
        <f>IF(D17="","",IFERROR(VLOOKUP(D17,'Unit Conversion'!A:D,4,FALSE),1))</f>
        <v/>
      </c>
      <c r="H17">
        <f>IF(C17="","",B17*F17/G17)</f>
        <v/>
      </c>
      <c r="I17" s="98">
        <f>H17*E17</f>
        <v/>
      </c>
      <c r="J17">
        <f>IF(C17="","",IFERROR(IF(VLOOKUP(C17,'Unit Conversion'!A:B,2,FALSE)=VLOOKUP(D17,'Unit Conversion'!A:B,2,FALSE),"OK","Check W/V"),"Check"))</f>
        <v/>
      </c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96" t="n"/>
      <c r="B18" s="96" t="n"/>
      <c r="C18" s="96" t="n"/>
      <c r="D18">
        <f>IF(A18="","",IFERROR(VLOOKUP(A18,'Ingredients + Stock'!B:D,3,FALSE),""))</f>
        <v/>
      </c>
      <c r="E18" s="97">
        <f>IF(A18="","",IFERROR(VLOOKUP(A18,'Ingredients + Stock'!B:G,6,FALSE),0))</f>
        <v/>
      </c>
      <c r="F18">
        <f>IF(C18="","",IFERROR(VLOOKUP(C18,'Unit Conversion'!A:D,4,FALSE),1))</f>
        <v/>
      </c>
      <c r="G18">
        <f>IF(D18="","",IFERROR(VLOOKUP(D18,'Unit Conversion'!A:D,4,FALSE),1))</f>
        <v/>
      </c>
      <c r="H18">
        <f>IF(C18="","",B18*F18/G18)</f>
        <v/>
      </c>
      <c r="I18" s="98">
        <f>H18*E18</f>
        <v/>
      </c>
      <c r="J18">
        <f>IF(C18="","",IFERROR(IF(VLOOKUP(C18,'Unit Conversion'!A:B,2,FALSE)=VLOOKUP(D18,'Unit Conversion'!A:B,2,FALSE),"OK","Check W/V"),"Check"))</f>
        <v/>
      </c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96" t="n"/>
      <c r="B19" s="96" t="n"/>
      <c r="C19" s="96" t="n"/>
      <c r="D19">
        <f>IF(A19="","",IFERROR(VLOOKUP(A19,'Ingredients + Stock'!B:D,3,FALSE),""))</f>
        <v/>
      </c>
      <c r="E19" s="97">
        <f>IF(A19="","",IFERROR(VLOOKUP(A19,'Ingredients + Stock'!B:G,6,FALSE),0))</f>
        <v/>
      </c>
      <c r="F19">
        <f>IF(C19="","",IFERROR(VLOOKUP(C19,'Unit Conversion'!A:D,4,FALSE),1))</f>
        <v/>
      </c>
      <c r="G19">
        <f>IF(D19="","",IFERROR(VLOOKUP(D19,'Unit Conversion'!A:D,4,FALSE),1))</f>
        <v/>
      </c>
      <c r="H19">
        <f>IF(C19="","",B19*F19/G19)</f>
        <v/>
      </c>
      <c r="I19" s="98">
        <f>H19*E19</f>
        <v/>
      </c>
      <c r="J19">
        <f>IF(C19="","",IFERROR(IF(VLOOKUP(C19,'Unit Conversion'!A:B,2,FALSE)=VLOOKUP(D19,'Unit Conversion'!A:B,2,FALSE),"OK","Check W/V"),"Check"))</f>
        <v/>
      </c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96" t="n"/>
      <c r="B20" s="96" t="n"/>
      <c r="C20" s="96" t="n"/>
      <c r="D20">
        <f>IF(A20="","",IFERROR(VLOOKUP(A20,'Ingredients + Stock'!B:D,3,FALSE),""))</f>
        <v/>
      </c>
      <c r="E20" s="97">
        <f>IF(A20="","",IFERROR(VLOOKUP(A20,'Ingredients + Stock'!B:G,6,FALSE),0))</f>
        <v/>
      </c>
      <c r="F20">
        <f>IF(C20="","",IFERROR(VLOOKUP(C20,'Unit Conversion'!A:D,4,FALSE),1))</f>
        <v/>
      </c>
      <c r="G20">
        <f>IF(D20="","",IFERROR(VLOOKUP(D20,'Unit Conversion'!A:D,4,FALSE),1))</f>
        <v/>
      </c>
      <c r="H20">
        <f>IF(C20="","",B20*F20/G20)</f>
        <v/>
      </c>
      <c r="I20" s="98">
        <f>H20*E20</f>
        <v/>
      </c>
      <c r="J20">
        <f>IF(C20="","",IFERROR(IF(VLOOKUP(C20,'Unit Conversion'!A:B,2,FALSE)=VLOOKUP(D20,'Unit Conversion'!A:B,2,FALSE),"OK","Check W/V"),"Check"))</f>
        <v/>
      </c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4" t="inlineStr">
        <is>
          <t>Total Ingredient Cost</t>
        </is>
      </c>
      <c r="B22" s="66" t="n"/>
      <c r="C22" s="66" t="n"/>
      <c r="D22" s="66" t="n"/>
      <c r="E22" s="66" t="n"/>
      <c r="F22" s="66" t="n"/>
      <c r="G22" s="66" t="n"/>
      <c r="H22" s="66" t="n"/>
      <c r="I22" s="99">
        <f>SUM(I9:I20)</f>
        <v/>
      </c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inlineStr">
        <is>
          <t>Labor Hours</t>
        </is>
      </c>
      <c r="B24" s="96" t="n">
        <v>1.5</v>
      </c>
      <c r="C24" s="66" t="n"/>
      <c r="D24" s="66" t="inlineStr">
        <is>
          <t>Rate</t>
        </is>
      </c>
      <c r="E24" s="98">
        <f>'Instructions + Setup'!B22</f>
        <v/>
      </c>
      <c r="F24" s="66" t="inlineStr">
        <is>
          <t>Labor Total</t>
        </is>
      </c>
      <c r="G24" s="98">
        <f>B24*E24</f>
        <v/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inlineStr">
        <is>
          <t>Packaging per unit</t>
        </is>
      </c>
      <c r="B25" s="100">
        <f>'Instructions + Setup'!B25</f>
        <v/>
      </c>
      <c r="C25" s="66" t="n"/>
      <c r="D25" s="66" t="inlineStr">
        <is>
          <t>Packaging Total (batch)</t>
        </is>
      </c>
      <c r="E25" s="98">
        <f>B25*B5</f>
        <v/>
      </c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inlineStr">
        <is>
          <t>Overhead %</t>
        </is>
      </c>
      <c r="B26" s="101">
        <f>'Instructions + Setup'!B23/100</f>
        <v/>
      </c>
      <c r="C26" s="66" t="n"/>
      <c r="D26" s="66" t="inlineStr">
        <is>
          <t>Overhead $</t>
        </is>
      </c>
      <c r="E26" s="98">
        <f>I22*B26</f>
        <v/>
      </c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inlineStr">
        <is>
          <t>Waste %</t>
        </is>
      </c>
      <c r="B27" s="101">
        <f>'Instructions + Setup'!B24/100</f>
        <v/>
      </c>
      <c r="C27" s="66" t="n"/>
      <c r="D27" s="66" t="inlineStr">
        <is>
          <t>Waste $</t>
        </is>
      </c>
      <c r="E27" s="98">
        <f>(I22+G24+E25+E26)*B27</f>
        <v/>
      </c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inlineStr">
        <is>
          <t>Other $</t>
        </is>
      </c>
      <c r="B28" s="96" t="n">
        <v>0</v>
      </c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8" t="inlineStr">
        <is>
          <t>TOTAL BATCH COST</t>
        </is>
      </c>
      <c r="B30" s="66" t="n"/>
      <c r="C30" s="66" t="n"/>
      <c r="D30" s="66" t="n"/>
      <c r="E30" s="66" t="n"/>
      <c r="F30" s="66" t="n"/>
      <c r="G30" s="102">
        <f>I22+G24+E25+E26+E27+B28</f>
        <v/>
      </c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103" t="inlineStr">
        <is>
          <t>COST PER UNIT</t>
        </is>
      </c>
      <c r="B31" s="66" t="n"/>
      <c r="C31" s="66" t="n"/>
      <c r="D31" s="66" t="n"/>
      <c r="E31" s="66" t="n"/>
      <c r="F31" s="66" t="n"/>
      <c r="G31" s="104">
        <f>IF(B5=0,0,G30/B5)</f>
        <v/>
      </c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92" t="inlineStr">
        <is>
          <t>Suggested Pricing</t>
        </is>
      </c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0" t="inlineStr">
        <is>
          <t>Method</t>
        </is>
      </c>
      <c r="B34" s="70" t="inlineStr">
        <is>
          <t>Multiplier</t>
        </is>
      </c>
      <c r="C34" s="70" t="inlineStr">
        <is>
          <t>Price</t>
        </is>
      </c>
      <c r="D34" s="70" t="inlineStr">
        <is>
          <t>Profit</t>
        </is>
      </c>
      <c r="E34" s="70" t="inlineStr">
        <is>
          <t>Margin %</t>
        </is>
      </c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inlineStr">
        <is>
          <t>2x Wholesale</t>
        </is>
      </c>
      <c r="B35" s="72" t="n">
        <v>2</v>
      </c>
      <c r="C35" s="89">
        <f>G31*B35</f>
        <v/>
      </c>
      <c r="D35" s="89">
        <f>C35-G31</f>
        <v/>
      </c>
      <c r="E35" s="105">
        <f>D35/C35</f>
        <v/>
      </c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inlineStr">
        <is>
          <t>2.5x Standard</t>
        </is>
      </c>
      <c r="B36" s="71" t="n">
        <v>2.5</v>
      </c>
      <c r="C36" s="85">
        <f>G31*B36</f>
        <v/>
      </c>
      <c r="D36" s="85">
        <f>C36-G31</f>
        <v/>
      </c>
      <c r="E36" s="106">
        <f>D36/C36</f>
        <v/>
      </c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inlineStr">
        <is>
          <t>3x Premium</t>
        </is>
      </c>
      <c r="B37" s="72" t="n">
        <v>3</v>
      </c>
      <c r="C37" s="89">
        <f>G31*B37</f>
        <v/>
      </c>
      <c r="D37" s="89">
        <f>C37-G31</f>
        <v/>
      </c>
      <c r="E37" s="105">
        <f>D37/C37</f>
        <v/>
      </c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inlineStr">
        <is>
          <t>65% Margin Recommended</t>
        </is>
      </c>
      <c r="B38" s="71" t="n">
        <v>0.65</v>
      </c>
      <c r="C38" s="85">
        <f>G31/(1-0.65)</f>
        <v/>
      </c>
      <c r="D38" s="85">
        <f>C38-G31</f>
        <v/>
      </c>
      <c r="E38" s="106">
        <f>D38/C38</f>
        <v/>
      </c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107" t="inlineStr">
        <is>
          <t>RECIPE 2 - Second recipe space (addresses review: room for more than 1 recipe)</t>
        </is>
      </c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inlineStr">
        <is>
          <t>Recipe Name:</t>
        </is>
      </c>
      <c r="B41" s="96" t="inlineStr">
        <is>
          <t>Chocolate Chip Cookies</t>
        </is>
      </c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inlineStr">
        <is>
          <t>Batch Yield:</t>
        </is>
      </c>
      <c r="B42" s="96" t="n">
        <v>12</v>
      </c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0" t="inlineStr">
        <is>
          <t>Ingredient</t>
        </is>
      </c>
      <c r="B44" s="70" t="inlineStr">
        <is>
          <t>Qty</t>
        </is>
      </c>
      <c r="C44" s="70" t="inlineStr">
        <is>
          <t>Unit (Recipe)</t>
        </is>
      </c>
      <c r="D44" s="70" t="inlineStr">
        <is>
          <t>Stock Unit</t>
        </is>
      </c>
      <c r="E44" s="70" t="inlineStr">
        <is>
          <t>Cost/Stock Unit $</t>
        </is>
      </c>
      <c r="F44" s="70" t="inlineStr">
        <is>
          <t>Recipe Factor</t>
        </is>
      </c>
      <c r="G44" s="70" t="inlineStr">
        <is>
          <t>Stock Factor</t>
        </is>
      </c>
      <c r="H44" s="70" t="inlineStr">
        <is>
          <t>Converted Qty</t>
        </is>
      </c>
      <c r="I44" s="70" t="inlineStr">
        <is>
          <t>Line Cost $</t>
        </is>
      </c>
      <c r="J44" s="70" t="inlineStr">
        <is>
          <t>Type Match</t>
        </is>
      </c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96" t="inlineStr">
        <is>
          <t>All-Purpose Flour</t>
        </is>
      </c>
      <c r="B45" s="96" t="n">
        <v>360</v>
      </c>
      <c r="C45" s="96" t="inlineStr">
        <is>
          <t>g</t>
        </is>
      </c>
      <c r="D45">
        <f>IF(A45="","",IFERROR(VLOOKUP(A45,'Ingredients + Stock'!B:D,3,FALSE),""))</f>
        <v/>
      </c>
      <c r="E45" s="97">
        <f>IF(A45="","",IFERROR(VLOOKUP(A45,'Ingredients + Stock'!B:G,6,FALSE),0))</f>
        <v/>
      </c>
      <c r="F45">
        <f>IF(C45="","",IFERROR(VLOOKUP(C45,'Unit Conversion'!A:D,4,FALSE),1))</f>
        <v/>
      </c>
      <c r="G45">
        <f>IF(D45="","",IFERROR(VLOOKUP(D45,'Unit Conversion'!A:D,4,FALSE),1))</f>
        <v/>
      </c>
      <c r="H45">
        <f>IF(C45="","",B45*F45/G45)</f>
        <v/>
      </c>
      <c r="I45" s="98">
        <f>H45*E45</f>
        <v/>
      </c>
      <c r="J45">
        <f>IF(C45="","",IFERROR(IF(VLOOKUP(C45,'Unit Conversion'!A:B,2,FALSE)=VLOOKUP(D45,'Unit Conversion'!A:B,2,FALSE),"OK","Check W/V"),"Check"))</f>
        <v/>
      </c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96" t="inlineStr">
        <is>
          <t>Sugar</t>
        </is>
      </c>
      <c r="B46" s="96" t="n">
        <v>200</v>
      </c>
      <c r="C46" s="96" t="inlineStr">
        <is>
          <t>g</t>
        </is>
      </c>
      <c r="D46">
        <f>IF(A46="","",IFERROR(VLOOKUP(A46,'Ingredients + Stock'!B:D,3,FALSE),""))</f>
        <v/>
      </c>
      <c r="E46" s="97">
        <f>IF(A46="","",IFERROR(VLOOKUP(A46,'Ingredients + Stock'!B:G,6,FALSE),0))</f>
        <v/>
      </c>
      <c r="F46">
        <f>IF(C46="","",IFERROR(VLOOKUP(C46,'Unit Conversion'!A:D,4,FALSE),1))</f>
        <v/>
      </c>
      <c r="G46">
        <f>IF(D46="","",IFERROR(VLOOKUP(D46,'Unit Conversion'!A:D,4,FALSE),1))</f>
        <v/>
      </c>
      <c r="H46">
        <f>IF(C46="","",B46*F46/G46)</f>
        <v/>
      </c>
      <c r="I46" s="98">
        <f>H46*E46</f>
        <v/>
      </c>
      <c r="J46">
        <f>IF(C46="","",IFERROR(IF(VLOOKUP(C46,'Unit Conversion'!A:B,2,FALSE)=VLOOKUP(D46,'Unit Conversion'!A:B,2,FALSE),"OK","Check W/V"),"Check"))</f>
        <v/>
      </c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96" t="inlineStr">
        <is>
          <t>Butter</t>
        </is>
      </c>
      <c r="B47" s="96" t="n">
        <v>225</v>
      </c>
      <c r="C47" s="96" t="inlineStr">
        <is>
          <t>g</t>
        </is>
      </c>
      <c r="D47">
        <f>IF(A47="","",IFERROR(VLOOKUP(A47,'Ingredients + Stock'!B:D,3,FALSE),""))</f>
        <v/>
      </c>
      <c r="E47" s="97">
        <f>IF(A47="","",IFERROR(VLOOKUP(A47,'Ingredients + Stock'!B:G,6,FALSE),0))</f>
        <v/>
      </c>
      <c r="F47">
        <f>IF(C47="","",IFERROR(VLOOKUP(C47,'Unit Conversion'!A:D,4,FALSE),1))</f>
        <v/>
      </c>
      <c r="G47">
        <f>IF(D47="","",IFERROR(VLOOKUP(D47,'Unit Conversion'!A:D,4,FALSE),1))</f>
        <v/>
      </c>
      <c r="H47">
        <f>IF(C47="","",B47*F47/G47)</f>
        <v/>
      </c>
      <c r="I47" s="98">
        <f>H47*E47</f>
        <v/>
      </c>
      <c r="J47">
        <f>IF(C47="","",IFERROR(IF(VLOOKUP(C47,'Unit Conversion'!A:B,2,FALSE)=VLOOKUP(D47,'Unit Conversion'!A:B,2,FALSE),"OK","Check W/V"),"Check"))</f>
        <v/>
      </c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96" t="inlineStr">
        <is>
          <t>Vanilla Extract</t>
        </is>
      </c>
      <c r="B48" s="96" t="n">
        <v>2</v>
      </c>
      <c r="C48" s="96" t="inlineStr">
        <is>
          <t>tsp</t>
        </is>
      </c>
      <c r="D48">
        <f>IF(A48="","",IFERROR(VLOOKUP(A48,'Ingredients + Stock'!B:D,3,FALSE),""))</f>
        <v/>
      </c>
      <c r="E48" s="97">
        <f>IF(A48="","",IFERROR(VLOOKUP(A48,'Ingredients + Stock'!B:G,6,FALSE),0))</f>
        <v/>
      </c>
      <c r="F48">
        <f>IF(C48="","",IFERROR(VLOOKUP(C48,'Unit Conversion'!A:D,4,FALSE),1))</f>
        <v/>
      </c>
      <c r="G48">
        <f>IF(D48="","",IFERROR(VLOOKUP(D48,'Unit Conversion'!A:D,4,FALSE),1))</f>
        <v/>
      </c>
      <c r="H48">
        <f>IF(C48="","",B48*F48/G48)</f>
        <v/>
      </c>
      <c r="I48" s="98">
        <f>H48*E48</f>
        <v/>
      </c>
      <c r="J48">
        <f>IF(C48="","",IFERROR(IF(VLOOKUP(C48,'Unit Conversion'!A:B,2,FALSE)=VLOOKUP(D48,'Unit Conversion'!A:B,2,FALSE),"OK","Check W/V"),"Check"))</f>
        <v/>
      </c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96" t="inlineStr">
        <is>
          <t>Chocolate Chips</t>
        </is>
      </c>
      <c r="B49" s="96" t="n">
        <v>340</v>
      </c>
      <c r="C49" s="96" t="inlineStr">
        <is>
          <t>g</t>
        </is>
      </c>
      <c r="D49">
        <f>IF(A49="","",IFERROR(VLOOKUP(A49,'Ingredients + Stock'!B:D,3,FALSE),""))</f>
        <v/>
      </c>
      <c r="E49" s="97">
        <f>IF(A49="","",IFERROR(VLOOKUP(A49,'Ingredients + Stock'!B:G,6,FALSE),0))</f>
        <v/>
      </c>
      <c r="F49">
        <f>IF(C49="","",IFERROR(VLOOKUP(C49,'Unit Conversion'!A:D,4,FALSE),1))</f>
        <v/>
      </c>
      <c r="G49">
        <f>IF(D49="","",IFERROR(VLOOKUP(D49,'Unit Conversion'!A:D,4,FALSE),1))</f>
        <v/>
      </c>
      <c r="H49">
        <f>IF(C49="","",B49*F49/G49)</f>
        <v/>
      </c>
      <c r="I49" s="98">
        <f>H49*E49</f>
        <v/>
      </c>
      <c r="J49">
        <f>IF(C49="","",IFERROR(IF(VLOOKUP(C49,'Unit Conversion'!A:B,2,FALSE)=VLOOKUP(D49,'Unit Conversion'!A:B,2,FALSE),"OK","Check W/V"),"Check"))</f>
        <v/>
      </c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96" t="inlineStr">
        <is>
          <t>Eggs</t>
        </is>
      </c>
      <c r="B50" s="96" t="n">
        <v>2</v>
      </c>
      <c r="C50" s="96" t="inlineStr">
        <is>
          <t>pcs</t>
        </is>
      </c>
      <c r="D50">
        <f>IF(A50="","",IFERROR(VLOOKUP(A50,'Ingredients + Stock'!B:D,3,FALSE),""))</f>
        <v/>
      </c>
      <c r="E50" s="97">
        <f>IF(A50="","",IFERROR(VLOOKUP(A50,'Ingredients + Stock'!B:G,6,FALSE),0))</f>
        <v/>
      </c>
      <c r="F50">
        <f>IF(C50="","",IFERROR(VLOOKUP(C50,'Unit Conversion'!A:D,4,FALSE),1))</f>
        <v/>
      </c>
      <c r="G50">
        <f>IF(D50="","",IFERROR(VLOOKUP(D50,'Unit Conversion'!A:D,4,FALSE),1))</f>
        <v/>
      </c>
      <c r="H50">
        <f>IF(C50="","",B50*F50/G50)</f>
        <v/>
      </c>
      <c r="I50" s="98">
        <f>H50*E50</f>
        <v/>
      </c>
      <c r="J50">
        <f>IF(C50="","",IFERROR(IF(VLOOKUP(C50,'Unit Conversion'!A:B,2,FALSE)=VLOOKUP(D50,'Unit Conversion'!A:B,2,FALSE),"OK","Check W/V"),"Check"))</f>
        <v/>
      </c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96" t="n"/>
      <c r="B51" s="96" t="n"/>
      <c r="C51" s="96" t="n"/>
      <c r="D51">
        <f>IF(A51="","",IFERROR(VLOOKUP(A51,'Ingredients + Stock'!B:D,3,FALSE),""))</f>
        <v/>
      </c>
      <c r="E51" s="97">
        <f>IF(A51="","",IFERROR(VLOOKUP(A51,'Ingredients + Stock'!B:G,6,FALSE),0))</f>
        <v/>
      </c>
      <c r="F51">
        <f>IF(C51="","",IFERROR(VLOOKUP(C51,'Unit Conversion'!A:D,4,FALSE),1))</f>
        <v/>
      </c>
      <c r="G51">
        <f>IF(D51="","",IFERROR(VLOOKUP(D51,'Unit Conversion'!A:D,4,FALSE),1))</f>
        <v/>
      </c>
      <c r="H51">
        <f>IF(C51="","",B51*F51/G51)</f>
        <v/>
      </c>
      <c r="I51" s="98">
        <f>H51*E51</f>
        <v/>
      </c>
      <c r="J51">
        <f>IF(C51="","",IFERROR(IF(VLOOKUP(C51,'Unit Conversion'!A:B,2,FALSE)=VLOOKUP(D51,'Unit Conversion'!A:B,2,FALSE),"OK","Check W/V"),"Check"))</f>
        <v/>
      </c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96" t="n"/>
      <c r="B52" s="96" t="n"/>
      <c r="C52" s="96" t="n"/>
      <c r="D52">
        <f>IF(A52="","",IFERROR(VLOOKUP(A52,'Ingredients + Stock'!B:D,3,FALSE),""))</f>
        <v/>
      </c>
      <c r="E52" s="97">
        <f>IF(A52="","",IFERROR(VLOOKUP(A52,'Ingredients + Stock'!B:G,6,FALSE),0))</f>
        <v/>
      </c>
      <c r="F52">
        <f>IF(C52="","",IFERROR(VLOOKUP(C52,'Unit Conversion'!A:D,4,FALSE),1))</f>
        <v/>
      </c>
      <c r="G52">
        <f>IF(D52="","",IFERROR(VLOOKUP(D52,'Unit Conversion'!A:D,4,FALSE),1))</f>
        <v/>
      </c>
      <c r="H52">
        <f>IF(C52="","",B52*F52/G52)</f>
        <v/>
      </c>
      <c r="I52" s="98">
        <f>H52*E52</f>
        <v/>
      </c>
      <c r="J52">
        <f>IF(C52="","",IFERROR(IF(VLOOKUP(C52,'Unit Conversion'!A:B,2,FALSE)=VLOOKUP(D52,'Unit Conversion'!A:B,2,FALSE),"OK","Check W/V"),"Check"))</f>
        <v/>
      </c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96" t="n"/>
      <c r="B53" s="96" t="n"/>
      <c r="C53" s="96" t="n"/>
      <c r="D53">
        <f>IF(A53="","",IFERROR(VLOOKUP(A53,'Ingredients + Stock'!B:D,3,FALSE),""))</f>
        <v/>
      </c>
      <c r="E53" s="97">
        <f>IF(A53="","",IFERROR(VLOOKUP(A53,'Ingredients + Stock'!B:G,6,FALSE),0))</f>
        <v/>
      </c>
      <c r="F53">
        <f>IF(C53="","",IFERROR(VLOOKUP(C53,'Unit Conversion'!A:D,4,FALSE),1))</f>
        <v/>
      </c>
      <c r="G53">
        <f>IF(D53="","",IFERROR(VLOOKUP(D53,'Unit Conversion'!A:D,4,FALSE),1))</f>
        <v/>
      </c>
      <c r="H53">
        <f>IF(C53="","",B53*F53/G53)</f>
        <v/>
      </c>
      <c r="I53" s="98">
        <f>H53*E53</f>
        <v/>
      </c>
      <c r="J53">
        <f>IF(C53="","",IFERROR(IF(VLOOKUP(C53,'Unit Conversion'!A:B,2,FALSE)=VLOOKUP(D53,'Unit Conversion'!A:B,2,FALSE),"OK","Check W/V"),"Check"))</f>
        <v/>
      </c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96" t="n"/>
      <c r="B54" s="96" t="n"/>
      <c r="C54" s="96" t="n"/>
      <c r="D54">
        <f>IF(A54="","",IFERROR(VLOOKUP(A54,'Ingredients + Stock'!B:D,3,FALSE),""))</f>
        <v/>
      </c>
      <c r="E54" s="97">
        <f>IF(A54="","",IFERROR(VLOOKUP(A54,'Ingredients + Stock'!B:G,6,FALSE),0))</f>
        <v/>
      </c>
      <c r="F54">
        <f>IF(C54="","",IFERROR(VLOOKUP(C54,'Unit Conversion'!A:D,4,FALSE),1))</f>
        <v/>
      </c>
      <c r="G54">
        <f>IF(D54="","",IFERROR(VLOOKUP(D54,'Unit Conversion'!A:D,4,FALSE),1))</f>
        <v/>
      </c>
      <c r="H54">
        <f>IF(C54="","",B54*F54/G54)</f>
        <v/>
      </c>
      <c r="I54" s="98">
        <f>H54*E54</f>
        <v/>
      </c>
      <c r="J54">
        <f>IF(C54="","",IFERROR(IF(VLOOKUP(C54,'Unit Conversion'!A:B,2,FALSE)=VLOOKUP(D54,'Unit Conversion'!A:B,2,FALSE),"OK","Check W/V"),"Check"))</f>
        <v/>
      </c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96" t="n"/>
      <c r="B55" s="96" t="n"/>
      <c r="C55" s="96" t="n"/>
      <c r="D55">
        <f>IF(A55="","",IFERROR(VLOOKUP(A55,'Ingredients + Stock'!B:D,3,FALSE),""))</f>
        <v/>
      </c>
      <c r="E55" s="97">
        <f>IF(A55="","",IFERROR(VLOOKUP(A55,'Ingredients + Stock'!B:G,6,FALSE),0))</f>
        <v/>
      </c>
      <c r="F55">
        <f>IF(C55="","",IFERROR(VLOOKUP(C55,'Unit Conversion'!A:D,4,FALSE),1))</f>
        <v/>
      </c>
      <c r="G55">
        <f>IF(D55="","",IFERROR(VLOOKUP(D55,'Unit Conversion'!A:D,4,FALSE),1))</f>
        <v/>
      </c>
      <c r="H55">
        <f>IF(C55="","",B55*F55/G55)</f>
        <v/>
      </c>
      <c r="I55" s="98">
        <f>H55*E55</f>
        <v/>
      </c>
      <c r="J55">
        <f>IF(C55="","",IFERROR(IF(VLOOKUP(C55,'Unit Conversion'!A:B,2,FALSE)=VLOOKUP(D55,'Unit Conversion'!A:B,2,FALSE),"OK","Check W/V"),"Check"))</f>
        <v/>
      </c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96" t="n"/>
      <c r="B56" s="96" t="n"/>
      <c r="C56" s="96" t="n"/>
      <c r="D56">
        <f>IF(A56="","",IFERROR(VLOOKUP(A56,'Ingredients + Stock'!B:D,3,FALSE),""))</f>
        <v/>
      </c>
      <c r="E56" s="97">
        <f>IF(A56="","",IFERROR(VLOOKUP(A56,'Ingredients + Stock'!B:G,6,FALSE),0))</f>
        <v/>
      </c>
      <c r="F56">
        <f>IF(C56="","",IFERROR(VLOOKUP(C56,'Unit Conversion'!A:D,4,FALSE),1))</f>
        <v/>
      </c>
      <c r="G56">
        <f>IF(D56="","",IFERROR(VLOOKUP(D56,'Unit Conversion'!A:D,4,FALSE),1))</f>
        <v/>
      </c>
      <c r="H56">
        <f>IF(C56="","",B56*F56/G56)</f>
        <v/>
      </c>
      <c r="I56" s="98">
        <f>H56*E56</f>
        <v/>
      </c>
      <c r="J56">
        <f>IF(C56="","",IFERROR(IF(VLOOKUP(C56,'Unit Conversion'!A:B,2,FALSE)=VLOOKUP(D56,'Unit Conversion'!A:B,2,FALSE),"OK","Check W/V"),"Check"))</f>
        <v/>
      </c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inlineStr">
        <is>
          <t>Total Ingredient Cost R2</t>
        </is>
      </c>
      <c r="B58" s="66" t="n"/>
      <c r="C58" s="66" t="n"/>
      <c r="D58" s="66" t="n"/>
      <c r="E58" s="66" t="n"/>
      <c r="F58" s="66" t="n"/>
      <c r="G58" s="66" t="n"/>
      <c r="H58" s="66" t="n"/>
      <c r="I58" s="91">
        <f>SUM(I45:I56)</f>
        <v/>
      </c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inlineStr">
        <is>
          <t>TOTAL BATCH COST R2</t>
        </is>
      </c>
      <c r="B60" s="66" t="n"/>
      <c r="C60" s="66" t="n"/>
      <c r="D60" s="66" t="n"/>
      <c r="E60" s="66" t="n"/>
      <c r="F60" s="66" t="n"/>
      <c r="G60" s="91">
        <f>I58+20</f>
        <v/>
      </c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inlineStr">
        <is>
          <t>COST PER UNIT R2</t>
        </is>
      </c>
      <c r="B61" s="66" t="n"/>
      <c r="C61" s="66" t="n"/>
      <c r="D61" s="66" t="n"/>
      <c r="E61" s="66" t="n"/>
      <c r="F61" s="66" t="n"/>
      <c r="G61" s="108">
        <f>IF(B42=0,0,G60/B42)</f>
        <v/>
      </c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9" t="inlineStr">
        <is>
          <t>RECIPE 3 - Third recipe space</t>
        </is>
      </c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inlineStr">
        <is>
          <t>Recipe Name:</t>
        </is>
      </c>
      <c r="B64" s="96" t="inlineStr">
        <is>
          <t>Cinnamon Rolls</t>
        </is>
      </c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inlineStr">
        <is>
          <t>Batch Yield:</t>
        </is>
      </c>
      <c r="B65" s="96" t="n">
        <v>6</v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70" t="inlineStr">
        <is>
          <t>Ingredient</t>
        </is>
      </c>
      <c r="B67" s="70" t="inlineStr">
        <is>
          <t>Qty</t>
        </is>
      </c>
      <c r="C67" s="70" t="inlineStr">
        <is>
          <t>Unit (Recipe)</t>
        </is>
      </c>
      <c r="D67" s="70" t="inlineStr">
        <is>
          <t>Stock Unit</t>
        </is>
      </c>
      <c r="E67" s="70" t="inlineStr">
        <is>
          <t>Cost/Stock Unit</t>
        </is>
      </c>
      <c r="F67" s="70" t="n"/>
      <c r="G67" s="70" t="n"/>
      <c r="H67" s="70" t="inlineStr">
        <is>
          <t>Converted Qty</t>
        </is>
      </c>
      <c r="I67" s="70" t="inlineStr">
        <is>
          <t>Line Cost</t>
        </is>
      </c>
      <c r="J67" s="70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96" t="n"/>
      <c r="B68" s="96" t="n"/>
      <c r="C68" s="96" t="n"/>
      <c r="D68">
        <f>IF(A68="","",IFERROR(VLOOKUP(A68,'Ingredients + Stock'!B:D,3,FALSE),""))</f>
        <v/>
      </c>
      <c r="E68">
        <f>IF(A68="","",IFERROR(VLOOKUP(A68,'Ingredients + Stock'!B:G,6,FALSE),0))</f>
        <v/>
      </c>
      <c r="F68" s="66" t="n"/>
      <c r="G68" s="66" t="n"/>
      <c r="H68">
        <f>IF(C68="","",B68*IFERROR(VLOOKUP(C68,'Unit Conversion'!A:D,4,FALSE),1)/IFERROR(VLOOKUP(D68,'Unit Conversion'!A:D,4,FALSE),1))</f>
        <v/>
      </c>
      <c r="I68" s="98">
        <f>H68*E68</f>
        <v/>
      </c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96" t="n"/>
      <c r="B69" s="96" t="n"/>
      <c r="C69" s="96" t="n"/>
      <c r="D69">
        <f>IF(A69="","",IFERROR(VLOOKUP(A69,'Ingredients + Stock'!B:D,3,FALSE),""))</f>
        <v/>
      </c>
      <c r="E69">
        <f>IF(A69="","",IFERROR(VLOOKUP(A69,'Ingredients + Stock'!B:G,6,FALSE),0))</f>
        <v/>
      </c>
      <c r="F69" s="66" t="n"/>
      <c r="G69" s="66" t="n"/>
      <c r="H69">
        <f>IF(C69="","",B69*IFERROR(VLOOKUP(C69,'Unit Conversion'!A:D,4,FALSE),1)/IFERROR(VLOOKUP(D69,'Unit Conversion'!A:D,4,FALSE),1))</f>
        <v/>
      </c>
      <c r="I69" s="98">
        <f>H69*E69</f>
        <v/>
      </c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96" t="n"/>
      <c r="B70" s="96" t="n"/>
      <c r="C70" s="96" t="n"/>
      <c r="D70">
        <f>IF(A70="","",IFERROR(VLOOKUP(A70,'Ingredients + Stock'!B:D,3,FALSE),""))</f>
        <v/>
      </c>
      <c r="E70">
        <f>IF(A70="","",IFERROR(VLOOKUP(A70,'Ingredients + Stock'!B:G,6,FALSE),0))</f>
        <v/>
      </c>
      <c r="F70" s="66" t="n"/>
      <c r="G70" s="66" t="n"/>
      <c r="H70">
        <f>IF(C70="","",B70*IFERROR(VLOOKUP(C70,'Unit Conversion'!A:D,4,FALSE),1)/IFERROR(VLOOKUP(D70,'Unit Conversion'!A:D,4,FALSE),1))</f>
        <v/>
      </c>
      <c r="I70" s="98">
        <f>H70*E70</f>
        <v/>
      </c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96" t="n"/>
      <c r="B71" s="96" t="n"/>
      <c r="C71" s="96" t="n"/>
      <c r="D71">
        <f>IF(A71="","",IFERROR(VLOOKUP(A71,'Ingredients + Stock'!B:D,3,FALSE),""))</f>
        <v/>
      </c>
      <c r="E71">
        <f>IF(A71="","",IFERROR(VLOOKUP(A71,'Ingredients + Stock'!B:G,6,FALSE),0))</f>
        <v/>
      </c>
      <c r="F71" s="66" t="n"/>
      <c r="G71" s="66" t="n"/>
      <c r="H71">
        <f>IF(C71="","",B71*IFERROR(VLOOKUP(C71,'Unit Conversion'!A:D,4,FALSE),1)/IFERROR(VLOOKUP(D71,'Unit Conversion'!A:D,4,FALSE),1))</f>
        <v/>
      </c>
      <c r="I71" s="98">
        <f>H71*E71</f>
        <v/>
      </c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96" t="n"/>
      <c r="B72" s="96" t="n"/>
      <c r="C72" s="96" t="n"/>
      <c r="D72">
        <f>IF(A72="","",IFERROR(VLOOKUP(A72,'Ingredients + Stock'!B:D,3,FALSE),""))</f>
        <v/>
      </c>
      <c r="E72">
        <f>IF(A72="","",IFERROR(VLOOKUP(A72,'Ingredients + Stock'!B:G,6,FALSE),0))</f>
        <v/>
      </c>
      <c r="F72" s="66" t="n"/>
      <c r="G72" s="66" t="n"/>
      <c r="H72">
        <f>IF(C72="","",B72*IFERROR(VLOOKUP(C72,'Unit Conversion'!A:D,4,FALSE),1)/IFERROR(VLOOKUP(D72,'Unit Conversion'!A:D,4,FALSE),1))</f>
        <v/>
      </c>
      <c r="I72" s="98">
        <f>H72*E72</f>
        <v/>
      </c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96" t="n"/>
      <c r="B73" s="96" t="n"/>
      <c r="C73" s="96" t="n"/>
      <c r="D73">
        <f>IF(A73="","",IFERROR(VLOOKUP(A73,'Ingredients + Stock'!B:D,3,FALSE),""))</f>
        <v/>
      </c>
      <c r="E73">
        <f>IF(A73="","",IFERROR(VLOOKUP(A73,'Ingredients + Stock'!B:G,6,FALSE),0))</f>
        <v/>
      </c>
      <c r="F73" s="66" t="n"/>
      <c r="G73" s="66" t="n"/>
      <c r="H73">
        <f>IF(C73="","",B73*IFERROR(VLOOKUP(C73,'Unit Conversion'!A:D,4,FALSE),1)/IFERROR(VLOOKUP(D73,'Unit Conversion'!A:D,4,FALSE),1))</f>
        <v/>
      </c>
      <c r="I73" s="98">
        <f>H73*E73</f>
        <v/>
      </c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96" t="n"/>
      <c r="B74" s="96" t="n"/>
      <c r="C74" s="96" t="n"/>
      <c r="D74">
        <f>IF(A74="","",IFERROR(VLOOKUP(A74,'Ingredients + Stock'!B:D,3,FALSE),""))</f>
        <v/>
      </c>
      <c r="E74">
        <f>IF(A74="","",IFERROR(VLOOKUP(A74,'Ingredients + Stock'!B:G,6,FALSE),0))</f>
        <v/>
      </c>
      <c r="F74" s="66" t="n"/>
      <c r="G74" s="66" t="n"/>
      <c r="H74">
        <f>IF(C74="","",B74*IFERROR(VLOOKUP(C74,'Unit Conversion'!A:D,4,FALSE),1)/IFERROR(VLOOKUP(D74,'Unit Conversion'!A:D,4,FALSE),1))</f>
        <v/>
      </c>
      <c r="I74" s="98">
        <f>H74*E74</f>
        <v/>
      </c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96" t="n"/>
      <c r="B75" s="96" t="n"/>
      <c r="C75" s="96" t="n"/>
      <c r="D75">
        <f>IF(A75="","",IFERROR(VLOOKUP(A75,'Ingredients + Stock'!B:D,3,FALSE),""))</f>
        <v/>
      </c>
      <c r="E75">
        <f>IF(A75="","",IFERROR(VLOOKUP(A75,'Ingredients + Stock'!B:G,6,FALSE),0))</f>
        <v/>
      </c>
      <c r="F75" s="66" t="n"/>
      <c r="G75" s="66" t="n"/>
      <c r="H75">
        <f>IF(C75="","",B75*IFERROR(VLOOKUP(C75,'Unit Conversion'!A:D,4,FALSE),1)/IFERROR(VLOOKUP(D75,'Unit Conversion'!A:D,4,FALSE),1))</f>
        <v/>
      </c>
      <c r="I75" s="98">
        <f>H75*E75</f>
        <v/>
      </c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96" t="n"/>
      <c r="B76" s="96" t="n"/>
      <c r="C76" s="96" t="n"/>
      <c r="D76">
        <f>IF(A76="","",IFERROR(VLOOKUP(A76,'Ingredients + Stock'!B:D,3,FALSE),""))</f>
        <v/>
      </c>
      <c r="E76">
        <f>IF(A76="","",IFERROR(VLOOKUP(A76,'Ingredients + Stock'!B:G,6,FALSE),0))</f>
        <v/>
      </c>
      <c r="F76" s="66" t="n"/>
      <c r="G76" s="66" t="n"/>
      <c r="H76">
        <f>IF(C76="","",B76*IFERROR(VLOOKUP(C76,'Unit Conversion'!A:D,4,FALSE),1)/IFERROR(VLOOKUP(D76,'Unit Conversion'!A:D,4,FALSE),1))</f>
        <v/>
      </c>
      <c r="I76" s="98">
        <f>H76*E76</f>
        <v/>
      </c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96" t="n"/>
      <c r="B77" s="96" t="n"/>
      <c r="C77" s="96" t="n"/>
      <c r="D77">
        <f>IF(A77="","",IFERROR(VLOOKUP(A77,'Ingredients + Stock'!B:D,3,FALSE),""))</f>
        <v/>
      </c>
      <c r="E77">
        <f>IF(A77="","",IFERROR(VLOOKUP(A77,'Ingredients + Stock'!B:G,6,FALSE),0))</f>
        <v/>
      </c>
      <c r="F77" s="66" t="n"/>
      <c r="G77" s="66" t="n"/>
      <c r="H77">
        <f>IF(C77="","",B77*IFERROR(VLOOKUP(C77,'Unit Conversion'!A:D,4,FALSE),1)/IFERROR(VLOOKUP(D77,'Unit Conversion'!A:D,4,FALSE),1))</f>
        <v/>
      </c>
      <c r="I77" s="98">
        <f>H77*E77</f>
        <v/>
      </c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96" t="n"/>
      <c r="B78" s="96" t="n"/>
      <c r="C78" s="96" t="n"/>
      <c r="D78">
        <f>IF(A78="","",IFERROR(VLOOKUP(A78,'Ingredients + Stock'!B:D,3,FALSE),""))</f>
        <v/>
      </c>
      <c r="E78">
        <f>IF(A78="","",IFERROR(VLOOKUP(A78,'Ingredients + Stock'!B:G,6,FALSE),0))</f>
        <v/>
      </c>
      <c r="F78" s="66" t="n"/>
      <c r="G78" s="66" t="n"/>
      <c r="H78">
        <f>IF(C78="","",B78*IFERROR(VLOOKUP(C78,'Unit Conversion'!A:D,4,FALSE),1)/IFERROR(VLOOKUP(D78,'Unit Conversion'!A:D,4,FALSE),1))</f>
        <v/>
      </c>
      <c r="I78" s="98">
        <f>H78*E78</f>
        <v/>
      </c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96" t="n"/>
      <c r="B79" s="96" t="n"/>
      <c r="C79" s="96" t="n"/>
      <c r="D79">
        <f>IF(A79="","",IFERROR(VLOOKUP(A79,'Ingredients + Stock'!B:D,3,FALSE),""))</f>
        <v/>
      </c>
      <c r="E79">
        <f>IF(A79="","",IFERROR(VLOOKUP(A79,'Ingredients + Stock'!B:G,6,FALSE),0))</f>
        <v/>
      </c>
      <c r="F79" s="66" t="n"/>
      <c r="G79" s="66" t="n"/>
      <c r="H79">
        <f>IF(C79="","",B79*IFERROR(VLOOKUP(C79,'Unit Conversion'!A:D,4,FALSE),1)/IFERROR(VLOOKUP(D79,'Unit Conversion'!A:D,4,FALSE),1))</f>
        <v/>
      </c>
      <c r="I79" s="98">
        <f>H79*E79</f>
        <v/>
      </c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inlineStr">
        <is>
          <t>Total Ingredient Cost R3</t>
        </is>
      </c>
      <c r="B81" s="66" t="n"/>
      <c r="C81" s="66" t="n"/>
      <c r="D81" s="66" t="n"/>
      <c r="E81" s="66" t="n"/>
      <c r="F81" s="66" t="n"/>
      <c r="G81" s="66" t="n"/>
      <c r="H81" s="66" t="n"/>
      <c r="I81" s="91">
        <f>SUM(I68:I79)</f>
        <v/>
      </c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5">
    <mergeCell ref="A1:J1"/>
    <mergeCell ref="A40:J40"/>
    <mergeCell ref="A3:J3"/>
    <mergeCell ref="A33:J33"/>
    <mergeCell ref="A63:J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ADCD9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>
      <c r="A1" s="6" t="inlineStr">
        <is>
          <t>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SKU</t>
        </is>
      </c>
      <c r="E1" s="6" t="inlineStr">
        <is>
          <t>Batch Yield</t>
        </is>
      </c>
      <c r="F1" s="6" t="inlineStr">
        <is>
          <t>Recipe Link (from Library)</t>
        </is>
      </c>
      <c r="G1" s="6" t="inlineStr">
        <is>
          <t>Batch Cost $ (from Library)</t>
        </is>
      </c>
      <c r="H1" s="6" t="inlineStr">
        <is>
          <t>Cost/Unit $</t>
        </is>
      </c>
      <c r="I1" s="6" t="inlineStr">
        <is>
          <t>Selling Price $</t>
        </is>
      </c>
      <c r="J1" s="6" t="inlineStr">
        <is>
          <t>Profit/Unit $</t>
        </is>
      </c>
      <c r="K1" s="6" t="inlineStr">
        <is>
          <t>Margin %</t>
        </is>
      </c>
      <c r="L1" s="6" t="inlineStr">
        <is>
          <t>Status</t>
        </is>
      </c>
      <c r="M1" s="6" t="inlineStr">
        <is>
          <t>Units Sold</t>
        </is>
      </c>
      <c r="N1" s="6" t="inlineStr">
        <is>
          <t>Revenue $</t>
        </is>
      </c>
      <c r="O1" s="6" t="inlineStr">
        <is>
          <t>Total Cost $</t>
        </is>
      </c>
      <c r="P1" s="6" t="inlineStr">
        <is>
          <t>Total Profit $</t>
        </is>
      </c>
      <c r="Q1" s="6" t="inlineStr">
        <is>
          <t>Allergens</t>
        </is>
      </c>
      <c r="R1" s="6" t="inlineStr">
        <is>
          <t>Prep Time</t>
        </is>
      </c>
      <c r="S1" s="6" t="inlineStr">
        <is>
          <t>Shelf Life</t>
        </is>
      </c>
      <c r="T1" s="6" t="inlineStr">
        <is>
          <t>Notes</t>
        </is>
      </c>
    </row>
    <row r="2">
      <c r="A2" s="71" t="n">
        <v>1</v>
      </c>
      <c r="B2" s="71" t="inlineStr">
        <is>
          <t>Sourdough Loaf</t>
        </is>
      </c>
      <c r="C2" s="71" t="inlineStr">
        <is>
          <t>Bread</t>
        </is>
      </c>
      <c r="D2" s="71" t="inlineStr">
        <is>
          <t>BRD-001</t>
        </is>
      </c>
      <c r="E2" s="71" t="n">
        <v>2</v>
      </c>
      <c r="F2" s="71" t="inlineStr">
        <is>
          <t>REC-001</t>
        </is>
      </c>
      <c r="G2" s="85">
        <f>IFERROR(VLOOKUP(F2,'Recipe Library'!B:Q,16,FALSE),0)</f>
        <v/>
      </c>
      <c r="H2" s="85">
        <f>IF(E2=0,0,G2/E2)</f>
        <v/>
      </c>
      <c r="I2" s="71" t="n">
        <v>0</v>
      </c>
      <c r="J2" s="85">
        <f>I2-H2</f>
        <v/>
      </c>
      <c r="K2" s="106">
        <f>IF(I2=0,0,J2/I2)</f>
        <v/>
      </c>
      <c r="L2" s="71" t="inlineStr">
        <is>
          <t>Free</t>
        </is>
      </c>
      <c r="M2" s="7">
        <f>SUMIF(Orders!D:D,B2,Orders!E:E)</f>
        <v/>
      </c>
      <c r="N2" s="85">
        <f>M2*I2</f>
        <v/>
      </c>
      <c r="O2" s="85">
        <f>M2*H2</f>
        <v/>
      </c>
      <c r="P2" s="85">
        <f>N2-O2</f>
        <v/>
      </c>
      <c r="Q2" s="71" t="inlineStr">
        <is>
          <t>Gluten</t>
        </is>
      </c>
      <c r="R2" s="71" t="n">
        <v>1440</v>
      </c>
      <c r="S2" s="71" t="n">
        <v>3</v>
      </c>
      <c r="T2" s="71" t="inlineStr">
        <is>
          <t>Best seller</t>
        </is>
      </c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2" t="n">
        <v>2</v>
      </c>
      <c r="B3" s="72" t="inlineStr">
        <is>
          <t>Chocolate Chip Cookies dozen</t>
        </is>
      </c>
      <c r="C3" s="72" t="inlineStr">
        <is>
          <t>Cookies</t>
        </is>
      </c>
      <c r="D3" s="72" t="inlineStr">
        <is>
          <t>CK-002</t>
        </is>
      </c>
      <c r="E3" s="72" t="n">
        <v>12</v>
      </c>
      <c r="F3" s="72" t="inlineStr">
        <is>
          <t>REC-002</t>
        </is>
      </c>
      <c r="G3" s="89">
        <f>IFERROR(VLOOKUP(F3,'Recipe Library'!B:Q,16,FALSE),0)</f>
        <v/>
      </c>
      <c r="H3" s="89">
        <f>IF(E3=0,0,G3/E3)</f>
        <v/>
      </c>
      <c r="I3" s="72" t="n">
        <v>0</v>
      </c>
      <c r="J3" s="89">
        <f>I3-H3</f>
        <v/>
      </c>
      <c r="K3" s="105">
        <f>IF(I3=0,0,J3/I3)</f>
        <v/>
      </c>
      <c r="L3" s="72" t="inlineStr">
        <is>
          <t>Free</t>
        </is>
      </c>
      <c r="M3" s="8">
        <f>SUMIF(Orders!D:D,B3,Orders!E:E)</f>
        <v/>
      </c>
      <c r="N3" s="89">
        <f>M3*I3</f>
        <v/>
      </c>
      <c r="O3" s="89">
        <f>M3*H3</f>
        <v/>
      </c>
      <c r="P3" s="89">
        <f>N3-O3</f>
        <v/>
      </c>
      <c r="Q3" s="72" t="inlineStr">
        <is>
          <t>Gluten Dairy Eggs</t>
        </is>
      </c>
      <c r="R3" s="72" t="n">
        <v>45</v>
      </c>
      <c r="S3" s="72" t="n">
        <v>5</v>
      </c>
      <c r="T3" s="72" t="inlineStr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1" t="n">
        <v>3</v>
      </c>
      <c r="B4" s="71" t="inlineStr">
        <is>
          <t>Cinnamon Roll 6-pack</t>
        </is>
      </c>
      <c r="C4" s="71" t="inlineStr">
        <is>
          <t>Pastry</t>
        </is>
      </c>
      <c r="D4" s="71" t="inlineStr">
        <is>
          <t>PAS-003</t>
        </is>
      </c>
      <c r="E4" s="71" t="n">
        <v>6</v>
      </c>
      <c r="F4" s="71" t="inlineStr">
        <is>
          <t>REC-003</t>
        </is>
      </c>
      <c r="G4" s="85">
        <f>IFERROR(VLOOKUP(F4,'Recipe Library'!B:Q,16,FALSE),0)</f>
        <v/>
      </c>
      <c r="H4" s="85">
        <f>IF(E4=0,0,G4/E4)</f>
        <v/>
      </c>
      <c r="I4" s="71" t="n">
        <v>0</v>
      </c>
      <c r="J4" s="85">
        <f>I4-H4</f>
        <v/>
      </c>
      <c r="K4" s="106">
        <f>IF(I4=0,0,J4/I4)</f>
        <v/>
      </c>
      <c r="L4" s="71" t="inlineStr">
        <is>
          <t>Free</t>
        </is>
      </c>
      <c r="M4" s="7">
        <f>SUMIF(Orders!D:D,B4,Orders!E:E)</f>
        <v/>
      </c>
      <c r="N4" s="85">
        <f>M4*I4</f>
        <v/>
      </c>
      <c r="O4" s="85">
        <f>M4*H4</f>
        <v/>
      </c>
      <c r="P4" s="85">
        <f>N4-O4</f>
        <v/>
      </c>
      <c r="Q4" s="71" t="inlineStr">
        <is>
          <t>Gluten Dairy</t>
        </is>
      </c>
      <c r="R4" s="71" t="n">
        <v>90</v>
      </c>
      <c r="S4" s="71" t="n">
        <v>2</v>
      </c>
      <c r="T4" s="71" t="inlineStr">
        <is>
          <t>Weekend</t>
        </is>
      </c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A261"/>
    <outlinePr summaryBelow="1" summaryRight="1"/>
    <pageSetUpPr/>
  </sheetPr>
  <dimension ref="A1:AD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>
      <c r="A1" s="18" t="inlineStr">
        <is>
          <t>Overhead Monthly Expenses - Calculate True Overhead Rate (NEW per customer review)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8" t="inlineStr">
        <is>
          <t>Fixed Monthly Overhead - Costs you pay even if you don't bake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Category</t>
        </is>
      </c>
      <c r="B4" s="70" t="inlineStr">
        <is>
          <t>Item</t>
        </is>
      </c>
      <c r="C4" s="70" t="inlineStr">
        <is>
          <t>Monthly Cost $</t>
        </is>
      </c>
      <c r="D4" s="70" t="inlineStr">
        <is>
          <t>Annual Cost $</t>
        </is>
      </c>
      <c r="E4" s="70" t="inlineStr">
        <is>
          <t>Type</t>
        </is>
      </c>
      <c r="F4" s="70" t="inlineStr">
        <is>
          <t>Notes</t>
        </is>
      </c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96" t="inlineStr">
        <is>
          <t>Rent</t>
        </is>
      </c>
      <c r="B5" s="96" t="inlineStr">
        <is>
          <t>Shared commercial kitchen / home kitchen allocation</t>
        </is>
      </c>
      <c r="C5" s="100" t="n">
        <v>350</v>
      </c>
      <c r="D5" s="98">
        <f>C5*12</f>
        <v/>
      </c>
      <c r="E5" s="96" t="inlineStr">
        <is>
          <t>Fixed</t>
        </is>
      </c>
      <c r="F5" s="96" t="inlineStr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96" t="inlineStr">
        <is>
          <t>Utilities</t>
        </is>
      </c>
      <c r="B6" s="96" t="inlineStr">
        <is>
          <t>Electricity + gas</t>
        </is>
      </c>
      <c r="C6" s="100" t="n">
        <v>95</v>
      </c>
      <c r="D6" s="98">
        <f>C6*12</f>
        <v/>
      </c>
      <c r="E6" s="96" t="inlineStr">
        <is>
          <t>Fixed</t>
        </is>
      </c>
      <c r="F6" s="96" t="inlineStr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96" t="inlineStr">
        <is>
          <t>Insurance</t>
        </is>
      </c>
      <c r="B7" s="96" t="inlineStr">
        <is>
          <t>Cottage food liability + business policy</t>
        </is>
      </c>
      <c r="C7" s="100" t="n">
        <v>35</v>
      </c>
      <c r="D7" s="98">
        <f>C7*12</f>
        <v/>
      </c>
      <c r="E7" s="96" t="inlineStr">
        <is>
          <t>Fixed</t>
        </is>
      </c>
      <c r="F7" s="96" t="inlineStr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96" t="inlineStr">
        <is>
          <t>Licenses</t>
        </is>
      </c>
      <c r="B8" s="96" t="inlineStr">
        <is>
          <t>State cottage food permit + business license</t>
        </is>
      </c>
      <c r="C8" s="100" t="n">
        <v>15</v>
      </c>
      <c r="D8" s="98">
        <f>C8*12</f>
        <v/>
      </c>
      <c r="E8" s="96" t="inlineStr">
        <is>
          <t>Fixed</t>
        </is>
      </c>
      <c r="F8" s="96" t="inlineStr">
        <is>
          <t>~$180/year</t>
        </is>
      </c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96" t="inlineStr">
        <is>
          <t>Internet/Phone</t>
        </is>
      </c>
      <c r="B9" s="96" t="inlineStr">
        <is>
          <t>Website + phone line</t>
        </is>
      </c>
      <c r="C9" s="100" t="n">
        <v>40</v>
      </c>
      <c r="D9" s="98">
        <f>C9*12</f>
        <v/>
      </c>
      <c r="E9" s="96" t="inlineStr">
        <is>
          <t>Fixed</t>
        </is>
      </c>
      <c r="F9" s="96" t="inlineStr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96" t="inlineStr">
        <is>
          <t>Software</t>
        </is>
      </c>
      <c r="B10" s="96" t="inlineStr">
        <is>
          <t>Accounting + Google Workspace + Canva</t>
        </is>
      </c>
      <c r="C10" s="100" t="n">
        <v>25</v>
      </c>
      <c r="D10" s="98">
        <f>C10*12</f>
        <v/>
      </c>
      <c r="E10" s="96" t="inlineStr">
        <is>
          <t>Fixed</t>
        </is>
      </c>
      <c r="F10" s="96" t="inlineStr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96" t="inlineStr">
        <is>
          <t>Marketing</t>
        </is>
      </c>
      <c r="B11" s="96" t="inlineStr">
        <is>
          <t>Instagram/Facebook ads + flyers</t>
        </is>
      </c>
      <c r="C11" s="100" t="n">
        <v>60</v>
      </c>
      <c r="D11" s="98">
        <f>C11*12</f>
        <v/>
      </c>
      <c r="E11" s="96" t="inlineStr">
        <is>
          <t>Variable</t>
        </is>
      </c>
      <c r="F11" s="96" t="inlineStr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96" t="inlineStr">
        <is>
          <t>Transportation</t>
        </is>
      </c>
      <c r="B12" s="96" t="inlineStr">
        <is>
          <t>Farmers market gas + delivery</t>
        </is>
      </c>
      <c r="C12" s="100" t="n">
        <v>75</v>
      </c>
      <c r="D12" s="98">
        <f>C12*12</f>
        <v/>
      </c>
      <c r="E12" s="96" t="inlineStr">
        <is>
          <t>Variable</t>
        </is>
      </c>
      <c r="F12" s="96" t="inlineStr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96" t="inlineStr">
        <is>
          <t>Packaging Storage</t>
        </is>
      </c>
      <c r="B13" s="96" t="inlineStr">
        <is>
          <t>Bins, shelves, labels</t>
        </is>
      </c>
      <c r="C13" s="100" t="n">
        <v>12</v>
      </c>
      <c r="D13" s="98">
        <f>C13*12</f>
        <v/>
      </c>
      <c r="E13" s="96" t="inlineStr">
        <is>
          <t>Fixed</t>
        </is>
      </c>
      <c r="F13" s="96" t="inlineStr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96" t="inlineStr">
        <is>
          <t>Cleaning</t>
        </is>
      </c>
      <c r="B14" s="96" t="inlineStr">
        <is>
          <t>Sanitizer + cleaning supplies</t>
        </is>
      </c>
      <c r="C14" s="100" t="n">
        <v>18</v>
      </c>
      <c r="D14" s="98">
        <f>C14*12</f>
        <v/>
      </c>
      <c r="E14" s="96" t="inlineStr">
        <is>
          <t>Fixed</t>
        </is>
      </c>
      <c r="F14" s="96" t="inlineStr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96" t="inlineStr">
        <is>
          <t>Accounting</t>
        </is>
      </c>
      <c r="B15" s="96" t="inlineStr">
        <is>
          <t>CPA + bookkeeping</t>
        </is>
      </c>
      <c r="C15" s="100" t="n">
        <v>30</v>
      </c>
      <c r="D15" s="98">
        <f>C15*12</f>
        <v/>
      </c>
      <c r="E15" s="96" t="inlineStr">
        <is>
          <t>Fixed</t>
        </is>
      </c>
      <c r="F15" s="96" t="inlineStr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96" t="inlineStr">
        <is>
          <t>Other</t>
        </is>
      </c>
      <c r="B16" s="96" t="inlineStr">
        <is>
          <t>Miscellaneous</t>
        </is>
      </c>
      <c r="C16" s="100" t="n">
        <v>25</v>
      </c>
      <c r="D16" s="98">
        <f>C16*12</f>
        <v/>
      </c>
      <c r="E16" s="96" t="inlineStr">
        <is>
          <t>Variable</t>
        </is>
      </c>
      <c r="F16" s="96" t="inlineStr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109" t="inlineStr">
        <is>
          <t>TOTAL MONTHLY OVERHEAD</t>
        </is>
      </c>
      <c r="B18" s="66" t="n"/>
      <c r="C18" s="110">
        <f>SUM(C5:C16)</f>
        <v/>
      </c>
      <c r="D18" s="91">
        <f>SUM(D5:D16)</f>
        <v/>
      </c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92" t="inlineStr">
        <is>
          <t>Overhead Rate Calculations</t>
        </is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0" t="inlineStr">
        <is>
          <t>Metric</t>
        </is>
      </c>
      <c r="B21" s="70" t="inlineStr">
        <is>
          <t>Value</t>
        </is>
      </c>
      <c r="C21" s="70" t="inlineStr">
        <is>
          <t>Formula</t>
        </is>
      </c>
      <c r="D21" s="70" t="inlineStr">
        <is>
          <t>How Used</t>
        </is>
      </c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111" t="inlineStr">
        <is>
          <t>Total Monthly Overhead</t>
        </is>
      </c>
      <c r="B22" s="112">
        <f>C18</f>
        <v/>
      </c>
      <c r="C22" s="113" t="inlineStr">
        <is>
          <t>SUM of Monthly column</t>
        </is>
      </c>
      <c r="D22" s="113" t="inlineStr">
        <is>
          <t>Used for % calc</t>
        </is>
      </c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81" t="inlineStr">
        <is>
          <t>Total Annual Overhead</t>
        </is>
      </c>
      <c r="B23" s="114">
        <f>D18</f>
        <v/>
      </c>
      <c r="C23" s="115" t="inlineStr">
        <is>
          <t>Monthly x 12</t>
        </is>
      </c>
      <c r="D23" s="115" t="inlineStr">
        <is>
          <t>Yearly</t>
        </is>
      </c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111" t="inlineStr">
        <is>
          <t>Daily Overhead (30 days)</t>
        </is>
      </c>
      <c r="B24" s="112">
        <f>C18/30</f>
        <v/>
      </c>
      <c r="C24" s="113" t="inlineStr">
        <is>
          <t>Monthly / 30</t>
        </is>
      </c>
      <c r="D24" s="113" t="inlineStr">
        <is>
          <t>Per day cost</t>
        </is>
      </c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81" t="inlineStr">
        <is>
          <t>Hourly Overhead (80 hrs/month from Setup)</t>
        </is>
      </c>
      <c r="B25" s="114">
        <f>IF('Instructions + Setup'!B29=0,0,C18/'Instructions + Setup'!B29)</f>
        <v/>
      </c>
      <c r="C25" s="115" t="inlineStr">
        <is>
          <t>Monthly / Working Hours</t>
        </is>
      </c>
      <c r="D25" s="115" t="inlineStr">
        <is>
          <t>Use in Recipe labor overhead</t>
        </is>
      </c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111" t="inlineStr">
        <is>
          <t>Overhead per Order (100 orders/month)</t>
        </is>
      </c>
      <c r="B26" s="112">
        <f>IF('Instructions + Setup'!B30=0,0,C18/'Instructions + Setup'!B30)</f>
        <v/>
      </c>
      <c r="C26" s="113" t="inlineStr">
        <is>
          <t>Monthly / Expected Orders</t>
        </is>
      </c>
      <c r="D26" s="113" t="inlineStr">
        <is>
          <t>Per order overhead</t>
        </is>
      </c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81" t="inlineStr">
        <is>
          <t>Expected Monthly Revenue (enter)</t>
        </is>
      </c>
      <c r="B27" s="116" t="n">
        <v>2000</v>
      </c>
      <c r="C27" s="115" t="inlineStr"/>
      <c r="D27" s="115" t="inlineStr">
        <is>
          <t>Enter your expected revenue</t>
        </is>
      </c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111" t="inlineStr">
        <is>
          <t>Overhead % = Overhead / Revenue</t>
        </is>
      </c>
      <c r="B28" s="117">
        <f>IF(B27=0,0,B22/B27)</f>
        <v/>
      </c>
      <c r="C28" s="113" t="inlineStr">
        <is>
          <t>Monthly Overhead / Expected Revenue</t>
        </is>
      </c>
      <c r="D28" s="113" t="inlineStr">
        <is>
          <t>Use this % in Recipe Calculator Overhead %</t>
        </is>
      </c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3">
    <mergeCell ref="A20:H20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64653"/>
    <outlinePr summaryBelow="1" summaryRight="1"/>
    <pageSetUpPr/>
  </sheetPr>
  <dimension ref="A1:AD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>
      <c r="A1" s="18" t="inlineStr">
        <is>
          <t>Startup Costs + Break-Even Analysis - How Much Profit to Recover Investment (NEW per customer review)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8" t="inlineStr">
        <is>
          <t>One-Time Startup Investment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Category</t>
        </is>
      </c>
      <c r="B4" s="70" t="inlineStr">
        <is>
          <t>Item</t>
        </is>
      </c>
      <c r="C4" s="70" t="inlineStr">
        <is>
          <t>Cost $</t>
        </is>
      </c>
      <c r="D4" s="70" t="inlineStr">
        <is>
          <t>Date Purchased</t>
        </is>
      </c>
      <c r="E4" s="70" t="inlineStr">
        <is>
          <t>Vendor</t>
        </is>
      </c>
      <c r="F4" s="70" t="inlineStr">
        <is>
          <t>Useful Life (months)</t>
        </is>
      </c>
      <c r="G4" s="70" t="inlineStr">
        <is>
          <t>Monthly Depreciation $</t>
        </is>
      </c>
      <c r="H4" s="70" t="inlineStr">
        <is>
          <t>Notes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96" t="inlineStr">
        <is>
          <t>Equipment</t>
        </is>
      </c>
      <c r="B5" s="96" t="inlineStr">
        <is>
          <t>KitchenAid 6 qt stand mixer</t>
        </is>
      </c>
      <c r="C5" s="100" t="n">
        <v>449.99</v>
      </c>
      <c r="D5" s="118" t="n">
        <v>46032</v>
      </c>
      <c r="E5" s="96" t="inlineStr">
        <is>
          <t>Amazon</t>
        </is>
      </c>
      <c r="F5" s="96" t="n">
        <v>60</v>
      </c>
      <c r="G5" s="98">
        <f>IF(F5=0,0,C5/F5)</f>
        <v/>
      </c>
      <c r="H5" s="96" t="inlineStr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96" t="inlineStr">
        <is>
          <t>Equipment</t>
        </is>
      </c>
      <c r="B6" s="96" t="inlineStr">
        <is>
          <t>Dutch oven / oven upgrade</t>
        </is>
      </c>
      <c r="C6" s="100" t="n">
        <v>349</v>
      </c>
      <c r="D6" s="118" t="n">
        <v>46034</v>
      </c>
      <c r="E6" s="96" t="inlineStr">
        <is>
          <t>Sur La Table</t>
        </is>
      </c>
      <c r="F6" s="96" t="n">
        <v>60</v>
      </c>
      <c r="G6" s="98">
        <f>IF(F6=0,0,C6/F6)</f>
        <v/>
      </c>
      <c r="H6" s="96" t="inlineStr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96" t="inlineStr">
        <is>
          <t>Equipment</t>
        </is>
      </c>
      <c r="B7" s="96" t="inlineStr">
        <is>
          <t>Extra refrigerator</t>
        </is>
      </c>
      <c r="C7" s="100" t="n">
        <v>649</v>
      </c>
      <c r="D7" s="118" t="n">
        <v>46037</v>
      </c>
      <c r="E7" s="96" t="inlineStr">
        <is>
          <t>Home Depot</t>
        </is>
      </c>
      <c r="F7" s="96" t="n">
        <v>60</v>
      </c>
      <c r="G7" s="98">
        <f>IF(F7=0,0,C7/F7)</f>
        <v/>
      </c>
      <c r="H7" s="96" t="inlineStr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96" t="inlineStr">
        <is>
          <t>Equipment</t>
        </is>
      </c>
      <c r="B8" s="96" t="inlineStr">
        <is>
          <t>Baking sheets, pans, mixing bowls</t>
        </is>
      </c>
      <c r="C8" s="100" t="n">
        <v>175</v>
      </c>
      <c r="D8" s="118" t="n">
        <v>46030</v>
      </c>
      <c r="E8" s="96" t="inlineStr">
        <is>
          <t>Restaurant Depot</t>
        </is>
      </c>
      <c r="F8" s="96" t="n">
        <v>36</v>
      </c>
      <c r="G8" s="98">
        <f>IF(F8=0,0,C8/F8)</f>
        <v/>
      </c>
      <c r="H8" s="96" t="inlineStr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96" t="inlineStr">
        <is>
          <t>Equipment</t>
        </is>
      </c>
      <c r="B9" s="96" t="inlineStr">
        <is>
          <t>Digital scale + packaging sealer</t>
        </is>
      </c>
      <c r="C9" s="100" t="n">
        <v>85</v>
      </c>
      <c r="D9" s="118" t="n">
        <v>46031</v>
      </c>
      <c r="E9" s="96" t="inlineStr">
        <is>
          <t>Amazon</t>
        </is>
      </c>
      <c r="F9" s="96" t="n">
        <v>36</v>
      </c>
      <c r="G9" s="98">
        <f>IF(F9=0,0,C9/F9)</f>
        <v/>
      </c>
      <c r="H9" s="96" t="inlineStr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96" t="inlineStr">
        <is>
          <t>Initial Inventory</t>
        </is>
      </c>
      <c r="B10" s="96" t="inlineStr">
        <is>
          <t>Flour, sugar, butter, eggs opening stock</t>
        </is>
      </c>
      <c r="C10" s="100" t="n">
        <v>250</v>
      </c>
      <c r="D10" s="118" t="n">
        <v>46037</v>
      </c>
      <c r="E10" s="96" t="inlineStr">
        <is>
          <t>Costco</t>
        </is>
      </c>
      <c r="F10" s="96" t="n">
        <v>1</v>
      </c>
      <c r="G10" s="98">
        <f>IF(F10=0,0,C10/F10)</f>
        <v/>
      </c>
      <c r="H10" s="96" t="inlineStr">
        <is>
          <t>One-time</t>
        </is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96" t="inlineStr">
        <is>
          <t>Packaging</t>
        </is>
      </c>
      <c r="B11" s="96" t="inlineStr">
        <is>
          <t>Boxes, bags, labels, stickers</t>
        </is>
      </c>
      <c r="C11" s="100" t="n">
        <v>150</v>
      </c>
      <c r="D11" s="118" t="n">
        <v>46038</v>
      </c>
      <c r="E11" s="96" t="inlineStr">
        <is>
          <t>WebstaurantStore</t>
        </is>
      </c>
      <c r="F11" s="96" t="n">
        <v>1</v>
      </c>
      <c r="G11" s="98">
        <f>IF(F11=0,0,C11/F11)</f>
        <v/>
      </c>
      <c r="H11" s="96" t="inlineStr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96" t="inlineStr">
        <is>
          <t>Licenses</t>
        </is>
      </c>
      <c r="B12" s="96" t="inlineStr">
        <is>
          <t>Cottage food permit + business license</t>
        </is>
      </c>
      <c r="C12" s="100" t="n">
        <v>200</v>
      </c>
      <c r="D12" s="118" t="n">
        <v>46027</v>
      </c>
      <c r="E12" s="96" t="inlineStr">
        <is>
          <t>State / City</t>
        </is>
      </c>
      <c r="F12" s="96" t="n">
        <v>12</v>
      </c>
      <c r="G12" s="98">
        <f>IF(F12=0,0,C12/F12)</f>
        <v/>
      </c>
      <c r="H12" s="96" t="inlineStr">
        <is>
          <t>First year</t>
        </is>
      </c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96" t="inlineStr">
        <is>
          <t>Branding</t>
        </is>
      </c>
      <c r="B13" s="96" t="inlineStr">
        <is>
          <t>Logo + website + domain</t>
        </is>
      </c>
      <c r="C13" s="100" t="n">
        <v>250</v>
      </c>
      <c r="D13" s="118" t="n">
        <v>46028</v>
      </c>
      <c r="E13" s="96" t="inlineStr">
        <is>
          <t>Fiverr + Squarespace</t>
        </is>
      </c>
      <c r="F13" s="96" t="n">
        <v>24</v>
      </c>
      <c r="G13" s="98">
        <f>IF(F13=0,0,C13/F13)</f>
        <v/>
      </c>
      <c r="H13" s="96" t="inlineStr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96" t="inlineStr">
        <is>
          <t>Marketing</t>
        </is>
      </c>
      <c r="B14" s="96" t="inlineStr">
        <is>
          <t>Flyers, banners, samples</t>
        </is>
      </c>
      <c r="C14" s="100" t="n">
        <v>120</v>
      </c>
      <c r="D14" s="118" t="n">
        <v>46042</v>
      </c>
      <c r="E14" s="96" t="inlineStr">
        <is>
          <t>Local print shop</t>
        </is>
      </c>
      <c r="F14" s="96" t="n">
        <v>1</v>
      </c>
      <c r="G14" s="98">
        <f>IF(F14=0,0,C14/F14)</f>
        <v/>
      </c>
      <c r="H14" s="96" t="inlineStr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96" t="inlineStr">
        <is>
          <t>Training</t>
        </is>
      </c>
      <c r="B15" s="96" t="inlineStr">
        <is>
          <t>ServSafe Food Manager certification</t>
        </is>
      </c>
      <c r="C15" s="100" t="n">
        <v>150</v>
      </c>
      <c r="D15" s="118" t="n">
        <v>46025</v>
      </c>
      <c r="E15" s="96" t="inlineStr">
        <is>
          <t>ServSafe</t>
        </is>
      </c>
      <c r="F15" s="96" t="n">
        <v>60</v>
      </c>
      <c r="G15" s="98">
        <f>IF(F15=0,0,C15/F15)</f>
        <v/>
      </c>
      <c r="H15" s="96" t="inlineStr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96" t="inlineStr">
        <is>
          <t>Other</t>
        </is>
      </c>
      <c r="B16" s="96" t="inlineStr">
        <is>
          <t>Miscellaneous initial supplies</t>
        </is>
      </c>
      <c r="C16" s="100" t="n">
        <v>100</v>
      </c>
      <c r="D16" s="118" t="n">
        <v>46047</v>
      </c>
      <c r="E16" s="96" t="inlineStr"/>
      <c r="F16" s="96" t="n">
        <v>1</v>
      </c>
      <c r="G16" s="98">
        <f>IF(F16=0,0,C16/F16)</f>
        <v/>
      </c>
      <c r="H16" s="96" t="inlineStr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109" t="inlineStr">
        <is>
          <t>TOTAL STARTUP INVESTMENT</t>
        </is>
      </c>
      <c r="B18" s="66" t="n"/>
      <c r="C18" s="119">
        <f>SUM(C5:C16)</f>
        <v/>
      </c>
      <c r="D18" s="66" t="n"/>
      <c r="E18" s="66" t="n"/>
      <c r="F18" s="66" t="n"/>
      <c r="G18" s="91">
        <f>SUM(G5:G16)</f>
        <v/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92" t="inlineStr">
        <is>
          <t>Break-Even Analysis - Graphic</t>
        </is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0" t="inlineStr">
        <is>
          <t>Metric</t>
        </is>
      </c>
      <c r="B21" s="70" t="inlineStr">
        <is>
          <t>Value</t>
        </is>
      </c>
      <c r="C21" s="70" t="inlineStr">
        <is>
          <t>Formula / Input</t>
        </is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inlineStr">
        <is>
          <t>Total Startup (from above)</t>
        </is>
      </c>
      <c r="B22" s="112">
        <f>C18</f>
        <v/>
      </c>
      <c r="C22" s="71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2" t="inlineStr">
        <is>
          <t>Average Monthly Profit (from Bookkeeping or enter)</t>
        </is>
      </c>
      <c r="B23" s="120" t="n">
        <v>500</v>
      </c>
      <c r="C23" s="72" t="inlineStr">
        <is>
          <t>Enter your avg monthly net profit (Dashboard or Bookkeeping H102/12) or use Bookkeeping!H102/6 etc</t>
        </is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1" t="inlineStr">
        <is>
          <t>Months to Break-Even</t>
        </is>
      </c>
      <c r="B24" s="121">
        <f>IF(B23=0,0,B22/B23)</f>
        <v/>
      </c>
      <c r="C24" s="71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2" t="inlineStr">
        <is>
          <t>Break-Even Date (from today)</t>
        </is>
      </c>
      <c r="B25" s="122">
        <f>TODAY()+B24*30</f>
        <v/>
      </c>
      <c r="C25" s="72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1" t="inlineStr">
        <is>
          <t>Profit Needed per Day to Recover in 12 months</t>
        </is>
      </c>
      <c r="B26" s="85">
        <f>IF(B23=0,0,B22/12/30)</f>
        <v/>
      </c>
      <c r="C26" s="71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2" t="inlineStr">
        <is>
          <t>Orders Needed to Recover (if avg order $25 profit)</t>
        </is>
      </c>
      <c r="B27" s="58">
        <f>IF(25=0,0,B22/25)</f>
        <v/>
      </c>
      <c r="C27" s="72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0" t="inlineStr">
        <is>
          <t>Month</t>
        </is>
      </c>
      <c r="B29" s="70" t="inlineStr">
        <is>
          <t>Monthly Profit $</t>
        </is>
      </c>
      <c r="C29" s="70" t="inlineStr">
        <is>
          <t>Cumulative Profit $</t>
        </is>
      </c>
      <c r="D29" s="70" t="inlineStr">
        <is>
          <t>Remaining to Recover $</t>
        </is>
      </c>
      <c r="E29" s="70" t="inlineStr">
        <is>
          <t>Recovered? %</t>
        </is>
      </c>
      <c r="F29" s="70" t="inlineStr">
        <is>
          <t>Startup Investment Line $</t>
        </is>
      </c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1" t="n">
        <v>1</v>
      </c>
      <c r="B30" s="85">
        <f>$B$23</f>
        <v/>
      </c>
      <c r="C30" s="85">
        <f>B30*A30</f>
        <v/>
      </c>
      <c r="D30" s="85">
        <f>$B$22-C30</f>
        <v/>
      </c>
      <c r="E30" s="106">
        <f>IF($B$22=0,0,C30/$B$22)</f>
        <v/>
      </c>
      <c r="F30" s="85">
        <f>$B$22</f>
        <v/>
      </c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72" t="n">
        <v>2</v>
      </c>
      <c r="B31" s="89">
        <f>$B$23</f>
        <v/>
      </c>
      <c r="C31" s="89">
        <f>B31*A31</f>
        <v/>
      </c>
      <c r="D31" s="89">
        <f>$B$22-C31</f>
        <v/>
      </c>
      <c r="E31" s="105">
        <f>IF($B$22=0,0,C31/$B$22)</f>
        <v/>
      </c>
      <c r="F31" s="89">
        <f>$B$22</f>
        <v/>
      </c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1" t="n">
        <v>3</v>
      </c>
      <c r="B32" s="85">
        <f>$B$23</f>
        <v/>
      </c>
      <c r="C32" s="85">
        <f>B32*A32</f>
        <v/>
      </c>
      <c r="D32" s="85">
        <f>$B$22-C32</f>
        <v/>
      </c>
      <c r="E32" s="106">
        <f>IF($B$22=0,0,C32/$B$22)</f>
        <v/>
      </c>
      <c r="F32" s="85">
        <f>$B$22</f>
        <v/>
      </c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>
        <v>4</v>
      </c>
      <c r="B33" s="89">
        <f>$B$23</f>
        <v/>
      </c>
      <c r="C33" s="89">
        <f>B33*A33</f>
        <v/>
      </c>
      <c r="D33" s="89">
        <f>$B$22-C33</f>
        <v/>
      </c>
      <c r="E33" s="105">
        <f>IF($B$22=0,0,C33/$B$22)</f>
        <v/>
      </c>
      <c r="F33" s="89">
        <f>$B$22</f>
        <v/>
      </c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>
        <v>5</v>
      </c>
      <c r="B34" s="85">
        <f>$B$23</f>
        <v/>
      </c>
      <c r="C34" s="85">
        <f>B34*A34</f>
        <v/>
      </c>
      <c r="D34" s="85">
        <f>$B$22-C34</f>
        <v/>
      </c>
      <c r="E34" s="106">
        <f>IF($B$22=0,0,C34/$B$22)</f>
        <v/>
      </c>
      <c r="F34" s="85">
        <f>$B$22</f>
        <v/>
      </c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>
        <v>6</v>
      </c>
      <c r="B35" s="89">
        <f>$B$23</f>
        <v/>
      </c>
      <c r="C35" s="89">
        <f>B35*A35</f>
        <v/>
      </c>
      <c r="D35" s="89">
        <f>$B$22-C35</f>
        <v/>
      </c>
      <c r="E35" s="105">
        <f>IF($B$22=0,0,C35/$B$22)</f>
        <v/>
      </c>
      <c r="F35" s="89">
        <f>$B$22</f>
        <v/>
      </c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>
        <v>7</v>
      </c>
      <c r="B36" s="85">
        <f>$B$23</f>
        <v/>
      </c>
      <c r="C36" s="85">
        <f>B36*A36</f>
        <v/>
      </c>
      <c r="D36" s="85">
        <f>$B$22-C36</f>
        <v/>
      </c>
      <c r="E36" s="106">
        <f>IF($B$22=0,0,C36/$B$22)</f>
        <v/>
      </c>
      <c r="F36" s="85">
        <f>$B$22</f>
        <v/>
      </c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>
        <v>8</v>
      </c>
      <c r="B37" s="89">
        <f>$B$23</f>
        <v/>
      </c>
      <c r="C37" s="89">
        <f>B37*A37</f>
        <v/>
      </c>
      <c r="D37" s="89">
        <f>$B$22-C37</f>
        <v/>
      </c>
      <c r="E37" s="105">
        <f>IF($B$22=0,0,C37/$B$22)</f>
        <v/>
      </c>
      <c r="F37" s="89">
        <f>$B$22</f>
        <v/>
      </c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>
        <v>9</v>
      </c>
      <c r="B38" s="85">
        <f>$B$23</f>
        <v/>
      </c>
      <c r="C38" s="85">
        <f>B38*A38</f>
        <v/>
      </c>
      <c r="D38" s="85">
        <f>$B$22-C38</f>
        <v/>
      </c>
      <c r="E38" s="106">
        <f>IF($B$22=0,0,C38/$B$22)</f>
        <v/>
      </c>
      <c r="F38" s="85">
        <f>$B$22</f>
        <v/>
      </c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>
        <v>10</v>
      </c>
      <c r="B39" s="89">
        <f>$B$23</f>
        <v/>
      </c>
      <c r="C39" s="89">
        <f>B39*A39</f>
        <v/>
      </c>
      <c r="D39" s="89">
        <f>$B$22-C39</f>
        <v/>
      </c>
      <c r="E39" s="105">
        <f>IF($B$22=0,0,C39/$B$22)</f>
        <v/>
      </c>
      <c r="F39" s="89">
        <f>$B$22</f>
        <v/>
      </c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>
        <v>11</v>
      </c>
      <c r="B40" s="85">
        <f>$B$23</f>
        <v/>
      </c>
      <c r="C40" s="85">
        <f>B40*A40</f>
        <v/>
      </c>
      <c r="D40" s="85">
        <f>$B$22-C40</f>
        <v/>
      </c>
      <c r="E40" s="106">
        <f>IF($B$22=0,0,C40/$B$22)</f>
        <v/>
      </c>
      <c r="F40" s="85">
        <f>$B$22</f>
        <v/>
      </c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>
        <v>12</v>
      </c>
      <c r="B41" s="89">
        <f>$B$23</f>
        <v/>
      </c>
      <c r="C41" s="89">
        <f>B41*A41</f>
        <v/>
      </c>
      <c r="D41" s="89">
        <f>$B$22-C41</f>
        <v/>
      </c>
      <c r="E41" s="105">
        <f>IF($B$22=0,0,C41/$B$22)</f>
        <v/>
      </c>
      <c r="F41" s="89">
        <f>$B$22</f>
        <v/>
      </c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>
        <v>13</v>
      </c>
      <c r="B42" s="85">
        <f>$B$23</f>
        <v/>
      </c>
      <c r="C42" s="85">
        <f>B42*A42</f>
        <v/>
      </c>
      <c r="D42" s="85">
        <f>$B$22-C42</f>
        <v/>
      </c>
      <c r="E42" s="106">
        <f>IF($B$22=0,0,C42/$B$22)</f>
        <v/>
      </c>
      <c r="F42" s="85">
        <f>$B$22</f>
        <v/>
      </c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>
        <v>14</v>
      </c>
      <c r="B43" s="89">
        <f>$B$23</f>
        <v/>
      </c>
      <c r="C43" s="89">
        <f>B43*A43</f>
        <v/>
      </c>
      <c r="D43" s="89">
        <f>$B$22-C43</f>
        <v/>
      </c>
      <c r="E43" s="105">
        <f>IF($B$22=0,0,C43/$B$22)</f>
        <v/>
      </c>
      <c r="F43" s="89">
        <f>$B$22</f>
        <v/>
      </c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>
        <v>15</v>
      </c>
      <c r="B44" s="85">
        <f>$B$23</f>
        <v/>
      </c>
      <c r="C44" s="85">
        <f>B44*A44</f>
        <v/>
      </c>
      <c r="D44" s="85">
        <f>$B$22-C44</f>
        <v/>
      </c>
      <c r="E44" s="106">
        <f>IF($B$22=0,0,C44/$B$22)</f>
        <v/>
      </c>
      <c r="F44" s="85">
        <f>$B$22</f>
        <v/>
      </c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>
        <v>16</v>
      </c>
      <c r="B45" s="89">
        <f>$B$23</f>
        <v/>
      </c>
      <c r="C45" s="89">
        <f>B45*A45</f>
        <v/>
      </c>
      <c r="D45" s="89">
        <f>$B$22-C45</f>
        <v/>
      </c>
      <c r="E45" s="105">
        <f>IF($B$22=0,0,C45/$B$22)</f>
        <v/>
      </c>
      <c r="F45" s="89">
        <f>$B$22</f>
        <v/>
      </c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71" t="n">
        <v>17</v>
      </c>
      <c r="B46" s="85">
        <f>$B$23</f>
        <v/>
      </c>
      <c r="C46" s="85">
        <f>B46*A46</f>
        <v/>
      </c>
      <c r="D46" s="85">
        <f>$B$22-C46</f>
        <v/>
      </c>
      <c r="E46" s="106">
        <f>IF($B$22=0,0,C46/$B$22)</f>
        <v/>
      </c>
      <c r="F46" s="85">
        <f>$B$22</f>
        <v/>
      </c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72" t="n">
        <v>18</v>
      </c>
      <c r="B47" s="89">
        <f>$B$23</f>
        <v/>
      </c>
      <c r="C47" s="89">
        <f>B47*A47</f>
        <v/>
      </c>
      <c r="D47" s="89">
        <f>$B$22-C47</f>
        <v/>
      </c>
      <c r="E47" s="105">
        <f>IF($B$22=0,0,C47/$B$22)</f>
        <v/>
      </c>
      <c r="F47" s="89">
        <f>$B$22</f>
        <v/>
      </c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71" t="n">
        <v>19</v>
      </c>
      <c r="B48" s="85">
        <f>$B$23</f>
        <v/>
      </c>
      <c r="C48" s="85">
        <f>B48*A48</f>
        <v/>
      </c>
      <c r="D48" s="85">
        <f>$B$22-C48</f>
        <v/>
      </c>
      <c r="E48" s="106">
        <f>IF($B$22=0,0,C48/$B$22)</f>
        <v/>
      </c>
      <c r="F48" s="85">
        <f>$B$22</f>
        <v/>
      </c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72" t="n">
        <v>20</v>
      </c>
      <c r="B49" s="89">
        <f>$B$23</f>
        <v/>
      </c>
      <c r="C49" s="89">
        <f>B49*A49</f>
        <v/>
      </c>
      <c r="D49" s="89">
        <f>$B$22-C49</f>
        <v/>
      </c>
      <c r="E49" s="105">
        <f>IF($B$22=0,0,C49/$B$22)</f>
        <v/>
      </c>
      <c r="F49" s="89">
        <f>$B$22</f>
        <v/>
      </c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71" t="n">
        <v>21</v>
      </c>
      <c r="B50" s="85">
        <f>$B$23</f>
        <v/>
      </c>
      <c r="C50" s="85">
        <f>B50*A50</f>
        <v/>
      </c>
      <c r="D50" s="85">
        <f>$B$22-C50</f>
        <v/>
      </c>
      <c r="E50" s="106">
        <f>IF($B$22=0,0,C50/$B$22)</f>
        <v/>
      </c>
      <c r="F50" s="85">
        <f>$B$22</f>
        <v/>
      </c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72" t="n">
        <v>22</v>
      </c>
      <c r="B51" s="89">
        <f>$B$23</f>
        <v/>
      </c>
      <c r="C51" s="89">
        <f>B51*A51</f>
        <v/>
      </c>
      <c r="D51" s="89">
        <f>$B$22-C51</f>
        <v/>
      </c>
      <c r="E51" s="105">
        <f>IF($B$22=0,0,C51/$B$22)</f>
        <v/>
      </c>
      <c r="F51" s="89">
        <f>$B$22</f>
        <v/>
      </c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71" t="n">
        <v>23</v>
      </c>
      <c r="B52" s="85">
        <f>$B$23</f>
        <v/>
      </c>
      <c r="C52" s="85">
        <f>B52*A52</f>
        <v/>
      </c>
      <c r="D52" s="85">
        <f>$B$22-C52</f>
        <v/>
      </c>
      <c r="E52" s="106">
        <f>IF($B$22=0,0,C52/$B$22)</f>
        <v/>
      </c>
      <c r="F52" s="85">
        <f>$B$22</f>
        <v/>
      </c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72" t="n">
        <v>24</v>
      </c>
      <c r="B53" s="89">
        <f>$B$23</f>
        <v/>
      </c>
      <c r="C53" s="89">
        <f>B53*A53</f>
        <v/>
      </c>
      <c r="D53" s="89">
        <f>$B$22-C53</f>
        <v/>
      </c>
      <c r="E53" s="105">
        <f>IF($B$22=0,0,C53/$B$22)</f>
        <v/>
      </c>
      <c r="F53" s="89">
        <f>$B$22</f>
        <v/>
      </c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3">
    <mergeCell ref="A1:I1"/>
    <mergeCell ref="A20:I20"/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A46A5A"/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Dashboard v4 — Donation Stand</t>
        </is>
      </c>
    </row>
    <row r="2">
      <c r="A2" s="67" t="inlineStr">
        <is>
          <t>Free products · donations tracked in Bookkeeping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8" t="inlineStr">
        <is>
          <t>DONATIONS VS. COST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81" t="inlineStr">
        <is>
          <t>Total Donations Received</t>
        </is>
      </c>
      <c r="B5" s="123">
        <f>SUMIFS(Bookkeeping!F:F,Bookkeeping!D:D,"Donations")</f>
        <v/>
      </c>
      <c r="C5" s="115" t="inlineStr">
        <is>
          <t>Every Bookkeeping income row with Category = Donations</t>
        </is>
      </c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111" t="inlineStr">
        <is>
          <t>Total Costs (Bookkeeping)</t>
        </is>
      </c>
      <c r="B6" s="123">
        <f>Bookkeeping!G102</f>
        <v/>
      </c>
      <c r="C6" s="113" t="inlineStr">
        <is>
          <t>Everything you spent (ingredients, supplies, fees…)</t>
        </is>
      </c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81" t="inlineStr">
        <is>
          <t>Net — Donations after Costs</t>
        </is>
      </c>
      <c r="B7" s="123">
        <f>B5-B6</f>
        <v/>
      </c>
      <c r="C7" s="115" t="inlineStr">
        <is>
          <t>Positive = the stand covered its costs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111" t="inlineStr">
        <is>
          <t>Free Items Given Away</t>
        </is>
      </c>
      <c r="B8" s="60">
        <f>SUM('Product List'!M:M)</f>
        <v/>
      </c>
      <c r="C8" s="113" t="inlineStr">
        <is>
          <t>Log each free item in Orders with a $0 price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0" t="inlineStr">
        <is>
          <t>KPI</t>
        </is>
      </c>
      <c r="B10" s="70" t="inlineStr">
        <is>
          <t>Value</t>
        </is>
      </c>
      <c r="C10" s="70" t="inlineStr">
        <is>
          <t>Source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81" t="inlineStr">
        <is>
          <t>Total Revenue YTD</t>
        </is>
      </c>
      <c r="B11" s="123">
        <f>Bookkeeping!F102</f>
        <v/>
      </c>
      <c r="C11" s="115" t="inlineStr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111" t="inlineStr">
        <is>
          <t>Total Expenses YTD</t>
        </is>
      </c>
      <c r="B12" s="123">
        <f>Bookkeeping!G102</f>
        <v/>
      </c>
      <c r="C12" s="113" t="inlineStr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81" t="inlineStr">
        <is>
          <t>Net Profit YTD</t>
        </is>
      </c>
      <c r="B13" s="123">
        <f>Bookkeeping!H102</f>
        <v/>
      </c>
      <c r="C13" s="115" t="inlineStr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111" t="inlineStr">
        <is>
          <t>Total Startup Investment</t>
        </is>
      </c>
      <c r="B14" s="123">
        <f>'Startup Costs'!C18</f>
        <v/>
      </c>
      <c r="C14" s="113" t="inlineStr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81" t="inlineStr">
        <is>
          <t>Months to Break-Even</t>
        </is>
      </c>
      <c r="B15" s="124">
        <f>'Startup Costs'!B24</f>
        <v/>
      </c>
      <c r="C15" s="115" t="inlineStr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111" t="inlineStr">
        <is>
          <t>Monthly Overhead</t>
        </is>
      </c>
      <c r="B16" s="123">
        <f>'Overhead Expenses'!C18</f>
        <v/>
      </c>
      <c r="C16" s="113" t="inlineStr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81" t="inlineStr">
        <is>
          <t>Hourly Overhead</t>
        </is>
      </c>
      <c r="B17" s="123">
        <f>'Overhead Expenses'!B25</f>
        <v/>
      </c>
      <c r="C17" s="115" t="inlineStr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111" t="inlineStr">
        <is>
          <t>Overhead % Auto</t>
        </is>
      </c>
      <c r="B18" s="125">
        <f>'Overhead Expenses'!B28</f>
        <v/>
      </c>
      <c r="C18" s="113" t="inlineStr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81" t="inlineStr">
        <is>
          <t>Active Recipes</t>
        </is>
      </c>
      <c r="B19" s="60">
        <f>COUNTA('Recipe Library'!B5:B54)</f>
        <v/>
      </c>
      <c r="C19" s="115" t="inlineStr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111" t="inlineStr">
        <is>
          <t>Total Stock Value</t>
        </is>
      </c>
      <c r="B20" s="123">
        <f>'Ingredients + Stock'!K52</f>
        <v/>
      </c>
      <c r="C20" s="113" t="inlineStr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1">
    <mergeCell ref="A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46A5A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6" customWidth="1" min="16" max="16"/>
    <col width="10" customWidth="1" min="17" max="17"/>
    <col width="8" customWidth="1" min="18" max="18"/>
    <col width="12" customWidth="1" min="19" max="19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Customer Name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 Price $</t>
        </is>
      </c>
      <c r="G1" s="6" t="inlineStr">
        <is>
          <t>Subtotal $</t>
        </is>
      </c>
      <c r="H1" s="6" t="inlineStr">
        <is>
          <t>Discount $</t>
        </is>
      </c>
      <c r="I1" s="6" t="inlineStr">
        <is>
          <t>Total $</t>
        </is>
      </c>
      <c r="J1" s="6" t="inlineStr">
        <is>
          <t>Due Date</t>
        </is>
      </c>
      <c r="K1" s="6" t="inlineStr">
        <is>
          <t>Status</t>
        </is>
      </c>
      <c r="L1" s="6" t="inlineStr">
        <is>
          <t>Payment Status</t>
        </is>
      </c>
      <c r="M1" s="6" t="inlineStr">
        <is>
          <t>Deposit $</t>
        </is>
      </c>
      <c r="N1" s="6" t="inlineStr">
        <is>
          <t>Balance Due $</t>
        </is>
      </c>
      <c r="O1" s="6" t="inlineStr">
        <is>
          <t>Fulfillment</t>
        </is>
      </c>
      <c r="P1" s="6" t="inlineStr">
        <is>
          <t>Delivery Address</t>
        </is>
      </c>
      <c r="Q1" s="6" t="inlineStr">
        <is>
          <t>Delivery Fee $</t>
        </is>
      </c>
      <c r="R1" s="6" t="inlineStr">
        <is>
          <t>Profit $</t>
        </is>
      </c>
      <c r="S1" s="6" t="inlineStr">
        <is>
          <t>Notes</t>
        </is>
      </c>
    </row>
    <row r="2">
      <c r="A2" s="71" t="inlineStr">
        <is>
          <t>ORD-1002</t>
        </is>
      </c>
      <c r="B2" s="126" t="n">
        <v>46253</v>
      </c>
      <c r="C2" s="127" t="inlineStr">
        <is>
          <t>Emma Johnson</t>
        </is>
      </c>
      <c r="D2" s="127" t="inlineStr">
        <is>
          <t>Sourdough Loaf</t>
        </is>
      </c>
      <c r="E2" s="127" t="n">
        <v>1</v>
      </c>
      <c r="F2" s="83" t="n">
        <v>0</v>
      </c>
      <c r="G2" s="7">
        <f>E2*F2</f>
        <v/>
      </c>
      <c r="H2" s="71" t="n"/>
      <c r="I2" s="7">
        <f>G2-H2</f>
        <v/>
      </c>
      <c r="J2" s="71" t="n"/>
      <c r="K2" s="127" t="inlineStr">
        <is>
          <t>Pending</t>
        </is>
      </c>
      <c r="L2" s="127" t="inlineStr">
        <is>
          <t>Unpaid</t>
        </is>
      </c>
      <c r="M2" s="71" t="n"/>
      <c r="N2" s="7">
        <f>I2-M2</f>
        <v/>
      </c>
      <c r="O2" s="71" t="n"/>
      <c r="P2" s="71" t="n"/>
      <c r="Q2" s="71" t="n"/>
      <c r="R2" s="71" t="n"/>
      <c r="S2" s="71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2" t="inlineStr">
        <is>
          <t>ORD-1003</t>
        </is>
      </c>
      <c r="B3" s="126" t="n">
        <v>46255</v>
      </c>
      <c r="C3" s="127" t="inlineStr">
        <is>
          <t>Emma Johnson</t>
        </is>
      </c>
      <c r="D3" s="127" t="inlineStr">
        <is>
          <t>Sourdough Loaf</t>
        </is>
      </c>
      <c r="E3" s="127" t="n">
        <v>1</v>
      </c>
      <c r="F3" s="87" t="n">
        <v>0</v>
      </c>
      <c r="G3" s="8">
        <f>E3*F3</f>
        <v/>
      </c>
      <c r="H3" s="72" t="n"/>
      <c r="I3" s="8">
        <f>G3-H3</f>
        <v/>
      </c>
      <c r="J3" s="72" t="n"/>
      <c r="K3" s="127" t="inlineStr">
        <is>
          <t>Pending</t>
        </is>
      </c>
      <c r="L3" s="127" t="inlineStr">
        <is>
          <t>Unpaid</t>
        </is>
      </c>
      <c r="M3" s="72" t="n"/>
      <c r="N3" s="8">
        <f>I3-M3</f>
        <v/>
      </c>
      <c r="O3" s="72" t="n"/>
      <c r="P3" s="72" t="n"/>
      <c r="Q3" s="72" t="n"/>
      <c r="R3" s="72" t="n"/>
      <c r="S3" s="72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1" t="inlineStr">
        <is>
          <t>ORD-1004</t>
        </is>
      </c>
      <c r="B4" s="126" t="n">
        <v>46260</v>
      </c>
      <c r="C4" s="127" t="inlineStr">
        <is>
          <t>Emma Johnson</t>
        </is>
      </c>
      <c r="D4" s="127" t="inlineStr">
        <is>
          <t>Sourdough Loaf</t>
        </is>
      </c>
      <c r="E4" s="127" t="n">
        <v>1</v>
      </c>
      <c r="F4" s="83" t="n">
        <v>0</v>
      </c>
      <c r="G4" s="7">
        <f>E4*F4</f>
        <v/>
      </c>
      <c r="H4" s="71" t="n"/>
      <c r="I4" s="7">
        <f>G4-H4</f>
        <v/>
      </c>
      <c r="J4" s="71" t="n"/>
      <c r="K4" s="127" t="inlineStr">
        <is>
          <t>Pending</t>
        </is>
      </c>
      <c r="L4" s="127" t="inlineStr">
        <is>
          <t>Unpaid</t>
        </is>
      </c>
      <c r="M4" s="71" t="n"/>
      <c r="N4" s="7">
        <f>I4-M4</f>
        <v/>
      </c>
      <c r="O4" s="71" t="n"/>
      <c r="P4" s="71" t="n"/>
      <c r="Q4" s="71" t="n"/>
      <c r="R4" s="71" t="n"/>
      <c r="S4" s="71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inlineStr">
        <is>
          <t>ORD-1005</t>
        </is>
      </c>
      <c r="B5" s="126" t="n">
        <v>46250</v>
      </c>
      <c r="C5" s="127" t="inlineStr">
        <is>
          <t>Emma Johnson</t>
        </is>
      </c>
      <c r="D5" s="127" t="inlineStr">
        <is>
          <t>Sourdough Loaf</t>
        </is>
      </c>
      <c r="E5" s="127" t="n">
        <v>1</v>
      </c>
      <c r="F5" s="87" t="n">
        <v>0</v>
      </c>
      <c r="G5" s="8">
        <f>E5*F5</f>
        <v/>
      </c>
      <c r="H5" s="72" t="n"/>
      <c r="I5" s="8">
        <f>G5-H5</f>
        <v/>
      </c>
      <c r="J5" s="72" t="n"/>
      <c r="K5" s="127" t="inlineStr">
        <is>
          <t>Pending</t>
        </is>
      </c>
      <c r="L5" s="127" t="inlineStr">
        <is>
          <t>Unpaid</t>
        </is>
      </c>
      <c r="M5" s="72" t="n"/>
      <c r="N5" s="8">
        <f>I5-M5</f>
        <v/>
      </c>
      <c r="O5" s="72" t="n"/>
      <c r="P5" s="72" t="n"/>
      <c r="Q5" s="72" t="n"/>
      <c r="R5" s="72" t="n"/>
      <c r="S5" s="72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inlineStr">
        <is>
          <t>ORD-1006</t>
        </is>
      </c>
      <c r="B6" s="126" t="n">
        <v>46246</v>
      </c>
      <c r="C6" s="127" t="inlineStr">
        <is>
          <t>Liam Smith</t>
        </is>
      </c>
      <c r="D6" s="127" t="inlineStr">
        <is>
          <t>Sourdough Loaf</t>
        </is>
      </c>
      <c r="E6" s="127" t="n">
        <v>1</v>
      </c>
      <c r="F6" s="83" t="n">
        <v>0</v>
      </c>
      <c r="G6" s="7">
        <f>E6*F6</f>
        <v/>
      </c>
      <c r="H6" s="71" t="n"/>
      <c r="I6" s="7">
        <f>G6-H6</f>
        <v/>
      </c>
      <c r="J6" s="71" t="n"/>
      <c r="K6" s="127" t="inlineStr">
        <is>
          <t>Pending</t>
        </is>
      </c>
      <c r="L6" s="127" t="inlineStr">
        <is>
          <t>Unpaid</t>
        </is>
      </c>
      <c r="M6" s="71" t="n"/>
      <c r="N6" s="7">
        <f>I6-M6</f>
        <v/>
      </c>
      <c r="O6" s="71" t="n"/>
      <c r="P6" s="71" t="n"/>
      <c r="Q6" s="71" t="n"/>
      <c r="R6" s="71" t="n"/>
      <c r="S6" s="71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inlineStr">
        <is>
          <t>ORD-1007</t>
        </is>
      </c>
      <c r="B7" s="126" t="n">
        <v>46243</v>
      </c>
      <c r="C7" s="127" t="inlineStr">
        <is>
          <t>Liam Smith</t>
        </is>
      </c>
      <c r="D7" s="127" t="inlineStr">
        <is>
          <t>Sourdough Loaf</t>
        </is>
      </c>
      <c r="E7" s="127" t="n">
        <v>1</v>
      </c>
      <c r="F7" s="87" t="n">
        <v>0</v>
      </c>
      <c r="G7" s="8">
        <f>E7*F7</f>
        <v/>
      </c>
      <c r="H7" s="72" t="n"/>
      <c r="I7" s="8">
        <f>G7-H7</f>
        <v/>
      </c>
      <c r="J7" s="72" t="n"/>
      <c r="K7" s="127" t="inlineStr">
        <is>
          <t>Pending</t>
        </is>
      </c>
      <c r="L7" s="127" t="inlineStr">
        <is>
          <t>Unpaid</t>
        </is>
      </c>
      <c r="M7" s="72" t="n"/>
      <c r="N7" s="8">
        <f>I7-M7</f>
        <v/>
      </c>
      <c r="O7" s="72" t="n"/>
      <c r="P7" s="72" t="n"/>
      <c r="Q7" s="72" t="n"/>
      <c r="R7" s="72" t="n"/>
      <c r="S7" s="72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ORD-1008</t>
        </is>
      </c>
      <c r="B8" s="126" t="n">
        <v>46257</v>
      </c>
      <c r="C8" s="127" t="inlineStr">
        <is>
          <t>Liam Smith</t>
        </is>
      </c>
      <c r="D8" s="127" t="inlineStr">
        <is>
          <t>Sourdough Loaf</t>
        </is>
      </c>
      <c r="E8" s="127" t="n">
        <v>1</v>
      </c>
      <c r="F8" s="83" t="n">
        <v>0</v>
      </c>
      <c r="G8" s="7">
        <f>E8*F8</f>
        <v/>
      </c>
      <c r="H8" s="71" t="n"/>
      <c r="I8" s="7">
        <f>G8-H8</f>
        <v/>
      </c>
      <c r="J8" s="71" t="n"/>
      <c r="K8" s="127" t="inlineStr">
        <is>
          <t>Pending</t>
        </is>
      </c>
      <c r="L8" s="127" t="inlineStr">
        <is>
          <t>Unpaid</t>
        </is>
      </c>
      <c r="M8" s="71" t="n"/>
      <c r="N8" s="7">
        <f>I8-M8</f>
        <v/>
      </c>
      <c r="O8" s="71" t="n"/>
      <c r="P8" s="71" t="n"/>
      <c r="Q8" s="71" t="n"/>
      <c r="R8" s="71" t="n"/>
      <c r="S8" s="71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ORD-1009</t>
        </is>
      </c>
      <c r="B9" s="126" t="n">
        <v>46247</v>
      </c>
      <c r="C9" s="127" t="inlineStr">
        <is>
          <t>Liam Smith</t>
        </is>
      </c>
      <c r="D9" s="127" t="inlineStr">
        <is>
          <t>Sourdough Loaf</t>
        </is>
      </c>
      <c r="E9" s="127" t="n">
        <v>1</v>
      </c>
      <c r="F9" s="87" t="n">
        <v>0</v>
      </c>
      <c r="G9" s="8">
        <f>E9*F9</f>
        <v/>
      </c>
      <c r="H9" s="72" t="n"/>
      <c r="I9" s="8">
        <f>G9-H9</f>
        <v/>
      </c>
      <c r="J9" s="72" t="n"/>
      <c r="K9" s="127" t="inlineStr">
        <is>
          <t>Pending</t>
        </is>
      </c>
      <c r="L9" s="127" t="inlineStr">
        <is>
          <t>Unpaid</t>
        </is>
      </c>
      <c r="M9" s="72" t="n"/>
      <c r="N9" s="8">
        <f>I9-M9</f>
        <v/>
      </c>
      <c r="O9" s="72" t="n"/>
      <c r="P9" s="72" t="n"/>
      <c r="Q9" s="72" t="n"/>
      <c r="R9" s="72" t="n"/>
      <c r="S9" s="72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inlineStr">
        <is>
          <t>ORD-1010</t>
        </is>
      </c>
      <c r="B10" s="126" t="n">
        <v>46260</v>
      </c>
      <c r="C10" s="127" t="inlineStr">
        <is>
          <t>Liam Smith</t>
        </is>
      </c>
      <c r="D10" s="127" t="inlineStr">
        <is>
          <t>Sourdough Loaf</t>
        </is>
      </c>
      <c r="E10" s="127" t="n">
        <v>1</v>
      </c>
      <c r="F10" s="83" t="n">
        <v>0</v>
      </c>
      <c r="G10" s="7">
        <f>E10*F10</f>
        <v/>
      </c>
      <c r="H10" s="71" t="n"/>
      <c r="I10" s="7">
        <f>G10-H10</f>
        <v/>
      </c>
      <c r="J10" s="71" t="n"/>
      <c r="K10" s="127" t="inlineStr">
        <is>
          <t>Pending</t>
        </is>
      </c>
      <c r="L10" s="127" t="inlineStr">
        <is>
          <t>Unpaid</t>
        </is>
      </c>
      <c r="M10" s="71" t="n"/>
      <c r="N10" s="7">
        <f>I10-M10</f>
        <v/>
      </c>
      <c r="O10" s="71" t="n"/>
      <c r="P10" s="71" t="n"/>
      <c r="Q10" s="71" t="n"/>
      <c r="R10" s="71" t="n"/>
      <c r="S10" s="71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inlineStr">
        <is>
          <t>ORD-1011</t>
        </is>
      </c>
      <c r="B11" s="126" t="n">
        <v>46254</v>
      </c>
      <c r="C11" s="127" t="inlineStr">
        <is>
          <t>Liam Smith</t>
        </is>
      </c>
      <c r="D11" s="127" t="inlineStr">
        <is>
          <t>Sourdough Loaf</t>
        </is>
      </c>
      <c r="E11" s="127" t="n">
        <v>1</v>
      </c>
      <c r="F11" s="87" t="n">
        <v>0</v>
      </c>
      <c r="G11" s="8">
        <f>E11*F11</f>
        <v/>
      </c>
      <c r="H11" s="72" t="n"/>
      <c r="I11" s="8">
        <f>G11-H11</f>
        <v/>
      </c>
      <c r="J11" s="72" t="n"/>
      <c r="K11" s="127" t="inlineStr">
        <is>
          <t>Pending</t>
        </is>
      </c>
      <c r="L11" s="127" t="inlineStr">
        <is>
          <t>Unpaid</t>
        </is>
      </c>
      <c r="M11" s="72" t="n"/>
      <c r="N11" s="8">
        <f>I11-M11</f>
        <v/>
      </c>
      <c r="O11" s="72" t="n"/>
      <c r="P11" s="72" t="n"/>
      <c r="Q11" s="72" t="n"/>
      <c r="R11" s="72" t="n"/>
      <c r="S11" s="72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inlineStr">
        <is>
          <t>ORD-1012</t>
        </is>
      </c>
      <c r="B12" s="126" t="n">
        <v>46252</v>
      </c>
      <c r="C12" s="127" t="inlineStr">
        <is>
          <t>Emma Johnson</t>
        </is>
      </c>
      <c r="D12" s="127" t="inlineStr">
        <is>
          <t>Sourdough Loaf</t>
        </is>
      </c>
      <c r="E12" s="127" t="n">
        <v>1</v>
      </c>
      <c r="F12" s="83" t="n">
        <v>0</v>
      </c>
      <c r="G12" s="7">
        <f>E12*F12</f>
        <v/>
      </c>
      <c r="H12" s="71" t="n"/>
      <c r="I12" s="7">
        <f>G12-H12</f>
        <v/>
      </c>
      <c r="J12" s="71" t="n"/>
      <c r="K12" s="127" t="inlineStr">
        <is>
          <t>Pending</t>
        </is>
      </c>
      <c r="L12" s="127" t="inlineStr">
        <is>
          <t>Unpaid</t>
        </is>
      </c>
      <c r="M12" s="71" t="n"/>
      <c r="N12" s="7">
        <f>I12-M12</f>
        <v/>
      </c>
      <c r="O12" s="71" t="n"/>
      <c r="P12" s="71" t="n"/>
      <c r="Q12" s="71" t="n"/>
      <c r="R12" s="71" t="n"/>
      <c r="S12" s="71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inlineStr">
        <is>
          <t>ORD-1013</t>
        </is>
      </c>
      <c r="B13" s="126" t="n">
        <v>46258</v>
      </c>
      <c r="C13" s="127" t="inlineStr">
        <is>
          <t>Liam Smith</t>
        </is>
      </c>
      <c r="D13" s="127" t="inlineStr">
        <is>
          <t>Sourdough Loaf</t>
        </is>
      </c>
      <c r="E13" s="127" t="n">
        <v>1</v>
      </c>
      <c r="F13" s="87" t="n">
        <v>0</v>
      </c>
      <c r="G13" s="8">
        <f>E13*F13</f>
        <v/>
      </c>
      <c r="H13" s="72" t="n"/>
      <c r="I13" s="8">
        <f>G13-H13</f>
        <v/>
      </c>
      <c r="J13" s="72" t="n"/>
      <c r="K13" s="127" t="inlineStr">
        <is>
          <t>Pending</t>
        </is>
      </c>
      <c r="L13" s="127" t="inlineStr">
        <is>
          <t>Unpaid</t>
        </is>
      </c>
      <c r="M13" s="72" t="n"/>
      <c r="N13" s="8">
        <f>I13-M13</f>
        <v/>
      </c>
      <c r="O13" s="72" t="n"/>
      <c r="P13" s="72" t="n"/>
      <c r="Q13" s="72" t="n"/>
      <c r="R13" s="72" t="n"/>
      <c r="S13" s="72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inlineStr">
        <is>
          <t>ORD-1014</t>
        </is>
      </c>
      <c r="B14" s="126" t="n">
        <v>46253</v>
      </c>
      <c r="C14" s="127" t="inlineStr">
        <is>
          <t>Emma Johnson</t>
        </is>
      </c>
      <c r="D14" s="127" t="inlineStr">
        <is>
          <t>Sourdough Loaf</t>
        </is>
      </c>
      <c r="E14" s="127" t="n">
        <v>1</v>
      </c>
      <c r="F14" s="83" t="n">
        <v>0</v>
      </c>
      <c r="G14" s="7">
        <f>E14*F14</f>
        <v/>
      </c>
      <c r="H14" s="71" t="n"/>
      <c r="I14" s="7">
        <f>G14-H14</f>
        <v/>
      </c>
      <c r="J14" s="71" t="n"/>
      <c r="K14" s="127" t="inlineStr">
        <is>
          <t>Pending</t>
        </is>
      </c>
      <c r="L14" s="127" t="inlineStr">
        <is>
          <t>Unpaid</t>
        </is>
      </c>
      <c r="M14" s="71" t="n"/>
      <c r="N14" s="7">
        <f>I14-M14</f>
        <v/>
      </c>
      <c r="O14" s="71" t="n"/>
      <c r="P14" s="71" t="n"/>
      <c r="Q14" s="71" t="n"/>
      <c r="R14" s="71" t="n"/>
      <c r="S14" s="71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inlineStr">
        <is>
          <t>ORD-1015</t>
        </is>
      </c>
      <c r="B15" s="126" t="n">
        <v>46243</v>
      </c>
      <c r="C15" s="127" t="inlineStr">
        <is>
          <t>Liam Smith</t>
        </is>
      </c>
      <c r="D15" s="127" t="inlineStr">
        <is>
          <t>Sourdough Loaf</t>
        </is>
      </c>
      <c r="E15" s="127" t="n">
        <v>1</v>
      </c>
      <c r="F15" s="87" t="n">
        <v>0</v>
      </c>
      <c r="G15" s="8">
        <f>E15*F15</f>
        <v/>
      </c>
      <c r="H15" s="72" t="n"/>
      <c r="I15" s="8">
        <f>G15-H15</f>
        <v/>
      </c>
      <c r="J15" s="72" t="n"/>
      <c r="K15" s="127" t="inlineStr">
        <is>
          <t>Pending</t>
        </is>
      </c>
      <c r="L15" s="127" t="inlineStr">
        <is>
          <t>Unpaid</t>
        </is>
      </c>
      <c r="M15" s="72" t="n"/>
      <c r="N15" s="8">
        <f>I15-M15</f>
        <v/>
      </c>
      <c r="O15" s="72" t="n"/>
      <c r="P15" s="72" t="n"/>
      <c r="Q15" s="72" t="n"/>
      <c r="R15" s="72" t="n"/>
      <c r="S15" s="72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inlineStr">
        <is>
          <t>ORD-1016</t>
        </is>
      </c>
      <c r="B16" s="126" t="n">
        <v>46237</v>
      </c>
      <c r="C16" s="127" t="inlineStr">
        <is>
          <t>Emma Johnson</t>
        </is>
      </c>
      <c r="D16" s="127" t="inlineStr">
        <is>
          <t>Sourdough Loaf</t>
        </is>
      </c>
      <c r="E16" s="127" t="n">
        <v>1</v>
      </c>
      <c r="F16" s="83" t="n">
        <v>0</v>
      </c>
      <c r="G16" s="7">
        <f>E16*F16</f>
        <v/>
      </c>
      <c r="H16" s="71" t="n"/>
      <c r="I16" s="7">
        <f>G16-H16</f>
        <v/>
      </c>
      <c r="J16" s="71" t="n"/>
      <c r="K16" s="127" t="inlineStr">
        <is>
          <t>Pending</t>
        </is>
      </c>
      <c r="L16" s="127" t="inlineStr">
        <is>
          <t>Unpaid</t>
        </is>
      </c>
      <c r="M16" s="71" t="n"/>
      <c r="N16" s="7">
        <f>I16-M16</f>
        <v/>
      </c>
      <c r="O16" s="71" t="n"/>
      <c r="P16" s="71" t="n"/>
      <c r="Q16" s="71" t="n"/>
      <c r="R16" s="71" t="n"/>
      <c r="S16" s="71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inlineStr">
        <is>
          <t>ORD-1017</t>
        </is>
      </c>
      <c r="B17" s="126" t="n">
        <v>46245</v>
      </c>
      <c r="C17" s="127" t="inlineStr">
        <is>
          <t>Liam Smith</t>
        </is>
      </c>
      <c r="D17" s="127" t="inlineStr">
        <is>
          <t>Sourdough Loaf</t>
        </is>
      </c>
      <c r="E17" s="127" t="n">
        <v>1</v>
      </c>
      <c r="F17" s="87" t="n">
        <v>0</v>
      </c>
      <c r="G17" s="8">
        <f>E17*F17</f>
        <v/>
      </c>
      <c r="H17" s="72" t="n"/>
      <c r="I17" s="8">
        <f>G17-H17</f>
        <v/>
      </c>
      <c r="J17" s="72" t="n"/>
      <c r="K17" s="127" t="inlineStr">
        <is>
          <t>Pending</t>
        </is>
      </c>
      <c r="L17" s="127" t="inlineStr">
        <is>
          <t>Unpaid</t>
        </is>
      </c>
      <c r="M17" s="72" t="n"/>
      <c r="N17" s="8">
        <f>I17-M17</f>
        <v/>
      </c>
      <c r="O17" s="72" t="n"/>
      <c r="P17" s="72" t="n"/>
      <c r="Q17" s="72" t="n"/>
      <c r="R17" s="72" t="n"/>
      <c r="S17" s="72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inlineStr">
        <is>
          <t>ORD-1018</t>
        </is>
      </c>
      <c r="B18" s="126" t="n">
        <v>46246</v>
      </c>
      <c r="C18" s="127" t="inlineStr">
        <is>
          <t>Liam Smith</t>
        </is>
      </c>
      <c r="D18" s="127" t="inlineStr">
        <is>
          <t>Sourdough Loaf</t>
        </is>
      </c>
      <c r="E18" s="127" t="n">
        <v>1</v>
      </c>
      <c r="F18" s="83" t="n">
        <v>0</v>
      </c>
      <c r="G18" s="7">
        <f>E18*F18</f>
        <v/>
      </c>
      <c r="H18" s="71" t="n"/>
      <c r="I18" s="7">
        <f>G18-H18</f>
        <v/>
      </c>
      <c r="J18" s="71" t="n"/>
      <c r="K18" s="127" t="inlineStr">
        <is>
          <t>Pending</t>
        </is>
      </c>
      <c r="L18" s="127" t="inlineStr">
        <is>
          <t>Unpaid</t>
        </is>
      </c>
      <c r="M18" s="71" t="n"/>
      <c r="N18" s="7">
        <f>I18-M18</f>
        <v/>
      </c>
      <c r="O18" s="71" t="n"/>
      <c r="P18" s="71" t="n"/>
      <c r="Q18" s="71" t="n"/>
      <c r="R18" s="71" t="n"/>
      <c r="S18" s="71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inlineStr">
        <is>
          <t>ORD-1019</t>
        </is>
      </c>
      <c r="B19" s="126" t="n">
        <v>46248</v>
      </c>
      <c r="C19" s="127" t="inlineStr">
        <is>
          <t>Liam Smith</t>
        </is>
      </c>
      <c r="D19" s="127" t="inlineStr">
        <is>
          <t>Sourdough Loaf</t>
        </is>
      </c>
      <c r="E19" s="127" t="n">
        <v>1</v>
      </c>
      <c r="F19" s="87" t="n">
        <v>0</v>
      </c>
      <c r="G19" s="8">
        <f>E19*F19</f>
        <v/>
      </c>
      <c r="H19" s="72" t="n"/>
      <c r="I19" s="8">
        <f>G19-H19</f>
        <v/>
      </c>
      <c r="J19" s="72" t="n"/>
      <c r="K19" s="127" t="inlineStr">
        <is>
          <t>Pending</t>
        </is>
      </c>
      <c r="L19" s="127" t="inlineStr">
        <is>
          <t>Unpaid</t>
        </is>
      </c>
      <c r="M19" s="72" t="n"/>
      <c r="N19" s="8">
        <f>I19-M19</f>
        <v/>
      </c>
      <c r="O19" s="72" t="n"/>
      <c r="P19" s="72" t="n"/>
      <c r="Q19" s="72" t="n"/>
      <c r="R19" s="72" t="n"/>
      <c r="S19" s="72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inlineStr">
        <is>
          <t>ORD-1020</t>
        </is>
      </c>
      <c r="B20" s="126" t="n">
        <v>46235</v>
      </c>
      <c r="C20" s="127" t="inlineStr">
        <is>
          <t>Emma Johnson</t>
        </is>
      </c>
      <c r="D20" s="127" t="inlineStr">
        <is>
          <t>Sourdough Loaf</t>
        </is>
      </c>
      <c r="E20" s="127" t="n">
        <v>1</v>
      </c>
      <c r="F20" s="83" t="n">
        <v>0</v>
      </c>
      <c r="G20" s="7">
        <f>E20*F20</f>
        <v/>
      </c>
      <c r="H20" s="71" t="n"/>
      <c r="I20" s="7">
        <f>G20-H20</f>
        <v/>
      </c>
      <c r="J20" s="71" t="n"/>
      <c r="K20" s="127" t="inlineStr">
        <is>
          <t>Pending</t>
        </is>
      </c>
      <c r="L20" s="127" t="inlineStr">
        <is>
          <t>Unpaid</t>
        </is>
      </c>
      <c r="M20" s="71" t="n"/>
      <c r="N20" s="7">
        <f>I20-M20</f>
        <v/>
      </c>
      <c r="O20" s="71" t="n"/>
      <c r="P20" s="71" t="n"/>
      <c r="Q20" s="71" t="n"/>
      <c r="R20" s="71" t="n"/>
      <c r="S20" s="71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inlineStr">
        <is>
          <t>ORD-1021</t>
        </is>
      </c>
      <c r="B21" s="126" t="n">
        <v>46244</v>
      </c>
      <c r="C21" s="127" t="inlineStr">
        <is>
          <t>Emma Johnson</t>
        </is>
      </c>
      <c r="D21" s="127" t="inlineStr">
        <is>
          <t>Sourdough Loaf</t>
        </is>
      </c>
      <c r="E21" s="127" t="n">
        <v>1</v>
      </c>
      <c r="F21" s="87" t="n">
        <v>0</v>
      </c>
      <c r="G21" s="8">
        <f>E21*F21</f>
        <v/>
      </c>
      <c r="H21" s="72" t="n"/>
      <c r="I21" s="8">
        <f>G21-H21</f>
        <v/>
      </c>
      <c r="J21" s="72" t="n"/>
      <c r="K21" s="127" t="inlineStr">
        <is>
          <t>Pending</t>
        </is>
      </c>
      <c r="L21" s="127" t="inlineStr">
        <is>
          <t>Unpaid</t>
        </is>
      </c>
      <c r="M21" s="72" t="n"/>
      <c r="N21" s="8">
        <f>I21-M21</f>
        <v/>
      </c>
      <c r="O21" s="72" t="n"/>
      <c r="P21" s="72" t="n"/>
      <c r="Q21" s="72" t="n"/>
      <c r="R21" s="72" t="n"/>
      <c r="S21" s="72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9E7E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6" t="inlineStr">
        <is>
          <t>ID</t>
        </is>
      </c>
      <c r="B1" s="6" t="inlineStr">
        <is>
          <t>Date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Description</t>
        </is>
      </c>
      <c r="F1" s="6" t="inlineStr">
        <is>
          <t>Income $</t>
        </is>
      </c>
      <c r="G1" s="6" t="inlineStr">
        <is>
          <t>Expense $</t>
        </is>
      </c>
      <c r="H1" s="6" t="inlineStr">
        <is>
          <t>Net $</t>
        </is>
      </c>
      <c r="I1" s="6" t="inlineStr">
        <is>
          <t>Month</t>
        </is>
      </c>
      <c r="J1" s="6" t="inlineStr">
        <is>
          <t>Payment Method</t>
        </is>
      </c>
      <c r="K1" s="6" t="inlineStr">
        <is>
          <t>Tax Deductible</t>
        </is>
      </c>
      <c r="L1" s="6" t="inlineStr">
        <is>
          <t>Vendor</t>
        </is>
      </c>
      <c r="M1" s="6" t="inlineStr">
        <is>
          <t>Running Balance $</t>
        </is>
      </c>
    </row>
    <row r="2">
      <c r="A2" s="66" t="n">
        <v>1</v>
      </c>
      <c r="B2" s="118" t="n">
        <v>46236</v>
      </c>
      <c r="C2" s="96" t="inlineStr">
        <is>
          <t>Income</t>
        </is>
      </c>
      <c r="D2" s="96" t="inlineStr">
        <is>
          <t>Donations</t>
        </is>
      </c>
      <c r="E2" s="66" t="n"/>
      <c r="F2" s="128" t="n">
        <v>100</v>
      </c>
      <c r="G2" s="128" t="n">
        <v>0</v>
      </c>
      <c r="H2">
        <f>F2-G2</f>
        <v/>
      </c>
      <c r="I2">
        <f>TEXT(B2,"YYYY-MM")</f>
        <v/>
      </c>
      <c r="J2" s="66" t="n"/>
      <c r="K2" s="66" t="n"/>
      <c r="L2" s="66" t="n"/>
      <c r="M2">
        <f>IF(ROW()=2,H2,M1+H2)</f>
        <v/>
      </c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n">
        <v>2</v>
      </c>
      <c r="B3" s="118" t="n">
        <v>46237</v>
      </c>
      <c r="C3" s="96" t="inlineStr">
        <is>
          <t>Expense</t>
        </is>
      </c>
      <c r="D3" s="96" t="inlineStr">
        <is>
          <t>Supplies</t>
        </is>
      </c>
      <c r="E3" s="66" t="n"/>
      <c r="F3" s="128" t="n">
        <v>0</v>
      </c>
      <c r="G3" s="128" t="n">
        <v>50</v>
      </c>
      <c r="H3">
        <f>F3-G3</f>
        <v/>
      </c>
      <c r="I3">
        <f>TEXT(B3,"YYYY-MM")</f>
        <v/>
      </c>
      <c r="J3" s="66" t="n"/>
      <c r="K3" s="66" t="n"/>
      <c r="L3" s="66" t="n"/>
      <c r="M3">
        <f>IF(ROW()=2,H2,M2+H3)</f>
        <v/>
      </c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n">
        <v>3</v>
      </c>
      <c r="B4" s="118" t="n">
        <v>46238</v>
      </c>
      <c r="C4" s="96" t="inlineStr">
        <is>
          <t>Income</t>
        </is>
      </c>
      <c r="D4" s="96" t="inlineStr">
        <is>
          <t>Donations</t>
        </is>
      </c>
      <c r="E4" s="66" t="n"/>
      <c r="F4" s="128" t="n">
        <v>100</v>
      </c>
      <c r="G4" s="128" t="n">
        <v>0</v>
      </c>
      <c r="H4">
        <f>F4-G4</f>
        <v/>
      </c>
      <c r="I4">
        <f>TEXT(B4,"YYYY-MM")</f>
        <v/>
      </c>
      <c r="J4" s="66" t="n"/>
      <c r="K4" s="66" t="n"/>
      <c r="L4" s="66" t="n"/>
      <c r="M4">
        <f>IF(ROW()=2,H2,M3+H4)</f>
        <v/>
      </c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n">
        <v>4</v>
      </c>
      <c r="B5" s="118" t="n">
        <v>46239</v>
      </c>
      <c r="C5" s="96" t="inlineStr">
        <is>
          <t>Expense</t>
        </is>
      </c>
      <c r="D5" s="96" t="inlineStr">
        <is>
          <t>Supplies</t>
        </is>
      </c>
      <c r="E5" s="66" t="n"/>
      <c r="F5" s="128" t="n">
        <v>0</v>
      </c>
      <c r="G5" s="128" t="n">
        <v>50</v>
      </c>
      <c r="H5">
        <f>F5-G5</f>
        <v/>
      </c>
      <c r="I5">
        <f>TEXT(B5,"YYYY-MM")</f>
        <v/>
      </c>
      <c r="J5" s="66" t="n"/>
      <c r="K5" s="66" t="n"/>
      <c r="L5" s="66" t="n"/>
      <c r="M5">
        <f>IF(ROW()=2,H2,M4+H5)</f>
        <v/>
      </c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n">
        <v>5</v>
      </c>
      <c r="B6" s="118" t="n">
        <v>46240</v>
      </c>
      <c r="C6" s="96" t="inlineStr">
        <is>
          <t>Income</t>
        </is>
      </c>
      <c r="D6" s="96" t="inlineStr">
        <is>
          <t>Donations</t>
        </is>
      </c>
      <c r="E6" s="66" t="n"/>
      <c r="F6" s="128" t="n">
        <v>100</v>
      </c>
      <c r="G6" s="128" t="n">
        <v>0</v>
      </c>
      <c r="H6">
        <f>F6-G6</f>
        <v/>
      </c>
      <c r="I6">
        <f>TEXT(B6,"YYYY-MM")</f>
        <v/>
      </c>
      <c r="J6" s="66" t="n"/>
      <c r="K6" s="66" t="n"/>
      <c r="L6" s="66" t="n"/>
      <c r="M6">
        <f>IF(ROW()=2,H2,M5+H6)</f>
        <v/>
      </c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>
        <v>6</v>
      </c>
      <c r="B7" s="118" t="n">
        <v>46241</v>
      </c>
      <c r="C7" s="96" t="inlineStr">
        <is>
          <t>Expense</t>
        </is>
      </c>
      <c r="D7" s="96" t="inlineStr">
        <is>
          <t>Supplies</t>
        </is>
      </c>
      <c r="E7" s="66" t="n"/>
      <c r="F7" s="128" t="n">
        <v>0</v>
      </c>
      <c r="G7" s="128" t="n">
        <v>50</v>
      </c>
      <c r="H7">
        <f>F7-G7</f>
        <v/>
      </c>
      <c r="I7">
        <f>TEXT(B7,"YYYY-MM")</f>
        <v/>
      </c>
      <c r="J7" s="66" t="n"/>
      <c r="K7" s="66" t="n"/>
      <c r="L7" s="66" t="n"/>
      <c r="M7">
        <f>IF(ROW()=2,H2,M6+H7)</f>
        <v/>
      </c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n">
        <v>7</v>
      </c>
      <c r="B8" s="118" t="n">
        <v>46242</v>
      </c>
      <c r="C8" s="96" t="inlineStr">
        <is>
          <t>Income</t>
        </is>
      </c>
      <c r="D8" s="96" t="inlineStr">
        <is>
          <t>Donations</t>
        </is>
      </c>
      <c r="E8" s="66" t="n"/>
      <c r="F8" s="128" t="n">
        <v>100</v>
      </c>
      <c r="G8" s="128" t="n">
        <v>0</v>
      </c>
      <c r="H8">
        <f>F8-G8</f>
        <v/>
      </c>
      <c r="I8">
        <f>TEXT(B8,"YYYY-MM")</f>
        <v/>
      </c>
      <c r="J8" s="66" t="n"/>
      <c r="K8" s="66" t="n"/>
      <c r="L8" s="66" t="n"/>
      <c r="M8">
        <f>IF(ROW()=2,H2,M7+H8)</f>
        <v/>
      </c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>
        <v>8</v>
      </c>
      <c r="B9" s="118" t="n">
        <v>46243</v>
      </c>
      <c r="C9" s="96" t="inlineStr">
        <is>
          <t>Expense</t>
        </is>
      </c>
      <c r="D9" s="96" t="inlineStr">
        <is>
          <t>Supplies</t>
        </is>
      </c>
      <c r="E9" s="66" t="n"/>
      <c r="F9" s="128" t="n">
        <v>0</v>
      </c>
      <c r="G9" s="128" t="n">
        <v>50</v>
      </c>
      <c r="H9">
        <f>F9-G9</f>
        <v/>
      </c>
      <c r="I9">
        <f>TEXT(B9,"YYYY-MM")</f>
        <v/>
      </c>
      <c r="J9" s="66" t="n"/>
      <c r="K9" s="66" t="n"/>
      <c r="L9" s="66" t="n"/>
      <c r="M9">
        <f>IF(ROW()=2,H2,M8+H9)</f>
        <v/>
      </c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n">
        <v>9</v>
      </c>
      <c r="B10" s="118" t="n">
        <v>46244</v>
      </c>
      <c r="C10" s="96" t="inlineStr">
        <is>
          <t>Income</t>
        </is>
      </c>
      <c r="D10" s="96" t="inlineStr">
        <is>
          <t>Donations</t>
        </is>
      </c>
      <c r="E10" s="66" t="n"/>
      <c r="F10" s="128" t="n">
        <v>100</v>
      </c>
      <c r="G10" s="128" t="n">
        <v>0</v>
      </c>
      <c r="H10">
        <f>F10-G10</f>
        <v/>
      </c>
      <c r="I10">
        <f>TEXT(B10,"YYYY-MM")</f>
        <v/>
      </c>
      <c r="J10" s="66" t="n"/>
      <c r="K10" s="66" t="n"/>
      <c r="L10" s="66" t="n"/>
      <c r="M10">
        <f>IF(ROW()=2,H2,M9+H10)</f>
        <v/>
      </c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n">
        <v>10</v>
      </c>
      <c r="B11" s="118" t="n">
        <v>46245</v>
      </c>
      <c r="C11" s="96" t="inlineStr">
        <is>
          <t>Expense</t>
        </is>
      </c>
      <c r="D11" s="96" t="inlineStr">
        <is>
          <t>Supplies</t>
        </is>
      </c>
      <c r="E11" s="66" t="n"/>
      <c r="F11" s="128" t="n">
        <v>0</v>
      </c>
      <c r="G11" s="128" t="n">
        <v>50</v>
      </c>
      <c r="H11">
        <f>F11-G11</f>
        <v/>
      </c>
      <c r="I11">
        <f>TEXT(B11,"YYYY-MM")</f>
        <v/>
      </c>
      <c r="J11" s="66" t="n"/>
      <c r="K11" s="66" t="n"/>
      <c r="L11" s="66" t="n"/>
      <c r="M11">
        <f>IF(ROW()=2,H2,M10+H11)</f>
        <v/>
      </c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91">
        <f>SUM(F2:F101)</f>
        <v/>
      </c>
      <c r="G102" s="91">
        <f>SUM(G2:G101)</f>
        <v/>
      </c>
      <c r="H102" s="91">
        <f>F102-G102</f>
        <v/>
      </c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dataValidations count="2">
    <dataValidation sqref="C2:C101" showDropDown="0" showInputMessage="0" showErrorMessage="0" allowBlank="1" type="list">
      <formula1>"Income,Expense"</formula1>
    </dataValidation>
    <dataValidation sqref="D2:D101" showDropDown="0" showInputMessage="0" showErrorMessage="0" allowBlank="1" type="list">
      <formula1>"Donations,Sales,Supplies,Ingredients,Equipment,Permits,Marketing,Other"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9E4B7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>
      <c r="A1" s="6" t="inlineStr">
        <is>
          <t>Date</t>
        </is>
      </c>
      <c r="B1" s="6" t="inlineStr">
        <is>
          <t>Event Name</t>
        </is>
      </c>
      <c r="C1" s="6" t="inlineStr">
        <is>
          <t>Revenue $</t>
        </is>
      </c>
      <c r="D1" s="6" t="inlineStr">
        <is>
          <t>Booth Fee $</t>
        </is>
      </c>
      <c r="E1" s="6" t="inlineStr">
        <is>
          <t>Other Costs $</t>
        </is>
      </c>
      <c r="F1" s="6" t="inlineStr">
        <is>
          <t>Total Costs $</t>
        </is>
      </c>
      <c r="G1" s="6" t="inlineStr">
        <is>
          <t>Net Profit $</t>
        </is>
      </c>
      <c r="H1" s="6" t="inlineStr">
        <is>
          <t>ROI %</t>
        </is>
      </c>
      <c r="I1" s="6" t="inlineStr">
        <is>
          <t>Hours</t>
        </is>
      </c>
      <c r="J1" s="6" t="inlineStr">
        <is>
          <t>Net/Hour $</t>
        </is>
      </c>
      <c r="K1" s="6" t="inlineStr">
        <is>
          <t>Units Sold</t>
        </is>
      </c>
      <c r="L1" s="6" t="inlineStr">
        <is>
          <t>Worth It?</t>
        </is>
      </c>
    </row>
    <row r="2">
      <c r="A2" s="118" t="n">
        <v>46236</v>
      </c>
      <c r="B2" s="96" t="inlineStr">
        <is>
          <t>Farmers Market</t>
        </is>
      </c>
      <c r="C2" s="96" t="n">
        <v>400</v>
      </c>
      <c r="D2" s="96" t="n">
        <v>50</v>
      </c>
      <c r="E2" s="66" t="n"/>
      <c r="F2">
        <f>D2+E2</f>
        <v/>
      </c>
      <c r="G2">
        <f>C2-F2</f>
        <v/>
      </c>
      <c r="H2" s="129">
        <f>IF(F2=0,0,G2/F2)</f>
        <v/>
      </c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118" t="n">
        <v>46237</v>
      </c>
      <c r="B3" s="96" t="inlineStr">
        <is>
          <t>Farmers Market</t>
        </is>
      </c>
      <c r="C3" s="96" t="n">
        <v>400</v>
      </c>
      <c r="D3" s="96" t="n">
        <v>50</v>
      </c>
      <c r="E3" s="66" t="n"/>
      <c r="F3">
        <f>D3+E3</f>
        <v/>
      </c>
      <c r="G3">
        <f>C3-F3</f>
        <v/>
      </c>
      <c r="H3" s="129">
        <f>IF(F3=0,0,G3/F3)</f>
        <v/>
      </c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118" t="n">
        <v>46238</v>
      </c>
      <c r="B4" s="96" t="inlineStr">
        <is>
          <t>Farmers Market</t>
        </is>
      </c>
      <c r="C4" s="96" t="n">
        <v>400</v>
      </c>
      <c r="D4" s="96" t="n">
        <v>50</v>
      </c>
      <c r="E4" s="66" t="n"/>
      <c r="F4">
        <f>D4+E4</f>
        <v/>
      </c>
      <c r="G4">
        <f>C4-F4</f>
        <v/>
      </c>
      <c r="H4" s="129">
        <f>IF(F4=0,0,G4/F4)</f>
        <v/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118" t="n">
        <v>46239</v>
      </c>
      <c r="B5" s="96" t="inlineStr">
        <is>
          <t>Farmers Market</t>
        </is>
      </c>
      <c r="C5" s="96" t="n">
        <v>400</v>
      </c>
      <c r="D5" s="96" t="n">
        <v>50</v>
      </c>
      <c r="E5" s="66" t="n"/>
      <c r="F5">
        <f>D5+E5</f>
        <v/>
      </c>
      <c r="G5">
        <f>C5-F5</f>
        <v/>
      </c>
      <c r="H5" s="129">
        <f>IF(F5=0,0,G5/F5)</f>
        <v/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118" t="n">
        <v>46240</v>
      </c>
      <c r="B6" s="96" t="inlineStr">
        <is>
          <t>Farmers Market</t>
        </is>
      </c>
      <c r="C6" s="96" t="n">
        <v>400</v>
      </c>
      <c r="D6" s="96" t="n">
        <v>50</v>
      </c>
      <c r="E6" s="66" t="n"/>
      <c r="F6">
        <f>D6+E6</f>
        <v/>
      </c>
      <c r="G6">
        <f>C6-F6</f>
        <v/>
      </c>
      <c r="H6" s="129">
        <f>IF(F6=0,0,G6/F6)</f>
        <v/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118" t="n">
        <v>46241</v>
      </c>
      <c r="B7" s="96" t="inlineStr">
        <is>
          <t>Farmers Market</t>
        </is>
      </c>
      <c r="C7" s="96" t="n">
        <v>400</v>
      </c>
      <c r="D7" s="96" t="n">
        <v>50</v>
      </c>
      <c r="E7" s="66" t="n"/>
      <c r="F7">
        <f>D7+E7</f>
        <v/>
      </c>
      <c r="G7">
        <f>C7-F7</f>
        <v/>
      </c>
      <c r="H7" s="129">
        <f>IF(F7=0,0,G7/F7)</f>
        <v/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118" t="n">
        <v>46242</v>
      </c>
      <c r="B8" s="96" t="inlineStr">
        <is>
          <t>Farmers Market</t>
        </is>
      </c>
      <c r="C8" s="96" t="n">
        <v>400</v>
      </c>
      <c r="D8" s="96" t="n">
        <v>50</v>
      </c>
      <c r="E8" s="66" t="n"/>
      <c r="F8">
        <f>D8+E8</f>
        <v/>
      </c>
      <c r="G8">
        <f>C8-F8</f>
        <v/>
      </c>
      <c r="H8" s="129">
        <f>IF(F8=0,0,G8/F8)</f>
        <v/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118" t="n">
        <v>46243</v>
      </c>
      <c r="B9" s="96" t="inlineStr">
        <is>
          <t>Farmers Market</t>
        </is>
      </c>
      <c r="C9" s="96" t="n">
        <v>400</v>
      </c>
      <c r="D9" s="96" t="n">
        <v>50</v>
      </c>
      <c r="E9" s="66" t="n"/>
      <c r="F9">
        <f>D9+E9</f>
        <v/>
      </c>
      <c r="G9">
        <f>C9-F9</f>
        <v/>
      </c>
      <c r="H9" s="129">
        <f>IF(F9=0,0,G9/F9)</f>
        <v/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118" t="n">
        <v>46244</v>
      </c>
      <c r="B10" s="96" t="inlineStr">
        <is>
          <t>Farmers Market</t>
        </is>
      </c>
      <c r="C10" s="96" t="n">
        <v>400</v>
      </c>
      <c r="D10" s="96" t="n">
        <v>50</v>
      </c>
      <c r="E10" s="66" t="n"/>
      <c r="F10">
        <f>D10+E10</f>
        <v/>
      </c>
      <c r="G10">
        <f>C10-F10</f>
        <v/>
      </c>
      <c r="H10" s="129">
        <f>IF(F10=0,0,G10/F10)</f>
        <v/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118" t="n">
        <v>46245</v>
      </c>
      <c r="B11" s="96" t="inlineStr">
        <is>
          <t>Farmers Market</t>
        </is>
      </c>
      <c r="C11" s="96" t="n">
        <v>400</v>
      </c>
      <c r="D11" s="96" t="n">
        <v>50</v>
      </c>
      <c r="E11" s="66" t="n"/>
      <c r="F11">
        <f>D11+E11</f>
        <v/>
      </c>
      <c r="G11">
        <f>C11-F11</f>
        <v/>
      </c>
      <c r="H11" s="129">
        <f>IF(F11=0,0,G11/F11)</f>
        <v/>
      </c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8AFA0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6" customWidth="1" min="10" max="10"/>
  </cols>
  <sheetData>
    <row r="1">
      <c r="A1" s="6" t="inlineStr">
        <is>
          <t>Customer ID</t>
        </is>
      </c>
      <c r="B1" s="6" t="inlineStr">
        <is>
          <t>Customer Name</t>
        </is>
      </c>
      <c r="C1" s="6" t="inlineStr">
        <is>
          <t>Contact</t>
        </is>
      </c>
      <c r="D1" s="6" t="inlineStr">
        <is>
          <t>Total Orders</t>
        </is>
      </c>
      <c r="E1" s="6" t="inlineStr">
        <is>
          <t>Total Spent $</t>
        </is>
      </c>
      <c r="F1" s="6" t="inlineStr">
        <is>
          <t>Last Order</t>
        </is>
      </c>
      <c r="G1" s="6" t="inlineStr">
        <is>
          <t>Balance Owed $</t>
        </is>
      </c>
      <c r="H1" s="6" t="inlineStr">
        <is>
          <t>Tag</t>
        </is>
      </c>
      <c r="I1" s="6" t="inlineStr">
        <is>
          <t>Allergies</t>
        </is>
      </c>
      <c r="J1" s="6" t="inlineStr">
        <is>
          <t>Preferences</t>
        </is>
      </c>
    </row>
    <row r="2">
      <c r="A2" s="66" t="inlineStr">
        <is>
          <t>CUST-1002</t>
        </is>
      </c>
      <c r="B2" s="96" t="inlineStr">
        <is>
          <t>Liam Smith</t>
        </is>
      </c>
      <c r="C2" s="66" t="n"/>
      <c r="D2">
        <f>COUNTIF(Orders!C:C,B2)</f>
        <v/>
      </c>
      <c r="E2" s="98">
        <f>SUMIF(Orders!C:C,B2,Orders!I:I)</f>
        <v/>
      </c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inlineStr">
        <is>
          <t>CUST-1003</t>
        </is>
      </c>
      <c r="B3" s="96" t="inlineStr">
        <is>
          <t>Liam Smith</t>
        </is>
      </c>
      <c r="C3" s="66" t="n"/>
      <c r="D3">
        <f>COUNTIF(Orders!C:C,B3)</f>
        <v/>
      </c>
      <c r="E3" s="98">
        <f>SUMIF(Orders!C:C,B3,Orders!I:I)</f>
        <v/>
      </c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inlineStr">
        <is>
          <t>CUST-1004</t>
        </is>
      </c>
      <c r="B4" s="96" t="inlineStr">
        <is>
          <t>Emma Johnson</t>
        </is>
      </c>
      <c r="C4" s="66" t="n"/>
      <c r="D4">
        <f>COUNTIF(Orders!C:C,B4)</f>
        <v/>
      </c>
      <c r="E4" s="98">
        <f>SUMIF(Orders!C:C,B4,Orders!I:I)</f>
        <v/>
      </c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inlineStr">
        <is>
          <t>CUST-1005</t>
        </is>
      </c>
      <c r="B5" s="96" t="inlineStr">
        <is>
          <t>Emma Johnson</t>
        </is>
      </c>
      <c r="C5" s="66" t="n"/>
      <c r="D5">
        <f>COUNTIF(Orders!C:C,B5)</f>
        <v/>
      </c>
      <c r="E5" s="98">
        <f>SUMIF(Orders!C:C,B5,Orders!I:I)</f>
        <v/>
      </c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inlineStr">
        <is>
          <t>CUST-1006</t>
        </is>
      </c>
      <c r="B6" s="96" t="inlineStr">
        <is>
          <t>Emma Johnson</t>
        </is>
      </c>
      <c r="C6" s="66" t="n"/>
      <c r="D6">
        <f>COUNTIF(Orders!C:C,B6)</f>
        <v/>
      </c>
      <c r="E6" s="98">
        <f>SUMIF(Orders!C:C,B6,Orders!I:I)</f>
        <v/>
      </c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inlineStr">
        <is>
          <t>CUST-1007</t>
        </is>
      </c>
      <c r="B7" s="96" t="inlineStr">
        <is>
          <t>Liam Smith</t>
        </is>
      </c>
      <c r="C7" s="66" t="n"/>
      <c r="D7">
        <f>COUNTIF(Orders!C:C,B7)</f>
        <v/>
      </c>
      <c r="E7" s="98">
        <f>SUMIF(Orders!C:C,B7,Orders!I:I)</f>
        <v/>
      </c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inlineStr">
        <is>
          <t>CUST-1008</t>
        </is>
      </c>
      <c r="B8" s="96" t="inlineStr">
        <is>
          <t>Emma Johnson</t>
        </is>
      </c>
      <c r="C8" s="66" t="n"/>
      <c r="D8">
        <f>COUNTIF(Orders!C:C,B8)</f>
        <v/>
      </c>
      <c r="E8" s="98">
        <f>SUMIF(Orders!C:C,B8,Orders!I:I)</f>
        <v/>
      </c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inlineStr">
        <is>
          <t>CUST-1009</t>
        </is>
      </c>
      <c r="B9" s="96" t="inlineStr">
        <is>
          <t>Liam Smith</t>
        </is>
      </c>
      <c r="C9" s="66" t="n"/>
      <c r="D9">
        <f>COUNTIF(Orders!C:C,B9)</f>
        <v/>
      </c>
      <c r="E9" s="98">
        <f>SUMIF(Orders!C:C,B9,Orders!I:I)</f>
        <v/>
      </c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inlineStr">
        <is>
          <t>CUST-1010</t>
        </is>
      </c>
      <c r="B10" s="96" t="inlineStr">
        <is>
          <t>Liam Smith</t>
        </is>
      </c>
      <c r="C10" s="66" t="n"/>
      <c r="D10">
        <f>COUNTIF(Orders!C:C,B10)</f>
        <v/>
      </c>
      <c r="E10" s="98">
        <f>SUMIF(Orders!C:C,B10,Orders!I:I)</f>
        <v/>
      </c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inlineStr">
        <is>
          <t>CUST-1011</t>
        </is>
      </c>
      <c r="B11" s="96" t="inlineStr">
        <is>
          <t>Liam Smith</t>
        </is>
      </c>
      <c r="C11" s="66" t="n"/>
      <c r="D11">
        <f>COUNTIF(Orders!C:C,B11)</f>
        <v/>
      </c>
      <c r="E11" s="98">
        <f>SUMIF(Orders!C:C,B11,Orders!I:I)</f>
        <v/>
      </c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9E7E"/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Analytics BONUS v4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0" t="inlineStr">
        <is>
          <t>Metric</t>
        </is>
      </c>
      <c r="B3" s="70" t="inlineStr">
        <is>
          <t>Value</t>
        </is>
      </c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inlineStr">
        <is>
          <t>Total Recipes</t>
        </is>
      </c>
      <c r="B4">
        <f>COUNTA('Recipe Library'!B5:B54)</f>
        <v/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inlineStr">
        <is>
          <t>Total Startup</t>
        </is>
      </c>
      <c r="B5" s="98">
        <f>'Startup Costs'!C18</f>
        <v/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inlineStr">
        <is>
          <t>Months to Break-Even</t>
        </is>
      </c>
      <c r="B6">
        <f>'Startup Costs'!B24</f>
        <v/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terms:created xsi:type="dcterms:W3CDTF">2026-09-07T02:41:36Z</dcterms:created>
  <dcterms:modified xsi:type="dcterms:W3CDTF">2026-09-07T02:41:38Z</dcterms:modified>
  <cp:lastModifiedBy>Novality Store</cp:lastModifiedBy>
</cp:coreProperties>
</file>