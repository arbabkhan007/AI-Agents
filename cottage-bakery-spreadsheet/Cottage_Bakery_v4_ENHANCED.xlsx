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tions + Setup" sheetId="1" state="visible" r:id="rId1"/>
    <sheet name="Unit Conversion" sheetId="2" state="visible" r:id="rId2"/>
    <sheet name="Ingredients + Stock" sheetId="3" state="visible" r:id="rId3"/>
    <sheet name="Recipe Library" sheetId="4" state="visible" r:id="rId4"/>
    <sheet name="Recipe Calculator" sheetId="5" state="visible" r:id="rId5"/>
    <sheet name="Product List" sheetId="6" state="visible" r:id="rId6"/>
    <sheet name="Overhead Expenses" sheetId="7" state="visible" r:id="rId7"/>
    <sheet name="Startup Costs" sheetId="8" state="visible" r:id="rId8"/>
    <sheet name="Dashboard" sheetId="9" state="visible" r:id="rId9"/>
    <sheet name="Orders" sheetId="10" state="visible" r:id="rId10"/>
    <sheet name="Bookkeeping" sheetId="11" state="visible" r:id="rId11"/>
    <sheet name="Markets &amp; Events" sheetId="12" state="visible" r:id="rId12"/>
    <sheet name="Customers" sheetId="13" state="visible" r:id="rId13"/>
    <sheet name="Analytics (BONUS)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$#,##0.00"/>
    <numFmt numFmtId="165" formatCode="0.0000"/>
    <numFmt numFmtId="166" formatCode="$0.0000"/>
    <numFmt numFmtId="167" formatCode="0.0%"/>
    <numFmt numFmtId="168" formatCode="0.0"/>
    <numFmt numFmtId="169" formatCode="YYYY-MM-DD"/>
    <numFmt numFmtId="170" formatCode="yyyy-mm-dd"/>
  </numFmts>
  <fonts count="19">
    <font>
      <name val="Calibri"/>
      <family val="2"/>
      <color theme="1"/>
      <sz val="11"/>
      <scheme val="minor"/>
    </font>
    <font>
      <name val="Calibri"/>
      <b val="1"/>
      <color rgb="00A46A5A"/>
      <sz val="20"/>
    </font>
    <font>
      <name val="Calibri"/>
      <b val="1"/>
      <i val="1"/>
      <color rgb="007A9E7E"/>
      <sz val="10"/>
    </font>
    <font>
      <name val="Calibri"/>
      <color rgb="002B2B2B"/>
      <sz val="11"/>
    </font>
    <font>
      <b val="1"/>
      <color rgb="00A46A5A"/>
      <sz val="10"/>
    </font>
    <font>
      <b val="1"/>
      <color rgb="00FFFFFF"/>
      <sz val="12"/>
    </font>
    <font>
      <name val="Calibri"/>
      <b val="1"/>
      <color rgb="00FFFFFF"/>
      <sz val="11"/>
    </font>
    <font>
      <name val="Calibri"/>
      <b val="1"/>
      <color rgb="002B2B2B"/>
      <sz val="11"/>
    </font>
    <font>
      <b val="1"/>
      <sz val="11"/>
    </font>
    <font>
      <b val="1"/>
      <color rgb="00FFFFFF"/>
      <sz val="11"/>
    </font>
    <font>
      <name val="Calibri"/>
      <b val="1"/>
      <color rgb="00A46A5A"/>
      <sz val="16"/>
    </font>
    <font>
      <i val="1"/>
      <color rgb="008B0000"/>
    </font>
    <font>
      <b val="1"/>
      <sz val="12"/>
    </font>
    <font>
      <b val="1"/>
      <color rgb="00A46A5A"/>
      <sz val="12"/>
    </font>
    <font>
      <b val="1"/>
      <color rgb="00A46A5A"/>
      <sz val="14"/>
    </font>
    <font>
      <b val="1"/>
      <color rgb="00A46A5A"/>
    </font>
    <font>
      <b val="1"/>
    </font>
    <font>
      <name val="Calibri"/>
      <color rgb="000563C1"/>
      <sz val="11"/>
      <u val="single"/>
    </font>
    <font>
      <name val="Calibri"/>
      <b val="1"/>
      <color rgb="000563C1"/>
      <sz val="11"/>
      <u val="single"/>
    </font>
  </fonts>
  <fills count="11">
    <fill>
      <patternFill/>
    </fill>
    <fill>
      <patternFill patternType="gray125"/>
    </fill>
    <fill>
      <patternFill patternType="solid">
        <fgColor rgb="007A9E7E"/>
        <bgColor rgb="007A9E7E"/>
      </patternFill>
    </fill>
    <fill>
      <patternFill patternType="solid">
        <fgColor rgb="00A46A5A"/>
        <bgColor rgb="00A46A5A"/>
      </patternFill>
    </fill>
    <fill>
      <patternFill patternType="solid">
        <fgColor rgb="00FFF8F0"/>
        <bgColor rgb="00FFF8F0"/>
      </patternFill>
    </fill>
    <fill>
      <patternFill patternType="solid">
        <fgColor rgb="00FFFFFF"/>
        <bgColor rgb="00FFFFFF"/>
      </patternFill>
    </fill>
    <fill>
      <patternFill patternType="solid">
        <fgColor rgb="00FFF9C4"/>
        <bgColor rgb="00FFF9C4"/>
      </patternFill>
    </fill>
    <fill>
      <patternFill patternType="solid">
        <fgColor rgb="00F9E4B7"/>
        <bgColor rgb="00F9E4B7"/>
      </patternFill>
    </fill>
    <fill>
      <patternFill patternType="solid">
        <fgColor rgb="00B7D8B6"/>
        <bgColor rgb="00B7D8B6"/>
      </patternFill>
    </fill>
    <fill>
      <patternFill patternType="solid">
        <fgColor rgb="00FADCD9"/>
        <bgColor rgb="00FADCD9"/>
      </patternFill>
    </fill>
    <fill>
      <patternFill patternType="solid">
        <fgColor rgb="008B5A4B"/>
        <bgColor rgb="008B5A4B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vertical="center" wrapText="1"/>
    </xf>
    <xf numFmtId="0" fontId="0" fillId="5" borderId="1" applyAlignment="1" pivotButton="0" quotePrefix="0" xfId="0">
      <alignment vertical="center" wrapText="1"/>
    </xf>
    <xf numFmtId="0" fontId="5" fillId="3" borderId="0" pivotButton="0" quotePrefix="0" xfId="0"/>
    <xf numFmtId="0" fontId="7" fillId="0" borderId="0" pivotButton="0" quotePrefix="0" xfId="0"/>
    <xf numFmtId="0" fontId="8" fillId="6" borderId="1" pivotButton="0" quotePrefix="0" xfId="0"/>
    <xf numFmtId="170" fontId="8" fillId="6" borderId="1" pivotButton="0" quotePrefix="0" xfId="0"/>
    <xf numFmtId="0" fontId="17" fillId="0" borderId="0" pivotButton="0" quotePrefix="0" xfId="0"/>
    <xf numFmtId="0" fontId="9" fillId="2" borderId="0" pivotButton="0" quotePrefix="0" xfId="0"/>
    <xf numFmtId="0" fontId="18" fillId="5" borderId="1" applyAlignment="1" pivotButton="0" quotePrefix="0" xfId="0">
      <alignment vertical="center" wrapText="1"/>
    </xf>
    <xf numFmtId="0" fontId="18" fillId="4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 wrapText="1"/>
    </xf>
    <xf numFmtId="0" fontId="10" fillId="0" borderId="0" pivotButton="0" quotePrefix="0" xfId="0"/>
    <xf numFmtId="0" fontId="11" fillId="0" borderId="0" pivotButton="0" quotePrefix="0" xfId="0"/>
    <xf numFmtId="164" fontId="0" fillId="4" borderId="1" applyAlignment="1" pivotButton="0" quotePrefix="0" xfId="0">
      <alignment vertical="center" wrapText="1"/>
    </xf>
    <xf numFmtId="165" fontId="0" fillId="4" borderId="1" applyAlignment="1" pivotButton="0" quotePrefix="0" xfId="0">
      <alignment vertical="center" wrapText="1"/>
    </xf>
    <xf numFmtId="170" fontId="0" fillId="4" borderId="1" applyAlignment="1" pivotButton="0" quotePrefix="0" xfId="0">
      <alignment vertical="center" wrapText="1"/>
    </xf>
    <xf numFmtId="164" fontId="0" fillId="5" borderId="1" applyAlignment="1" pivotButton="0" quotePrefix="0" xfId="0">
      <alignment vertical="center" wrapText="1"/>
    </xf>
    <xf numFmtId="165" fontId="0" fillId="5" borderId="1" applyAlignment="1" pivotButton="0" quotePrefix="0" xfId="0">
      <alignment vertical="center" wrapText="1"/>
    </xf>
    <xf numFmtId="170" fontId="0" fillId="5" borderId="1" applyAlignment="1" pivotButton="0" quotePrefix="0" xfId="0">
      <alignment vertical="center" wrapText="1"/>
    </xf>
    <xf numFmtId="164" fontId="7" fillId="0" borderId="0" pivotButton="0" quotePrefix="0" xfId="0"/>
    <xf numFmtId="0" fontId="9" fillId="3" borderId="0" pivotButton="0" quotePrefix="0" xfId="0"/>
    <xf numFmtId="166" fontId="0" fillId="5" borderId="1" applyAlignment="1" pivotButton="0" quotePrefix="0" xfId="0">
      <alignment vertical="center" wrapText="1"/>
    </xf>
    <xf numFmtId="166" fontId="0" fillId="4" borderId="1" applyAlignment="1" pivotButton="0" quotePrefix="0" xfId="0">
      <alignment vertical="center" wrapText="1"/>
    </xf>
    <xf numFmtId="0" fontId="12" fillId="6" borderId="0" pivotButton="0" quotePrefix="0" xfId="0"/>
    <xf numFmtId="0" fontId="0" fillId="6" borderId="0" pivotButton="0" quotePrefix="0" xfId="0"/>
    <xf numFmtId="166" fontId="0" fillId="0" borderId="0" pivotButton="0" quotePrefix="0" xfId="0"/>
    <xf numFmtId="164" fontId="0" fillId="0" borderId="0" pivotButton="0" quotePrefix="0" xfId="0"/>
    <xf numFmtId="164" fontId="7" fillId="7" borderId="0" pivotButton="0" quotePrefix="0" xfId="0"/>
    <xf numFmtId="164" fontId="0" fillId="6" borderId="0" pivotButton="0" quotePrefix="0" xfId="0"/>
    <xf numFmtId="167" fontId="0" fillId="6" borderId="0" pivotButton="0" quotePrefix="0" xfId="0"/>
    <xf numFmtId="164" fontId="12" fillId="8" borderId="0" pivotButton="0" quotePrefix="0" xfId="0"/>
    <xf numFmtId="0" fontId="13" fillId="0" borderId="0" pivotButton="0" quotePrefix="0" xfId="0"/>
    <xf numFmtId="164" fontId="14" fillId="9" borderId="0" pivotButton="0" quotePrefix="0" xfId="0"/>
    <xf numFmtId="167" fontId="0" fillId="5" borderId="1" applyAlignment="1" pivotButton="0" quotePrefix="0" xfId="0">
      <alignment vertical="center" wrapText="1"/>
    </xf>
    <xf numFmtId="167" fontId="0" fillId="4" borderId="1" applyAlignment="1" pivotButton="0" quotePrefix="0" xfId="0">
      <alignment vertical="center" wrapText="1"/>
    </xf>
    <xf numFmtId="0" fontId="5" fillId="10" borderId="0" pivotButton="0" quotePrefix="0" xfId="0"/>
    <xf numFmtId="164" fontId="15" fillId="0" borderId="0" pivotButton="0" quotePrefix="0" xfId="0"/>
    <xf numFmtId="0" fontId="7" fillId="7" borderId="0" pivotButton="0" quotePrefix="0" xfId="0"/>
    <xf numFmtId="164" fontId="12" fillId="7" borderId="0" pivotButton="0" quotePrefix="0" xfId="0"/>
    <xf numFmtId="0" fontId="7" fillId="4" borderId="1" applyAlignment="1" pivotButton="0" quotePrefix="0" xfId="0">
      <alignment vertical="center" wrapText="1"/>
    </xf>
    <xf numFmtId="164" fontId="7" fillId="4" borderId="1" applyAlignment="1" pivotButton="0" quotePrefix="0" xfId="0">
      <alignment vertical="center" wrapText="1"/>
    </xf>
    <xf numFmtId="0" fontId="3" fillId="4" borderId="1" applyAlignment="1" pivotButton="0" quotePrefix="0" xfId="0">
      <alignment vertical="center" wrapText="1"/>
    </xf>
    <xf numFmtId="164" fontId="7" fillId="5" borderId="1" applyAlignment="1" pivotButton="0" quotePrefix="0" xfId="0">
      <alignment vertical="center" wrapText="1"/>
    </xf>
    <xf numFmtId="0" fontId="3" fillId="5" borderId="1" applyAlignment="1" pivotButton="0" quotePrefix="0" xfId="0">
      <alignment vertical="center" wrapText="1"/>
    </xf>
    <xf numFmtId="164" fontId="7" fillId="6" borderId="1" applyAlignment="1" pivotButton="0" quotePrefix="0" xfId="0">
      <alignment vertical="center" wrapText="1"/>
    </xf>
    <xf numFmtId="167" fontId="7" fillId="4" borderId="1" applyAlignment="1" pivotButton="0" quotePrefix="0" xfId="0">
      <alignment vertical="center" wrapText="1"/>
    </xf>
    <xf numFmtId="170" fontId="0" fillId="6" borderId="0" pivotButton="0" quotePrefix="0" xfId="0"/>
    <xf numFmtId="164" fontId="14" fillId="7" borderId="0" pivotButton="0" quotePrefix="0" xfId="0"/>
    <xf numFmtId="164" fontId="3" fillId="6" borderId="1" applyAlignment="1" pivotButton="0" quotePrefix="0" xfId="0">
      <alignment vertical="center" wrapText="1"/>
    </xf>
    <xf numFmtId="168" fontId="13" fillId="4" borderId="1" applyAlignment="1" pivotButton="0" quotePrefix="0" xfId="0">
      <alignment vertical="center" wrapText="1"/>
    </xf>
    <xf numFmtId="169" fontId="7" fillId="5" borderId="1" applyAlignment="1" pivotButton="0" quotePrefix="0" xfId="0">
      <alignment vertical="center" wrapText="1"/>
    </xf>
    <xf numFmtId="3" fontId="0" fillId="5" borderId="1" applyAlignment="1" pivotButton="0" quotePrefix="0" xfId="0">
      <alignment vertical="center" wrapText="1"/>
    </xf>
    <xf numFmtId="164" fontId="3" fillId="4" borderId="1" applyAlignment="1" pivotButton="0" quotePrefix="0" xfId="0">
      <alignment vertical="center" wrapText="1"/>
    </xf>
    <xf numFmtId="168" fontId="3" fillId="4" borderId="1" applyAlignment="1" pivotButton="0" quotePrefix="0" xfId="0">
      <alignment vertical="center" wrapText="1"/>
    </xf>
    <xf numFmtId="167" fontId="3" fillId="4" borderId="1" applyAlignment="1" pivotButton="0" quotePrefix="0" xfId="0">
      <alignment vertical="center" wrapText="1"/>
    </xf>
    <xf numFmtId="3" fontId="3" fillId="4" borderId="1" applyAlignment="1" pivotButton="0" quotePrefix="0" xfId="0">
      <alignment vertical="center" wrapText="1"/>
    </xf>
    <xf numFmtId="170" fontId="0" fillId="6" borderId="1" applyAlignment="1" pivotButton="0" quotePrefix="0" xfId="0">
      <alignment vertical="center" wrapText="1"/>
    </xf>
    <xf numFmtId="0" fontId="0" fillId="6" borderId="1" applyAlignment="1" pivotButton="0" quotePrefix="0" xfId="0">
      <alignment vertical="center" wrapText="1"/>
    </xf>
    <xf numFmtId="167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FF8A8A"/>
          <bgColor rgb="00FF8A8A"/>
        </patternFill>
      </fill>
    </dxf>
    <dxf>
      <fill>
        <patternFill patternType="solid">
          <fgColor rgb="00FFDCA8"/>
          <bgColor rgb="00FFDCA8"/>
        </patternFill>
      </fill>
    </dxf>
    <dxf>
      <fill>
        <patternFill patternType="solid">
          <fgColor rgb="00B7D8B6"/>
          <bgColor rgb="00B7D8B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Overhead Breakdown</a:t>
            </a:r>
          </a:p>
        </rich>
      </tx>
    </title>
    <plotArea>
      <pieChart>
        <varyColors val="1"/>
        <ser>
          <idx val="0"/>
          <order val="0"/>
          <tx>
            <strRef>
              <f>'Overhead Expenses'!C4</f>
            </strRef>
          </tx>
          <spPr>
            <a:ln>
              <a:prstDash val="solid"/>
            </a:ln>
          </spPr>
          <cat>
            <numRef>
              <f>'Overhead Expenses'!$A$5:$A$16</f>
            </numRef>
          </cat>
          <val>
            <numRef>
              <f>'Overhead Expenses'!$C$5:$C$16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Break-Even: Cumulative Profit vs Startup Investment</a:t>
            </a:r>
          </a:p>
        </rich>
      </tx>
    </title>
    <plotArea>
      <lineChart>
        <grouping val="standard"/>
        <ser>
          <idx val="0"/>
          <order val="0"/>
          <tx>
            <strRef>
              <f>'Startup Costs'!C29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'Startup Costs'!$A$30:$A$53</f>
            </numRef>
          </cat>
          <val>
            <numRef>
              <f>'Startup Costs'!$C$30:$C$53</f>
            </numRef>
          </val>
        </ser>
        <ser>
          <idx val="1"/>
          <order val="1"/>
          <tx>
            <strRef>
              <f>'Startup Costs'!F29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'Startup Costs'!$A$30:$A$53</f>
            </numRef>
          </cat>
          <val>
            <numRef>
              <f>'Startup Costs'!$F$30:$F$53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Startup Costs Breakdown</a:t>
            </a:r>
          </a:p>
        </rich>
      </tx>
    </title>
    <plotArea>
      <pieChart>
        <varyColors val="1"/>
        <ser>
          <idx val="0"/>
          <order val="0"/>
          <tx>
            <strRef>
              <f>'Startup Costs'!C4</f>
            </strRef>
          </tx>
          <spPr>
            <a:ln>
              <a:prstDash val="solid"/>
            </a:ln>
          </spPr>
          <cat>
            <numRef>
              <f>'Startup Costs'!$A$5:$A$16</f>
            </numRef>
          </cat>
          <val>
            <numRef>
              <f>'Startup Costs'!$C$5:$C$16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3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19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31</row>
      <rowOff>0</rowOff>
    </from>
    <ext cx="432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A46A5A"/>
    <outlinePr summaryBelow="1" summaryRight="1"/>
    <pageSetUpPr/>
  </sheetPr>
  <dimension ref="A1:P100"/>
  <sheetViews>
    <sheetView workbookViewId="0">
      <pane ySplit="17" topLeftCell="A18" activePane="bottomLeft" state="frozen"/>
      <selection pane="bottomLeft" activeCell="A1" sqref="A1"/>
    </sheetView>
  </sheetViews>
  <sheetFormatPr baseColWidth="8" defaultRowHeight="15"/>
  <cols>
    <col width="5" customWidth="1" min="1" max="1"/>
    <col width="30" customWidth="1" min="2" max="2"/>
    <col width="50" customWidth="1" min="3" max="3"/>
    <col width="22" customWidth="1" min="4" max="4"/>
  </cols>
  <sheetData>
    <row r="1">
      <c r="A1" s="1" t="inlineStr">
        <is>
          <t>🧁 Cottage Bakery v4 Enhanced</t>
        </is>
      </c>
      <c r="C1" s="2" t="inlineStr">
        <is>
          <t>Fixed per customer review - Multi-recipe + Unit Conversion + Overhead + Startup</t>
        </is>
      </c>
    </row>
    <row r="2"/>
    <row r="3">
      <c r="A3" s="3" t="inlineStr">
        <is>
          <t>Customer Review Improvements: Fixed missing formulas, room for more than 1 recipe, grams/lbs/ml/oz/tsp/tbsp conversion, overhead monthly tab, startup costs with break-even graphic</t>
        </is>
      </c>
    </row>
    <row r="4">
      <c r="A4" s="4" t="inlineStr">
        <is>
          <t>Password for formulas: premium | Yellow cells unlocked | White locked</t>
        </is>
      </c>
    </row>
    <row r="5"/>
    <row r="6">
      <c r="A6" s="5" t="inlineStr">
        <is>
          <t>📌 HOW IT WORKS v4</t>
        </is>
      </c>
    </row>
    <row r="7">
      <c r="A7" s="6" t="inlineStr">
        <is>
          <t>Step</t>
        </is>
      </c>
      <c r="B7" s="6" t="inlineStr">
        <is>
          <t>Action</t>
        </is>
      </c>
      <c r="C7" s="6" t="inlineStr">
        <is>
          <t>Time</t>
        </is>
      </c>
    </row>
    <row r="8">
      <c r="A8" s="7" t="inlineStr">
        <is>
          <t>1</t>
        </is>
      </c>
      <c r="B8" s="7" t="inlineStr">
        <is>
          <t>Edit Business Setup yellow cells B15-B26</t>
        </is>
      </c>
      <c r="C8" s="7" t="inlineStr">
        <is>
          <t>2 min</t>
        </is>
      </c>
    </row>
    <row r="9">
      <c r="A9" s="8" t="inlineStr">
        <is>
          <t>2</t>
        </is>
      </c>
      <c r="B9" s="8" t="inlineStr">
        <is>
          <t>Add ingredients in Ingredients + Stock - set unit, cost, stock</t>
        </is>
      </c>
      <c r="C9" s="8" t="inlineStr">
        <is>
          <t>5 min</t>
        </is>
      </c>
    </row>
    <row r="10">
      <c r="A10" s="7" t="inlineStr">
        <is>
          <t>3</t>
        </is>
      </c>
      <c r="B10" s="7" t="inlineStr">
        <is>
          <t>Use Unit Conversion tab as reference for tsp/tbsp/cup conversions</t>
        </is>
      </c>
      <c r="C10" s="7" t="inlineStr">
        <is>
          <t>1 min</t>
        </is>
      </c>
    </row>
    <row r="11">
      <c r="A11" s="8" t="inlineStr">
        <is>
          <t>4</t>
        </is>
      </c>
      <c r="B11" s="8" t="inlineStr">
        <is>
          <t>Add recipes in Recipe Library (up to 50 recipes) or use Recipe Calculator for 3 recipes at once</t>
        </is>
      </c>
      <c r="C11" s="8" t="inlineStr">
        <is>
          <t>10 min</t>
        </is>
      </c>
    </row>
    <row r="12">
      <c r="A12" s="7" t="inlineStr">
        <is>
          <t>5</t>
        </is>
      </c>
      <c r="B12" s="7" t="inlineStr">
        <is>
          <t>Add monthly fixed costs in Overhead tab - see hourly overhead rate auto</t>
        </is>
      </c>
      <c r="C12" s="7" t="inlineStr">
        <is>
          <t>5 min</t>
        </is>
      </c>
    </row>
    <row r="13">
      <c r="A13" s="8" t="inlineStr">
        <is>
          <t>6</t>
        </is>
      </c>
      <c r="B13" s="8" t="inlineStr">
        <is>
          <t>Add one-time startup costs in Startup Costs tab - see break-even months &amp; chart auto</t>
        </is>
      </c>
      <c r="C13" s="8" t="inlineStr">
        <is>
          <t>5 min</t>
        </is>
      </c>
    </row>
    <row r="14">
      <c r="A14" s="7" t="inlineStr">
        <is>
          <t>7</t>
        </is>
      </c>
      <c r="B14" s="7" t="inlineStr">
        <is>
          <t>Add products in Product List linked to Recipe Library cost</t>
        </is>
      </c>
      <c r="C14" s="7" t="inlineStr">
        <is>
          <t>5 min</t>
        </is>
      </c>
    </row>
    <row r="15">
      <c r="A15" t="inlineStr">
        <is>
          <t>8</t>
        </is>
      </c>
      <c r="B15" t="inlineStr">
        <is>
          <t>Log orders - check Dashboard daily</t>
        </is>
      </c>
      <c r="C15" t="inlineStr">
        <is>
          <t>Daily</t>
        </is>
      </c>
    </row>
    <row r="16">
      <c r="A16" s="9" t="inlineStr">
        <is>
          <t>⚙️ BUSINESS SETUP</t>
        </is>
      </c>
    </row>
    <row r="17">
      <c r="A17" s="6" t="inlineStr">
        <is>
          <t>Setting</t>
        </is>
      </c>
      <c r="B17" s="6" t="inlineStr">
        <is>
          <t>Your Value</t>
        </is>
      </c>
      <c r="C17" s="6" t="inlineStr">
        <is>
          <t>Help</t>
        </is>
      </c>
      <c r="D17" s="6" t="inlineStr">
        <is>
          <t>Used In</t>
        </is>
      </c>
    </row>
    <row r="18">
      <c r="A18" s="10" t="inlineStr">
        <is>
          <t>Bakery Name</t>
        </is>
      </c>
      <c r="B18" s="11" t="inlineStr">
        <is>
          <t>Rose &amp; Rye Cottage Bakery</t>
        </is>
      </c>
      <c r="C18" s="3" t="inlineStr">
        <is>
          <t>Dashboard header</t>
        </is>
      </c>
      <c r="D18" s="3" t="inlineStr">
        <is>
          <t>All</t>
        </is>
      </c>
    </row>
    <row r="19">
      <c r="A19" s="10" t="inlineStr">
        <is>
          <t>Owner</t>
        </is>
      </c>
      <c r="B19" s="11" t="inlineStr">
        <is>
          <t>Jane Miller</t>
        </is>
      </c>
      <c r="C19" s="3" t="inlineStr"/>
      <c r="D19" s="3" t="inlineStr"/>
    </row>
    <row r="20">
      <c r="A20" s="10" t="inlineStr">
        <is>
          <t>Currency</t>
        </is>
      </c>
      <c r="B20" s="11" t="inlineStr">
        <is>
          <t>$</t>
        </is>
      </c>
      <c r="C20" s="3" t="inlineStr"/>
      <c r="D20" s="3" t="inlineStr"/>
    </row>
    <row r="21">
      <c r="A21" s="10" t="inlineStr">
        <is>
          <t>Sales Tax %</t>
        </is>
      </c>
      <c r="B21" s="11" t="n">
        <v>8.5</v>
      </c>
      <c r="C21" s="3" t="inlineStr">
        <is>
          <t>For pricing</t>
        </is>
      </c>
      <c r="D21" s="3" t="inlineStr">
        <is>
          <t>Recipe + Bookkeeping</t>
        </is>
      </c>
    </row>
    <row r="22">
      <c r="A22" s="10" t="inlineStr">
        <is>
          <t>Hourly Labor Rate</t>
        </is>
      </c>
      <c r="B22" s="11" t="n">
        <v>22</v>
      </c>
      <c r="C22" s="3" t="inlineStr">
        <is>
          <t>Your time $/hr</t>
        </is>
      </c>
      <c r="D22" s="3" t="inlineStr">
        <is>
          <t>Recipe</t>
        </is>
      </c>
    </row>
    <row r="23">
      <c r="A23" s="10" t="inlineStr">
        <is>
          <t>Overhead % (auto from Overhead tab)</t>
        </is>
      </c>
      <c r="B23" s="11" t="n">
        <v>15</v>
      </c>
      <c r="C23" s="3" t="inlineStr">
        <is>
          <t>Manual %, or copy Overhead Expenses!B28 for auto</t>
        </is>
      </c>
      <c r="D23" s="3" t="inlineStr">
        <is>
          <t>Recipe</t>
        </is>
      </c>
    </row>
    <row r="24">
      <c r="A24" s="10" t="inlineStr">
        <is>
          <t>Waste %</t>
        </is>
      </c>
      <c r="B24" s="11" t="n">
        <v>5</v>
      </c>
      <c r="C24" s="3" t="inlineStr">
        <is>
          <t>Failed batches</t>
        </is>
      </c>
      <c r="D24" s="3" t="inlineStr">
        <is>
          <t>Recipe</t>
        </is>
      </c>
    </row>
    <row r="25">
      <c r="A25" s="10" t="inlineStr">
        <is>
          <t>Packaging Default $</t>
        </is>
      </c>
      <c r="B25" s="11" t="n">
        <v>0.85</v>
      </c>
      <c r="C25" s="3" t="inlineStr">
        <is>
          <t>Per unit</t>
        </is>
      </c>
      <c r="D25" s="3" t="inlineStr">
        <is>
          <t>Recipe</t>
        </is>
      </c>
    </row>
    <row r="26">
      <c r="A26" s="10" t="inlineStr">
        <is>
          <t>Target Margin %</t>
        </is>
      </c>
      <c r="B26" s="11" t="n">
        <v>70</v>
      </c>
      <c r="C26" s="3" t="inlineStr">
        <is>
          <t>Goal margin</t>
        </is>
      </c>
      <c r="D26" s="3" t="inlineStr">
        <is>
          <t>Recipe</t>
        </is>
      </c>
    </row>
    <row r="27">
      <c r="A27" s="10" t="inlineStr">
        <is>
          <t>Fiscal Year Start</t>
        </is>
      </c>
      <c r="B27" s="12" t="n">
        <v>46023</v>
      </c>
      <c r="C27" s="3" t="inlineStr">
        <is>
          <t>YTD</t>
        </is>
      </c>
      <c r="D27" s="13" t="inlineStr">
        <is>
          <t>Dashboard</t>
        </is>
      </c>
    </row>
    <row r="28">
      <c r="A28" s="10" t="inlineStr">
        <is>
          <t>Market Hourly Goal $</t>
        </is>
      </c>
      <c r="B28" s="11" t="n">
        <v>40</v>
      </c>
      <c r="C28" s="3" t="inlineStr">
        <is>
          <t>Worth It?</t>
        </is>
      </c>
      <c r="D28" s="3" t="inlineStr">
        <is>
          <t>Markets</t>
        </is>
      </c>
    </row>
    <row r="29">
      <c r="A29" s="10" t="inlineStr">
        <is>
          <t>Monthly Working Hours</t>
        </is>
      </c>
      <c r="B29" s="11" t="n">
        <v>80</v>
      </c>
      <c r="C29" s="3" t="inlineStr">
        <is>
          <t>For overhead rate calc</t>
        </is>
      </c>
      <c r="D29" s="3" t="inlineStr">
        <is>
          <t>Overhead</t>
        </is>
      </c>
    </row>
    <row r="30">
      <c r="A30" s="10" t="inlineStr">
        <is>
          <t>Expected Monthly Orders</t>
        </is>
      </c>
      <c r="B30" s="11" t="n">
        <v>100</v>
      </c>
      <c r="C30" s="3" t="inlineStr">
        <is>
          <t>For overhead per unit</t>
        </is>
      </c>
      <c r="D30" s="3" t="inlineStr">
        <is>
          <t>Overhead</t>
        </is>
      </c>
    </row>
    <row r="31"/>
    <row r="32">
      <c r="A32" s="14" t="inlineStr">
        <is>
          <t>📦 TABS IN v4</t>
        </is>
      </c>
    </row>
    <row r="33">
      <c r="A33" s="8" t="n">
        <v>1</v>
      </c>
      <c r="B33" s="15" t="inlineStr">
        <is>
          <t>Dashboard</t>
        </is>
      </c>
      <c r="C33" s="8" t="inlineStr">
        <is>
          <t>Net profit, revenue, expenses, open orders, trends, low stock</t>
        </is>
      </c>
    </row>
    <row r="34">
      <c r="A34" s="7" t="n">
        <v>2</v>
      </c>
      <c r="B34" s="16" t="inlineStr">
        <is>
          <t>Ingredients + Stock</t>
        </is>
      </c>
      <c r="C34" s="7" t="inlineStr">
        <is>
          <t>Category, unit, pkg cost, cost/unit, stock, value, status</t>
        </is>
      </c>
    </row>
    <row r="35">
      <c r="A35" s="8" t="n">
        <v>3</v>
      </c>
      <c r="B35" s="15" t="inlineStr">
        <is>
          <t>Unit Conversion</t>
        </is>
      </c>
      <c r="C35" s="8" t="inlineStr">
        <is>
          <t>Reference: g/kg/oz/lb/ml/L/tsp/tbsp/cup conversion factors to base</t>
        </is>
      </c>
    </row>
    <row r="36">
      <c r="A36" s="7" t="n">
        <v>4</v>
      </c>
      <c r="B36" s="16" t="inlineStr">
        <is>
          <t>Recipe Library</t>
        </is>
      </c>
      <c r="C36" s="7" t="inlineStr">
        <is>
          <t>50 recipes capacity, ingredients database long format, total cost auto SUMIF</t>
        </is>
      </c>
    </row>
    <row r="37">
      <c r="A37" s="8" t="n">
        <v>5</v>
      </c>
      <c r="B37" s="15" t="inlineStr">
        <is>
          <t>Recipe Calculator</t>
        </is>
      </c>
      <c r="C37" s="8" t="inlineStr">
        <is>
          <t>3 recipes at once, unit conversion handling, fixed missing formulas</t>
        </is>
      </c>
    </row>
    <row r="38">
      <c r="A38" s="7" t="n">
        <v>6</v>
      </c>
      <c r="B38" s="16" t="inlineStr">
        <is>
          <t>Product List</t>
        </is>
      </c>
      <c r="C38" s="7" t="inlineStr">
        <is>
          <t>Linked to Recipe Library cost, profit margin</t>
        </is>
      </c>
    </row>
    <row r="39">
      <c r="A39" s="8" t="n">
        <v>7</v>
      </c>
      <c r="B39" s="15" t="inlineStr">
        <is>
          <t>Overhead Expenses</t>
        </is>
      </c>
      <c r="C39" s="8" t="inlineStr">
        <is>
          <t>NEW: Monthly fixed costs rent/utilities/insurance, hourly rate, per unit</t>
        </is>
      </c>
    </row>
    <row r="40">
      <c r="A40" s="7" t="n">
        <v>8</v>
      </c>
      <c r="B40" s="16" t="inlineStr">
        <is>
          <t>Startup Costs</t>
        </is>
      </c>
      <c r="C40" s="7" t="inlineStr">
        <is>
          <t>NEW: One-time equipment, break-even months =Startup/Monthly Profit + chart</t>
        </is>
      </c>
    </row>
    <row r="41">
      <c r="A41" s="8" t="n">
        <v>9</v>
      </c>
      <c r="B41" s="15" t="inlineStr">
        <is>
          <t>Orders</t>
        </is>
      </c>
      <c r="C41" s="8" t="inlineStr">
        <is>
          <t>Orders tracking</t>
        </is>
      </c>
    </row>
    <row r="42">
      <c r="A42" s="7" t="n">
        <v>10</v>
      </c>
      <c r="B42" s="16" t="inlineStr">
        <is>
          <t>Bookkeeping</t>
        </is>
      </c>
      <c r="C42" s="7" t="inlineStr">
        <is>
          <t>Income/expenses</t>
        </is>
      </c>
    </row>
    <row r="43">
      <c r="A43" s="8" t="n">
        <v>11</v>
      </c>
      <c r="B43" s="15" t="inlineStr">
        <is>
          <t>Markets &amp; Events</t>
        </is>
      </c>
      <c r="C43" s="8" t="inlineStr">
        <is>
          <t>Markets ROI</t>
        </is>
      </c>
    </row>
    <row r="44">
      <c r="A44" s="7" t="n">
        <v>12</v>
      </c>
      <c r="B44" s="16" t="inlineStr">
        <is>
          <t>Customers</t>
        </is>
      </c>
      <c r="C44" s="7" t="inlineStr">
        <is>
          <t>Customer database</t>
        </is>
      </c>
    </row>
    <row r="45">
      <c r="A45" s="8" t="n">
        <v>13</v>
      </c>
      <c r="B45" s="17" t="inlineStr">
        <is>
          <t>Analytics BONUS</t>
        </is>
      </c>
      <c r="C45" s="8" t="inlineStr">
        <is>
          <t>Bonus analytics</t>
        </is>
      </c>
    </row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</sheetData>
  <mergeCells count="6">
    <mergeCell ref="A6:D6"/>
    <mergeCell ref="C1:D1"/>
    <mergeCell ref="A4:D4"/>
    <mergeCell ref="A3:D3"/>
    <mergeCell ref="A16:D16"/>
    <mergeCell ref="A32:D32"/>
  </mergeCells>
  <hyperlinks>
    <hyperlink ref="D27" location="'Dashboard'!A1"/>
    <hyperlink ref="B33" location="'Dashboard'!A1"/>
    <hyperlink ref="B34" location="'Ingredients + Stock'!A1"/>
    <hyperlink ref="B35" location="'Unit Conversion'!A1"/>
    <hyperlink ref="B36" location="'Recipe Library'!A1"/>
    <hyperlink ref="B37" location="'Recipe Calculator'!A1"/>
    <hyperlink ref="B38" location="'Product List'!A1"/>
    <hyperlink ref="B39" location="'Overhead Expenses'!A1"/>
    <hyperlink ref="B40" location="'Startup Costs'!A1"/>
    <hyperlink ref="B41" location="'Orders'!A1"/>
    <hyperlink ref="B42" location="'Bookkeeping'!A1"/>
    <hyperlink ref="B43" location="'Markets &amp; Events'!A1"/>
    <hyperlink ref="B44" location="'Customers'!A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9E4B7"/>
    <outlinePr summaryBelow="1" summaryRight="1"/>
    <pageSetUpPr/>
  </sheetPr>
  <dimension ref="A1:P100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0" customWidth="1" min="3" max="3"/>
    <col width="14" customWidth="1" min="4" max="4"/>
    <col width="14" customWidth="1" min="5" max="5"/>
    <col width="30" customWidth="1" min="6" max="6"/>
    <col width="12" customWidth="1" min="7" max="7"/>
  </cols>
  <sheetData>
    <row r="1">
      <c r="A1" s="18" t="inlineStr">
        <is>
          <t>Unit Conversion Reference - For tsp/tbsp/cup etc</t>
        </is>
      </c>
    </row>
    <row r="2">
      <c r="A2" s="3" t="inlineStr">
        <is>
          <t>Recipe may use tsp/tbsp/cup, stock may be in g/ml. This table converts between units. Only same category (Weight/Volume/Count) converts directly. Weight to Volume needs density note.</t>
        </is>
      </c>
    </row>
    <row r="3"/>
    <row r="4">
      <c r="A4" s="6" t="inlineStr">
        <is>
          <t>Unit</t>
        </is>
      </c>
      <c r="B4" s="6" t="inlineStr">
        <is>
          <t>Category</t>
        </is>
      </c>
      <c r="C4" s="6" t="inlineStr">
        <is>
          <t>Base Unit</t>
        </is>
      </c>
      <c r="D4" s="6" t="inlineStr">
        <is>
          <t>Factor to Base</t>
        </is>
      </c>
      <c r="E4" s="6" t="inlineStr">
        <is>
          <t>Example</t>
        </is>
      </c>
      <c r="F4" s="6" t="inlineStr">
        <is>
          <t>Notes</t>
        </is>
      </c>
      <c r="H4" s="10" t="inlineStr">
        <is>
          <t>All Units List for Dropdown</t>
        </is>
      </c>
    </row>
    <row r="5">
      <c r="A5" s="8" t="inlineStr">
        <is>
          <t>g</t>
        </is>
      </c>
      <c r="B5" s="8" t="inlineStr">
        <is>
          <t>Weight</t>
        </is>
      </c>
      <c r="C5" s="8" t="inlineStr">
        <is>
          <t>g</t>
        </is>
      </c>
      <c r="D5" s="8" t="n">
        <v>1</v>
      </c>
      <c r="E5" s="8" t="inlineStr">
        <is>
          <t>1g = 1g</t>
        </is>
      </c>
      <c r="F5" s="8" t="inlineStr">
        <is>
          <t>Base weight</t>
        </is>
      </c>
      <c r="H5" t="inlineStr">
        <is>
          <t>g</t>
        </is>
      </c>
    </row>
    <row r="6">
      <c r="A6" s="7" t="inlineStr">
        <is>
          <t>kg</t>
        </is>
      </c>
      <c r="B6" s="7" t="inlineStr">
        <is>
          <t>Weight</t>
        </is>
      </c>
      <c r="C6" s="7" t="inlineStr">
        <is>
          <t>g</t>
        </is>
      </c>
      <c r="D6" s="7" t="n">
        <v>1000</v>
      </c>
      <c r="E6" s="7" t="inlineStr">
        <is>
          <t>1kg = 1000g</t>
        </is>
      </c>
      <c r="F6" s="7" t="inlineStr"/>
      <c r="H6" t="inlineStr">
        <is>
          <t>kg</t>
        </is>
      </c>
    </row>
    <row r="7">
      <c r="A7" s="8" t="inlineStr">
        <is>
          <t>mg</t>
        </is>
      </c>
      <c r="B7" s="8" t="inlineStr">
        <is>
          <t>Weight</t>
        </is>
      </c>
      <c r="C7" s="8" t="inlineStr">
        <is>
          <t>g</t>
        </is>
      </c>
      <c r="D7" s="8" t="n">
        <v>0.001</v>
      </c>
      <c r="E7" s="8" t="inlineStr">
        <is>
          <t>1000mg = 1g</t>
        </is>
      </c>
      <c r="F7" s="8" t="inlineStr"/>
      <c r="H7" t="inlineStr">
        <is>
          <t>mg</t>
        </is>
      </c>
    </row>
    <row r="8">
      <c r="A8" s="7" t="inlineStr">
        <is>
          <t>oz</t>
        </is>
      </c>
      <c r="B8" s="7" t="inlineStr">
        <is>
          <t>Weight</t>
        </is>
      </c>
      <c r="C8" s="7" t="inlineStr">
        <is>
          <t>g</t>
        </is>
      </c>
      <c r="D8" s="7" t="n">
        <v>28.3495</v>
      </c>
      <c r="E8" s="7" t="inlineStr">
        <is>
          <t>1oz = 28.3495g</t>
        </is>
      </c>
      <c r="F8" s="7" t="inlineStr">
        <is>
          <t>Weight ounce</t>
        </is>
      </c>
      <c r="H8" t="inlineStr">
        <is>
          <t>oz</t>
        </is>
      </c>
    </row>
    <row r="9">
      <c r="A9" s="8" t="inlineStr">
        <is>
          <t>lb</t>
        </is>
      </c>
      <c r="B9" s="8" t="inlineStr">
        <is>
          <t>Weight</t>
        </is>
      </c>
      <c r="C9" s="8" t="inlineStr">
        <is>
          <t>g</t>
        </is>
      </c>
      <c r="D9" s="8" t="n">
        <v>453.592</v>
      </c>
      <c r="E9" s="8" t="inlineStr">
        <is>
          <t>1lb = 453.592g</t>
        </is>
      </c>
      <c r="F9" s="8" t="inlineStr">
        <is>
          <t>Pound</t>
        </is>
      </c>
      <c r="H9" t="inlineStr">
        <is>
          <t>lb</t>
        </is>
      </c>
    </row>
    <row r="10">
      <c r="A10" s="7" t="inlineStr">
        <is>
          <t>ml</t>
        </is>
      </c>
      <c r="B10" s="7" t="inlineStr">
        <is>
          <t>Volume</t>
        </is>
      </c>
      <c r="C10" s="7" t="inlineStr">
        <is>
          <t>ml</t>
        </is>
      </c>
      <c r="D10" s="7" t="n">
        <v>1</v>
      </c>
      <c r="E10" s="7" t="inlineStr">
        <is>
          <t>1ml = 1ml</t>
        </is>
      </c>
      <c r="F10" s="7" t="inlineStr">
        <is>
          <t>Base volume</t>
        </is>
      </c>
      <c r="H10" t="inlineStr">
        <is>
          <t>ml</t>
        </is>
      </c>
    </row>
    <row r="11">
      <c r="A11" s="8" t="inlineStr">
        <is>
          <t>L</t>
        </is>
      </c>
      <c r="B11" s="8" t="inlineStr">
        <is>
          <t>Volume</t>
        </is>
      </c>
      <c r="C11" s="8" t="inlineStr">
        <is>
          <t>ml</t>
        </is>
      </c>
      <c r="D11" s="8" t="n">
        <v>1000</v>
      </c>
      <c r="E11" s="8" t="inlineStr">
        <is>
          <t>1L = 1000ml</t>
        </is>
      </c>
      <c r="F11" s="8" t="inlineStr"/>
      <c r="H11" t="inlineStr">
        <is>
          <t>L</t>
        </is>
      </c>
    </row>
    <row r="12">
      <c r="A12" s="7" t="inlineStr">
        <is>
          <t>tsp</t>
        </is>
      </c>
      <c r="B12" s="7" t="inlineStr">
        <is>
          <t>Volume</t>
        </is>
      </c>
      <c r="C12" s="7" t="inlineStr">
        <is>
          <t>ml</t>
        </is>
      </c>
      <c r="D12" s="7" t="n">
        <v>4.92892</v>
      </c>
      <c r="E12" s="7" t="inlineStr">
        <is>
          <t>1 tsp = 4.92892ml</t>
        </is>
      </c>
      <c r="F12" s="7" t="inlineStr">
        <is>
          <t>Teaspoon</t>
        </is>
      </c>
      <c r="H12" t="inlineStr">
        <is>
          <t>tsp</t>
        </is>
      </c>
    </row>
    <row r="13">
      <c r="A13" s="8" t="inlineStr">
        <is>
          <t>tbsp</t>
        </is>
      </c>
      <c r="B13" s="8" t="inlineStr">
        <is>
          <t>Volume</t>
        </is>
      </c>
      <c r="C13" s="8" t="inlineStr">
        <is>
          <t>ml</t>
        </is>
      </c>
      <c r="D13" s="8" t="n">
        <v>14.7868</v>
      </c>
      <c r="E13" s="8" t="inlineStr">
        <is>
          <t>1 tbsp = 3 tsp = 14.7868ml</t>
        </is>
      </c>
      <c r="F13" s="8" t="inlineStr">
        <is>
          <t>Tablespoon</t>
        </is>
      </c>
      <c r="H13" t="inlineStr">
        <is>
          <t>tbsp</t>
        </is>
      </c>
    </row>
    <row r="14">
      <c r="A14" s="7" t="inlineStr">
        <is>
          <t>cup</t>
        </is>
      </c>
      <c r="B14" s="7" t="inlineStr">
        <is>
          <t>Volume</t>
        </is>
      </c>
      <c r="C14" s="7" t="inlineStr">
        <is>
          <t>ml</t>
        </is>
      </c>
      <c r="D14" s="7" t="n">
        <v>236.588</v>
      </c>
      <c r="E14" s="7" t="inlineStr">
        <is>
          <t>1 cup = 16 tbsp = 236.588ml</t>
        </is>
      </c>
      <c r="F14" s="7" t="inlineStr">
        <is>
          <t>US cup</t>
        </is>
      </c>
      <c r="H14" t="inlineStr">
        <is>
          <t>cup</t>
        </is>
      </c>
    </row>
    <row r="15">
      <c r="A15" s="8" t="inlineStr">
        <is>
          <t>fl oz</t>
        </is>
      </c>
      <c r="B15" s="8" t="inlineStr">
        <is>
          <t>Volume</t>
        </is>
      </c>
      <c r="C15" s="8" t="inlineStr">
        <is>
          <t>ml</t>
        </is>
      </c>
      <c r="D15" s="8" t="n">
        <v>29.5735</v>
      </c>
      <c r="E15" s="8" t="inlineStr">
        <is>
          <t>1 fl oz = 2 tbsp</t>
        </is>
      </c>
      <c r="F15" s="8" t="inlineStr">
        <is>
          <t>Fluid ounce</t>
        </is>
      </c>
      <c r="H15" t="inlineStr">
        <is>
          <t>fl oz</t>
        </is>
      </c>
    </row>
    <row r="16">
      <c r="A16" s="7" t="inlineStr">
        <is>
          <t>pint</t>
        </is>
      </c>
      <c r="B16" s="7" t="inlineStr">
        <is>
          <t>Volume</t>
        </is>
      </c>
      <c r="C16" s="7" t="inlineStr">
        <is>
          <t>ml</t>
        </is>
      </c>
      <c r="D16" s="7" t="n">
        <v>473.176</v>
      </c>
      <c r="E16" s="7" t="inlineStr">
        <is>
          <t>1 pint = 2 cups</t>
        </is>
      </c>
      <c r="F16" s="7" t="inlineStr"/>
      <c r="H16" t="inlineStr">
        <is>
          <t>pint</t>
        </is>
      </c>
    </row>
    <row r="17">
      <c r="A17" s="8" t="inlineStr">
        <is>
          <t>quart</t>
        </is>
      </c>
      <c r="B17" s="8" t="inlineStr">
        <is>
          <t>Volume</t>
        </is>
      </c>
      <c r="C17" s="8" t="inlineStr">
        <is>
          <t>ml</t>
        </is>
      </c>
      <c r="D17" s="8" t="n">
        <v>946.353</v>
      </c>
      <c r="E17" s="8" t="inlineStr">
        <is>
          <t>1 quart = 2 pints</t>
        </is>
      </c>
      <c r="F17" s="8" t="inlineStr"/>
      <c r="H17" t="inlineStr">
        <is>
          <t>quart</t>
        </is>
      </c>
    </row>
    <row r="18">
      <c r="A18" s="7" t="inlineStr">
        <is>
          <t>gallon</t>
        </is>
      </c>
      <c r="B18" s="7" t="inlineStr">
        <is>
          <t>Volume</t>
        </is>
      </c>
      <c r="C18" s="7" t="inlineStr">
        <is>
          <t>ml</t>
        </is>
      </c>
      <c r="D18" s="7" t="n">
        <v>3785.41</v>
      </c>
      <c r="E18" s="7" t="inlineStr">
        <is>
          <t>1 gallon = 4 quarts</t>
        </is>
      </c>
      <c r="F18" s="7" t="inlineStr"/>
      <c r="H18" t="inlineStr">
        <is>
          <t>gallon</t>
        </is>
      </c>
    </row>
    <row r="19">
      <c r="A19" s="8" t="inlineStr">
        <is>
          <t>pcs</t>
        </is>
      </c>
      <c r="B19" s="8" t="inlineStr">
        <is>
          <t>Count</t>
        </is>
      </c>
      <c r="C19" s="8" t="inlineStr">
        <is>
          <t>pcs</t>
        </is>
      </c>
      <c r="D19" s="8" t="n">
        <v>1</v>
      </c>
      <c r="E19" s="8" t="inlineStr">
        <is>
          <t>1 pcs</t>
        </is>
      </c>
      <c r="F19" s="8" t="inlineStr">
        <is>
          <t>Base count</t>
        </is>
      </c>
      <c r="H19" t="inlineStr">
        <is>
          <t>pcs</t>
        </is>
      </c>
    </row>
    <row r="20">
      <c r="A20" s="7" t="inlineStr">
        <is>
          <t>dozen</t>
        </is>
      </c>
      <c r="B20" s="7" t="inlineStr">
        <is>
          <t>Count</t>
        </is>
      </c>
      <c r="C20" s="7" t="inlineStr">
        <is>
          <t>pcs</t>
        </is>
      </c>
      <c r="D20" s="7" t="n">
        <v>12</v>
      </c>
      <c r="E20" s="7" t="inlineStr">
        <is>
          <t>1 dozen = 12 pcs</t>
        </is>
      </c>
      <c r="F20" s="7" t="inlineStr"/>
      <c r="H20" t="inlineStr">
        <is>
          <t>dozen</t>
        </is>
      </c>
    </row>
    <row r="21">
      <c r="A21" s="8" t="inlineStr">
        <is>
          <t>tsp</t>
        </is>
      </c>
      <c r="B21" s="8" t="inlineStr">
        <is>
          <t>Volume</t>
        </is>
      </c>
      <c r="C21" s="8" t="inlineStr">
        <is>
          <t>ml</t>
        </is>
      </c>
      <c r="D21" s="8" t="n">
        <v>4.92892</v>
      </c>
      <c r="E21" s="8" t="inlineStr">
        <is>
          <t>Duplicate for search</t>
        </is>
      </c>
      <c r="F21" s="8" t="inlineStr"/>
    </row>
    <row r="22">
      <c r="A22" s="7" t="inlineStr">
        <is>
          <t>tbsp</t>
        </is>
      </c>
      <c r="B22" s="7" t="inlineStr">
        <is>
          <t>Volume</t>
        </is>
      </c>
      <c r="C22" s="7" t="inlineStr">
        <is>
          <t>ml</t>
        </is>
      </c>
      <c r="D22" s="7" t="n">
        <v>14.7868</v>
      </c>
      <c r="E22" s="7" t="inlineStr">
        <is>
          <t>Duplicate</t>
        </is>
      </c>
      <c r="F22" s="7" t="inlineStr"/>
    </row>
    <row r="23"/>
    <row r="24">
      <c r="A24" s="10" t="inlineStr">
        <is>
          <t>How Conversion Works in Recipe Calculator</t>
        </is>
      </c>
    </row>
    <row r="25">
      <c r="A25" t="inlineStr">
        <is>
          <t>Converted Qty in Stock Unit = Recipe Qty * (Recipe Unit Factor / Stock Unit Factor) IF same category</t>
        </is>
      </c>
    </row>
    <row r="26">
      <c r="A26" t="inlineStr">
        <is>
          <t>Example: Recipe needs 2 tsp vanilla, stock is ml, factor tsp=4.92892, factor ml=1, Converted =2*4.92892/1=9.85784ml, Cost =9.85784*Cost per ml</t>
        </is>
      </c>
    </row>
    <row r="27">
      <c r="A27" s="19" t="inlineStr">
        <is>
          <t>If Weight (g) vs Volume (ml) mismatch: Shows WARNING - enter weight equivalent manually. For flour, 1 cup ≈ 120-150g depending on type - use kitchen scale for accuracy.</t>
        </is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</sheetData>
  <mergeCells count="5">
    <mergeCell ref="A2:F2"/>
    <mergeCell ref="A1:F1"/>
    <mergeCell ref="A27:F27"/>
    <mergeCell ref="A26:F26"/>
    <mergeCell ref="A25:F2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7A9E7E"/>
    <outlinePr summaryBelow="1" summaryRight="1"/>
    <pageSetUpPr/>
  </sheetPr>
  <dimension ref="A1:R1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0" customWidth="1" min="2" max="2"/>
    <col width="12" customWidth="1" min="3" max="3"/>
    <col width="12" customWidth="1" min="4" max="4"/>
    <col width="10" customWidth="1" min="5" max="5"/>
    <col width="11" customWidth="1" min="6" max="6"/>
    <col width="12" customWidth="1" min="7" max="7"/>
    <col width="12" customWidth="1" min="8" max="8"/>
    <col width="10" customWidth="1" min="9" max="9"/>
    <col width="12" customWidth="1" min="10" max="10"/>
    <col width="10" customWidth="1" min="11" max="11"/>
    <col width="14" customWidth="1" min="12" max="12"/>
    <col width="12" customWidth="1" min="13" max="13"/>
    <col width="11" customWidth="1" min="14" max="14"/>
    <col width="11" customWidth="1" min="15" max="15"/>
    <col width="10" customWidth="1" min="16" max="16"/>
    <col width="16" customWidth="1" min="17" max="17"/>
    <col width="12" customWidth="1" min="18" max="18"/>
  </cols>
  <sheetData>
    <row r="1">
      <c r="A1" s="6" t="inlineStr">
        <is>
          <t>ID</t>
        </is>
      </c>
      <c r="B1" s="6" t="inlineStr">
        <is>
          <t>Ingredient Name</t>
        </is>
      </c>
      <c r="C1" s="6" t="inlineStr">
        <is>
          <t>Category</t>
        </is>
      </c>
      <c r="D1" s="6" t="inlineStr">
        <is>
          <t>Unit (Stock Unit)</t>
        </is>
      </c>
      <c r="E1" s="6" t="inlineStr">
        <is>
          <t>Pkg Size</t>
        </is>
      </c>
      <c r="F1" s="6" t="inlineStr">
        <is>
          <t>Pkg Cost $</t>
        </is>
      </c>
      <c r="G1" s="6" t="inlineStr">
        <is>
          <t>Cost/Unit $</t>
        </is>
      </c>
      <c r="H1" s="6" t="inlineStr">
        <is>
          <t>Current Stock</t>
        </is>
      </c>
      <c r="I1" s="6" t="inlineStr">
        <is>
          <t>Min Alert</t>
        </is>
      </c>
      <c r="J1" s="6" t="inlineStr">
        <is>
          <t>Stock Value $</t>
        </is>
      </c>
      <c r="K1" s="6" t="inlineStr">
        <is>
          <t>Status</t>
        </is>
      </c>
      <c r="L1" s="6" t="inlineStr">
        <is>
          <t>Supplier</t>
        </is>
      </c>
      <c r="M1" s="6" t="inlineStr">
        <is>
          <t>Last Purchased</t>
        </is>
      </c>
      <c r="N1" s="6" t="inlineStr">
        <is>
          <t>Reorder Qty</t>
        </is>
      </c>
      <c r="O1" s="6" t="inlineStr">
        <is>
          <t>Expiry</t>
        </is>
      </c>
      <c r="P1" s="6" t="inlineStr">
        <is>
          <t>Location</t>
        </is>
      </c>
      <c r="Q1" s="6" t="inlineStr">
        <is>
          <t>Notes</t>
        </is>
      </c>
      <c r="R1" s="6" t="inlineStr">
        <is>
          <t>Base Category</t>
        </is>
      </c>
    </row>
    <row r="2">
      <c r="A2" s="7" t="n">
        <v>1</v>
      </c>
      <c r="B2" s="7" t="inlineStr">
        <is>
          <t>Bread Flour</t>
        </is>
      </c>
      <c r="C2" s="7" t="inlineStr">
        <is>
          <t>Flour</t>
        </is>
      </c>
      <c r="D2" s="7" t="inlineStr">
        <is>
          <t>g</t>
        </is>
      </c>
      <c r="E2" s="7" t="n">
        <v>2268</v>
      </c>
      <c r="F2" s="20" t="n">
        <v>6.99</v>
      </c>
      <c r="G2" s="21">
        <f>IF(E2=0,0,F2/E2)</f>
        <v/>
      </c>
      <c r="H2" s="7" t="n">
        <v>2500</v>
      </c>
      <c r="I2" s="7" t="n">
        <v>1000</v>
      </c>
      <c r="J2" s="20">
        <f>H2*G2</f>
        <v/>
      </c>
      <c r="K2" s="7">
        <f>IF(H2=0,"OUT",IF(H2&lt;=I2,"LOW","OK"))</f>
        <v/>
      </c>
      <c r="L2" s="7" t="inlineStr">
        <is>
          <t>King Arthur</t>
        </is>
      </c>
      <c r="M2" s="22" t="n">
        <v>46235</v>
      </c>
      <c r="N2" s="7" t="n">
        <v>4536</v>
      </c>
      <c r="O2" s="22" t="n">
        <v>46600</v>
      </c>
      <c r="P2" s="7" t="inlineStr">
        <is>
          <t>Pantry A</t>
        </is>
      </c>
      <c r="Q2" s="7" t="inlineStr">
        <is>
          <t>5 lb bag</t>
        </is>
      </c>
      <c r="R2" s="7">
        <f>IFERROR(VLOOKUP(D2,'Unit Conversion'!A:B,2,FALSE),"Weight")</f>
        <v/>
      </c>
    </row>
    <row r="3">
      <c r="A3" s="8" t="n">
        <v>2</v>
      </c>
      <c r="B3" s="8" t="inlineStr">
        <is>
          <t>All-Purpose Flour</t>
        </is>
      </c>
      <c r="C3" s="8" t="inlineStr">
        <is>
          <t>Flour</t>
        </is>
      </c>
      <c r="D3" s="8" t="inlineStr">
        <is>
          <t>g</t>
        </is>
      </c>
      <c r="E3" s="8" t="n">
        <v>2268</v>
      </c>
      <c r="F3" s="23" t="n">
        <v>4.99</v>
      </c>
      <c r="G3" s="24">
        <f>IF(E3=0,0,F3/E3)</f>
        <v/>
      </c>
      <c r="H3" s="8" t="n">
        <v>3000</v>
      </c>
      <c r="I3" s="8" t="n">
        <v>1000</v>
      </c>
      <c r="J3" s="23">
        <f>H3*G3</f>
        <v/>
      </c>
      <c r="K3" s="8">
        <f>IF(H3=0,"OUT",IF(H3&lt;=I3,"LOW","OK"))</f>
        <v/>
      </c>
      <c r="L3" s="8" t="inlineStr">
        <is>
          <t>Gold Medal</t>
        </is>
      </c>
      <c r="M3" s="25" t="n">
        <v>46239</v>
      </c>
      <c r="N3" s="8" t="n">
        <v>4536</v>
      </c>
      <c r="O3" s="25" t="n">
        <v>46419</v>
      </c>
      <c r="P3" s="8" t="inlineStr">
        <is>
          <t>Pantry A</t>
        </is>
      </c>
      <c r="Q3" s="8" t="inlineStr">
        <is>
          <t>5 lb bag</t>
        </is>
      </c>
      <c r="R3" s="8">
        <f>IFERROR(VLOOKUP(D3,'Unit Conversion'!A:B,2,FALSE),"Weight")</f>
        <v/>
      </c>
    </row>
    <row r="4">
      <c r="A4" s="7" t="n">
        <v>3</v>
      </c>
      <c r="B4" s="7" t="inlineStr">
        <is>
          <t>Sugar</t>
        </is>
      </c>
      <c r="C4" s="7" t="inlineStr">
        <is>
          <t>Sugar</t>
        </is>
      </c>
      <c r="D4" s="7" t="inlineStr">
        <is>
          <t>g</t>
        </is>
      </c>
      <c r="E4" s="7" t="n">
        <v>1814</v>
      </c>
      <c r="F4" s="20" t="n">
        <v>3.29</v>
      </c>
      <c r="G4" s="21">
        <f>IF(E4=0,0,F4/E4)</f>
        <v/>
      </c>
      <c r="H4" s="7" t="n">
        <v>800</v>
      </c>
      <c r="I4" s="7" t="n">
        <v>500</v>
      </c>
      <c r="J4" s="20">
        <f>H4*G4</f>
        <v/>
      </c>
      <c r="K4" s="7">
        <f>IF(H4=0,"OUT",IF(H4&lt;=I4,"LOW","OK"))</f>
        <v/>
      </c>
      <c r="L4" s="7" t="inlineStr">
        <is>
          <t>Domino</t>
        </is>
      </c>
      <c r="M4" s="22" t="n">
        <v>46242</v>
      </c>
      <c r="N4" s="7" t="n">
        <v>1814</v>
      </c>
      <c r="O4" s="22" t="n">
        <v>46600</v>
      </c>
      <c r="P4" s="7" t="inlineStr">
        <is>
          <t>Pantry A</t>
        </is>
      </c>
      <c r="Q4" s="7" t="inlineStr">
        <is>
          <t>4 lb bag</t>
        </is>
      </c>
      <c r="R4" s="7">
        <f>IFERROR(VLOOKUP(D4,'Unit Conversion'!A:B,2,FALSE),"Weight")</f>
        <v/>
      </c>
    </row>
    <row r="5">
      <c r="A5" s="8" t="n">
        <v>4</v>
      </c>
      <c r="B5" s="8" t="inlineStr">
        <is>
          <t>Brown Sugar</t>
        </is>
      </c>
      <c r="C5" s="8" t="inlineStr">
        <is>
          <t>Sugar</t>
        </is>
      </c>
      <c r="D5" s="8" t="inlineStr">
        <is>
          <t>g</t>
        </is>
      </c>
      <c r="E5" s="8" t="n">
        <v>907</v>
      </c>
      <c r="F5" s="23" t="n">
        <v>2.79</v>
      </c>
      <c r="G5" s="24">
        <f>IF(E5=0,0,F5/E5)</f>
        <v/>
      </c>
      <c r="H5" s="8" t="n">
        <v>400</v>
      </c>
      <c r="I5" s="8" t="n">
        <v>250</v>
      </c>
      <c r="J5" s="23">
        <f>H5*G5</f>
        <v/>
      </c>
      <c r="K5" s="8">
        <f>IF(H5=0,"OUT",IF(H5&lt;=I5,"LOW","OK"))</f>
        <v/>
      </c>
      <c r="L5" s="8" t="inlineStr">
        <is>
          <t>Domino</t>
        </is>
      </c>
      <c r="M5" s="25" t="n">
        <v>46242</v>
      </c>
      <c r="N5" s="8" t="n">
        <v>907</v>
      </c>
      <c r="O5" s="25" t="n">
        <v>46600</v>
      </c>
      <c r="P5" s="8" t="inlineStr">
        <is>
          <t>Pantry A</t>
        </is>
      </c>
      <c r="Q5" s="8" t="inlineStr">
        <is>
          <t>2 lb bag</t>
        </is>
      </c>
      <c r="R5" s="8">
        <f>IFERROR(VLOOKUP(D5,'Unit Conversion'!A:B,2,FALSE),"Weight")</f>
        <v/>
      </c>
    </row>
    <row r="6">
      <c r="A6" s="7" t="n">
        <v>5</v>
      </c>
      <c r="B6" s="7" t="inlineStr">
        <is>
          <t>Butter</t>
        </is>
      </c>
      <c r="C6" s="7" t="inlineStr">
        <is>
          <t>Dairy</t>
        </is>
      </c>
      <c r="D6" s="7" t="inlineStr">
        <is>
          <t>g</t>
        </is>
      </c>
      <c r="E6" s="7" t="n">
        <v>454</v>
      </c>
      <c r="F6" s="20" t="n">
        <v>4.49</v>
      </c>
      <c r="G6" s="21">
        <f>IF(E6=0,0,F6/E6)</f>
        <v/>
      </c>
      <c r="H6" s="7" t="n">
        <v>300</v>
      </c>
      <c r="I6" s="7" t="n">
        <v>200</v>
      </c>
      <c r="J6" s="20">
        <f>H6*G6</f>
        <v/>
      </c>
      <c r="K6" s="7">
        <f>IF(H6=0,"OUT",IF(H6&lt;=I6,"LOW","OK"))</f>
        <v/>
      </c>
      <c r="L6" s="7" t="inlineStr">
        <is>
          <t>Land O'Lakes</t>
        </is>
      </c>
      <c r="M6" s="22" t="n">
        <v>46254</v>
      </c>
      <c r="N6" s="7" t="n">
        <v>908</v>
      </c>
      <c r="O6" s="22" t="n">
        <v>46296</v>
      </c>
      <c r="P6" s="7" t="inlineStr">
        <is>
          <t>Fridge</t>
        </is>
      </c>
      <c r="Q6" s="7" t="inlineStr">
        <is>
          <t>1 lb, unsalted</t>
        </is>
      </c>
      <c r="R6" s="7">
        <f>IFERROR(VLOOKUP(D6,'Unit Conversion'!A:B,2,FALSE),"Weight")</f>
        <v/>
      </c>
    </row>
    <row r="7">
      <c r="A7" s="8" t="n">
        <v>6</v>
      </c>
      <c r="B7" s="8" t="inlineStr">
        <is>
          <t>Eggs</t>
        </is>
      </c>
      <c r="C7" s="8" t="inlineStr">
        <is>
          <t>Dairy</t>
        </is>
      </c>
      <c r="D7" s="8" t="inlineStr">
        <is>
          <t>pcs</t>
        </is>
      </c>
      <c r="E7" s="8" t="n">
        <v>12</v>
      </c>
      <c r="F7" s="23" t="n">
        <v>3.99</v>
      </c>
      <c r="G7" s="24">
        <f>IF(E7=0,0,F7/E7)</f>
        <v/>
      </c>
      <c r="H7" s="8" t="n">
        <v>18</v>
      </c>
      <c r="I7" s="8" t="n">
        <v>12</v>
      </c>
      <c r="J7" s="23">
        <f>H7*G7</f>
        <v/>
      </c>
      <c r="K7" s="8">
        <f>IF(H7=0,"OUT",IF(H7&lt;=I7,"LOW","OK"))</f>
        <v/>
      </c>
      <c r="L7" s="8" t="inlineStr">
        <is>
          <t>Eggland's Best</t>
        </is>
      </c>
      <c r="M7" s="25" t="n">
        <v>46256</v>
      </c>
      <c r="N7" s="8" t="n">
        <v>24</v>
      </c>
      <c r="O7" s="25" t="n">
        <v>46285</v>
      </c>
      <c r="P7" s="8" t="inlineStr">
        <is>
          <t>Fridge</t>
        </is>
      </c>
      <c r="Q7" s="8" t="inlineStr">
        <is>
          <t>Large, cage-free</t>
        </is>
      </c>
      <c r="R7" s="8">
        <f>IFERROR(VLOOKUP(D7,'Unit Conversion'!A:B,2,FALSE),"Weight")</f>
        <v/>
      </c>
    </row>
    <row r="8">
      <c r="A8" s="7" t="n">
        <v>7</v>
      </c>
      <c r="B8" s="7" t="inlineStr">
        <is>
          <t>Vanilla Extract</t>
        </is>
      </c>
      <c r="C8" s="7" t="inlineStr">
        <is>
          <t>Flavoring</t>
        </is>
      </c>
      <c r="D8" s="7" t="inlineStr">
        <is>
          <t>ml</t>
        </is>
      </c>
      <c r="E8" s="7" t="n">
        <v>59</v>
      </c>
      <c r="F8" s="20" t="n">
        <v>12.99</v>
      </c>
      <c r="G8" s="21">
        <f>IF(E8=0,0,F8/E8)</f>
        <v/>
      </c>
      <c r="H8" s="7" t="n">
        <v>80</v>
      </c>
      <c r="I8" s="7" t="n">
        <v>50</v>
      </c>
      <c r="J8" s="20">
        <f>H8*G8</f>
        <v/>
      </c>
      <c r="K8" s="7">
        <f>IF(H8=0,"OUT",IF(H8&lt;=I8,"LOW","OK"))</f>
        <v/>
      </c>
      <c r="L8" s="7" t="inlineStr">
        <is>
          <t>Nielsen-Massey</t>
        </is>
      </c>
      <c r="M8" s="22" t="n">
        <v>46213</v>
      </c>
      <c r="N8" s="7" t="n">
        <v>118</v>
      </c>
      <c r="O8" s="22" t="n">
        <v>46935</v>
      </c>
      <c r="P8" s="7" t="inlineStr">
        <is>
          <t>Rack</t>
        </is>
      </c>
      <c r="Q8" s="7" t="inlineStr">
        <is>
          <t>Pure, 2 fl oz</t>
        </is>
      </c>
      <c r="R8" s="7">
        <f>IFERROR(VLOOKUP(D8,'Unit Conversion'!A:B,2,FALSE),"Weight")</f>
        <v/>
      </c>
    </row>
    <row r="9">
      <c r="A9" s="8" t="n">
        <v>8</v>
      </c>
      <c r="B9" s="8" t="inlineStr">
        <is>
          <t>Chocolate Chips</t>
        </is>
      </c>
      <c r="C9" s="8" t="inlineStr">
        <is>
          <t>Chocolate</t>
        </is>
      </c>
      <c r="D9" s="8" t="inlineStr">
        <is>
          <t>g</t>
        </is>
      </c>
      <c r="E9" s="8" t="n">
        <v>340</v>
      </c>
      <c r="F9" s="23" t="n">
        <v>4.49</v>
      </c>
      <c r="G9" s="24">
        <f>IF(E9=0,0,F9/E9)</f>
        <v/>
      </c>
      <c r="H9" s="8" t="n">
        <v>1200</v>
      </c>
      <c r="I9" s="8" t="n">
        <v>400</v>
      </c>
      <c r="J9" s="23">
        <f>H9*G9</f>
        <v/>
      </c>
      <c r="K9" s="8">
        <f>IF(H9=0,"OUT",IF(H9&lt;=I9,"LOW","OK"))</f>
        <v/>
      </c>
      <c r="L9" s="8" t="inlineStr">
        <is>
          <t>Nestlé Toll House</t>
        </is>
      </c>
      <c r="M9" s="25" t="n">
        <v>46246</v>
      </c>
      <c r="N9" s="8" t="n">
        <v>680</v>
      </c>
      <c r="O9" s="25" t="n">
        <v>46600</v>
      </c>
      <c r="P9" s="8" t="inlineStr">
        <is>
          <t>Pantry B</t>
        </is>
      </c>
      <c r="Q9" s="8" t="inlineStr">
        <is>
          <t>Semi-sweet, 12 oz</t>
        </is>
      </c>
      <c r="R9" s="8">
        <f>IFERROR(VLOOKUP(D9,'Unit Conversion'!A:B,2,FALSE),"Weight")</f>
        <v/>
      </c>
    </row>
    <row r="10">
      <c r="A10" s="7" t="n">
        <v>9</v>
      </c>
      <c r="B10" s="7" t="inlineStr">
        <is>
          <t>Cream Cheese</t>
        </is>
      </c>
      <c r="C10" s="7" t="inlineStr">
        <is>
          <t>Dairy</t>
        </is>
      </c>
      <c r="D10" s="7" t="inlineStr">
        <is>
          <t>g</t>
        </is>
      </c>
      <c r="E10" s="7" t="n">
        <v>226</v>
      </c>
      <c r="F10" s="20" t="n">
        <v>2.29</v>
      </c>
      <c r="G10" s="21">
        <f>IF(E10=0,0,F10/E10)</f>
        <v/>
      </c>
      <c r="H10" s="7" t="n">
        <v>0</v>
      </c>
      <c r="I10" s="7" t="n">
        <v>250</v>
      </c>
      <c r="J10" s="20">
        <f>H10*G10</f>
        <v/>
      </c>
      <c r="K10" s="7">
        <f>IF(H10=0,"OUT",IF(H10&lt;=I10,"LOW","OK"))</f>
        <v/>
      </c>
      <c r="L10" s="7" t="inlineStr">
        <is>
          <t>Philadelphia</t>
        </is>
      </c>
      <c r="M10" s="22" t="n">
        <v>46249</v>
      </c>
      <c r="N10" s="7" t="n">
        <v>453</v>
      </c>
      <c r="O10" s="22" t="n">
        <v>46275</v>
      </c>
      <c r="P10" s="7" t="inlineStr">
        <is>
          <t>Fridge</t>
        </is>
      </c>
      <c r="Q10" s="7" t="inlineStr">
        <is>
          <t>8 oz — OUT OF STOCK</t>
        </is>
      </c>
      <c r="R10" s="7">
        <f>IFERROR(VLOOKUP(D10,'Unit Conversion'!A:B,2,FALSE),"Weight")</f>
        <v/>
      </c>
    </row>
    <row r="11">
      <c r="A11" s="8" t="n">
        <v>10</v>
      </c>
      <c r="B11" s="8" t="inlineStr">
        <is>
          <t>Cinnamon</t>
        </is>
      </c>
      <c r="C11" s="8" t="inlineStr">
        <is>
          <t>Spice</t>
        </is>
      </c>
      <c r="D11" s="8" t="inlineStr">
        <is>
          <t>g</t>
        </is>
      </c>
      <c r="E11" s="8" t="n">
        <v>57</v>
      </c>
      <c r="F11" s="23" t="n">
        <v>4.29</v>
      </c>
      <c r="G11" s="24">
        <f>IF(E11=0,0,F11/E11)</f>
        <v/>
      </c>
      <c r="H11" s="8" t="n">
        <v>45</v>
      </c>
      <c r="I11" s="8" t="n">
        <v>20</v>
      </c>
      <c r="J11" s="23">
        <f>H11*G11</f>
        <v/>
      </c>
      <c r="K11" s="8">
        <f>IF(H11=0,"OUT",IF(H11&lt;=I11,"LOW","OK"))</f>
        <v/>
      </c>
      <c r="L11" s="8" t="inlineStr">
        <is>
          <t>McCormick</t>
        </is>
      </c>
      <c r="M11" s="25" t="n">
        <v>46174</v>
      </c>
      <c r="N11" s="8" t="n">
        <v>57</v>
      </c>
      <c r="O11" s="25" t="n">
        <v>46905</v>
      </c>
      <c r="P11" s="8" t="inlineStr">
        <is>
          <t>Rack</t>
        </is>
      </c>
      <c r="Q11" s="8" t="inlineStr">
        <is>
          <t>Ground, 2 oz</t>
        </is>
      </c>
      <c r="R11" s="8">
        <f>IFERROR(VLOOKUP(D11,'Unit Conversion'!A:B,2,FALSE),"Weight")</f>
        <v/>
      </c>
    </row>
    <row r="12">
      <c r="A12" s="7" t="n">
        <v>11</v>
      </c>
      <c r="B12" s="7" t="inlineStr">
        <is>
          <t>Sourdough Starter</t>
        </is>
      </c>
      <c r="C12" s="7" t="inlineStr">
        <is>
          <t>Other</t>
        </is>
      </c>
      <c r="D12" s="7" t="inlineStr">
        <is>
          <t>g</t>
        </is>
      </c>
      <c r="E12" s="7" t="n">
        <v>500</v>
      </c>
      <c r="F12" s="20" t="n">
        <v>0.5</v>
      </c>
      <c r="G12" s="21">
        <f>IF(E12=0,0,F12/E12)</f>
        <v/>
      </c>
      <c r="H12" s="7" t="n">
        <v>350</v>
      </c>
      <c r="I12" s="7" t="n">
        <v>100</v>
      </c>
      <c r="J12" s="20">
        <f>H12*G12</f>
        <v/>
      </c>
      <c r="K12" s="7">
        <f>IF(H12=0,"OUT",IF(H12&lt;=I12,"LOW","OK"))</f>
        <v/>
      </c>
      <c r="L12" s="7" t="inlineStr">
        <is>
          <t>Homemade</t>
        </is>
      </c>
      <c r="M12" s="22" t="n">
        <v>46262</v>
      </c>
      <c r="N12" s="7" t="n">
        <v>500</v>
      </c>
      <c r="O12" s="7" t="inlineStr"/>
      <c r="P12" s="7" t="inlineStr">
        <is>
          <t>Fridge</t>
        </is>
      </c>
      <c r="Q12" s="7" t="inlineStr">
        <is>
          <t>Feed weekly</t>
        </is>
      </c>
      <c r="R12" s="7">
        <f>IFERROR(VLOOKUP(D12,'Unit Conversion'!A:B,2,FALSE),"Weight")</f>
        <v/>
      </c>
    </row>
    <row r="13">
      <c r="A13" s="8" t="n">
        <v>12</v>
      </c>
      <c r="B13" s="8" t="inlineStr">
        <is>
          <t>Heavy Cream</t>
        </is>
      </c>
      <c r="C13" s="8" t="inlineStr">
        <is>
          <t>Dairy</t>
        </is>
      </c>
      <c r="D13" s="8" t="inlineStr">
        <is>
          <t>ml</t>
        </is>
      </c>
      <c r="E13" s="8" t="n">
        <v>473</v>
      </c>
      <c r="F13" s="23" t="n">
        <v>3.99</v>
      </c>
      <c r="G13" s="24">
        <f>IF(E13=0,0,F13/E13)</f>
        <v/>
      </c>
      <c r="H13" s="8" t="n">
        <v>100</v>
      </c>
      <c r="I13" s="8" t="n">
        <v>250</v>
      </c>
      <c r="J13" s="23">
        <f>H13*G13</f>
        <v/>
      </c>
      <c r="K13" s="8">
        <f>IF(H13=0,"OUT",IF(H13&lt;=I13,"LOW","OK"))</f>
        <v/>
      </c>
      <c r="L13" s="8" t="inlineStr">
        <is>
          <t>Organic Valley</t>
        </is>
      </c>
      <c r="M13" s="25" t="n">
        <v>46259</v>
      </c>
      <c r="N13" s="8" t="n">
        <v>946</v>
      </c>
      <c r="O13" s="25" t="n">
        <v>46280</v>
      </c>
      <c r="P13" s="8" t="inlineStr">
        <is>
          <t>Fridge</t>
        </is>
      </c>
      <c r="Q13" s="8" t="inlineStr">
        <is>
          <t>Pint — LOW STOCK</t>
        </is>
      </c>
      <c r="R13" s="8">
        <f>IFERROR(VLOOKUP(D13,'Unit Conversion'!A:B,2,FALSE),"Weight")</f>
        <v/>
      </c>
    </row>
    <row r="14">
      <c r="A14" s="7" t="n">
        <v>13</v>
      </c>
      <c r="B14" s="7" t="inlineStr">
        <is>
          <t>Olive Oil</t>
        </is>
      </c>
      <c r="C14" s="7" t="inlineStr">
        <is>
          <t>Oil</t>
        </is>
      </c>
      <c r="D14" s="7" t="inlineStr">
        <is>
          <t>ml</t>
        </is>
      </c>
      <c r="E14" s="7" t="n">
        <v>500</v>
      </c>
      <c r="F14" s="20" t="n">
        <v>8.99</v>
      </c>
      <c r="G14" s="21">
        <f>IF(E14=0,0,F14/E14)</f>
        <v/>
      </c>
      <c r="H14" s="7" t="n">
        <v>200</v>
      </c>
      <c r="I14" s="7" t="n">
        <v>100</v>
      </c>
      <c r="J14" s="20">
        <f>H14*G14</f>
        <v/>
      </c>
      <c r="K14" s="7">
        <f>IF(H14=0,"OUT",IF(H14&lt;=I14,"LOW","OK"))</f>
        <v/>
      </c>
      <c r="L14" s="7" t="inlineStr">
        <is>
          <t>California Olive Ranch</t>
        </is>
      </c>
      <c r="M14" s="22" t="n">
        <v>46204</v>
      </c>
      <c r="N14" s="7" t="n">
        <v>500</v>
      </c>
      <c r="O14" s="22" t="n">
        <v>46569</v>
      </c>
      <c r="P14" s="7" t="inlineStr">
        <is>
          <t>Pantry A</t>
        </is>
      </c>
      <c r="Q14" s="7" t="inlineStr">
        <is>
          <t>Extra virgin</t>
        </is>
      </c>
      <c r="R14" s="7">
        <f>IFERROR(VLOOKUP(D14,'Unit Conversion'!A:B,2,FALSE),"Weight")</f>
        <v/>
      </c>
    </row>
    <row r="15">
      <c r="A15" s="8" t="n">
        <v>14</v>
      </c>
      <c r="B15" s="8" t="inlineStr">
        <is>
          <t>Salt</t>
        </is>
      </c>
      <c r="C15" s="8" t="inlineStr">
        <is>
          <t>Spice</t>
        </is>
      </c>
      <c r="D15" s="8" t="inlineStr">
        <is>
          <t>g</t>
        </is>
      </c>
      <c r="E15" s="8" t="n">
        <v>1361</v>
      </c>
      <c r="F15" s="23" t="n">
        <v>3.49</v>
      </c>
      <c r="G15" s="24">
        <f>IF(E15=0,0,F15/E15)</f>
        <v/>
      </c>
      <c r="H15" s="8" t="n">
        <v>600</v>
      </c>
      <c r="I15" s="8" t="n">
        <v>200</v>
      </c>
      <c r="J15" s="23">
        <f>H15*G15</f>
        <v/>
      </c>
      <c r="K15" s="8">
        <f>IF(H15=0,"OUT",IF(H15&lt;=I15,"LOW","OK"))</f>
        <v/>
      </c>
      <c r="L15" s="8" t="inlineStr">
        <is>
          <t>Morton</t>
        </is>
      </c>
      <c r="M15" s="25" t="n">
        <v>46218</v>
      </c>
      <c r="N15" s="8" t="n">
        <v>1361</v>
      </c>
      <c r="O15" s="25" t="n">
        <v>46935</v>
      </c>
      <c r="P15" s="8" t="inlineStr">
        <is>
          <t>Pantry A</t>
        </is>
      </c>
      <c r="Q15" s="8" t="inlineStr">
        <is>
          <t>Kosher, 3 lb</t>
        </is>
      </c>
      <c r="R15" s="8">
        <f>IFERROR(VLOOKUP(D15,'Unit Conversion'!A:B,2,FALSE),"Weight")</f>
        <v/>
      </c>
    </row>
    <row r="16">
      <c r="A16" s="7" t="n">
        <v>15</v>
      </c>
      <c r="B16" s="7" t="inlineStr">
        <is>
          <t>Water</t>
        </is>
      </c>
      <c r="C16" s="7" t="inlineStr">
        <is>
          <t>Other</t>
        </is>
      </c>
      <c r="D16" s="7" t="inlineStr">
        <is>
          <t>ml</t>
        </is>
      </c>
      <c r="E16" s="7" t="n">
        <v>3785</v>
      </c>
      <c r="F16" s="20" t="n">
        <v>0.01</v>
      </c>
      <c r="G16" s="21">
        <f>IF(E16=0,0,F16/E16)</f>
        <v/>
      </c>
      <c r="H16" s="7" t="n">
        <v>100000</v>
      </c>
      <c r="I16" s="7" t="n">
        <v>5000</v>
      </c>
      <c r="J16" s="20">
        <f>H16*G16</f>
        <v/>
      </c>
      <c r="K16" s="7">
        <f>IF(H16=0,"OUT",IF(H16&lt;=I16,"LOW","OK"))</f>
        <v/>
      </c>
      <c r="L16" s="7" t="inlineStr">
        <is>
          <t>Municipal</t>
        </is>
      </c>
      <c r="M16" s="22" t="n">
        <v>46262</v>
      </c>
      <c r="N16" s="7" t="n">
        <v>3785</v>
      </c>
      <c r="O16" s="7" t="inlineStr"/>
      <c r="P16" s="7" t="inlineStr">
        <is>
          <t>Sink</t>
        </is>
      </c>
      <c r="Q16" s="7" t="inlineStr">
        <is>
          <t>Tap water</t>
        </is>
      </c>
      <c r="R16" s="7">
        <f>IFERROR(VLOOKUP(D16,'Unit Conversion'!A:B,2,FALSE),"Weight")</f>
        <v/>
      </c>
    </row>
    <row r="17">
      <c r="A17" s="8" t="n"/>
      <c r="B17" s="8" t="n"/>
      <c r="C17" s="8" t="n"/>
      <c r="D17" s="8" t="n"/>
      <c r="E17" s="8" t="n"/>
      <c r="F17" s="8" t="n"/>
      <c r="G17" s="8">
        <f>IF(E17=0,0,F17/E17)</f>
        <v/>
      </c>
      <c r="H17" s="8" t="n"/>
      <c r="I17" s="8" t="n"/>
      <c r="J17" s="8">
        <f>H17*G17</f>
        <v/>
      </c>
      <c r="K17" s="8">
        <f>IF(H17="","",IF(H17=0,"OUT",IF(H17&lt;=I17,"LOW","OK")))</f>
        <v/>
      </c>
      <c r="L17" s="8" t="n"/>
      <c r="M17" s="8" t="n"/>
      <c r="N17" s="8" t="n"/>
      <c r="O17" s="8" t="n"/>
      <c r="P17" s="8" t="n"/>
      <c r="Q17" s="8" t="n"/>
      <c r="R17" s="8">
        <f>IF(D17="","",IFERROR(VLOOKUP(D17,'Unit Conversion'!A:B,2,FALSE),""))</f>
        <v/>
      </c>
    </row>
    <row r="18">
      <c r="A18" s="7" t="n"/>
      <c r="B18" s="7" t="n"/>
      <c r="C18" s="7" t="n"/>
      <c r="D18" s="7" t="n"/>
      <c r="E18" s="7" t="n"/>
      <c r="F18" s="7" t="n"/>
      <c r="G18" s="7">
        <f>IF(E18=0,0,F18/E18)</f>
        <v/>
      </c>
      <c r="H18" s="7" t="n"/>
      <c r="I18" s="7" t="n"/>
      <c r="J18" s="7">
        <f>H18*G18</f>
        <v/>
      </c>
      <c r="K18" s="7">
        <f>IF(H18="","",IF(H18=0,"OUT",IF(H18&lt;=I18,"LOW","OK")))</f>
        <v/>
      </c>
      <c r="L18" s="7" t="n"/>
      <c r="M18" s="7" t="n"/>
      <c r="N18" s="7" t="n"/>
      <c r="O18" s="7" t="n"/>
      <c r="P18" s="7" t="n"/>
      <c r="Q18" s="7" t="n"/>
      <c r="R18" s="7">
        <f>IF(D18="","",IFERROR(VLOOKUP(D18,'Unit Conversion'!A:B,2,FALSE),""))</f>
        <v/>
      </c>
    </row>
    <row r="19">
      <c r="A19" s="8" t="n"/>
      <c r="B19" s="8" t="n"/>
      <c r="C19" s="8" t="n"/>
      <c r="D19" s="8" t="n"/>
      <c r="E19" s="8" t="n"/>
      <c r="F19" s="8" t="n"/>
      <c r="G19" s="8">
        <f>IF(E19=0,0,F19/E19)</f>
        <v/>
      </c>
      <c r="H19" s="8" t="n"/>
      <c r="I19" s="8" t="n"/>
      <c r="J19" s="8">
        <f>H19*G19</f>
        <v/>
      </c>
      <c r="K19" s="8">
        <f>IF(H19="","",IF(H19=0,"OUT",IF(H19&lt;=I19,"LOW","OK")))</f>
        <v/>
      </c>
      <c r="L19" s="8" t="n"/>
      <c r="M19" s="8" t="n"/>
      <c r="N19" s="8" t="n"/>
      <c r="O19" s="8" t="n"/>
      <c r="P19" s="8" t="n"/>
      <c r="Q19" s="8" t="n"/>
      <c r="R19" s="8">
        <f>IF(D19="","",IFERROR(VLOOKUP(D19,'Unit Conversion'!A:B,2,FALSE),""))</f>
        <v/>
      </c>
    </row>
    <row r="20">
      <c r="A20" s="7" t="n"/>
      <c r="B20" s="7" t="n"/>
      <c r="C20" s="7" t="n"/>
      <c r="D20" s="7" t="n"/>
      <c r="E20" s="7" t="n"/>
      <c r="F20" s="7" t="n"/>
      <c r="G20" s="7">
        <f>IF(E20=0,0,F20/E20)</f>
        <v/>
      </c>
      <c r="H20" s="7" t="n"/>
      <c r="I20" s="7" t="n"/>
      <c r="J20" s="7">
        <f>H20*G20</f>
        <v/>
      </c>
      <c r="K20" s="7">
        <f>IF(H20="","",IF(H20=0,"OUT",IF(H20&lt;=I20,"LOW","OK")))</f>
        <v/>
      </c>
      <c r="L20" s="7" t="n"/>
      <c r="M20" s="7" t="n"/>
      <c r="N20" s="7" t="n"/>
      <c r="O20" s="7" t="n"/>
      <c r="P20" s="7" t="n"/>
      <c r="Q20" s="7" t="n"/>
      <c r="R20" s="7">
        <f>IF(D20="","",IFERROR(VLOOKUP(D20,'Unit Conversion'!A:B,2,FALSE),""))</f>
        <v/>
      </c>
    </row>
    <row r="21">
      <c r="A21" s="8" t="n"/>
      <c r="B21" s="8" t="n"/>
      <c r="C21" s="8" t="n"/>
      <c r="D21" s="8" t="n"/>
      <c r="E21" s="8" t="n"/>
      <c r="F21" s="8" t="n"/>
      <c r="G21" s="8">
        <f>IF(E21=0,0,F21/E21)</f>
        <v/>
      </c>
      <c r="H21" s="8" t="n"/>
      <c r="I21" s="8" t="n"/>
      <c r="J21" s="8">
        <f>H21*G21</f>
        <v/>
      </c>
      <c r="K21" s="8">
        <f>IF(H21="","",IF(H21=0,"OUT",IF(H21&lt;=I21,"LOW","OK")))</f>
        <v/>
      </c>
      <c r="L21" s="8" t="n"/>
      <c r="M21" s="8" t="n"/>
      <c r="N21" s="8" t="n"/>
      <c r="O21" s="8" t="n"/>
      <c r="P21" s="8" t="n"/>
      <c r="Q21" s="8" t="n"/>
      <c r="R21" s="8">
        <f>IF(D21="","",IFERROR(VLOOKUP(D21,'Unit Conversion'!A:B,2,FALSE),""))</f>
        <v/>
      </c>
    </row>
    <row r="22">
      <c r="A22" s="7" t="n"/>
      <c r="B22" s="7" t="n"/>
      <c r="C22" s="7" t="n"/>
      <c r="D22" s="7" t="n"/>
      <c r="E22" s="7" t="n"/>
      <c r="F22" s="7" t="n"/>
      <c r="G22" s="7">
        <f>IF(E22=0,0,F22/E22)</f>
        <v/>
      </c>
      <c r="H22" s="7" t="n"/>
      <c r="I22" s="7" t="n"/>
      <c r="J22" s="7">
        <f>H22*G22</f>
        <v/>
      </c>
      <c r="K22" s="7">
        <f>IF(H22="","",IF(H22=0,"OUT",IF(H22&lt;=I22,"LOW","OK")))</f>
        <v/>
      </c>
      <c r="L22" s="7" t="n"/>
      <c r="M22" s="7" t="n"/>
      <c r="N22" s="7" t="n"/>
      <c r="O22" s="7" t="n"/>
      <c r="P22" s="7" t="n"/>
      <c r="Q22" s="7" t="n"/>
      <c r="R22" s="7">
        <f>IF(D22="","",IFERROR(VLOOKUP(D22,'Unit Conversion'!A:B,2,FALSE),""))</f>
        <v/>
      </c>
    </row>
    <row r="23">
      <c r="A23" s="8" t="n"/>
      <c r="B23" s="8" t="n"/>
      <c r="C23" s="8" t="n"/>
      <c r="D23" s="8" t="n"/>
      <c r="E23" s="8" t="n"/>
      <c r="F23" s="8" t="n"/>
      <c r="G23" s="8">
        <f>IF(E23=0,0,F23/E23)</f>
        <v/>
      </c>
      <c r="H23" s="8" t="n"/>
      <c r="I23" s="8" t="n"/>
      <c r="J23" s="8">
        <f>H23*G23</f>
        <v/>
      </c>
      <c r="K23" s="8">
        <f>IF(H23="","",IF(H23=0,"OUT",IF(H23&lt;=I23,"LOW","OK")))</f>
        <v/>
      </c>
      <c r="L23" s="8" t="n"/>
      <c r="M23" s="8" t="n"/>
      <c r="N23" s="8" t="n"/>
      <c r="O23" s="8" t="n"/>
      <c r="P23" s="8" t="n"/>
      <c r="Q23" s="8" t="n"/>
      <c r="R23" s="8">
        <f>IF(D23="","",IFERROR(VLOOKUP(D23,'Unit Conversion'!A:B,2,FALSE),""))</f>
        <v/>
      </c>
    </row>
    <row r="24">
      <c r="A24" s="7" t="n"/>
      <c r="B24" s="7" t="n"/>
      <c r="C24" s="7" t="n"/>
      <c r="D24" s="7" t="n"/>
      <c r="E24" s="7" t="n"/>
      <c r="F24" s="7" t="n"/>
      <c r="G24" s="7">
        <f>IF(E24=0,0,F24/E24)</f>
        <v/>
      </c>
      <c r="H24" s="7" t="n"/>
      <c r="I24" s="7" t="n"/>
      <c r="J24" s="7">
        <f>H24*G24</f>
        <v/>
      </c>
      <c r="K24" s="7">
        <f>IF(H24="","",IF(H24=0,"OUT",IF(H24&lt;=I24,"LOW","OK")))</f>
        <v/>
      </c>
      <c r="L24" s="7" t="n"/>
      <c r="M24" s="7" t="n"/>
      <c r="N24" s="7" t="n"/>
      <c r="O24" s="7" t="n"/>
      <c r="P24" s="7" t="n"/>
      <c r="Q24" s="7" t="n"/>
      <c r="R24" s="7">
        <f>IF(D24="","",IFERROR(VLOOKUP(D24,'Unit Conversion'!A:B,2,FALSE),""))</f>
        <v/>
      </c>
    </row>
    <row r="25">
      <c r="A25" s="8" t="n"/>
      <c r="B25" s="8" t="n"/>
      <c r="C25" s="8" t="n"/>
      <c r="D25" s="8" t="n"/>
      <c r="E25" s="8" t="n"/>
      <c r="F25" s="8" t="n"/>
      <c r="G25" s="8">
        <f>IF(E25=0,0,F25/E25)</f>
        <v/>
      </c>
      <c r="H25" s="8" t="n"/>
      <c r="I25" s="8" t="n"/>
      <c r="J25" s="8">
        <f>H25*G25</f>
        <v/>
      </c>
      <c r="K25" s="8">
        <f>IF(H25="","",IF(H25=0,"OUT",IF(H25&lt;=I25,"LOW","OK")))</f>
        <v/>
      </c>
      <c r="L25" s="8" t="n"/>
      <c r="M25" s="8" t="n"/>
      <c r="N25" s="8" t="n"/>
      <c r="O25" s="8" t="n"/>
      <c r="P25" s="8" t="n"/>
      <c r="Q25" s="8" t="n"/>
      <c r="R25" s="8">
        <f>IF(D25="","",IFERROR(VLOOKUP(D25,'Unit Conversion'!A:B,2,FALSE),""))</f>
        <v/>
      </c>
    </row>
    <row r="26">
      <c r="A26" s="7" t="n"/>
      <c r="B26" s="7" t="n"/>
      <c r="C26" s="7" t="n"/>
      <c r="D26" s="7" t="n"/>
      <c r="E26" s="7" t="n"/>
      <c r="F26" s="7" t="n"/>
      <c r="G26" s="7">
        <f>IF(E26=0,0,F26/E26)</f>
        <v/>
      </c>
      <c r="H26" s="7" t="n"/>
      <c r="I26" s="7" t="n"/>
      <c r="J26" s="7">
        <f>H26*G26</f>
        <v/>
      </c>
      <c r="K26" s="7">
        <f>IF(H26="","",IF(H26=0,"OUT",IF(H26&lt;=I26,"LOW","OK")))</f>
        <v/>
      </c>
      <c r="L26" s="7" t="n"/>
      <c r="M26" s="7" t="n"/>
      <c r="N26" s="7" t="n"/>
      <c r="O26" s="7" t="n"/>
      <c r="P26" s="7" t="n"/>
      <c r="Q26" s="7" t="n"/>
      <c r="R26" s="7">
        <f>IF(D26="","",IFERROR(VLOOKUP(D26,'Unit Conversion'!A:B,2,FALSE),""))</f>
        <v/>
      </c>
    </row>
    <row r="27">
      <c r="A27" s="8" t="n"/>
      <c r="B27" s="8" t="n"/>
      <c r="C27" s="8" t="n"/>
      <c r="D27" s="8" t="n"/>
      <c r="E27" s="8" t="n"/>
      <c r="F27" s="8" t="n"/>
      <c r="G27" s="8">
        <f>IF(E27=0,0,F27/E27)</f>
        <v/>
      </c>
      <c r="H27" s="8" t="n"/>
      <c r="I27" s="8" t="n"/>
      <c r="J27" s="8">
        <f>H27*G27</f>
        <v/>
      </c>
      <c r="K27" s="8">
        <f>IF(H27="","",IF(H27=0,"OUT",IF(H27&lt;=I27,"LOW","OK")))</f>
        <v/>
      </c>
      <c r="L27" s="8" t="n"/>
      <c r="M27" s="8" t="n"/>
      <c r="N27" s="8" t="n"/>
      <c r="O27" s="8" t="n"/>
      <c r="P27" s="8" t="n"/>
      <c r="Q27" s="8" t="n"/>
      <c r="R27" s="8">
        <f>IF(D27="","",IFERROR(VLOOKUP(D27,'Unit Conversion'!A:B,2,FALSE),""))</f>
        <v/>
      </c>
    </row>
    <row r="28">
      <c r="A28" s="7" t="n"/>
      <c r="B28" s="7" t="n"/>
      <c r="C28" s="7" t="n"/>
      <c r="D28" s="7" t="n"/>
      <c r="E28" s="7" t="n"/>
      <c r="F28" s="7" t="n"/>
      <c r="G28" s="7">
        <f>IF(E28=0,0,F28/E28)</f>
        <v/>
      </c>
      <c r="H28" s="7" t="n"/>
      <c r="I28" s="7" t="n"/>
      <c r="J28" s="7">
        <f>H28*G28</f>
        <v/>
      </c>
      <c r="K28" s="7">
        <f>IF(H28="","",IF(H28=0,"OUT",IF(H28&lt;=I28,"LOW","OK")))</f>
        <v/>
      </c>
      <c r="L28" s="7" t="n"/>
      <c r="M28" s="7" t="n"/>
      <c r="N28" s="7" t="n"/>
      <c r="O28" s="7" t="n"/>
      <c r="P28" s="7" t="n"/>
      <c r="Q28" s="7" t="n"/>
      <c r="R28" s="7">
        <f>IF(D28="","",IFERROR(VLOOKUP(D28,'Unit Conversion'!A:B,2,FALSE),""))</f>
        <v/>
      </c>
    </row>
    <row r="29">
      <c r="A29" s="8" t="n"/>
      <c r="B29" s="8" t="n"/>
      <c r="C29" s="8" t="n"/>
      <c r="D29" s="8" t="n"/>
      <c r="E29" s="8" t="n"/>
      <c r="F29" s="8" t="n"/>
      <c r="G29" s="8">
        <f>IF(E29=0,0,F29/E29)</f>
        <v/>
      </c>
      <c r="H29" s="8" t="n"/>
      <c r="I29" s="8" t="n"/>
      <c r="J29" s="8">
        <f>H29*G29</f>
        <v/>
      </c>
      <c r="K29" s="8">
        <f>IF(H29="","",IF(H29=0,"OUT",IF(H29&lt;=I29,"LOW","OK")))</f>
        <v/>
      </c>
      <c r="L29" s="8" t="n"/>
      <c r="M29" s="8" t="n"/>
      <c r="N29" s="8" t="n"/>
      <c r="O29" s="8" t="n"/>
      <c r="P29" s="8" t="n"/>
      <c r="Q29" s="8" t="n"/>
      <c r="R29" s="8">
        <f>IF(D29="","",IFERROR(VLOOKUP(D29,'Unit Conversion'!A:B,2,FALSE),""))</f>
        <v/>
      </c>
    </row>
    <row r="30">
      <c r="A30" s="7" t="n"/>
      <c r="B30" s="7" t="n"/>
      <c r="C30" s="7" t="n"/>
      <c r="D30" s="7" t="n"/>
      <c r="E30" s="7" t="n"/>
      <c r="F30" s="7" t="n"/>
      <c r="G30" s="7">
        <f>IF(E30=0,0,F30/E30)</f>
        <v/>
      </c>
      <c r="H30" s="7" t="n"/>
      <c r="I30" s="7" t="n"/>
      <c r="J30" s="7">
        <f>H30*G30</f>
        <v/>
      </c>
      <c r="K30" s="7">
        <f>IF(H30="","",IF(H30=0,"OUT",IF(H30&lt;=I30,"LOW","OK")))</f>
        <v/>
      </c>
      <c r="L30" s="7" t="n"/>
      <c r="M30" s="7" t="n"/>
      <c r="N30" s="7" t="n"/>
      <c r="O30" s="7" t="n"/>
      <c r="P30" s="7" t="n"/>
      <c r="Q30" s="7" t="n"/>
      <c r="R30" s="7">
        <f>IF(D30="","",IFERROR(VLOOKUP(D30,'Unit Conversion'!A:B,2,FALSE),""))</f>
        <v/>
      </c>
    </row>
    <row r="31">
      <c r="A31" s="8" t="n"/>
      <c r="B31" s="8" t="n"/>
      <c r="C31" s="8" t="n"/>
      <c r="D31" s="8" t="n"/>
      <c r="E31" s="8" t="n"/>
      <c r="F31" s="8" t="n"/>
      <c r="G31" s="8">
        <f>IF(E31=0,0,F31/E31)</f>
        <v/>
      </c>
      <c r="H31" s="8" t="n"/>
      <c r="I31" s="8" t="n"/>
      <c r="J31" s="8">
        <f>H31*G31</f>
        <v/>
      </c>
      <c r="K31" s="8">
        <f>IF(H31="","",IF(H31=0,"OUT",IF(H31&lt;=I31,"LOW","OK")))</f>
        <v/>
      </c>
      <c r="L31" s="8" t="n"/>
      <c r="M31" s="8" t="n"/>
      <c r="N31" s="8" t="n"/>
      <c r="O31" s="8" t="n"/>
      <c r="P31" s="8" t="n"/>
      <c r="Q31" s="8" t="n"/>
      <c r="R31" s="8">
        <f>IF(D31="","",IFERROR(VLOOKUP(D31,'Unit Conversion'!A:B,2,FALSE),""))</f>
        <v/>
      </c>
    </row>
    <row r="32">
      <c r="A32" s="7" t="n"/>
      <c r="B32" s="7" t="n"/>
      <c r="C32" s="7" t="n"/>
      <c r="D32" s="7" t="n"/>
      <c r="E32" s="7" t="n"/>
      <c r="F32" s="7" t="n"/>
      <c r="G32" s="7">
        <f>IF(E32=0,0,F32/E32)</f>
        <v/>
      </c>
      <c r="H32" s="7" t="n"/>
      <c r="I32" s="7" t="n"/>
      <c r="J32" s="7">
        <f>H32*G32</f>
        <v/>
      </c>
      <c r="K32" s="7">
        <f>IF(H32="","",IF(H32=0,"OUT",IF(H32&lt;=I32,"LOW","OK")))</f>
        <v/>
      </c>
      <c r="L32" s="7" t="n"/>
      <c r="M32" s="7" t="n"/>
      <c r="N32" s="7" t="n"/>
      <c r="O32" s="7" t="n"/>
      <c r="P32" s="7" t="n"/>
      <c r="Q32" s="7" t="n"/>
      <c r="R32" s="7">
        <f>IF(D32="","",IFERROR(VLOOKUP(D32,'Unit Conversion'!A:B,2,FALSE),""))</f>
        <v/>
      </c>
    </row>
    <row r="33">
      <c r="A33" s="8" t="n"/>
      <c r="B33" s="8" t="n"/>
      <c r="C33" s="8" t="n"/>
      <c r="D33" s="8" t="n"/>
      <c r="E33" s="8" t="n"/>
      <c r="F33" s="8" t="n"/>
      <c r="G33" s="8">
        <f>IF(E33=0,0,F33/E33)</f>
        <v/>
      </c>
      <c r="H33" s="8" t="n"/>
      <c r="I33" s="8" t="n"/>
      <c r="J33" s="8">
        <f>H33*G33</f>
        <v/>
      </c>
      <c r="K33" s="8">
        <f>IF(H33="","",IF(H33=0,"OUT",IF(H33&lt;=I33,"LOW","OK")))</f>
        <v/>
      </c>
      <c r="L33" s="8" t="n"/>
      <c r="M33" s="8" t="n"/>
      <c r="N33" s="8" t="n"/>
      <c r="O33" s="8" t="n"/>
      <c r="P33" s="8" t="n"/>
      <c r="Q33" s="8" t="n"/>
      <c r="R33" s="8">
        <f>IF(D33="","",IFERROR(VLOOKUP(D33,'Unit Conversion'!A:B,2,FALSE),""))</f>
        <v/>
      </c>
    </row>
    <row r="34">
      <c r="A34" s="7" t="n"/>
      <c r="B34" s="7" t="n"/>
      <c r="C34" s="7" t="n"/>
      <c r="D34" s="7" t="n"/>
      <c r="E34" s="7" t="n"/>
      <c r="F34" s="7" t="n"/>
      <c r="G34" s="7">
        <f>IF(E34=0,0,F34/E34)</f>
        <v/>
      </c>
      <c r="H34" s="7" t="n"/>
      <c r="I34" s="7" t="n"/>
      <c r="J34" s="7">
        <f>H34*G34</f>
        <v/>
      </c>
      <c r="K34" s="7">
        <f>IF(H34="","",IF(H34=0,"OUT",IF(H34&lt;=I34,"LOW","OK")))</f>
        <v/>
      </c>
      <c r="L34" s="7" t="n"/>
      <c r="M34" s="7" t="n"/>
      <c r="N34" s="7" t="n"/>
      <c r="O34" s="7" t="n"/>
      <c r="P34" s="7" t="n"/>
      <c r="Q34" s="7" t="n"/>
      <c r="R34" s="7">
        <f>IF(D34="","",IFERROR(VLOOKUP(D34,'Unit Conversion'!A:B,2,FALSE),""))</f>
        <v/>
      </c>
    </row>
    <row r="35">
      <c r="A35" s="8" t="n"/>
      <c r="B35" s="8" t="n"/>
      <c r="C35" s="8" t="n"/>
      <c r="D35" s="8" t="n"/>
      <c r="E35" s="8" t="n"/>
      <c r="F35" s="8" t="n"/>
      <c r="G35" s="8">
        <f>IF(E35=0,0,F35/E35)</f>
        <v/>
      </c>
      <c r="H35" s="8" t="n"/>
      <c r="I35" s="8" t="n"/>
      <c r="J35" s="8">
        <f>H35*G35</f>
        <v/>
      </c>
      <c r="K35" s="8">
        <f>IF(H35="","",IF(H35=0,"OUT",IF(H35&lt;=I35,"LOW","OK")))</f>
        <v/>
      </c>
      <c r="L35" s="8" t="n"/>
      <c r="M35" s="8" t="n"/>
      <c r="N35" s="8" t="n"/>
      <c r="O35" s="8" t="n"/>
      <c r="P35" s="8" t="n"/>
      <c r="Q35" s="8" t="n"/>
      <c r="R35" s="8">
        <f>IF(D35="","",IFERROR(VLOOKUP(D35,'Unit Conversion'!A:B,2,FALSE),""))</f>
        <v/>
      </c>
    </row>
    <row r="36">
      <c r="A36" s="7" t="n"/>
      <c r="B36" s="7" t="n"/>
      <c r="C36" s="7" t="n"/>
      <c r="D36" s="7" t="n"/>
      <c r="E36" s="7" t="n"/>
      <c r="F36" s="7" t="n"/>
      <c r="G36" s="7">
        <f>IF(E36=0,0,F36/E36)</f>
        <v/>
      </c>
      <c r="H36" s="7" t="n"/>
      <c r="I36" s="7" t="n"/>
      <c r="J36" s="7">
        <f>H36*G36</f>
        <v/>
      </c>
      <c r="K36" s="7">
        <f>IF(H36="","",IF(H36=0,"OUT",IF(H36&lt;=I36,"LOW","OK")))</f>
        <v/>
      </c>
      <c r="L36" s="7" t="n"/>
      <c r="M36" s="7" t="n"/>
      <c r="N36" s="7" t="n"/>
      <c r="O36" s="7" t="n"/>
      <c r="P36" s="7" t="n"/>
      <c r="Q36" s="7" t="n"/>
      <c r="R36" s="7">
        <f>IF(D36="","",IFERROR(VLOOKUP(D36,'Unit Conversion'!A:B,2,FALSE),""))</f>
        <v/>
      </c>
    </row>
    <row r="37">
      <c r="A37" s="8" t="n"/>
      <c r="B37" s="8" t="n"/>
      <c r="C37" s="8" t="n"/>
      <c r="D37" s="8" t="n"/>
      <c r="E37" s="8" t="n"/>
      <c r="F37" s="8" t="n"/>
      <c r="G37" s="8">
        <f>IF(E37=0,0,F37/E37)</f>
        <v/>
      </c>
      <c r="H37" s="8" t="n"/>
      <c r="I37" s="8" t="n"/>
      <c r="J37" s="8">
        <f>H37*G37</f>
        <v/>
      </c>
      <c r="K37" s="8">
        <f>IF(H37="","",IF(H37=0,"OUT",IF(H37&lt;=I37,"LOW","OK")))</f>
        <v/>
      </c>
      <c r="L37" s="8" t="n"/>
      <c r="M37" s="8" t="n"/>
      <c r="N37" s="8" t="n"/>
      <c r="O37" s="8" t="n"/>
      <c r="P37" s="8" t="n"/>
      <c r="Q37" s="8" t="n"/>
      <c r="R37" s="8">
        <f>IF(D37="","",IFERROR(VLOOKUP(D37,'Unit Conversion'!A:B,2,FALSE),""))</f>
        <v/>
      </c>
    </row>
    <row r="38">
      <c r="A38" s="7" t="n"/>
      <c r="B38" s="7" t="n"/>
      <c r="C38" s="7" t="n"/>
      <c r="D38" s="7" t="n"/>
      <c r="E38" s="7" t="n"/>
      <c r="F38" s="7" t="n"/>
      <c r="G38" s="7">
        <f>IF(E38=0,0,F38/E38)</f>
        <v/>
      </c>
      <c r="H38" s="7" t="n"/>
      <c r="I38" s="7" t="n"/>
      <c r="J38" s="7">
        <f>H38*G38</f>
        <v/>
      </c>
      <c r="K38" s="7">
        <f>IF(H38="","",IF(H38=0,"OUT",IF(H38&lt;=I38,"LOW","OK")))</f>
        <v/>
      </c>
      <c r="L38" s="7" t="n"/>
      <c r="M38" s="7" t="n"/>
      <c r="N38" s="7" t="n"/>
      <c r="O38" s="7" t="n"/>
      <c r="P38" s="7" t="n"/>
      <c r="Q38" s="7" t="n"/>
      <c r="R38" s="7">
        <f>IF(D38="","",IFERROR(VLOOKUP(D38,'Unit Conversion'!A:B,2,FALSE),""))</f>
        <v/>
      </c>
    </row>
    <row r="39">
      <c r="A39" s="8" t="n"/>
      <c r="B39" s="8" t="n"/>
      <c r="C39" s="8" t="n"/>
      <c r="D39" s="8" t="n"/>
      <c r="E39" s="8" t="n"/>
      <c r="F39" s="8" t="n"/>
      <c r="G39" s="8">
        <f>IF(E39=0,0,F39/E39)</f>
        <v/>
      </c>
      <c r="H39" s="8" t="n"/>
      <c r="I39" s="8" t="n"/>
      <c r="J39" s="8">
        <f>H39*G39</f>
        <v/>
      </c>
      <c r="K39" s="8">
        <f>IF(H39="","",IF(H39=0,"OUT",IF(H39&lt;=I39,"LOW","OK")))</f>
        <v/>
      </c>
      <c r="L39" s="8" t="n"/>
      <c r="M39" s="8" t="n"/>
      <c r="N39" s="8" t="n"/>
      <c r="O39" s="8" t="n"/>
      <c r="P39" s="8" t="n"/>
      <c r="Q39" s="8" t="n"/>
      <c r="R39" s="8">
        <f>IF(D39="","",IFERROR(VLOOKUP(D39,'Unit Conversion'!A:B,2,FALSE),""))</f>
        <v/>
      </c>
    </row>
    <row r="40">
      <c r="A40" s="7" t="n"/>
      <c r="B40" s="7" t="n"/>
      <c r="C40" s="7" t="n"/>
      <c r="D40" s="7" t="n"/>
      <c r="E40" s="7" t="n"/>
      <c r="F40" s="7" t="n"/>
      <c r="G40" s="7">
        <f>IF(E40=0,0,F40/E40)</f>
        <v/>
      </c>
      <c r="H40" s="7" t="n"/>
      <c r="I40" s="7" t="n"/>
      <c r="J40" s="7">
        <f>H40*G40</f>
        <v/>
      </c>
      <c r="K40" s="7">
        <f>IF(H40="","",IF(H40=0,"OUT",IF(H40&lt;=I40,"LOW","OK")))</f>
        <v/>
      </c>
      <c r="L40" s="7" t="n"/>
      <c r="M40" s="7" t="n"/>
      <c r="N40" s="7" t="n"/>
      <c r="O40" s="7" t="n"/>
      <c r="P40" s="7" t="n"/>
      <c r="Q40" s="7" t="n"/>
      <c r="R40" s="7">
        <f>IF(D40="","",IFERROR(VLOOKUP(D40,'Unit Conversion'!A:B,2,FALSE),""))</f>
        <v/>
      </c>
    </row>
    <row r="41">
      <c r="A41" s="8" t="n"/>
      <c r="B41" s="8" t="n"/>
      <c r="C41" s="8" t="n"/>
      <c r="D41" s="8" t="n"/>
      <c r="E41" s="8" t="n"/>
      <c r="F41" s="8" t="n"/>
      <c r="G41" s="8">
        <f>IF(E41=0,0,F41/E41)</f>
        <v/>
      </c>
      <c r="H41" s="8" t="n"/>
      <c r="I41" s="8" t="n"/>
      <c r="J41" s="8">
        <f>H41*G41</f>
        <v/>
      </c>
      <c r="K41" s="8">
        <f>IF(H41="","",IF(H41=0,"OUT",IF(H41&lt;=I41,"LOW","OK")))</f>
        <v/>
      </c>
      <c r="L41" s="8" t="n"/>
      <c r="M41" s="8" t="n"/>
      <c r="N41" s="8" t="n"/>
      <c r="O41" s="8" t="n"/>
      <c r="P41" s="8" t="n"/>
      <c r="Q41" s="8" t="n"/>
      <c r="R41" s="8">
        <f>IF(D41="","",IFERROR(VLOOKUP(D41,'Unit Conversion'!A:B,2,FALSE),""))</f>
        <v/>
      </c>
    </row>
    <row r="42">
      <c r="A42" s="7" t="n"/>
      <c r="B42" s="7" t="n"/>
      <c r="C42" s="7" t="n"/>
      <c r="D42" s="7" t="n"/>
      <c r="E42" s="7" t="n"/>
      <c r="F42" s="7" t="n"/>
      <c r="G42" s="7">
        <f>IF(E42=0,0,F42/E42)</f>
        <v/>
      </c>
      <c r="H42" s="7" t="n"/>
      <c r="I42" s="7" t="n"/>
      <c r="J42" s="7">
        <f>H42*G42</f>
        <v/>
      </c>
      <c r="K42" s="7">
        <f>IF(H42="","",IF(H42=0,"OUT",IF(H42&lt;=I42,"LOW","OK")))</f>
        <v/>
      </c>
      <c r="L42" s="7" t="n"/>
      <c r="M42" s="7" t="n"/>
      <c r="N42" s="7" t="n"/>
      <c r="O42" s="7" t="n"/>
      <c r="P42" s="7" t="n"/>
      <c r="Q42" s="7" t="n"/>
      <c r="R42" s="7">
        <f>IF(D42="","",IFERROR(VLOOKUP(D42,'Unit Conversion'!A:B,2,FALSE),""))</f>
        <v/>
      </c>
    </row>
    <row r="43">
      <c r="A43" s="8" t="n"/>
      <c r="B43" s="8" t="n"/>
      <c r="C43" s="8" t="n"/>
      <c r="D43" s="8" t="n"/>
      <c r="E43" s="8" t="n"/>
      <c r="F43" s="8" t="n"/>
      <c r="G43" s="8">
        <f>IF(E43=0,0,F43/E43)</f>
        <v/>
      </c>
      <c r="H43" s="8" t="n"/>
      <c r="I43" s="8" t="n"/>
      <c r="J43" s="8">
        <f>H43*G43</f>
        <v/>
      </c>
      <c r="K43" s="8">
        <f>IF(H43="","",IF(H43=0,"OUT",IF(H43&lt;=I43,"LOW","OK")))</f>
        <v/>
      </c>
      <c r="L43" s="8" t="n"/>
      <c r="M43" s="8" t="n"/>
      <c r="N43" s="8" t="n"/>
      <c r="O43" s="8" t="n"/>
      <c r="P43" s="8" t="n"/>
      <c r="Q43" s="8" t="n"/>
      <c r="R43" s="8">
        <f>IF(D43="","",IFERROR(VLOOKUP(D43,'Unit Conversion'!A:B,2,FALSE),""))</f>
        <v/>
      </c>
    </row>
    <row r="44">
      <c r="A44" s="7" t="n"/>
      <c r="B44" s="7" t="n"/>
      <c r="C44" s="7" t="n"/>
      <c r="D44" s="7" t="n"/>
      <c r="E44" s="7" t="n"/>
      <c r="F44" s="7" t="n"/>
      <c r="G44" s="7">
        <f>IF(E44=0,0,F44/E44)</f>
        <v/>
      </c>
      <c r="H44" s="7" t="n"/>
      <c r="I44" s="7" t="n"/>
      <c r="J44" s="7">
        <f>H44*G44</f>
        <v/>
      </c>
      <c r="K44" s="7">
        <f>IF(H44="","",IF(H44=0,"OUT",IF(H44&lt;=I44,"LOW","OK")))</f>
        <v/>
      </c>
      <c r="L44" s="7" t="n"/>
      <c r="M44" s="7" t="n"/>
      <c r="N44" s="7" t="n"/>
      <c r="O44" s="7" t="n"/>
      <c r="P44" s="7" t="n"/>
      <c r="Q44" s="7" t="n"/>
      <c r="R44" s="7">
        <f>IF(D44="","",IFERROR(VLOOKUP(D44,'Unit Conversion'!A:B,2,FALSE),""))</f>
        <v/>
      </c>
    </row>
    <row r="45">
      <c r="A45" s="8" t="n"/>
      <c r="B45" s="8" t="n"/>
      <c r="C45" s="8" t="n"/>
      <c r="D45" s="8" t="n"/>
      <c r="E45" s="8" t="n"/>
      <c r="F45" s="8" t="n"/>
      <c r="G45" s="8">
        <f>IF(E45=0,0,F45/E45)</f>
        <v/>
      </c>
      <c r="H45" s="8" t="n"/>
      <c r="I45" s="8" t="n"/>
      <c r="J45" s="8">
        <f>H45*G45</f>
        <v/>
      </c>
      <c r="K45" s="8">
        <f>IF(H45="","",IF(H45=0,"OUT",IF(H45&lt;=I45,"LOW","OK")))</f>
        <v/>
      </c>
      <c r="L45" s="8" t="n"/>
      <c r="M45" s="8" t="n"/>
      <c r="N45" s="8" t="n"/>
      <c r="O45" s="8" t="n"/>
      <c r="P45" s="8" t="n"/>
      <c r="Q45" s="8" t="n"/>
      <c r="R45" s="8">
        <f>IF(D45="","",IFERROR(VLOOKUP(D45,'Unit Conversion'!A:B,2,FALSE),""))</f>
        <v/>
      </c>
    </row>
    <row r="46">
      <c r="A46" s="7" t="n"/>
      <c r="B46" s="7" t="n"/>
      <c r="C46" s="7" t="n"/>
      <c r="D46" s="7" t="n"/>
      <c r="E46" s="7" t="n"/>
      <c r="F46" s="7" t="n"/>
      <c r="G46" s="7">
        <f>IF(E46=0,0,F46/E46)</f>
        <v/>
      </c>
      <c r="H46" s="7" t="n"/>
      <c r="I46" s="7" t="n"/>
      <c r="J46" s="7">
        <f>H46*G46</f>
        <v/>
      </c>
      <c r="K46" s="7">
        <f>IF(H46="","",IF(H46=0,"OUT",IF(H46&lt;=I46,"LOW","OK")))</f>
        <v/>
      </c>
      <c r="L46" s="7" t="n"/>
      <c r="M46" s="7" t="n"/>
      <c r="N46" s="7" t="n"/>
      <c r="O46" s="7" t="n"/>
      <c r="P46" s="7" t="n"/>
      <c r="Q46" s="7" t="n"/>
      <c r="R46" s="7">
        <f>IF(D46="","",IFERROR(VLOOKUP(D46,'Unit Conversion'!A:B,2,FALSE),""))</f>
        <v/>
      </c>
    </row>
    <row r="47">
      <c r="A47" s="8" t="n"/>
      <c r="B47" s="8" t="n"/>
      <c r="C47" s="8" t="n"/>
      <c r="D47" s="8" t="n"/>
      <c r="E47" s="8" t="n"/>
      <c r="F47" s="8" t="n"/>
      <c r="G47" s="8">
        <f>IF(E47=0,0,F47/E47)</f>
        <v/>
      </c>
      <c r="H47" s="8" t="n"/>
      <c r="I47" s="8" t="n"/>
      <c r="J47" s="8">
        <f>H47*G47</f>
        <v/>
      </c>
      <c r="K47" s="8">
        <f>IF(H47="","",IF(H47=0,"OUT",IF(H47&lt;=I47,"LOW","OK")))</f>
        <v/>
      </c>
      <c r="L47" s="8" t="n"/>
      <c r="M47" s="8" t="n"/>
      <c r="N47" s="8" t="n"/>
      <c r="O47" s="8" t="n"/>
      <c r="P47" s="8" t="n"/>
      <c r="Q47" s="8" t="n"/>
      <c r="R47" s="8">
        <f>IF(D47="","",IFERROR(VLOOKUP(D47,'Unit Conversion'!A:B,2,FALSE),""))</f>
        <v/>
      </c>
    </row>
    <row r="48">
      <c r="A48" s="7" t="n"/>
      <c r="B48" s="7" t="n"/>
      <c r="C48" s="7" t="n"/>
      <c r="D48" s="7" t="n"/>
      <c r="E48" s="7" t="n"/>
      <c r="F48" s="7" t="n"/>
      <c r="G48" s="7">
        <f>IF(E48=0,0,F48/E48)</f>
        <v/>
      </c>
      <c r="H48" s="7" t="n"/>
      <c r="I48" s="7" t="n"/>
      <c r="J48" s="7">
        <f>H48*G48</f>
        <v/>
      </c>
      <c r="K48" s="7">
        <f>IF(H48="","",IF(H48=0,"OUT",IF(H48&lt;=I48,"LOW","OK")))</f>
        <v/>
      </c>
      <c r="L48" s="7" t="n"/>
      <c r="M48" s="7" t="n"/>
      <c r="N48" s="7" t="n"/>
      <c r="O48" s="7" t="n"/>
      <c r="P48" s="7" t="n"/>
      <c r="Q48" s="7" t="n"/>
      <c r="R48" s="7">
        <f>IF(D48="","",IFERROR(VLOOKUP(D48,'Unit Conversion'!A:B,2,FALSE),""))</f>
        <v/>
      </c>
    </row>
    <row r="49">
      <c r="A49" s="8" t="n"/>
      <c r="B49" s="8" t="n"/>
      <c r="C49" s="8" t="n"/>
      <c r="D49" s="8" t="n"/>
      <c r="E49" s="8" t="n"/>
      <c r="F49" s="8" t="n"/>
      <c r="G49" s="8">
        <f>IF(E49=0,0,F49/E49)</f>
        <v/>
      </c>
      <c r="H49" s="8" t="n"/>
      <c r="I49" s="8" t="n"/>
      <c r="J49" s="8">
        <f>H49*G49</f>
        <v/>
      </c>
      <c r="K49" s="8">
        <f>IF(H49="","",IF(H49=0,"OUT",IF(H49&lt;=I49,"LOW","OK")))</f>
        <v/>
      </c>
      <c r="L49" s="8" t="n"/>
      <c r="M49" s="8" t="n"/>
      <c r="N49" s="8" t="n"/>
      <c r="O49" s="8" t="n"/>
      <c r="P49" s="8" t="n"/>
      <c r="Q49" s="8" t="n"/>
      <c r="R49" s="8">
        <f>IF(D49="","",IFERROR(VLOOKUP(D49,'Unit Conversion'!A:B,2,FALSE),""))</f>
        <v/>
      </c>
    </row>
    <row r="50">
      <c r="A50" s="7" t="n"/>
      <c r="B50" s="7" t="n"/>
      <c r="C50" s="7" t="n"/>
      <c r="D50" s="7" t="n"/>
      <c r="E50" s="7" t="n"/>
      <c r="F50" s="7" t="n"/>
      <c r="G50" s="7">
        <f>IF(E50=0,0,F50/E50)</f>
        <v/>
      </c>
      <c r="H50" s="7" t="n"/>
      <c r="I50" s="7" t="n"/>
      <c r="J50" s="7">
        <f>H50*G50</f>
        <v/>
      </c>
      <c r="K50" s="7">
        <f>IF(H50="","",IF(H50=0,"OUT",IF(H50&lt;=I50,"LOW","OK")))</f>
        <v/>
      </c>
      <c r="L50" s="7" t="n"/>
      <c r="M50" s="7" t="n"/>
      <c r="N50" s="7" t="n"/>
      <c r="O50" s="7" t="n"/>
      <c r="P50" s="7" t="n"/>
      <c r="Q50" s="7" t="n"/>
      <c r="R50" s="7">
        <f>IF(D50="","",IFERROR(VLOOKUP(D50,'Unit Conversion'!A:B,2,FALSE),""))</f>
        <v/>
      </c>
    </row>
    <row r="51">
      <c r="A51" s="8" t="n"/>
      <c r="B51" s="8" t="n"/>
      <c r="C51" s="8" t="n"/>
      <c r="D51" s="8" t="n"/>
      <c r="E51" s="8" t="n"/>
      <c r="F51" s="8" t="n"/>
      <c r="G51" s="8">
        <f>IF(E51=0,0,F51/E51)</f>
        <v/>
      </c>
      <c r="H51" s="8" t="n"/>
      <c r="I51" s="8" t="n"/>
      <c r="J51" s="8">
        <f>H51*G51</f>
        <v/>
      </c>
      <c r="K51" s="8">
        <f>IF(H51="","",IF(H51=0,"OUT",IF(H51&lt;=I51,"LOW","OK")))</f>
        <v/>
      </c>
      <c r="L51" s="8" t="n"/>
      <c r="M51" s="8" t="n"/>
      <c r="N51" s="8" t="n"/>
      <c r="O51" s="8" t="n"/>
      <c r="P51" s="8" t="n"/>
      <c r="Q51" s="8" t="n"/>
      <c r="R51" s="8">
        <f>IF(D51="","",IFERROR(VLOOKUP(D51,'Unit Conversion'!A:B,2,FALSE),""))</f>
        <v/>
      </c>
    </row>
    <row r="52">
      <c r="J52" s="10" t="inlineStr">
        <is>
          <t>Total Stock Value:</t>
        </is>
      </c>
      <c r="K52" s="26">
        <f>SUM(J2:J51)</f>
        <v/>
      </c>
    </row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</sheetData>
  <conditionalFormatting sqref="K2:K100">
    <cfRule type="cellIs" priority="1" operator="equal" dxfId="0">
      <formula>"OUT"</formula>
    </cfRule>
    <cfRule type="cellIs" priority="2" operator="equal" dxfId="1">
      <formula>"LOW"</formula>
    </cfRule>
    <cfRule type="cellIs" priority="3" operator="equal" dxfId="2">
      <formula>"OK"</formula>
    </cfRule>
  </conditionalFormatting>
  <dataValidations count="2">
    <dataValidation sqref="C2:C100" showDropDown="0" showInputMessage="0" showErrorMessage="0" allowBlank="1" type="list">
      <formula1>"Flour,Sugar,Dairy,Chocolate,Flavoring,Spice,Leavening,Fruit,Nuts,Packaging,Other,Oil"</formula1>
    </dataValidation>
    <dataValidation sqref="D2:D100" showDropDown="0" showInputMessage="0" showErrorMessage="0" allowBlank="1" type="list">
      <formula1>"g,kg,mg,oz,lb,ml,L,tsp,tbsp,cup,fl oz,pcs,dozen"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9E4B7"/>
    <outlinePr summaryBelow="1" summaryRight="1"/>
    <pageSetUpPr/>
  </sheetPr>
  <dimension ref="A1:AI364"/>
  <sheetViews>
    <sheetView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12" customWidth="1" min="3" max="3"/>
    <col width="10" customWidth="1" min="4" max="4"/>
    <col width="12" customWidth="1" min="5" max="5"/>
    <col width="12" customWidth="1" min="6" max="6"/>
    <col width="12" customWidth="1" min="7" max="7"/>
    <col width="12" customWidth="1" min="8" max="8"/>
    <col width="10" customWidth="1" min="9" max="9"/>
    <col width="10" customWidth="1" min="10" max="10"/>
    <col width="10" customWidth="1" min="11" max="11"/>
    <col width="12" customWidth="1" min="12" max="12"/>
    <col width="12" customWidth="1" min="13" max="13"/>
    <col width="12" customWidth="1" min="14" max="14"/>
    <col width="12" customWidth="1" min="15" max="15"/>
    <col width="20" customWidth="1" min="16" max="16"/>
  </cols>
  <sheetData>
    <row r="1">
      <c r="A1" s="18" t="inlineStr">
        <is>
          <t>Recipe Library - 50 Recipes Capacity (NEW - addresses review: room for more than 1 recipe)</t>
        </is>
      </c>
    </row>
    <row r="2"/>
    <row r="3">
      <c r="A3" s="14" t="inlineStr">
        <is>
          <t>Recipe List - Master</t>
        </is>
      </c>
    </row>
    <row r="4">
      <c r="A4" s="6" t="inlineStr">
        <is>
          <t>Recipe ID</t>
        </is>
      </c>
      <c r="B4" s="6" t="inlineStr">
        <is>
          <t>Recipe Name</t>
        </is>
      </c>
      <c r="C4" s="6" t="inlineStr">
        <is>
          <t>Category</t>
        </is>
      </c>
      <c r="D4" s="6" t="inlineStr">
        <is>
          <t>Batch Yield</t>
        </is>
      </c>
      <c r="E4" s="6" t="inlineStr">
        <is>
          <t>Portion Size</t>
        </is>
      </c>
      <c r="F4" s="6" t="inlineStr">
        <is>
          <t>Total Ingredient Cost $</t>
        </is>
      </c>
      <c r="G4" s="6" t="inlineStr">
        <is>
          <t>Labor Hours</t>
        </is>
      </c>
      <c r="H4" s="6" t="inlineStr">
        <is>
          <t>Hourly Rate $</t>
        </is>
      </c>
      <c r="I4" s="6" t="inlineStr">
        <is>
          <t>Labor Cost $</t>
        </is>
      </c>
      <c r="J4" s="6" t="inlineStr">
        <is>
          <t>Packaging/Unit $</t>
        </is>
      </c>
      <c r="K4" s="6" t="inlineStr">
        <is>
          <t>Packaging Total $</t>
        </is>
      </c>
      <c r="L4" s="6" t="inlineStr">
        <is>
          <t>Overhead %</t>
        </is>
      </c>
      <c r="M4" s="6" t="inlineStr">
        <is>
          <t>Overhead $</t>
        </is>
      </c>
      <c r="N4" s="6" t="inlineStr">
        <is>
          <t>Waste %</t>
        </is>
      </c>
      <c r="O4" s="6" t="inlineStr">
        <is>
          <t>Waste $</t>
        </is>
      </c>
      <c r="P4" s="6" t="inlineStr">
        <is>
          <t>Other $</t>
        </is>
      </c>
      <c r="Q4" s="6" t="inlineStr">
        <is>
          <t>Total Batch Cost $</t>
        </is>
      </c>
      <c r="R4" s="6" t="inlineStr">
        <is>
          <t>Cost/Unit $</t>
        </is>
      </c>
      <c r="S4" s="6" t="inlineStr">
        <is>
          <t>Suggested Price 2.5x $</t>
        </is>
      </c>
      <c r="T4" s="6" t="inlineStr">
        <is>
          <t>Status</t>
        </is>
      </c>
      <c r="U4" s="6" t="inlineStr">
        <is>
          <t>Notes</t>
        </is>
      </c>
    </row>
    <row r="5">
      <c r="A5" s="8" t="inlineStr">
        <is>
          <t>REC-001</t>
        </is>
      </c>
      <c r="B5" s="8" t="inlineStr">
        <is>
          <t>Sourdough Loaf</t>
        </is>
      </c>
      <c r="C5" s="8" t="inlineStr">
        <is>
          <t>Bread</t>
        </is>
      </c>
      <c r="D5" s="8" t="n">
        <v>2</v>
      </c>
      <c r="E5" s="8" t="inlineStr">
        <is>
          <t>900g loaf</t>
        </is>
      </c>
      <c r="F5" s="23">
        <f>SUMIF($W$65:$W$500,B5,$AG$65:$AG$500)</f>
        <v/>
      </c>
      <c r="G5" s="8" t="n">
        <v>1.5</v>
      </c>
      <c r="H5" s="8" t="n">
        <v>22</v>
      </c>
      <c r="I5" s="23">
        <f>G5*H5</f>
        <v/>
      </c>
      <c r="J5" s="8" t="n">
        <v>0.85</v>
      </c>
      <c r="K5" s="23">
        <f>J5*D5</f>
        <v/>
      </c>
      <c r="L5" s="8" t="n">
        <v>15</v>
      </c>
      <c r="M5" s="23">
        <f>F5*L5/100</f>
        <v/>
      </c>
      <c r="N5" s="8" t="n">
        <v>5</v>
      </c>
      <c r="O5" s="23">
        <f>(F5+I5+K5+M5)*N5/100</f>
        <v/>
      </c>
      <c r="P5" s="8" t="n">
        <v>0</v>
      </c>
      <c r="Q5" s="23">
        <f>F5+I5+K5+M5+O5+P5</f>
        <v/>
      </c>
      <c r="R5" s="23">
        <f>IF(D5=0,0,Q5/D5)</f>
        <v/>
      </c>
      <c r="S5" s="23">
        <f>R5*2.5</f>
        <v/>
      </c>
      <c r="T5" s="8" t="inlineStr">
        <is>
          <t>Active</t>
        </is>
      </c>
      <c r="U5" s="8" t="inlineStr">
        <is>
          <t>Best seller</t>
        </is>
      </c>
    </row>
    <row r="6">
      <c r="A6" s="7" t="inlineStr">
        <is>
          <t>REC-002</t>
        </is>
      </c>
      <c r="B6" s="7" t="inlineStr">
        <is>
          <t>Chocolate Chip Cookies</t>
        </is>
      </c>
      <c r="C6" s="7" t="inlineStr">
        <is>
          <t>Cookies</t>
        </is>
      </c>
      <c r="D6" s="7" t="n">
        <v>12</v>
      </c>
      <c r="E6" s="7" t="inlineStr">
        <is>
          <t>1 cookie</t>
        </is>
      </c>
      <c r="F6" s="20">
        <f>SUMIF($W$65:$W$500,B6,$AG$65:$AG$500)</f>
        <v/>
      </c>
      <c r="G6" s="7" t="n">
        <v>0.75</v>
      </c>
      <c r="H6" s="7" t="n">
        <v>22</v>
      </c>
      <c r="I6" s="20">
        <f>G6*H6</f>
        <v/>
      </c>
      <c r="J6" s="7" t="n">
        <v>0.25</v>
      </c>
      <c r="K6" s="20">
        <f>J6*D6</f>
        <v/>
      </c>
      <c r="L6" s="7" t="n">
        <v>15</v>
      </c>
      <c r="M6" s="20">
        <f>F6*L6/100</f>
        <v/>
      </c>
      <c r="N6" s="7" t="n">
        <v>5</v>
      </c>
      <c r="O6" s="20">
        <f>(F6+I6+K6+M6)*N6/100</f>
        <v/>
      </c>
      <c r="P6" s="7" t="n">
        <v>0</v>
      </c>
      <c r="Q6" s="20">
        <f>F6+I6+K6+M6+O6+P6</f>
        <v/>
      </c>
      <c r="R6" s="20">
        <f>IF(D6=0,0,Q6/D6)</f>
        <v/>
      </c>
      <c r="S6" s="20">
        <f>R6*2.5</f>
        <v/>
      </c>
      <c r="T6" s="7" t="inlineStr">
        <is>
          <t>Active</t>
        </is>
      </c>
      <c r="U6" s="7" t="inlineStr">
        <is>
          <t>Dozen</t>
        </is>
      </c>
    </row>
    <row r="7">
      <c r="A7" s="8" t="inlineStr">
        <is>
          <t>REC-003</t>
        </is>
      </c>
      <c r="B7" s="8" t="inlineStr">
        <is>
          <t>Cinnamon Rolls 6-pack</t>
        </is>
      </c>
      <c r="C7" s="8" t="inlineStr">
        <is>
          <t>Pastry</t>
        </is>
      </c>
      <c r="D7" s="8" t="n">
        <v>6</v>
      </c>
      <c r="E7" s="8" t="inlineStr">
        <is>
          <t>1 roll</t>
        </is>
      </c>
      <c r="F7" s="23">
        <f>SUMIF($W$65:$W$500,B7,$AG$65:$AG$500)</f>
        <v/>
      </c>
      <c r="G7" s="8" t="n">
        <v>1</v>
      </c>
      <c r="H7" s="8" t="n">
        <v>22</v>
      </c>
      <c r="I7" s="23">
        <f>G7*H7</f>
        <v/>
      </c>
      <c r="J7" s="8" t="n">
        <v>0.5</v>
      </c>
      <c r="K7" s="23">
        <f>J7*D7</f>
        <v/>
      </c>
      <c r="L7" s="8" t="n">
        <v>15</v>
      </c>
      <c r="M7" s="23">
        <f>F7*L7/100</f>
        <v/>
      </c>
      <c r="N7" s="8" t="n">
        <v>5</v>
      </c>
      <c r="O7" s="23">
        <f>(F7+I7+K7+M7)*N7/100</f>
        <v/>
      </c>
      <c r="P7" s="8" t="n">
        <v>0</v>
      </c>
      <c r="Q7" s="23">
        <f>F7+I7+K7+M7+O7+P7</f>
        <v/>
      </c>
      <c r="R7" s="23">
        <f>IF(D7=0,0,Q7/D7)</f>
        <v/>
      </c>
      <c r="S7" s="23">
        <f>R7*2.5</f>
        <v/>
      </c>
      <c r="T7" s="8" t="inlineStr">
        <is>
          <t>Active</t>
        </is>
      </c>
      <c r="U7" s="8" t="inlineStr">
        <is>
          <t>Weekend</t>
        </is>
      </c>
    </row>
    <row r="8">
      <c r="A8" s="7" t="inlineStr">
        <is>
          <t>REC-004</t>
        </is>
      </c>
      <c r="B8" s="7" t="inlineStr">
        <is>
          <t>Banana Bread</t>
        </is>
      </c>
      <c r="C8" s="7" t="inlineStr">
        <is>
          <t>Bread</t>
        </is>
      </c>
      <c r="D8" s="7" t="n">
        <v>1</v>
      </c>
      <c r="E8" s="7" t="inlineStr">
        <is>
          <t>1 loaf</t>
        </is>
      </c>
      <c r="F8" s="20">
        <f>SUMIF($W$65:$W$500,B8,$AG$65:$AG$500)</f>
        <v/>
      </c>
      <c r="G8" s="7" t="n">
        <v>0.5</v>
      </c>
      <c r="H8" s="7" t="n">
        <v>22</v>
      </c>
      <c r="I8" s="20">
        <f>G8*H8</f>
        <v/>
      </c>
      <c r="J8" s="7" t="n">
        <v>0.75</v>
      </c>
      <c r="K8" s="20">
        <f>J8*D8</f>
        <v/>
      </c>
      <c r="L8" s="7" t="n">
        <v>15</v>
      </c>
      <c r="M8" s="20">
        <f>F8*L8/100</f>
        <v/>
      </c>
      <c r="N8" s="7" t="n">
        <v>5</v>
      </c>
      <c r="O8" s="20">
        <f>(F8+I8+K8+M8)*N8/100</f>
        <v/>
      </c>
      <c r="P8" s="7" t="n">
        <v>0</v>
      </c>
      <c r="Q8" s="20">
        <f>F8+I8+K8+M8+O8+P8</f>
        <v/>
      </c>
      <c r="R8" s="20">
        <f>IF(D8=0,0,Q8/D8)</f>
        <v/>
      </c>
      <c r="S8" s="20">
        <f>R8*2.5</f>
        <v/>
      </c>
      <c r="T8" s="7" t="inlineStr">
        <is>
          <t>Active</t>
        </is>
      </c>
      <c r="U8" s="7" t="inlineStr"/>
    </row>
    <row r="9">
      <c r="A9" s="8" t="inlineStr">
        <is>
          <t>REC-005</t>
        </is>
      </c>
      <c r="B9" s="8" t="inlineStr">
        <is>
          <t>Vanilla Cupcakes 6</t>
        </is>
      </c>
      <c r="C9" s="8" t="inlineStr">
        <is>
          <t>Cake</t>
        </is>
      </c>
      <c r="D9" s="8" t="n">
        <v>6</v>
      </c>
      <c r="E9" s="8" t="inlineStr">
        <is>
          <t>1 cupcake</t>
        </is>
      </c>
      <c r="F9" s="23">
        <f>SUMIF($W$65:$W$500,B9,$AG$65:$AG$500)</f>
        <v/>
      </c>
      <c r="G9" s="8" t="n">
        <v>1</v>
      </c>
      <c r="H9" s="8" t="n">
        <v>22</v>
      </c>
      <c r="I9" s="23">
        <f>G9*H9</f>
        <v/>
      </c>
      <c r="J9" s="8" t="n">
        <v>0.4</v>
      </c>
      <c r="K9" s="23">
        <f>J9*D9</f>
        <v/>
      </c>
      <c r="L9" s="8" t="n">
        <v>15</v>
      </c>
      <c r="M9" s="23">
        <f>F9*L9/100</f>
        <v/>
      </c>
      <c r="N9" s="8" t="n">
        <v>5</v>
      </c>
      <c r="O9" s="23">
        <f>(F9+I9+K9+M9)*N9/100</f>
        <v/>
      </c>
      <c r="P9" s="8" t="n">
        <v>0</v>
      </c>
      <c r="Q9" s="23">
        <f>F9+I9+K9+M9+O9+P9</f>
        <v/>
      </c>
      <c r="R9" s="23">
        <f>IF(D9=0,0,Q9/D9)</f>
        <v/>
      </c>
      <c r="S9" s="23">
        <f>R9*2.5</f>
        <v/>
      </c>
      <c r="T9" s="8" t="inlineStr">
        <is>
          <t>Active</t>
        </is>
      </c>
      <c r="U9" s="8" t="inlineStr"/>
    </row>
    <row r="10">
      <c r="A10" s="7" t="n"/>
      <c r="B10" s="7" t="n"/>
      <c r="C10" s="7" t="n"/>
      <c r="D10" s="7" t="n"/>
      <c r="E10" s="7" t="n"/>
      <c r="F10" s="20">
        <f>SUMIF($W$65:$W$500,B10,$AG$65:$AG$500)</f>
        <v/>
      </c>
      <c r="G10" s="7" t="n"/>
      <c r="H10" s="7" t="n"/>
      <c r="I10" s="20">
        <f>G10*H10</f>
        <v/>
      </c>
      <c r="J10" s="7" t="n"/>
      <c r="K10" s="20">
        <f>J10*D10</f>
        <v/>
      </c>
      <c r="L10" s="7" t="n"/>
      <c r="M10" s="20">
        <f>F10*L10/100</f>
        <v/>
      </c>
      <c r="N10" s="7" t="n"/>
      <c r="O10" s="20">
        <f>(F10+I10+K10+M10)*N10/100</f>
        <v/>
      </c>
      <c r="P10" s="7" t="n"/>
      <c r="Q10" s="20">
        <f>F10+I10+K10+M10+O10+P10</f>
        <v/>
      </c>
      <c r="R10" s="20">
        <f>IF(D10=0,0,Q10/D10)</f>
        <v/>
      </c>
      <c r="S10" s="20">
        <f>R10*2.5</f>
        <v/>
      </c>
      <c r="T10" s="7" t="n"/>
      <c r="U10" s="7" t="n"/>
    </row>
    <row r="11">
      <c r="A11" s="8" t="n"/>
      <c r="B11" s="8" t="n"/>
      <c r="C11" s="8" t="n"/>
      <c r="D11" s="8" t="n"/>
      <c r="E11" s="8" t="n"/>
      <c r="F11" s="23">
        <f>SUMIF($W$65:$W$500,B11,$AG$65:$AG$500)</f>
        <v/>
      </c>
      <c r="G11" s="8" t="n"/>
      <c r="H11" s="8" t="n"/>
      <c r="I11" s="23">
        <f>G11*H11</f>
        <v/>
      </c>
      <c r="J11" s="8" t="n"/>
      <c r="K11" s="23">
        <f>J11*D11</f>
        <v/>
      </c>
      <c r="L11" s="8" t="n"/>
      <c r="M11" s="23">
        <f>F11*L11/100</f>
        <v/>
      </c>
      <c r="N11" s="8" t="n"/>
      <c r="O11" s="23">
        <f>(F11+I11+K11+M11)*N11/100</f>
        <v/>
      </c>
      <c r="P11" s="8" t="n"/>
      <c r="Q11" s="23">
        <f>F11+I11+K11+M11+O11+P11</f>
        <v/>
      </c>
      <c r="R11" s="23">
        <f>IF(D11=0,0,Q11/D11)</f>
        <v/>
      </c>
      <c r="S11" s="23">
        <f>R11*2.5</f>
        <v/>
      </c>
      <c r="T11" s="8" t="n"/>
      <c r="U11" s="8" t="n"/>
    </row>
    <row r="12">
      <c r="A12" s="7" t="n"/>
      <c r="B12" s="7" t="n"/>
      <c r="C12" s="7" t="n"/>
      <c r="D12" s="7" t="n"/>
      <c r="E12" s="7" t="n"/>
      <c r="F12" s="20">
        <f>SUMIF($W$65:$W$500,B12,$AG$65:$AG$500)</f>
        <v/>
      </c>
      <c r="G12" s="7" t="n"/>
      <c r="H12" s="7" t="n"/>
      <c r="I12" s="20">
        <f>G12*H12</f>
        <v/>
      </c>
      <c r="J12" s="7" t="n"/>
      <c r="K12" s="20">
        <f>J12*D12</f>
        <v/>
      </c>
      <c r="L12" s="7" t="n"/>
      <c r="M12" s="20">
        <f>F12*L12/100</f>
        <v/>
      </c>
      <c r="N12" s="7" t="n"/>
      <c r="O12" s="20">
        <f>(F12+I12+K12+M12)*N12/100</f>
        <v/>
      </c>
      <c r="P12" s="7" t="n"/>
      <c r="Q12" s="20">
        <f>F12+I12+K12+M12+O12+P12</f>
        <v/>
      </c>
      <c r="R12" s="20">
        <f>IF(D12=0,0,Q12/D12)</f>
        <v/>
      </c>
      <c r="S12" s="20">
        <f>R12*2.5</f>
        <v/>
      </c>
      <c r="T12" s="7" t="n"/>
      <c r="U12" s="7" t="n"/>
    </row>
    <row r="13">
      <c r="A13" s="8" t="n"/>
      <c r="B13" s="8" t="n"/>
      <c r="C13" s="8" t="n"/>
      <c r="D13" s="8" t="n"/>
      <c r="E13" s="8" t="n"/>
      <c r="F13" s="23">
        <f>SUMIF($W$65:$W$500,B13,$AG$65:$AG$500)</f>
        <v/>
      </c>
      <c r="G13" s="8" t="n"/>
      <c r="H13" s="8" t="n"/>
      <c r="I13" s="23">
        <f>G13*H13</f>
        <v/>
      </c>
      <c r="J13" s="8" t="n"/>
      <c r="K13" s="23">
        <f>J13*D13</f>
        <v/>
      </c>
      <c r="L13" s="8" t="n"/>
      <c r="M13" s="23">
        <f>F13*L13/100</f>
        <v/>
      </c>
      <c r="N13" s="8" t="n"/>
      <c r="O13" s="23">
        <f>(F13+I13+K13+M13)*N13/100</f>
        <v/>
      </c>
      <c r="P13" s="8" t="n"/>
      <c r="Q13" s="23">
        <f>F13+I13+K13+M13+O13+P13</f>
        <v/>
      </c>
      <c r="R13" s="23">
        <f>IF(D13=0,0,Q13/D13)</f>
        <v/>
      </c>
      <c r="S13" s="23">
        <f>R13*2.5</f>
        <v/>
      </c>
      <c r="T13" s="8" t="n"/>
      <c r="U13" s="8" t="n"/>
    </row>
    <row r="14">
      <c r="A14" s="7" t="n"/>
      <c r="B14" s="7" t="n"/>
      <c r="C14" s="7" t="n"/>
      <c r="D14" s="7" t="n"/>
      <c r="E14" s="7" t="n"/>
      <c r="F14" s="20">
        <f>SUMIF($W$65:$W$500,B14,$AG$65:$AG$500)</f>
        <v/>
      </c>
      <c r="G14" s="7" t="n"/>
      <c r="H14" s="7" t="n"/>
      <c r="I14" s="20">
        <f>G14*H14</f>
        <v/>
      </c>
      <c r="J14" s="7" t="n"/>
      <c r="K14" s="20">
        <f>J14*D14</f>
        <v/>
      </c>
      <c r="L14" s="7" t="n"/>
      <c r="M14" s="20">
        <f>F14*L14/100</f>
        <v/>
      </c>
      <c r="N14" s="7" t="n"/>
      <c r="O14" s="20">
        <f>(F14+I14+K14+M14)*N14/100</f>
        <v/>
      </c>
      <c r="P14" s="7" t="n"/>
      <c r="Q14" s="20">
        <f>F14+I14+K14+M14+O14+P14</f>
        <v/>
      </c>
      <c r="R14" s="20">
        <f>IF(D14=0,0,Q14/D14)</f>
        <v/>
      </c>
      <c r="S14" s="20">
        <f>R14*2.5</f>
        <v/>
      </c>
      <c r="T14" s="7" t="n"/>
      <c r="U14" s="7" t="n"/>
    </row>
    <row r="15">
      <c r="A15" s="8" t="n"/>
      <c r="B15" s="8" t="n"/>
      <c r="C15" s="8" t="n"/>
      <c r="D15" s="8" t="n"/>
      <c r="E15" s="8" t="n"/>
      <c r="F15" s="23">
        <f>SUMIF($W$65:$W$500,B15,$AG$65:$AG$500)</f>
        <v/>
      </c>
      <c r="G15" s="8" t="n"/>
      <c r="H15" s="8" t="n"/>
      <c r="I15" s="23">
        <f>G15*H15</f>
        <v/>
      </c>
      <c r="J15" s="8" t="n"/>
      <c r="K15" s="23">
        <f>J15*D15</f>
        <v/>
      </c>
      <c r="L15" s="8" t="n"/>
      <c r="M15" s="23">
        <f>F15*L15/100</f>
        <v/>
      </c>
      <c r="N15" s="8" t="n"/>
      <c r="O15" s="23">
        <f>(F15+I15+K15+M15)*N15/100</f>
        <v/>
      </c>
      <c r="P15" s="8" t="n"/>
      <c r="Q15" s="23">
        <f>F15+I15+K15+M15+O15+P15</f>
        <v/>
      </c>
      <c r="R15" s="23">
        <f>IF(D15=0,0,Q15/D15)</f>
        <v/>
      </c>
      <c r="S15" s="23">
        <f>R15*2.5</f>
        <v/>
      </c>
      <c r="T15" s="8" t="n"/>
      <c r="U15" s="8" t="n"/>
    </row>
    <row r="16">
      <c r="A16" s="7" t="n"/>
      <c r="B16" s="7" t="n"/>
      <c r="C16" s="7" t="n"/>
      <c r="D16" s="7" t="n"/>
      <c r="E16" s="7" t="n"/>
      <c r="F16" s="20">
        <f>SUMIF($W$65:$W$500,B16,$AG$65:$AG$500)</f>
        <v/>
      </c>
      <c r="G16" s="7" t="n"/>
      <c r="H16" s="7" t="n"/>
      <c r="I16" s="20">
        <f>G16*H16</f>
        <v/>
      </c>
      <c r="J16" s="7" t="n"/>
      <c r="K16" s="20">
        <f>J16*D16</f>
        <v/>
      </c>
      <c r="L16" s="7" t="n"/>
      <c r="M16" s="20">
        <f>F16*L16/100</f>
        <v/>
      </c>
      <c r="N16" s="7" t="n"/>
      <c r="O16" s="20">
        <f>(F16+I16+K16+M16)*N16/100</f>
        <v/>
      </c>
      <c r="P16" s="7" t="n"/>
      <c r="Q16" s="20">
        <f>F16+I16+K16+M16+O16+P16</f>
        <v/>
      </c>
      <c r="R16" s="20">
        <f>IF(D16=0,0,Q16/D16)</f>
        <v/>
      </c>
      <c r="S16" s="20">
        <f>R16*2.5</f>
        <v/>
      </c>
      <c r="T16" s="7" t="n"/>
      <c r="U16" s="7" t="n"/>
    </row>
    <row r="17">
      <c r="A17" s="8" t="n"/>
      <c r="B17" s="8" t="n"/>
      <c r="C17" s="8" t="n"/>
      <c r="D17" s="8" t="n"/>
      <c r="E17" s="8" t="n"/>
      <c r="F17" s="23">
        <f>SUMIF($W$65:$W$500,B17,$AG$65:$AG$500)</f>
        <v/>
      </c>
      <c r="G17" s="8" t="n"/>
      <c r="H17" s="8" t="n"/>
      <c r="I17" s="23">
        <f>G17*H17</f>
        <v/>
      </c>
      <c r="J17" s="8" t="n"/>
      <c r="K17" s="23">
        <f>J17*D17</f>
        <v/>
      </c>
      <c r="L17" s="8" t="n"/>
      <c r="M17" s="23">
        <f>F17*L17/100</f>
        <v/>
      </c>
      <c r="N17" s="8" t="n"/>
      <c r="O17" s="23">
        <f>(F17+I17+K17+M17)*N17/100</f>
        <v/>
      </c>
      <c r="P17" s="8" t="n"/>
      <c r="Q17" s="23">
        <f>F17+I17+K17+M17+O17+P17</f>
        <v/>
      </c>
      <c r="R17" s="23">
        <f>IF(D17=0,0,Q17/D17)</f>
        <v/>
      </c>
      <c r="S17" s="23">
        <f>R17*2.5</f>
        <v/>
      </c>
      <c r="T17" s="8" t="n"/>
      <c r="U17" s="8" t="n"/>
    </row>
    <row r="18">
      <c r="A18" s="7" t="n"/>
      <c r="B18" s="7" t="n"/>
      <c r="C18" s="7" t="n"/>
      <c r="D18" s="7" t="n"/>
      <c r="E18" s="7" t="n"/>
      <c r="F18" s="20">
        <f>SUMIF($W$65:$W$500,B18,$AG$65:$AG$500)</f>
        <v/>
      </c>
      <c r="G18" s="7" t="n"/>
      <c r="H18" s="7" t="n"/>
      <c r="I18" s="20">
        <f>G18*H18</f>
        <v/>
      </c>
      <c r="J18" s="7" t="n"/>
      <c r="K18" s="20">
        <f>J18*D18</f>
        <v/>
      </c>
      <c r="L18" s="7" t="n"/>
      <c r="M18" s="20">
        <f>F18*L18/100</f>
        <v/>
      </c>
      <c r="N18" s="7" t="n"/>
      <c r="O18" s="20">
        <f>(F18+I18+K18+M18)*N18/100</f>
        <v/>
      </c>
      <c r="P18" s="7" t="n"/>
      <c r="Q18" s="20">
        <f>F18+I18+K18+M18+O18+P18</f>
        <v/>
      </c>
      <c r="R18" s="20">
        <f>IF(D18=0,0,Q18/D18)</f>
        <v/>
      </c>
      <c r="S18" s="20">
        <f>R18*2.5</f>
        <v/>
      </c>
      <c r="T18" s="7" t="n"/>
      <c r="U18" s="7" t="n"/>
    </row>
    <row r="19">
      <c r="A19" s="8" t="n"/>
      <c r="B19" s="8" t="n"/>
      <c r="C19" s="8" t="n"/>
      <c r="D19" s="8" t="n"/>
      <c r="E19" s="8" t="n"/>
      <c r="F19" s="23">
        <f>SUMIF($W$65:$W$500,B19,$AG$65:$AG$500)</f>
        <v/>
      </c>
      <c r="G19" s="8" t="n"/>
      <c r="H19" s="8" t="n"/>
      <c r="I19" s="23">
        <f>G19*H19</f>
        <v/>
      </c>
      <c r="J19" s="8" t="n"/>
      <c r="K19" s="23">
        <f>J19*D19</f>
        <v/>
      </c>
      <c r="L19" s="8" t="n"/>
      <c r="M19" s="23">
        <f>F19*L19/100</f>
        <v/>
      </c>
      <c r="N19" s="8" t="n"/>
      <c r="O19" s="23">
        <f>(F19+I19+K19+M19)*N19/100</f>
        <v/>
      </c>
      <c r="P19" s="8" t="n"/>
      <c r="Q19" s="23">
        <f>F19+I19+K19+M19+O19+P19</f>
        <v/>
      </c>
      <c r="R19" s="23">
        <f>IF(D19=0,0,Q19/D19)</f>
        <v/>
      </c>
      <c r="S19" s="23">
        <f>R19*2.5</f>
        <v/>
      </c>
      <c r="T19" s="8" t="n"/>
      <c r="U19" s="8" t="n"/>
    </row>
    <row r="20">
      <c r="A20" s="7" t="n"/>
      <c r="B20" s="7" t="n"/>
      <c r="C20" s="7" t="n"/>
      <c r="D20" s="7" t="n"/>
      <c r="E20" s="7" t="n"/>
      <c r="F20" s="20">
        <f>SUMIF($W$65:$W$500,B20,$AG$65:$AG$500)</f>
        <v/>
      </c>
      <c r="G20" s="7" t="n"/>
      <c r="H20" s="7" t="n"/>
      <c r="I20" s="20">
        <f>G20*H20</f>
        <v/>
      </c>
      <c r="J20" s="7" t="n"/>
      <c r="K20" s="20">
        <f>J20*D20</f>
        <v/>
      </c>
      <c r="L20" s="7" t="n"/>
      <c r="M20" s="20">
        <f>F20*L20/100</f>
        <v/>
      </c>
      <c r="N20" s="7" t="n"/>
      <c r="O20" s="20">
        <f>(F20+I20+K20+M20)*N20/100</f>
        <v/>
      </c>
      <c r="P20" s="7" t="n"/>
      <c r="Q20" s="20">
        <f>F20+I20+K20+M20+O20+P20</f>
        <v/>
      </c>
      <c r="R20" s="20">
        <f>IF(D20=0,0,Q20/D20)</f>
        <v/>
      </c>
      <c r="S20" s="20">
        <f>R20*2.5</f>
        <v/>
      </c>
      <c r="T20" s="7" t="n"/>
      <c r="U20" s="7" t="n"/>
    </row>
    <row r="21">
      <c r="A21" s="8" t="n"/>
      <c r="B21" s="8" t="n"/>
      <c r="C21" s="8" t="n"/>
      <c r="D21" s="8" t="n"/>
      <c r="E21" s="8" t="n"/>
      <c r="F21" s="23">
        <f>SUMIF($W$65:$W$500,B21,$AG$65:$AG$500)</f>
        <v/>
      </c>
      <c r="G21" s="8" t="n"/>
      <c r="H21" s="8" t="n"/>
      <c r="I21" s="23">
        <f>G21*H21</f>
        <v/>
      </c>
      <c r="J21" s="8" t="n"/>
      <c r="K21" s="23">
        <f>J21*D21</f>
        <v/>
      </c>
      <c r="L21" s="8" t="n"/>
      <c r="M21" s="23">
        <f>F21*L21/100</f>
        <v/>
      </c>
      <c r="N21" s="8" t="n"/>
      <c r="O21" s="23">
        <f>(F21+I21+K21+M21)*N21/100</f>
        <v/>
      </c>
      <c r="P21" s="8" t="n"/>
      <c r="Q21" s="23">
        <f>F21+I21+K21+M21+O21+P21</f>
        <v/>
      </c>
      <c r="R21" s="23">
        <f>IF(D21=0,0,Q21/D21)</f>
        <v/>
      </c>
      <c r="S21" s="23">
        <f>R21*2.5</f>
        <v/>
      </c>
      <c r="T21" s="8" t="n"/>
      <c r="U21" s="8" t="n"/>
    </row>
    <row r="22">
      <c r="A22" s="7" t="n"/>
      <c r="B22" s="7" t="n"/>
      <c r="C22" s="7" t="n"/>
      <c r="D22" s="7" t="n"/>
      <c r="E22" s="7" t="n"/>
      <c r="F22" s="20">
        <f>SUMIF($W$65:$W$500,B22,$AG$65:$AG$500)</f>
        <v/>
      </c>
      <c r="G22" s="7" t="n"/>
      <c r="H22" s="7" t="n"/>
      <c r="I22" s="20">
        <f>G22*H22</f>
        <v/>
      </c>
      <c r="J22" s="7" t="n"/>
      <c r="K22" s="20">
        <f>J22*D22</f>
        <v/>
      </c>
      <c r="L22" s="7" t="n"/>
      <c r="M22" s="20">
        <f>F22*L22/100</f>
        <v/>
      </c>
      <c r="N22" s="7" t="n"/>
      <c r="O22" s="20">
        <f>(F22+I22+K22+M22)*N22/100</f>
        <v/>
      </c>
      <c r="P22" s="7" t="n"/>
      <c r="Q22" s="20">
        <f>F22+I22+K22+M22+O22+P22</f>
        <v/>
      </c>
      <c r="R22" s="20">
        <f>IF(D22=0,0,Q22/D22)</f>
        <v/>
      </c>
      <c r="S22" s="20">
        <f>R22*2.5</f>
        <v/>
      </c>
      <c r="T22" s="7" t="n"/>
      <c r="U22" s="7" t="n"/>
    </row>
    <row r="23">
      <c r="A23" s="8" t="n"/>
      <c r="B23" s="8" t="n"/>
      <c r="C23" s="8" t="n"/>
      <c r="D23" s="8" t="n"/>
      <c r="E23" s="8" t="n"/>
      <c r="F23" s="23">
        <f>SUMIF($W$65:$W$500,B23,$AG$65:$AG$500)</f>
        <v/>
      </c>
      <c r="G23" s="8" t="n"/>
      <c r="H23" s="8" t="n"/>
      <c r="I23" s="23">
        <f>G23*H23</f>
        <v/>
      </c>
      <c r="J23" s="8" t="n"/>
      <c r="K23" s="23">
        <f>J23*D23</f>
        <v/>
      </c>
      <c r="L23" s="8" t="n"/>
      <c r="M23" s="23">
        <f>F23*L23/100</f>
        <v/>
      </c>
      <c r="N23" s="8" t="n"/>
      <c r="O23" s="23">
        <f>(F23+I23+K23+M23)*N23/100</f>
        <v/>
      </c>
      <c r="P23" s="8" t="n"/>
      <c r="Q23" s="23">
        <f>F23+I23+K23+M23+O23+P23</f>
        <v/>
      </c>
      <c r="R23" s="23">
        <f>IF(D23=0,0,Q23/D23)</f>
        <v/>
      </c>
      <c r="S23" s="23">
        <f>R23*2.5</f>
        <v/>
      </c>
      <c r="T23" s="8" t="n"/>
      <c r="U23" s="8" t="n"/>
    </row>
    <row r="24">
      <c r="A24" s="7" t="n"/>
      <c r="B24" s="7" t="n"/>
      <c r="C24" s="7" t="n"/>
      <c r="D24" s="7" t="n"/>
      <c r="E24" s="7" t="n"/>
      <c r="F24" s="20">
        <f>SUMIF($W$65:$W$500,B24,$AG$65:$AG$500)</f>
        <v/>
      </c>
      <c r="G24" s="7" t="n"/>
      <c r="H24" s="7" t="n"/>
      <c r="I24" s="20">
        <f>G24*H24</f>
        <v/>
      </c>
      <c r="J24" s="7" t="n"/>
      <c r="K24" s="20">
        <f>J24*D24</f>
        <v/>
      </c>
      <c r="L24" s="7" t="n"/>
      <c r="M24" s="20">
        <f>F24*L24/100</f>
        <v/>
      </c>
      <c r="N24" s="7" t="n"/>
      <c r="O24" s="20">
        <f>(F24+I24+K24+M24)*N24/100</f>
        <v/>
      </c>
      <c r="P24" s="7" t="n"/>
      <c r="Q24" s="20">
        <f>F24+I24+K24+M24+O24+P24</f>
        <v/>
      </c>
      <c r="R24" s="20">
        <f>IF(D24=0,0,Q24/D24)</f>
        <v/>
      </c>
      <c r="S24" s="20">
        <f>R24*2.5</f>
        <v/>
      </c>
      <c r="T24" s="7" t="n"/>
      <c r="U24" s="7" t="n"/>
    </row>
    <row r="25">
      <c r="A25" s="8" t="n"/>
      <c r="B25" s="8" t="n"/>
      <c r="C25" s="8" t="n"/>
      <c r="D25" s="8" t="n"/>
      <c r="E25" s="8" t="n"/>
      <c r="F25" s="23">
        <f>SUMIF($W$65:$W$500,B25,$AG$65:$AG$500)</f>
        <v/>
      </c>
      <c r="G25" s="8" t="n"/>
      <c r="H25" s="8" t="n"/>
      <c r="I25" s="23">
        <f>G25*H25</f>
        <v/>
      </c>
      <c r="J25" s="8" t="n"/>
      <c r="K25" s="23">
        <f>J25*D25</f>
        <v/>
      </c>
      <c r="L25" s="8" t="n"/>
      <c r="M25" s="23">
        <f>F25*L25/100</f>
        <v/>
      </c>
      <c r="N25" s="8" t="n"/>
      <c r="O25" s="23">
        <f>(F25+I25+K25+M25)*N25/100</f>
        <v/>
      </c>
      <c r="P25" s="8" t="n"/>
      <c r="Q25" s="23">
        <f>F25+I25+K25+M25+O25+P25</f>
        <v/>
      </c>
      <c r="R25" s="23">
        <f>IF(D25=0,0,Q25/D25)</f>
        <v/>
      </c>
      <c r="S25" s="23">
        <f>R25*2.5</f>
        <v/>
      </c>
      <c r="T25" s="8" t="n"/>
      <c r="U25" s="8" t="n"/>
    </row>
    <row r="26">
      <c r="A26" s="7" t="n"/>
      <c r="B26" s="7" t="n"/>
      <c r="C26" s="7" t="n"/>
      <c r="D26" s="7" t="n"/>
      <c r="E26" s="7" t="n"/>
      <c r="F26" s="20">
        <f>SUMIF($W$65:$W$500,B26,$AG$65:$AG$500)</f>
        <v/>
      </c>
      <c r="G26" s="7" t="n"/>
      <c r="H26" s="7" t="n"/>
      <c r="I26" s="20">
        <f>G26*H26</f>
        <v/>
      </c>
      <c r="J26" s="7" t="n"/>
      <c r="K26" s="20">
        <f>J26*D26</f>
        <v/>
      </c>
      <c r="L26" s="7" t="n"/>
      <c r="M26" s="20">
        <f>F26*L26/100</f>
        <v/>
      </c>
      <c r="N26" s="7" t="n"/>
      <c r="O26" s="20">
        <f>(F26+I26+K26+M26)*N26/100</f>
        <v/>
      </c>
      <c r="P26" s="7" t="n"/>
      <c r="Q26" s="20">
        <f>F26+I26+K26+M26+O26+P26</f>
        <v/>
      </c>
      <c r="R26" s="20">
        <f>IF(D26=0,0,Q26/D26)</f>
        <v/>
      </c>
      <c r="S26" s="20">
        <f>R26*2.5</f>
        <v/>
      </c>
      <c r="T26" s="7" t="n"/>
      <c r="U26" s="7" t="n"/>
    </row>
    <row r="27">
      <c r="A27" s="8" t="n"/>
      <c r="B27" s="8" t="n"/>
      <c r="C27" s="8" t="n"/>
      <c r="D27" s="8" t="n"/>
      <c r="E27" s="8" t="n"/>
      <c r="F27" s="23">
        <f>SUMIF($W$65:$W$500,B27,$AG$65:$AG$500)</f>
        <v/>
      </c>
      <c r="G27" s="8" t="n"/>
      <c r="H27" s="8" t="n"/>
      <c r="I27" s="23">
        <f>G27*H27</f>
        <v/>
      </c>
      <c r="J27" s="8" t="n"/>
      <c r="K27" s="23">
        <f>J27*D27</f>
        <v/>
      </c>
      <c r="L27" s="8" t="n"/>
      <c r="M27" s="23">
        <f>F27*L27/100</f>
        <v/>
      </c>
      <c r="N27" s="8" t="n"/>
      <c r="O27" s="23">
        <f>(F27+I27+K27+M27)*N27/100</f>
        <v/>
      </c>
      <c r="P27" s="8" t="n"/>
      <c r="Q27" s="23">
        <f>F27+I27+K27+M27+O27+P27</f>
        <v/>
      </c>
      <c r="R27" s="23">
        <f>IF(D27=0,0,Q27/D27)</f>
        <v/>
      </c>
      <c r="S27" s="23">
        <f>R27*2.5</f>
        <v/>
      </c>
      <c r="T27" s="8" t="n"/>
      <c r="U27" s="8" t="n"/>
    </row>
    <row r="28">
      <c r="A28" s="7" t="n"/>
      <c r="B28" s="7" t="n"/>
      <c r="C28" s="7" t="n"/>
      <c r="D28" s="7" t="n"/>
      <c r="E28" s="7" t="n"/>
      <c r="F28" s="20">
        <f>SUMIF($W$65:$W$500,B28,$AG$65:$AG$500)</f>
        <v/>
      </c>
      <c r="G28" s="7" t="n"/>
      <c r="H28" s="7" t="n"/>
      <c r="I28" s="20">
        <f>G28*H28</f>
        <v/>
      </c>
      <c r="J28" s="7" t="n"/>
      <c r="K28" s="20">
        <f>J28*D28</f>
        <v/>
      </c>
      <c r="L28" s="7" t="n"/>
      <c r="M28" s="20">
        <f>F28*L28/100</f>
        <v/>
      </c>
      <c r="N28" s="7" t="n"/>
      <c r="O28" s="20">
        <f>(F28+I28+K28+M28)*N28/100</f>
        <v/>
      </c>
      <c r="P28" s="7" t="n"/>
      <c r="Q28" s="20">
        <f>F28+I28+K28+M28+O28+P28</f>
        <v/>
      </c>
      <c r="R28" s="20">
        <f>IF(D28=0,0,Q28/D28)</f>
        <v/>
      </c>
      <c r="S28" s="20">
        <f>R28*2.5</f>
        <v/>
      </c>
      <c r="T28" s="7" t="n"/>
      <c r="U28" s="7" t="n"/>
    </row>
    <row r="29">
      <c r="A29" s="8" t="n"/>
      <c r="B29" s="8" t="n"/>
      <c r="C29" s="8" t="n"/>
      <c r="D29" s="8" t="n"/>
      <c r="E29" s="8" t="n"/>
      <c r="F29" s="23">
        <f>SUMIF($W$65:$W$500,B29,$AG$65:$AG$500)</f>
        <v/>
      </c>
      <c r="G29" s="8" t="n"/>
      <c r="H29" s="8" t="n"/>
      <c r="I29" s="23">
        <f>G29*H29</f>
        <v/>
      </c>
      <c r="J29" s="8" t="n"/>
      <c r="K29" s="23">
        <f>J29*D29</f>
        <v/>
      </c>
      <c r="L29" s="8" t="n"/>
      <c r="M29" s="23">
        <f>F29*L29/100</f>
        <v/>
      </c>
      <c r="N29" s="8" t="n"/>
      <c r="O29" s="23">
        <f>(F29+I29+K29+M29)*N29/100</f>
        <v/>
      </c>
      <c r="P29" s="8" t="n"/>
      <c r="Q29" s="23">
        <f>F29+I29+K29+M29+O29+P29</f>
        <v/>
      </c>
      <c r="R29" s="23">
        <f>IF(D29=0,0,Q29/D29)</f>
        <v/>
      </c>
      <c r="S29" s="23">
        <f>R29*2.5</f>
        <v/>
      </c>
      <c r="T29" s="8" t="n"/>
      <c r="U29" s="8" t="n"/>
    </row>
    <row r="30">
      <c r="A30" s="7" t="n"/>
      <c r="B30" s="7" t="n"/>
      <c r="C30" s="7" t="n"/>
      <c r="D30" s="7" t="n"/>
      <c r="E30" s="7" t="n"/>
      <c r="F30" s="20">
        <f>SUMIF($W$65:$W$500,B30,$AG$65:$AG$500)</f>
        <v/>
      </c>
      <c r="G30" s="7" t="n"/>
      <c r="H30" s="7" t="n"/>
      <c r="I30" s="20">
        <f>G30*H30</f>
        <v/>
      </c>
      <c r="J30" s="7" t="n"/>
      <c r="K30" s="20">
        <f>J30*D30</f>
        <v/>
      </c>
      <c r="L30" s="7" t="n"/>
      <c r="M30" s="20">
        <f>F30*L30/100</f>
        <v/>
      </c>
      <c r="N30" s="7" t="n"/>
      <c r="O30" s="20">
        <f>(F30+I30+K30+M30)*N30/100</f>
        <v/>
      </c>
      <c r="P30" s="7" t="n"/>
      <c r="Q30" s="20">
        <f>F30+I30+K30+M30+O30+P30</f>
        <v/>
      </c>
      <c r="R30" s="20">
        <f>IF(D30=0,0,Q30/D30)</f>
        <v/>
      </c>
      <c r="S30" s="20">
        <f>R30*2.5</f>
        <v/>
      </c>
      <c r="T30" s="7" t="n"/>
      <c r="U30" s="7" t="n"/>
    </row>
    <row r="31">
      <c r="A31" s="8" t="n"/>
      <c r="B31" s="8" t="n"/>
      <c r="C31" s="8" t="n"/>
      <c r="D31" s="8" t="n"/>
      <c r="E31" s="8" t="n"/>
      <c r="F31" s="23">
        <f>SUMIF($W$65:$W$500,B31,$AG$65:$AG$500)</f>
        <v/>
      </c>
      <c r="G31" s="8" t="n"/>
      <c r="H31" s="8" t="n"/>
      <c r="I31" s="23">
        <f>G31*H31</f>
        <v/>
      </c>
      <c r="J31" s="8" t="n"/>
      <c r="K31" s="23">
        <f>J31*D31</f>
        <v/>
      </c>
      <c r="L31" s="8" t="n"/>
      <c r="M31" s="23">
        <f>F31*L31/100</f>
        <v/>
      </c>
      <c r="N31" s="8" t="n"/>
      <c r="O31" s="23">
        <f>(F31+I31+K31+M31)*N31/100</f>
        <v/>
      </c>
      <c r="P31" s="8" t="n"/>
      <c r="Q31" s="23">
        <f>F31+I31+K31+M31+O31+P31</f>
        <v/>
      </c>
      <c r="R31" s="23">
        <f>IF(D31=0,0,Q31/D31)</f>
        <v/>
      </c>
      <c r="S31" s="23">
        <f>R31*2.5</f>
        <v/>
      </c>
      <c r="T31" s="8" t="n"/>
      <c r="U31" s="8" t="n"/>
    </row>
    <row r="32">
      <c r="A32" s="7" t="n"/>
      <c r="B32" s="7" t="n"/>
      <c r="C32" s="7" t="n"/>
      <c r="D32" s="7" t="n"/>
      <c r="E32" s="7" t="n"/>
      <c r="F32" s="20">
        <f>SUMIF($W$65:$W$500,B32,$AG$65:$AG$500)</f>
        <v/>
      </c>
      <c r="G32" s="7" t="n"/>
      <c r="H32" s="7" t="n"/>
      <c r="I32" s="20">
        <f>G32*H32</f>
        <v/>
      </c>
      <c r="J32" s="7" t="n"/>
      <c r="K32" s="20">
        <f>J32*D32</f>
        <v/>
      </c>
      <c r="L32" s="7" t="n"/>
      <c r="M32" s="20">
        <f>F32*L32/100</f>
        <v/>
      </c>
      <c r="N32" s="7" t="n"/>
      <c r="O32" s="20">
        <f>(F32+I32+K32+M32)*N32/100</f>
        <v/>
      </c>
      <c r="P32" s="7" t="n"/>
      <c r="Q32" s="20">
        <f>F32+I32+K32+M32+O32+P32</f>
        <v/>
      </c>
      <c r="R32" s="20">
        <f>IF(D32=0,0,Q32/D32)</f>
        <v/>
      </c>
      <c r="S32" s="20">
        <f>R32*2.5</f>
        <v/>
      </c>
      <c r="T32" s="7" t="n"/>
      <c r="U32" s="7" t="n"/>
    </row>
    <row r="33">
      <c r="A33" s="8" t="n"/>
      <c r="B33" s="8" t="n"/>
      <c r="C33" s="8" t="n"/>
      <c r="D33" s="8" t="n"/>
      <c r="E33" s="8" t="n"/>
      <c r="F33" s="23">
        <f>SUMIF($W$65:$W$500,B33,$AG$65:$AG$500)</f>
        <v/>
      </c>
      <c r="G33" s="8" t="n"/>
      <c r="H33" s="8" t="n"/>
      <c r="I33" s="23">
        <f>G33*H33</f>
        <v/>
      </c>
      <c r="J33" s="8" t="n"/>
      <c r="K33" s="23">
        <f>J33*D33</f>
        <v/>
      </c>
      <c r="L33" s="8" t="n"/>
      <c r="M33" s="23">
        <f>F33*L33/100</f>
        <v/>
      </c>
      <c r="N33" s="8" t="n"/>
      <c r="O33" s="23">
        <f>(F33+I33+K33+M33)*N33/100</f>
        <v/>
      </c>
      <c r="P33" s="8" t="n"/>
      <c r="Q33" s="23">
        <f>F33+I33+K33+M33+O33+P33</f>
        <v/>
      </c>
      <c r="R33" s="23">
        <f>IF(D33=0,0,Q33/D33)</f>
        <v/>
      </c>
      <c r="S33" s="23">
        <f>R33*2.5</f>
        <v/>
      </c>
      <c r="T33" s="8" t="n"/>
      <c r="U33" s="8" t="n"/>
    </row>
    <row r="34">
      <c r="A34" s="7" t="n"/>
      <c r="B34" s="7" t="n"/>
      <c r="C34" s="7" t="n"/>
      <c r="D34" s="7" t="n"/>
      <c r="E34" s="7" t="n"/>
      <c r="F34" s="20">
        <f>SUMIF($W$65:$W$500,B34,$AG$65:$AG$500)</f>
        <v/>
      </c>
      <c r="G34" s="7" t="n"/>
      <c r="H34" s="7" t="n"/>
      <c r="I34" s="20">
        <f>G34*H34</f>
        <v/>
      </c>
      <c r="J34" s="7" t="n"/>
      <c r="K34" s="20">
        <f>J34*D34</f>
        <v/>
      </c>
      <c r="L34" s="7" t="n"/>
      <c r="M34" s="20">
        <f>F34*L34/100</f>
        <v/>
      </c>
      <c r="N34" s="7" t="n"/>
      <c r="O34" s="20">
        <f>(F34+I34+K34+M34)*N34/100</f>
        <v/>
      </c>
      <c r="P34" s="7" t="n"/>
      <c r="Q34" s="20">
        <f>F34+I34+K34+M34+O34+P34</f>
        <v/>
      </c>
      <c r="R34" s="20">
        <f>IF(D34=0,0,Q34/D34)</f>
        <v/>
      </c>
      <c r="S34" s="20">
        <f>R34*2.5</f>
        <v/>
      </c>
      <c r="T34" s="7" t="n"/>
      <c r="U34" s="7" t="n"/>
    </row>
    <row r="35">
      <c r="A35" s="8" t="n"/>
      <c r="B35" s="8" t="n"/>
      <c r="C35" s="8" t="n"/>
      <c r="D35" s="8" t="n"/>
      <c r="E35" s="8" t="n"/>
      <c r="F35" s="23">
        <f>SUMIF($W$65:$W$500,B35,$AG$65:$AG$500)</f>
        <v/>
      </c>
      <c r="G35" s="8" t="n"/>
      <c r="H35" s="8" t="n"/>
      <c r="I35" s="23">
        <f>G35*H35</f>
        <v/>
      </c>
      <c r="J35" s="8" t="n"/>
      <c r="K35" s="23">
        <f>J35*D35</f>
        <v/>
      </c>
      <c r="L35" s="8" t="n"/>
      <c r="M35" s="23">
        <f>F35*L35/100</f>
        <v/>
      </c>
      <c r="N35" s="8" t="n"/>
      <c r="O35" s="23">
        <f>(F35+I35+K35+M35)*N35/100</f>
        <v/>
      </c>
      <c r="P35" s="8" t="n"/>
      <c r="Q35" s="23">
        <f>F35+I35+K35+M35+O35+P35</f>
        <v/>
      </c>
      <c r="R35" s="23">
        <f>IF(D35=0,0,Q35/D35)</f>
        <v/>
      </c>
      <c r="S35" s="23">
        <f>R35*2.5</f>
        <v/>
      </c>
      <c r="T35" s="8" t="n"/>
      <c r="U35" s="8" t="n"/>
    </row>
    <row r="36">
      <c r="A36" s="7" t="n"/>
      <c r="B36" s="7" t="n"/>
      <c r="C36" s="7" t="n"/>
      <c r="D36" s="7" t="n"/>
      <c r="E36" s="7" t="n"/>
      <c r="F36" s="20">
        <f>SUMIF($W$65:$W$500,B36,$AG$65:$AG$500)</f>
        <v/>
      </c>
      <c r="G36" s="7" t="n"/>
      <c r="H36" s="7" t="n"/>
      <c r="I36" s="20">
        <f>G36*H36</f>
        <v/>
      </c>
      <c r="J36" s="7" t="n"/>
      <c r="K36" s="20">
        <f>J36*D36</f>
        <v/>
      </c>
      <c r="L36" s="7" t="n"/>
      <c r="M36" s="20">
        <f>F36*L36/100</f>
        <v/>
      </c>
      <c r="N36" s="7" t="n"/>
      <c r="O36" s="20">
        <f>(F36+I36+K36+M36)*N36/100</f>
        <v/>
      </c>
      <c r="P36" s="7" t="n"/>
      <c r="Q36" s="20">
        <f>F36+I36+K36+M36+O36+P36</f>
        <v/>
      </c>
      <c r="R36" s="20">
        <f>IF(D36=0,0,Q36/D36)</f>
        <v/>
      </c>
      <c r="S36" s="20">
        <f>R36*2.5</f>
        <v/>
      </c>
      <c r="T36" s="7" t="n"/>
      <c r="U36" s="7" t="n"/>
    </row>
    <row r="37">
      <c r="A37" s="8" t="n"/>
      <c r="B37" s="8" t="n"/>
      <c r="C37" s="8" t="n"/>
      <c r="D37" s="8" t="n"/>
      <c r="E37" s="8" t="n"/>
      <c r="F37" s="23">
        <f>SUMIF($W$65:$W$500,B37,$AG$65:$AG$500)</f>
        <v/>
      </c>
      <c r="G37" s="8" t="n"/>
      <c r="H37" s="8" t="n"/>
      <c r="I37" s="23">
        <f>G37*H37</f>
        <v/>
      </c>
      <c r="J37" s="8" t="n"/>
      <c r="K37" s="23">
        <f>J37*D37</f>
        <v/>
      </c>
      <c r="L37" s="8" t="n"/>
      <c r="M37" s="23">
        <f>F37*L37/100</f>
        <v/>
      </c>
      <c r="N37" s="8" t="n"/>
      <c r="O37" s="23">
        <f>(F37+I37+K37+M37)*N37/100</f>
        <v/>
      </c>
      <c r="P37" s="8" t="n"/>
      <c r="Q37" s="23">
        <f>F37+I37+K37+M37+O37+P37</f>
        <v/>
      </c>
      <c r="R37" s="23">
        <f>IF(D37=0,0,Q37/D37)</f>
        <v/>
      </c>
      <c r="S37" s="23">
        <f>R37*2.5</f>
        <v/>
      </c>
      <c r="T37" s="8" t="n"/>
      <c r="U37" s="8" t="n"/>
    </row>
    <row r="38">
      <c r="A38" s="7" t="n"/>
      <c r="B38" s="7" t="n"/>
      <c r="C38" s="7" t="n"/>
      <c r="D38" s="7" t="n"/>
      <c r="E38" s="7" t="n"/>
      <c r="F38" s="20">
        <f>SUMIF($W$65:$W$500,B38,$AG$65:$AG$500)</f>
        <v/>
      </c>
      <c r="G38" s="7" t="n"/>
      <c r="H38" s="7" t="n"/>
      <c r="I38" s="20">
        <f>G38*H38</f>
        <v/>
      </c>
      <c r="J38" s="7" t="n"/>
      <c r="K38" s="20">
        <f>J38*D38</f>
        <v/>
      </c>
      <c r="L38" s="7" t="n"/>
      <c r="M38" s="20">
        <f>F38*L38/100</f>
        <v/>
      </c>
      <c r="N38" s="7" t="n"/>
      <c r="O38" s="20">
        <f>(F38+I38+K38+M38)*N38/100</f>
        <v/>
      </c>
      <c r="P38" s="7" t="n"/>
      <c r="Q38" s="20">
        <f>F38+I38+K38+M38+O38+P38</f>
        <v/>
      </c>
      <c r="R38" s="20">
        <f>IF(D38=0,0,Q38/D38)</f>
        <v/>
      </c>
      <c r="S38" s="20">
        <f>R38*2.5</f>
        <v/>
      </c>
      <c r="T38" s="7" t="n"/>
      <c r="U38" s="7" t="n"/>
    </row>
    <row r="39">
      <c r="A39" s="8" t="n"/>
      <c r="B39" s="8" t="n"/>
      <c r="C39" s="8" t="n"/>
      <c r="D39" s="8" t="n"/>
      <c r="E39" s="8" t="n"/>
      <c r="F39" s="23">
        <f>SUMIF($W$65:$W$500,B39,$AG$65:$AG$500)</f>
        <v/>
      </c>
      <c r="G39" s="8" t="n"/>
      <c r="H39" s="8" t="n"/>
      <c r="I39" s="23">
        <f>G39*H39</f>
        <v/>
      </c>
      <c r="J39" s="8" t="n"/>
      <c r="K39" s="23">
        <f>J39*D39</f>
        <v/>
      </c>
      <c r="L39" s="8" t="n"/>
      <c r="M39" s="23">
        <f>F39*L39/100</f>
        <v/>
      </c>
      <c r="N39" s="8" t="n"/>
      <c r="O39" s="23">
        <f>(F39+I39+K39+M39)*N39/100</f>
        <v/>
      </c>
      <c r="P39" s="8" t="n"/>
      <c r="Q39" s="23">
        <f>F39+I39+K39+M39+O39+P39</f>
        <v/>
      </c>
      <c r="R39" s="23">
        <f>IF(D39=0,0,Q39/D39)</f>
        <v/>
      </c>
      <c r="S39" s="23">
        <f>R39*2.5</f>
        <v/>
      </c>
      <c r="T39" s="8" t="n"/>
      <c r="U39" s="8" t="n"/>
    </row>
    <row r="40">
      <c r="A40" s="7" t="n"/>
      <c r="B40" s="7" t="n"/>
      <c r="C40" s="7" t="n"/>
      <c r="D40" s="7" t="n"/>
      <c r="E40" s="7" t="n"/>
      <c r="F40" s="20">
        <f>SUMIF($W$65:$W$500,B40,$AG$65:$AG$500)</f>
        <v/>
      </c>
      <c r="G40" s="7" t="n"/>
      <c r="H40" s="7" t="n"/>
      <c r="I40" s="20">
        <f>G40*H40</f>
        <v/>
      </c>
      <c r="J40" s="7" t="n"/>
      <c r="K40" s="20">
        <f>J40*D40</f>
        <v/>
      </c>
      <c r="L40" s="7" t="n"/>
      <c r="M40" s="20">
        <f>F40*L40/100</f>
        <v/>
      </c>
      <c r="N40" s="7" t="n"/>
      <c r="O40" s="20">
        <f>(F40+I40+K40+M40)*N40/100</f>
        <v/>
      </c>
      <c r="P40" s="7" t="n"/>
      <c r="Q40" s="20">
        <f>F40+I40+K40+M40+O40+P40</f>
        <v/>
      </c>
      <c r="R40" s="20">
        <f>IF(D40=0,0,Q40/D40)</f>
        <v/>
      </c>
      <c r="S40" s="20">
        <f>R40*2.5</f>
        <v/>
      </c>
      <c r="T40" s="7" t="n"/>
      <c r="U40" s="7" t="n"/>
    </row>
    <row r="41">
      <c r="A41" s="8" t="n"/>
      <c r="B41" s="8" t="n"/>
      <c r="C41" s="8" t="n"/>
      <c r="D41" s="8" t="n"/>
      <c r="E41" s="8" t="n"/>
      <c r="F41" s="23">
        <f>SUMIF($W$65:$W$500,B41,$AG$65:$AG$500)</f>
        <v/>
      </c>
      <c r="G41" s="8" t="n"/>
      <c r="H41" s="8" t="n"/>
      <c r="I41" s="23">
        <f>G41*H41</f>
        <v/>
      </c>
      <c r="J41" s="8" t="n"/>
      <c r="K41" s="23">
        <f>J41*D41</f>
        <v/>
      </c>
      <c r="L41" s="8" t="n"/>
      <c r="M41" s="23">
        <f>F41*L41/100</f>
        <v/>
      </c>
      <c r="N41" s="8" t="n"/>
      <c r="O41" s="23">
        <f>(F41+I41+K41+M41)*N41/100</f>
        <v/>
      </c>
      <c r="P41" s="8" t="n"/>
      <c r="Q41" s="23">
        <f>F41+I41+K41+M41+O41+P41</f>
        <v/>
      </c>
      <c r="R41" s="23">
        <f>IF(D41=0,0,Q41/D41)</f>
        <v/>
      </c>
      <c r="S41" s="23">
        <f>R41*2.5</f>
        <v/>
      </c>
      <c r="T41" s="8" t="n"/>
      <c r="U41" s="8" t="n"/>
    </row>
    <row r="42">
      <c r="A42" s="7" t="n"/>
      <c r="B42" s="7" t="n"/>
      <c r="C42" s="7" t="n"/>
      <c r="D42" s="7" t="n"/>
      <c r="E42" s="7" t="n"/>
      <c r="F42" s="20">
        <f>SUMIF($W$65:$W$500,B42,$AG$65:$AG$500)</f>
        <v/>
      </c>
      <c r="G42" s="7" t="n"/>
      <c r="H42" s="7" t="n"/>
      <c r="I42" s="20">
        <f>G42*H42</f>
        <v/>
      </c>
      <c r="J42" s="7" t="n"/>
      <c r="K42" s="20">
        <f>J42*D42</f>
        <v/>
      </c>
      <c r="L42" s="7" t="n"/>
      <c r="M42" s="20">
        <f>F42*L42/100</f>
        <v/>
      </c>
      <c r="N42" s="7" t="n"/>
      <c r="O42" s="20">
        <f>(F42+I42+K42+M42)*N42/100</f>
        <v/>
      </c>
      <c r="P42" s="7" t="n"/>
      <c r="Q42" s="20">
        <f>F42+I42+K42+M42+O42+P42</f>
        <v/>
      </c>
      <c r="R42" s="20">
        <f>IF(D42=0,0,Q42/D42)</f>
        <v/>
      </c>
      <c r="S42" s="20">
        <f>R42*2.5</f>
        <v/>
      </c>
      <c r="T42" s="7" t="n"/>
      <c r="U42" s="7" t="n"/>
    </row>
    <row r="43">
      <c r="A43" s="8" t="n"/>
      <c r="B43" s="8" t="n"/>
      <c r="C43" s="8" t="n"/>
      <c r="D43" s="8" t="n"/>
      <c r="E43" s="8" t="n"/>
      <c r="F43" s="23">
        <f>SUMIF($W$65:$W$500,B43,$AG$65:$AG$500)</f>
        <v/>
      </c>
      <c r="G43" s="8" t="n"/>
      <c r="H43" s="8" t="n"/>
      <c r="I43" s="23">
        <f>G43*H43</f>
        <v/>
      </c>
      <c r="J43" s="8" t="n"/>
      <c r="K43" s="23">
        <f>J43*D43</f>
        <v/>
      </c>
      <c r="L43" s="8" t="n"/>
      <c r="M43" s="23">
        <f>F43*L43/100</f>
        <v/>
      </c>
      <c r="N43" s="8" t="n"/>
      <c r="O43" s="23">
        <f>(F43+I43+K43+M43)*N43/100</f>
        <v/>
      </c>
      <c r="P43" s="8" t="n"/>
      <c r="Q43" s="23">
        <f>F43+I43+K43+M43+O43+P43</f>
        <v/>
      </c>
      <c r="R43" s="23">
        <f>IF(D43=0,0,Q43/D43)</f>
        <v/>
      </c>
      <c r="S43" s="23">
        <f>R43*2.5</f>
        <v/>
      </c>
      <c r="T43" s="8" t="n"/>
      <c r="U43" s="8" t="n"/>
    </row>
    <row r="44">
      <c r="A44" s="7" t="n"/>
      <c r="B44" s="7" t="n"/>
      <c r="C44" s="7" t="n"/>
      <c r="D44" s="7" t="n"/>
      <c r="E44" s="7" t="n"/>
      <c r="F44" s="20">
        <f>SUMIF($W$65:$W$500,B44,$AG$65:$AG$500)</f>
        <v/>
      </c>
      <c r="G44" s="7" t="n"/>
      <c r="H44" s="7" t="n"/>
      <c r="I44" s="20">
        <f>G44*H44</f>
        <v/>
      </c>
      <c r="J44" s="7" t="n"/>
      <c r="K44" s="20">
        <f>J44*D44</f>
        <v/>
      </c>
      <c r="L44" s="7" t="n"/>
      <c r="M44" s="20">
        <f>F44*L44/100</f>
        <v/>
      </c>
      <c r="N44" s="7" t="n"/>
      <c r="O44" s="20">
        <f>(F44+I44+K44+M44)*N44/100</f>
        <v/>
      </c>
      <c r="P44" s="7" t="n"/>
      <c r="Q44" s="20">
        <f>F44+I44+K44+M44+O44+P44</f>
        <v/>
      </c>
      <c r="R44" s="20">
        <f>IF(D44=0,0,Q44/D44)</f>
        <v/>
      </c>
      <c r="S44" s="20">
        <f>R44*2.5</f>
        <v/>
      </c>
      <c r="T44" s="7" t="n"/>
      <c r="U44" s="7" t="n"/>
    </row>
    <row r="45">
      <c r="A45" s="8" t="n"/>
      <c r="B45" s="8" t="n"/>
      <c r="C45" s="8" t="n"/>
      <c r="D45" s="8" t="n"/>
      <c r="E45" s="8" t="n"/>
      <c r="F45" s="23">
        <f>SUMIF($W$65:$W$500,B45,$AG$65:$AG$500)</f>
        <v/>
      </c>
      <c r="G45" s="8" t="n"/>
      <c r="H45" s="8" t="n"/>
      <c r="I45" s="23">
        <f>G45*H45</f>
        <v/>
      </c>
      <c r="J45" s="8" t="n"/>
      <c r="K45" s="23">
        <f>J45*D45</f>
        <v/>
      </c>
      <c r="L45" s="8" t="n"/>
      <c r="M45" s="23">
        <f>F45*L45/100</f>
        <v/>
      </c>
      <c r="N45" s="8" t="n"/>
      <c r="O45" s="23">
        <f>(F45+I45+K45+M45)*N45/100</f>
        <v/>
      </c>
      <c r="P45" s="8" t="n"/>
      <c r="Q45" s="23">
        <f>F45+I45+K45+M45+O45+P45</f>
        <v/>
      </c>
      <c r="R45" s="23">
        <f>IF(D45=0,0,Q45/D45)</f>
        <v/>
      </c>
      <c r="S45" s="23">
        <f>R45*2.5</f>
        <v/>
      </c>
      <c r="T45" s="8" t="n"/>
      <c r="U45" s="8" t="n"/>
    </row>
    <row r="46">
      <c r="A46" s="7" t="n"/>
      <c r="B46" s="7" t="n"/>
      <c r="C46" s="7" t="n"/>
      <c r="D46" s="7" t="n"/>
      <c r="E46" s="7" t="n"/>
      <c r="F46" s="20">
        <f>SUMIF($W$65:$W$500,B46,$AG$65:$AG$500)</f>
        <v/>
      </c>
      <c r="G46" s="7" t="n"/>
      <c r="H46" s="7" t="n"/>
      <c r="I46" s="20">
        <f>G46*H46</f>
        <v/>
      </c>
      <c r="J46" s="7" t="n"/>
      <c r="K46" s="20">
        <f>J46*D46</f>
        <v/>
      </c>
      <c r="L46" s="7" t="n"/>
      <c r="M46" s="20">
        <f>F46*L46/100</f>
        <v/>
      </c>
      <c r="N46" s="7" t="n"/>
      <c r="O46" s="20">
        <f>(F46+I46+K46+M46)*N46/100</f>
        <v/>
      </c>
      <c r="P46" s="7" t="n"/>
      <c r="Q46" s="20">
        <f>F46+I46+K46+M46+O46+P46</f>
        <v/>
      </c>
      <c r="R46" s="20">
        <f>IF(D46=0,0,Q46/D46)</f>
        <v/>
      </c>
      <c r="S46" s="20">
        <f>R46*2.5</f>
        <v/>
      </c>
      <c r="T46" s="7" t="n"/>
      <c r="U46" s="7" t="n"/>
    </row>
    <row r="47">
      <c r="A47" s="8" t="n"/>
      <c r="B47" s="8" t="n"/>
      <c r="C47" s="8" t="n"/>
      <c r="D47" s="8" t="n"/>
      <c r="E47" s="8" t="n"/>
      <c r="F47" s="23">
        <f>SUMIF($W$65:$W$500,B47,$AG$65:$AG$500)</f>
        <v/>
      </c>
      <c r="G47" s="8" t="n"/>
      <c r="H47" s="8" t="n"/>
      <c r="I47" s="23">
        <f>G47*H47</f>
        <v/>
      </c>
      <c r="J47" s="8" t="n"/>
      <c r="K47" s="23">
        <f>J47*D47</f>
        <v/>
      </c>
      <c r="L47" s="8" t="n"/>
      <c r="M47" s="23">
        <f>F47*L47/100</f>
        <v/>
      </c>
      <c r="N47" s="8" t="n"/>
      <c r="O47" s="23">
        <f>(F47+I47+K47+M47)*N47/100</f>
        <v/>
      </c>
      <c r="P47" s="8" t="n"/>
      <c r="Q47" s="23">
        <f>F47+I47+K47+M47+O47+P47</f>
        <v/>
      </c>
      <c r="R47" s="23">
        <f>IF(D47=0,0,Q47/D47)</f>
        <v/>
      </c>
      <c r="S47" s="23">
        <f>R47*2.5</f>
        <v/>
      </c>
      <c r="T47" s="8" t="n"/>
      <c r="U47" s="8" t="n"/>
    </row>
    <row r="48">
      <c r="A48" s="7" t="n"/>
      <c r="B48" s="7" t="n"/>
      <c r="C48" s="7" t="n"/>
      <c r="D48" s="7" t="n"/>
      <c r="E48" s="7" t="n"/>
      <c r="F48" s="20">
        <f>SUMIF($W$65:$W$500,B48,$AG$65:$AG$500)</f>
        <v/>
      </c>
      <c r="G48" s="7" t="n"/>
      <c r="H48" s="7" t="n"/>
      <c r="I48" s="20">
        <f>G48*H48</f>
        <v/>
      </c>
      <c r="J48" s="7" t="n"/>
      <c r="K48" s="20">
        <f>J48*D48</f>
        <v/>
      </c>
      <c r="L48" s="7" t="n"/>
      <c r="M48" s="20">
        <f>F48*L48/100</f>
        <v/>
      </c>
      <c r="N48" s="7" t="n"/>
      <c r="O48" s="20">
        <f>(F48+I48+K48+M48)*N48/100</f>
        <v/>
      </c>
      <c r="P48" s="7" t="n"/>
      <c r="Q48" s="20">
        <f>F48+I48+K48+M48+O48+P48</f>
        <v/>
      </c>
      <c r="R48" s="20">
        <f>IF(D48=0,0,Q48/D48)</f>
        <v/>
      </c>
      <c r="S48" s="20">
        <f>R48*2.5</f>
        <v/>
      </c>
      <c r="T48" s="7" t="n"/>
      <c r="U48" s="7" t="n"/>
    </row>
    <row r="49">
      <c r="A49" s="8" t="n"/>
      <c r="B49" s="8" t="n"/>
      <c r="C49" s="8" t="n"/>
      <c r="D49" s="8" t="n"/>
      <c r="E49" s="8" t="n"/>
      <c r="F49" s="23">
        <f>SUMIF($W$65:$W$500,B49,$AG$65:$AG$500)</f>
        <v/>
      </c>
      <c r="G49" s="8" t="n"/>
      <c r="H49" s="8" t="n"/>
      <c r="I49" s="23">
        <f>G49*H49</f>
        <v/>
      </c>
      <c r="J49" s="8" t="n"/>
      <c r="K49" s="23">
        <f>J49*D49</f>
        <v/>
      </c>
      <c r="L49" s="8" t="n"/>
      <c r="M49" s="23">
        <f>F49*L49/100</f>
        <v/>
      </c>
      <c r="N49" s="8" t="n"/>
      <c r="O49" s="23">
        <f>(F49+I49+K49+M49)*N49/100</f>
        <v/>
      </c>
      <c r="P49" s="8" t="n"/>
      <c r="Q49" s="23">
        <f>F49+I49+K49+M49+O49+P49</f>
        <v/>
      </c>
      <c r="R49" s="23">
        <f>IF(D49=0,0,Q49/D49)</f>
        <v/>
      </c>
      <c r="S49" s="23">
        <f>R49*2.5</f>
        <v/>
      </c>
      <c r="T49" s="8" t="n"/>
      <c r="U49" s="8" t="n"/>
    </row>
    <row r="50">
      <c r="A50" s="7" t="n"/>
      <c r="B50" s="7" t="n"/>
      <c r="C50" s="7" t="n"/>
      <c r="D50" s="7" t="n"/>
      <c r="E50" s="7" t="n"/>
      <c r="F50" s="20">
        <f>SUMIF($W$65:$W$500,B50,$AG$65:$AG$500)</f>
        <v/>
      </c>
      <c r="G50" s="7" t="n"/>
      <c r="H50" s="7" t="n"/>
      <c r="I50" s="20">
        <f>G50*H50</f>
        <v/>
      </c>
      <c r="J50" s="7" t="n"/>
      <c r="K50" s="20">
        <f>J50*D50</f>
        <v/>
      </c>
      <c r="L50" s="7" t="n"/>
      <c r="M50" s="20">
        <f>F50*L50/100</f>
        <v/>
      </c>
      <c r="N50" s="7" t="n"/>
      <c r="O50" s="20">
        <f>(F50+I50+K50+M50)*N50/100</f>
        <v/>
      </c>
      <c r="P50" s="7" t="n"/>
      <c r="Q50" s="20">
        <f>F50+I50+K50+M50+O50+P50</f>
        <v/>
      </c>
      <c r="R50" s="20">
        <f>IF(D50=0,0,Q50/D50)</f>
        <v/>
      </c>
      <c r="S50" s="20">
        <f>R50*2.5</f>
        <v/>
      </c>
      <c r="T50" s="7" t="n"/>
      <c r="U50" s="7" t="n"/>
    </row>
    <row r="51">
      <c r="A51" s="8" t="n"/>
      <c r="B51" s="8" t="n"/>
      <c r="C51" s="8" t="n"/>
      <c r="D51" s="8" t="n"/>
      <c r="E51" s="8" t="n"/>
      <c r="F51" s="23">
        <f>SUMIF($W$65:$W$500,B51,$AG$65:$AG$500)</f>
        <v/>
      </c>
      <c r="G51" s="8" t="n"/>
      <c r="H51" s="8" t="n"/>
      <c r="I51" s="23">
        <f>G51*H51</f>
        <v/>
      </c>
      <c r="J51" s="8" t="n"/>
      <c r="K51" s="23">
        <f>J51*D51</f>
        <v/>
      </c>
      <c r="L51" s="8" t="n"/>
      <c r="M51" s="23">
        <f>F51*L51/100</f>
        <v/>
      </c>
      <c r="N51" s="8" t="n"/>
      <c r="O51" s="23">
        <f>(F51+I51+K51+M51)*N51/100</f>
        <v/>
      </c>
      <c r="P51" s="8" t="n"/>
      <c r="Q51" s="23">
        <f>F51+I51+K51+M51+O51+P51</f>
        <v/>
      </c>
      <c r="R51" s="23">
        <f>IF(D51=0,0,Q51/D51)</f>
        <v/>
      </c>
      <c r="S51" s="23">
        <f>R51*2.5</f>
        <v/>
      </c>
      <c r="T51" s="8" t="n"/>
      <c r="U51" s="8" t="n"/>
    </row>
    <row r="52">
      <c r="A52" s="7" t="n"/>
      <c r="B52" s="7" t="n"/>
      <c r="C52" s="7" t="n"/>
      <c r="D52" s="7" t="n"/>
      <c r="E52" s="7" t="n"/>
      <c r="F52" s="20">
        <f>SUMIF($W$65:$W$500,B52,$AG$65:$AG$500)</f>
        <v/>
      </c>
      <c r="G52" s="7" t="n"/>
      <c r="H52" s="7" t="n"/>
      <c r="I52" s="20">
        <f>G52*H52</f>
        <v/>
      </c>
      <c r="J52" s="7" t="n"/>
      <c r="K52" s="20">
        <f>J52*D52</f>
        <v/>
      </c>
      <c r="L52" s="7" t="n"/>
      <c r="M52" s="20">
        <f>F52*L52/100</f>
        <v/>
      </c>
      <c r="N52" s="7" t="n"/>
      <c r="O52" s="20">
        <f>(F52+I52+K52+M52)*N52/100</f>
        <v/>
      </c>
      <c r="P52" s="7" t="n"/>
      <c r="Q52" s="20">
        <f>F52+I52+K52+M52+O52+P52</f>
        <v/>
      </c>
      <c r="R52" s="20">
        <f>IF(D52=0,0,Q52/D52)</f>
        <v/>
      </c>
      <c r="S52" s="20">
        <f>R52*2.5</f>
        <v/>
      </c>
      <c r="T52" s="7" t="n"/>
      <c r="U52" s="7" t="n"/>
    </row>
    <row r="53">
      <c r="A53" s="8" t="n"/>
      <c r="B53" s="8" t="n"/>
      <c r="C53" s="8" t="n"/>
      <c r="D53" s="8" t="n"/>
      <c r="E53" s="8" t="n"/>
      <c r="F53" s="23">
        <f>SUMIF($W$65:$W$500,B53,$AG$65:$AG$500)</f>
        <v/>
      </c>
      <c r="G53" s="8" t="n"/>
      <c r="H53" s="8" t="n"/>
      <c r="I53" s="23">
        <f>G53*H53</f>
        <v/>
      </c>
      <c r="J53" s="8" t="n"/>
      <c r="K53" s="23">
        <f>J53*D53</f>
        <v/>
      </c>
      <c r="L53" s="8" t="n"/>
      <c r="M53" s="23">
        <f>F53*L53/100</f>
        <v/>
      </c>
      <c r="N53" s="8" t="n"/>
      <c r="O53" s="23">
        <f>(F53+I53+K53+M53)*N53/100</f>
        <v/>
      </c>
      <c r="P53" s="8" t="n"/>
      <c r="Q53" s="23">
        <f>F53+I53+K53+M53+O53+P53</f>
        <v/>
      </c>
      <c r="R53" s="23">
        <f>IF(D53=0,0,Q53/D53)</f>
        <v/>
      </c>
      <c r="S53" s="23">
        <f>R53*2.5</f>
        <v/>
      </c>
      <c r="T53" s="8" t="n"/>
      <c r="U53" s="8" t="n"/>
    </row>
    <row r="54">
      <c r="A54" s="7" t="n"/>
      <c r="B54" s="7" t="n"/>
      <c r="C54" s="7" t="n"/>
      <c r="D54" s="7" t="n"/>
      <c r="E54" s="7" t="n"/>
      <c r="F54" s="20">
        <f>SUMIF($W$65:$W$500,B54,$AG$65:$AG$500)</f>
        <v/>
      </c>
      <c r="G54" s="7" t="n"/>
      <c r="H54" s="7" t="n"/>
      <c r="I54" s="20">
        <f>G54*H54</f>
        <v/>
      </c>
      <c r="J54" s="7" t="n"/>
      <c r="K54" s="20">
        <f>J54*D54</f>
        <v/>
      </c>
      <c r="L54" s="7" t="n"/>
      <c r="M54" s="20">
        <f>F54*L54/100</f>
        <v/>
      </c>
      <c r="N54" s="7" t="n"/>
      <c r="O54" s="20">
        <f>(F54+I54+K54+M54)*N54/100</f>
        <v/>
      </c>
      <c r="P54" s="7" t="n"/>
      <c r="Q54" s="20">
        <f>F54+I54+K54+M54+O54+P54</f>
        <v/>
      </c>
      <c r="R54" s="20">
        <f>IF(D54=0,0,Q54/D54)</f>
        <v/>
      </c>
      <c r="S54" s="20">
        <f>R54*2.5</f>
        <v/>
      </c>
      <c r="T54" s="7" t="n"/>
      <c r="U54" s="7" t="n"/>
    </row>
    <row r="55"/>
    <row r="56"/>
    <row r="57"/>
    <row r="58"/>
    <row r="59"/>
    <row r="60"/>
    <row r="61"/>
    <row r="62"/>
    <row r="63">
      <c r="A63" s="27" t="inlineStr">
        <is>
          <t>Recipe Ingredients Database - Long Format (Each row = one ingredient for a recipe) - Supports multiple recipes</t>
        </is>
      </c>
    </row>
    <row r="64">
      <c r="A64" s="6" t="n"/>
      <c r="B64" s="6" t="n"/>
      <c r="C64" s="6" t="n"/>
      <c r="D64" s="6" t="n"/>
      <c r="E64" s="6" t="n"/>
      <c r="F64" s="6" t="n"/>
      <c r="G64" s="6" t="n"/>
      <c r="H64" s="6" t="n"/>
      <c r="I64" s="6" t="n"/>
      <c r="J64" s="6" t="n"/>
      <c r="K64" s="6" t="n"/>
      <c r="L64" s="6" t="n"/>
      <c r="M64" s="6" t="n"/>
      <c r="N64" s="6" t="n"/>
      <c r="O64" s="6" t="n"/>
      <c r="P64" s="6" t="n"/>
      <c r="Q64" s="6" t="n"/>
      <c r="R64" s="6" t="n"/>
      <c r="S64" s="6" t="n"/>
      <c r="T64" s="6" t="n"/>
      <c r="U64" s="6" t="n"/>
      <c r="V64" s="6" t="inlineStr">
        <is>
          <t>Row ID</t>
        </is>
      </c>
      <c r="W64" s="6" t="inlineStr">
        <is>
          <t>Recipe ID</t>
        </is>
      </c>
      <c r="X64" s="6" t="inlineStr">
        <is>
          <t>Recipe Name</t>
        </is>
      </c>
      <c r="Y64" s="6" t="inlineStr">
        <is>
          <t>Ingredient Name</t>
        </is>
      </c>
      <c r="Z64" s="6" t="inlineStr">
        <is>
          <t>Qty</t>
        </is>
      </c>
      <c r="AA64" s="6" t="inlineStr">
        <is>
          <t>Unit (Recipe Unit)</t>
        </is>
      </c>
      <c r="AB64" s="6" t="inlineStr">
        <is>
          <t>Stock Unit</t>
        </is>
      </c>
      <c r="AC64" s="6" t="inlineStr">
        <is>
          <t>Stock Cost/Unit $</t>
        </is>
      </c>
      <c r="AD64" s="6" t="inlineStr">
        <is>
          <t>Recipe Unit Factor</t>
        </is>
      </c>
      <c r="AE64" s="6" t="inlineStr">
        <is>
          <t>Stock Unit Factor</t>
        </is>
      </c>
      <c r="AF64" s="6" t="inlineStr">
        <is>
          <t>Converted Qty</t>
        </is>
      </c>
      <c r="AG64" s="6" t="inlineStr">
        <is>
          <t>Line Cost $</t>
        </is>
      </c>
      <c r="AH64" s="6" t="inlineStr">
        <is>
          <t>Type Match?</t>
        </is>
      </c>
      <c r="AI64" s="6" t="inlineStr">
        <is>
          <t>Notes</t>
        </is>
      </c>
    </row>
    <row r="65">
      <c r="A65" s="8" t="n"/>
      <c r="B65" s="8" t="n"/>
      <c r="C65" s="8" t="n"/>
      <c r="D65" s="8" t="n"/>
      <c r="E65" s="8" t="n"/>
      <c r="F65" s="8" t="n"/>
      <c r="G65" s="8" t="n"/>
      <c r="H65" s="8" t="n"/>
      <c r="I65" s="8" t="n"/>
      <c r="J65" s="8" t="n"/>
      <c r="K65" s="8" t="n"/>
      <c r="L65" s="8" t="n"/>
      <c r="M65" s="8" t="n"/>
      <c r="N65" s="8" t="n"/>
      <c r="O65" s="8" t="n"/>
      <c r="P65" s="8" t="n"/>
      <c r="Q65" s="8" t="n"/>
      <c r="R65" s="8" t="n"/>
      <c r="S65" s="8" t="n"/>
      <c r="T65" s="8" t="n"/>
      <c r="U65" s="8" t="n"/>
      <c r="V65" s="8" t="n">
        <v>1</v>
      </c>
      <c r="W65" s="8" t="inlineStr">
        <is>
          <t>REC-001</t>
        </is>
      </c>
      <c r="X65" s="8" t="inlineStr">
        <is>
          <t>Sourdough Loaf</t>
        </is>
      </c>
      <c r="Y65" s="8" t="inlineStr">
        <is>
          <t>Bread Flour</t>
        </is>
      </c>
      <c r="Z65" s="8" t="n">
        <v>1000</v>
      </c>
      <c r="AA65" s="8" t="inlineStr">
        <is>
          <t>g</t>
        </is>
      </c>
      <c r="AB65" s="8">
        <f>IFERROR(VLOOKUP(Y65,'Ingredients + Stock'!B:D,3,FALSE),"")</f>
        <v/>
      </c>
      <c r="AC65" s="28">
        <f>IFERROR(VLOOKUP(Y65,'Ingredients + Stock'!B:G,6,FALSE),0)</f>
        <v/>
      </c>
      <c r="AD65" s="8">
        <f>IFERROR(VLOOKUP(AA65,'Unit Conversion'!A:D,4,FALSE),1)</f>
        <v/>
      </c>
      <c r="AE65" s="8">
        <f>IFERROR(VLOOKUP(AB65,'Unit Conversion'!A:D,4,FALSE),1)</f>
        <v/>
      </c>
      <c r="AF65" s="8">
        <f>IF(AA65="","",Z65*AD65/AE65)</f>
        <v/>
      </c>
      <c r="AG65" s="23">
        <f>AF65*AC65</f>
        <v/>
      </c>
      <c r="AH65" s="8">
        <f>IFERROR(IF(VLOOKUP(AA65,'Unit Conversion'!A:B,2,FALSE)=VLOOKUP(AB65,'Unit Conversion'!A:B,2,FALSE),"OK","Check W/V mismatch"),"Check unit")</f>
        <v/>
      </c>
      <c r="AI65" s="8" t="inlineStr"/>
    </row>
    <row r="66">
      <c r="A66" s="7" t="n"/>
      <c r="B66" s="7" t="n"/>
      <c r="C66" s="7" t="n"/>
      <c r="D66" s="7" t="n"/>
      <c r="E66" s="7" t="n"/>
      <c r="F66" s="7" t="n"/>
      <c r="G66" s="7" t="n"/>
      <c r="H66" s="7" t="n"/>
      <c r="I66" s="7" t="n"/>
      <c r="J66" s="7" t="n"/>
      <c r="K66" s="7" t="n"/>
      <c r="L66" s="7" t="n"/>
      <c r="M66" s="7" t="n"/>
      <c r="N66" s="7" t="n"/>
      <c r="O66" s="7" t="n"/>
      <c r="P66" s="7" t="n"/>
      <c r="Q66" s="7" t="n"/>
      <c r="R66" s="7" t="n"/>
      <c r="S66" s="7" t="n"/>
      <c r="T66" s="7" t="n"/>
      <c r="U66" s="7" t="n"/>
      <c r="V66" s="7" t="n">
        <v>2</v>
      </c>
      <c r="W66" s="7" t="inlineStr">
        <is>
          <t>REC-001</t>
        </is>
      </c>
      <c r="X66" s="7" t="inlineStr">
        <is>
          <t>Sourdough Loaf</t>
        </is>
      </c>
      <c r="Y66" s="7" t="inlineStr">
        <is>
          <t>Water</t>
        </is>
      </c>
      <c r="Z66" s="7" t="n">
        <v>700</v>
      </c>
      <c r="AA66" s="7" t="inlineStr">
        <is>
          <t>ml</t>
        </is>
      </c>
      <c r="AB66" s="7">
        <f>IFERROR(VLOOKUP(Y66,'Ingredients + Stock'!B:D,3,FALSE),"")</f>
        <v/>
      </c>
      <c r="AC66" s="29">
        <f>IFERROR(VLOOKUP(Y66,'Ingredients + Stock'!B:G,6,FALSE),0)</f>
        <v/>
      </c>
      <c r="AD66" s="7">
        <f>IFERROR(VLOOKUP(AA66,'Unit Conversion'!A:D,4,FALSE),1)</f>
        <v/>
      </c>
      <c r="AE66" s="7">
        <f>IFERROR(VLOOKUP(AB66,'Unit Conversion'!A:D,4,FALSE),1)</f>
        <v/>
      </c>
      <c r="AF66" s="7">
        <f>IF(AA66="","",Z66*AD66/AE66)</f>
        <v/>
      </c>
      <c r="AG66" s="20">
        <f>AF66*AC66</f>
        <v/>
      </c>
      <c r="AH66" s="7">
        <f>IFERROR(IF(VLOOKUP(AA66,'Unit Conversion'!A:B,2,FALSE)=VLOOKUP(AB66,'Unit Conversion'!A:B,2,FALSE),"OK","Check W/V mismatch"),"Check unit")</f>
        <v/>
      </c>
      <c r="AI66" s="7" t="inlineStr"/>
    </row>
    <row r="67">
      <c r="A67" s="8" t="n"/>
      <c r="B67" s="8" t="n"/>
      <c r="C67" s="8" t="n"/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  <c r="M67" s="8" t="n"/>
      <c r="N67" s="8" t="n"/>
      <c r="O67" s="8" t="n"/>
      <c r="P67" s="8" t="n"/>
      <c r="Q67" s="8" t="n"/>
      <c r="R67" s="8" t="n"/>
      <c r="S67" s="8" t="n"/>
      <c r="T67" s="8" t="n"/>
      <c r="U67" s="8" t="n"/>
      <c r="V67" s="8" t="n">
        <v>3</v>
      </c>
      <c r="W67" s="8" t="inlineStr">
        <is>
          <t>REC-001</t>
        </is>
      </c>
      <c r="X67" s="8" t="inlineStr">
        <is>
          <t>Sourdough Loaf</t>
        </is>
      </c>
      <c r="Y67" s="8" t="inlineStr">
        <is>
          <t>Sourdough Starter</t>
        </is>
      </c>
      <c r="Z67" s="8" t="n">
        <v>200</v>
      </c>
      <c r="AA67" s="8" t="inlineStr">
        <is>
          <t>g</t>
        </is>
      </c>
      <c r="AB67" s="8">
        <f>IFERROR(VLOOKUP(Y67,'Ingredients + Stock'!B:D,3,FALSE),"")</f>
        <v/>
      </c>
      <c r="AC67" s="28">
        <f>IFERROR(VLOOKUP(Y67,'Ingredients + Stock'!B:G,6,FALSE),0)</f>
        <v/>
      </c>
      <c r="AD67" s="8">
        <f>IFERROR(VLOOKUP(AA67,'Unit Conversion'!A:D,4,FALSE),1)</f>
        <v/>
      </c>
      <c r="AE67" s="8">
        <f>IFERROR(VLOOKUP(AB67,'Unit Conversion'!A:D,4,FALSE),1)</f>
        <v/>
      </c>
      <c r="AF67" s="8">
        <f>IF(AA67="","",Z67*AD67/AE67)</f>
        <v/>
      </c>
      <c r="AG67" s="23">
        <f>AF67*AC67</f>
        <v/>
      </c>
      <c r="AH67" s="8">
        <f>IFERROR(IF(VLOOKUP(AA67,'Unit Conversion'!A:B,2,FALSE)=VLOOKUP(AB67,'Unit Conversion'!A:B,2,FALSE),"OK","Check W/V mismatch"),"Check unit")</f>
        <v/>
      </c>
      <c r="AI67" s="8" t="inlineStr"/>
    </row>
    <row r="68">
      <c r="A68" s="7" t="n"/>
      <c r="B68" s="7" t="n"/>
      <c r="C68" s="7" t="n"/>
      <c r="D68" s="7" t="n"/>
      <c r="E68" s="7" t="n"/>
      <c r="F68" s="7" t="n"/>
      <c r="G68" s="7" t="n"/>
      <c r="H68" s="7" t="n"/>
      <c r="I68" s="7" t="n"/>
      <c r="J68" s="7" t="n"/>
      <c r="K68" s="7" t="n"/>
      <c r="L68" s="7" t="n"/>
      <c r="M68" s="7" t="n"/>
      <c r="N68" s="7" t="n"/>
      <c r="O68" s="7" t="n"/>
      <c r="P68" s="7" t="n"/>
      <c r="Q68" s="7" t="n"/>
      <c r="R68" s="7" t="n"/>
      <c r="S68" s="7" t="n"/>
      <c r="T68" s="7" t="n"/>
      <c r="U68" s="7" t="n"/>
      <c r="V68" s="7" t="n">
        <v>4</v>
      </c>
      <c r="W68" s="7" t="inlineStr">
        <is>
          <t>REC-001</t>
        </is>
      </c>
      <c r="X68" s="7" t="inlineStr">
        <is>
          <t>Sourdough Loaf</t>
        </is>
      </c>
      <c r="Y68" s="7" t="inlineStr">
        <is>
          <t>Salt</t>
        </is>
      </c>
      <c r="Z68" s="7" t="n">
        <v>20</v>
      </c>
      <c r="AA68" s="7" t="inlineStr">
        <is>
          <t>g</t>
        </is>
      </c>
      <c r="AB68" s="7">
        <f>IFERROR(VLOOKUP(Y68,'Ingredients + Stock'!B:D,3,FALSE),"")</f>
        <v/>
      </c>
      <c r="AC68" s="29">
        <f>IFERROR(VLOOKUP(Y68,'Ingredients + Stock'!B:G,6,FALSE),0)</f>
        <v/>
      </c>
      <c r="AD68" s="7">
        <f>IFERROR(VLOOKUP(AA68,'Unit Conversion'!A:D,4,FALSE),1)</f>
        <v/>
      </c>
      <c r="AE68" s="7">
        <f>IFERROR(VLOOKUP(AB68,'Unit Conversion'!A:D,4,FALSE),1)</f>
        <v/>
      </c>
      <c r="AF68" s="7">
        <f>IF(AA68="","",Z68*AD68/AE68)</f>
        <v/>
      </c>
      <c r="AG68" s="20">
        <f>AF68*AC68</f>
        <v/>
      </c>
      <c r="AH68" s="7">
        <f>IFERROR(IF(VLOOKUP(AA68,'Unit Conversion'!A:B,2,FALSE)=VLOOKUP(AB68,'Unit Conversion'!A:B,2,FALSE),"OK","Check W/V mismatch"),"Check unit")</f>
        <v/>
      </c>
      <c r="AI68" s="7" t="inlineStr"/>
    </row>
    <row r="69">
      <c r="A69" s="8" t="n"/>
      <c r="B69" s="8" t="n"/>
      <c r="C69" s="8" t="n"/>
      <c r="D69" s="8" t="n"/>
      <c r="E69" s="8" t="n"/>
      <c r="F69" s="8" t="n"/>
      <c r="G69" s="8" t="n"/>
      <c r="H69" s="8" t="n"/>
      <c r="I69" s="8" t="n"/>
      <c r="J69" s="8" t="n"/>
      <c r="K69" s="8" t="n"/>
      <c r="L69" s="8" t="n"/>
      <c r="M69" s="8" t="n"/>
      <c r="N69" s="8" t="n"/>
      <c r="O69" s="8" t="n"/>
      <c r="P69" s="8" t="n"/>
      <c r="Q69" s="8" t="n"/>
      <c r="R69" s="8" t="n"/>
      <c r="S69" s="8" t="n"/>
      <c r="T69" s="8" t="n"/>
      <c r="U69" s="8" t="n"/>
      <c r="V69" s="8" t="n">
        <v>5</v>
      </c>
      <c r="W69" s="8" t="inlineStr">
        <is>
          <t>REC-001</t>
        </is>
      </c>
      <c r="X69" s="8" t="inlineStr">
        <is>
          <t>Sourdough Loaf</t>
        </is>
      </c>
      <c r="Y69" s="8" t="inlineStr">
        <is>
          <t>Olive Oil</t>
        </is>
      </c>
      <c r="Z69" s="8" t="n">
        <v>2</v>
      </c>
      <c r="AA69" s="8" t="inlineStr">
        <is>
          <t>tbsp</t>
        </is>
      </c>
      <c r="AB69" s="8">
        <f>IFERROR(VLOOKUP(Y69,'Ingredients + Stock'!B:D,3,FALSE),"")</f>
        <v/>
      </c>
      <c r="AC69" s="28">
        <f>IFERROR(VLOOKUP(Y69,'Ingredients + Stock'!B:G,6,FALSE),0)</f>
        <v/>
      </c>
      <c r="AD69" s="8">
        <f>IFERROR(VLOOKUP(AA69,'Unit Conversion'!A:D,4,FALSE),1)</f>
        <v/>
      </c>
      <c r="AE69" s="8">
        <f>IFERROR(VLOOKUP(AB69,'Unit Conversion'!A:D,4,FALSE),1)</f>
        <v/>
      </c>
      <c r="AF69" s="8">
        <f>IF(AA69="","",Z69*AD69/AE69)</f>
        <v/>
      </c>
      <c r="AG69" s="23">
        <f>AF69*AC69</f>
        <v/>
      </c>
      <c r="AH69" s="8">
        <f>IFERROR(IF(VLOOKUP(AA69,'Unit Conversion'!A:B,2,FALSE)=VLOOKUP(AB69,'Unit Conversion'!A:B,2,FALSE),"OK","Check W/V mismatch"),"Check unit")</f>
        <v/>
      </c>
      <c r="AI69" s="8" t="inlineStr">
        <is>
          <t>2 tbsp = test tsp/tbsp conversion</t>
        </is>
      </c>
    </row>
    <row r="70">
      <c r="A70" s="7" t="n"/>
      <c r="B70" s="7" t="n"/>
      <c r="C70" s="7" t="n"/>
      <c r="D70" s="7" t="n"/>
      <c r="E70" s="7" t="n"/>
      <c r="F70" s="7" t="n"/>
      <c r="G70" s="7" t="n"/>
      <c r="H70" s="7" t="n"/>
      <c r="I70" s="7" t="n"/>
      <c r="J70" s="7" t="n"/>
      <c r="K70" s="7" t="n"/>
      <c r="L70" s="7" t="n"/>
      <c r="M70" s="7" t="n"/>
      <c r="N70" s="7" t="n"/>
      <c r="O70" s="7" t="n"/>
      <c r="P70" s="7" t="n"/>
      <c r="Q70" s="7" t="n"/>
      <c r="R70" s="7" t="n"/>
      <c r="S70" s="7" t="n"/>
      <c r="T70" s="7" t="n"/>
      <c r="U70" s="7" t="n"/>
      <c r="V70" s="7" t="n">
        <v>6</v>
      </c>
      <c r="W70" s="7" t="inlineStr">
        <is>
          <t>REC-002</t>
        </is>
      </c>
      <c r="X70" s="7" t="inlineStr">
        <is>
          <t>Chocolate Chip Cookies</t>
        </is>
      </c>
      <c r="Y70" s="7" t="inlineStr">
        <is>
          <t>All-Purpose Flour</t>
        </is>
      </c>
      <c r="Z70" s="7" t="n">
        <v>360</v>
      </c>
      <c r="AA70" s="7" t="inlineStr">
        <is>
          <t>g</t>
        </is>
      </c>
      <c r="AB70" s="7">
        <f>IFERROR(VLOOKUP(Y70,'Ingredients + Stock'!B:D,3,FALSE),"")</f>
        <v/>
      </c>
      <c r="AC70" s="29">
        <f>IFERROR(VLOOKUP(Y70,'Ingredients + Stock'!B:G,6,FALSE),0)</f>
        <v/>
      </c>
      <c r="AD70" s="7">
        <f>IFERROR(VLOOKUP(AA70,'Unit Conversion'!A:D,4,FALSE),1)</f>
        <v/>
      </c>
      <c r="AE70" s="7">
        <f>IFERROR(VLOOKUP(AB70,'Unit Conversion'!A:D,4,FALSE),1)</f>
        <v/>
      </c>
      <c r="AF70" s="7">
        <f>IF(AA70="","",Z70*AD70/AE70)</f>
        <v/>
      </c>
      <c r="AG70" s="20">
        <f>AF70*AC70</f>
        <v/>
      </c>
      <c r="AH70" s="7">
        <f>IFERROR(IF(VLOOKUP(AA70,'Unit Conversion'!A:B,2,FALSE)=VLOOKUP(AB70,'Unit Conversion'!A:B,2,FALSE),"OK","Check W/V mismatch"),"Check unit")</f>
        <v/>
      </c>
      <c r="AI70" s="7" t="inlineStr"/>
    </row>
    <row r="71">
      <c r="A71" s="8" t="n"/>
      <c r="B71" s="8" t="n"/>
      <c r="C71" s="8" t="n"/>
      <c r="D71" s="8" t="n"/>
      <c r="E71" s="8" t="n"/>
      <c r="F71" s="8" t="n"/>
      <c r="G71" s="8" t="n"/>
      <c r="H71" s="8" t="n"/>
      <c r="I71" s="8" t="n"/>
      <c r="J71" s="8" t="n"/>
      <c r="K71" s="8" t="n"/>
      <c r="L71" s="8" t="n"/>
      <c r="M71" s="8" t="n"/>
      <c r="N71" s="8" t="n"/>
      <c r="O71" s="8" t="n"/>
      <c r="P71" s="8" t="n"/>
      <c r="Q71" s="8" t="n"/>
      <c r="R71" s="8" t="n"/>
      <c r="S71" s="8" t="n"/>
      <c r="T71" s="8" t="n"/>
      <c r="U71" s="8" t="n"/>
      <c r="V71" s="8" t="n">
        <v>7</v>
      </c>
      <c r="W71" s="8" t="inlineStr">
        <is>
          <t>REC-002</t>
        </is>
      </c>
      <c r="X71" s="8" t="inlineStr">
        <is>
          <t>Chocolate Chip Cookies</t>
        </is>
      </c>
      <c r="Y71" s="8" t="inlineStr">
        <is>
          <t>Sugar</t>
        </is>
      </c>
      <c r="Z71" s="8" t="n">
        <v>200</v>
      </c>
      <c r="AA71" s="8" t="inlineStr">
        <is>
          <t>g</t>
        </is>
      </c>
      <c r="AB71" s="8">
        <f>IFERROR(VLOOKUP(Y71,'Ingredients + Stock'!B:D,3,FALSE),"")</f>
        <v/>
      </c>
      <c r="AC71" s="28">
        <f>IFERROR(VLOOKUP(Y71,'Ingredients + Stock'!B:G,6,FALSE),0)</f>
        <v/>
      </c>
      <c r="AD71" s="8">
        <f>IFERROR(VLOOKUP(AA71,'Unit Conversion'!A:D,4,FALSE),1)</f>
        <v/>
      </c>
      <c r="AE71" s="8">
        <f>IFERROR(VLOOKUP(AB71,'Unit Conversion'!A:D,4,FALSE),1)</f>
        <v/>
      </c>
      <c r="AF71" s="8">
        <f>IF(AA71="","",Z71*AD71/AE71)</f>
        <v/>
      </c>
      <c r="AG71" s="23">
        <f>AF71*AC71</f>
        <v/>
      </c>
      <c r="AH71" s="8">
        <f>IFERROR(IF(VLOOKUP(AA71,'Unit Conversion'!A:B,2,FALSE)=VLOOKUP(AB71,'Unit Conversion'!A:B,2,FALSE),"OK","Check W/V mismatch"),"Check unit")</f>
        <v/>
      </c>
      <c r="AI71" s="8" t="inlineStr"/>
    </row>
    <row r="72">
      <c r="A72" s="7" t="n"/>
      <c r="B72" s="7" t="n"/>
      <c r="C72" s="7" t="n"/>
      <c r="D72" s="7" t="n"/>
      <c r="E72" s="7" t="n"/>
      <c r="F72" s="7" t="n"/>
      <c r="G72" s="7" t="n"/>
      <c r="H72" s="7" t="n"/>
      <c r="I72" s="7" t="n"/>
      <c r="J72" s="7" t="n"/>
      <c r="K72" s="7" t="n"/>
      <c r="L72" s="7" t="n"/>
      <c r="M72" s="7" t="n"/>
      <c r="N72" s="7" t="n"/>
      <c r="O72" s="7" t="n"/>
      <c r="P72" s="7" t="n"/>
      <c r="Q72" s="7" t="n"/>
      <c r="R72" s="7" t="n"/>
      <c r="S72" s="7" t="n"/>
      <c r="T72" s="7" t="n"/>
      <c r="U72" s="7" t="n"/>
      <c r="V72" s="7" t="n">
        <v>8</v>
      </c>
      <c r="W72" s="7" t="inlineStr">
        <is>
          <t>REC-002</t>
        </is>
      </c>
      <c r="X72" s="7" t="inlineStr">
        <is>
          <t>Chocolate Chip Cookies</t>
        </is>
      </c>
      <c r="Y72" s="7" t="inlineStr">
        <is>
          <t>Butter</t>
        </is>
      </c>
      <c r="Z72" s="7" t="n">
        <v>225</v>
      </c>
      <c r="AA72" s="7" t="inlineStr">
        <is>
          <t>g</t>
        </is>
      </c>
      <c r="AB72" s="7">
        <f>IFERROR(VLOOKUP(Y72,'Ingredients + Stock'!B:D,3,FALSE),"")</f>
        <v/>
      </c>
      <c r="AC72" s="29">
        <f>IFERROR(VLOOKUP(Y72,'Ingredients + Stock'!B:G,6,FALSE),0)</f>
        <v/>
      </c>
      <c r="AD72" s="7">
        <f>IFERROR(VLOOKUP(AA72,'Unit Conversion'!A:D,4,FALSE),1)</f>
        <v/>
      </c>
      <c r="AE72" s="7">
        <f>IFERROR(VLOOKUP(AB72,'Unit Conversion'!A:D,4,FALSE),1)</f>
        <v/>
      </c>
      <c r="AF72" s="7">
        <f>IF(AA72="","",Z72*AD72/AE72)</f>
        <v/>
      </c>
      <c r="AG72" s="20">
        <f>AF72*AC72</f>
        <v/>
      </c>
      <c r="AH72" s="7">
        <f>IFERROR(IF(VLOOKUP(AA72,'Unit Conversion'!A:B,2,FALSE)=VLOOKUP(AB72,'Unit Conversion'!A:B,2,FALSE),"OK","Check W/V mismatch"),"Check unit")</f>
        <v/>
      </c>
      <c r="AI72" s="7" t="inlineStr"/>
    </row>
    <row r="73">
      <c r="A73" s="8" t="n"/>
      <c r="B73" s="8" t="n"/>
      <c r="C73" s="8" t="n"/>
      <c r="D73" s="8" t="n"/>
      <c r="E73" s="8" t="n"/>
      <c r="F73" s="8" t="n"/>
      <c r="G73" s="8" t="n"/>
      <c r="H73" s="8" t="n"/>
      <c r="I73" s="8" t="n"/>
      <c r="J73" s="8" t="n"/>
      <c r="K73" s="8" t="n"/>
      <c r="L73" s="8" t="n"/>
      <c r="M73" s="8" t="n"/>
      <c r="N73" s="8" t="n"/>
      <c r="O73" s="8" t="n"/>
      <c r="P73" s="8" t="n"/>
      <c r="Q73" s="8" t="n"/>
      <c r="R73" s="8" t="n"/>
      <c r="S73" s="8" t="n"/>
      <c r="T73" s="8" t="n"/>
      <c r="U73" s="8" t="n"/>
      <c r="V73" s="8" t="n">
        <v>9</v>
      </c>
      <c r="W73" s="8" t="inlineStr">
        <is>
          <t>REC-002</t>
        </is>
      </c>
      <c r="X73" s="8" t="inlineStr">
        <is>
          <t>Chocolate Chip Cookies</t>
        </is>
      </c>
      <c r="Y73" s="8" t="inlineStr">
        <is>
          <t>Vanilla Extract</t>
        </is>
      </c>
      <c r="Z73" s="8" t="n">
        <v>2</v>
      </c>
      <c r="AA73" s="8" t="inlineStr">
        <is>
          <t>tsp</t>
        </is>
      </c>
      <c r="AB73" s="8">
        <f>IFERROR(VLOOKUP(Y73,'Ingredients + Stock'!B:D,3,FALSE),"")</f>
        <v/>
      </c>
      <c r="AC73" s="28">
        <f>IFERROR(VLOOKUP(Y73,'Ingredients + Stock'!B:G,6,FALSE),0)</f>
        <v/>
      </c>
      <c r="AD73" s="8">
        <f>IFERROR(VLOOKUP(AA73,'Unit Conversion'!A:D,4,FALSE),1)</f>
        <v/>
      </c>
      <c r="AE73" s="8">
        <f>IFERROR(VLOOKUP(AB73,'Unit Conversion'!A:D,4,FALSE),1)</f>
        <v/>
      </c>
      <c r="AF73" s="8">
        <f>IF(AA73="","",Z73*AD73/AE73)</f>
        <v/>
      </c>
      <c r="AG73" s="23">
        <f>AF73*AC73</f>
        <v/>
      </c>
      <c r="AH73" s="8">
        <f>IFERROR(IF(VLOOKUP(AA73,'Unit Conversion'!A:B,2,FALSE)=VLOOKUP(AB73,'Unit Conversion'!A:B,2,FALSE),"OK","Check W/V mismatch"),"Check unit")</f>
        <v/>
      </c>
      <c r="AI73" s="8" t="inlineStr">
        <is>
          <t>tsp conversion test</t>
        </is>
      </c>
    </row>
    <row r="74">
      <c r="A74" s="7" t="n"/>
      <c r="B74" s="7" t="n"/>
      <c r="C74" s="7" t="n"/>
      <c r="D74" s="7" t="n"/>
      <c r="E74" s="7" t="n"/>
      <c r="F74" s="7" t="n"/>
      <c r="G74" s="7" t="n"/>
      <c r="H74" s="7" t="n"/>
      <c r="I74" s="7" t="n"/>
      <c r="J74" s="7" t="n"/>
      <c r="K74" s="7" t="n"/>
      <c r="L74" s="7" t="n"/>
      <c r="M74" s="7" t="n"/>
      <c r="N74" s="7" t="n"/>
      <c r="O74" s="7" t="n"/>
      <c r="P74" s="7" t="n"/>
      <c r="Q74" s="7" t="n"/>
      <c r="R74" s="7" t="n"/>
      <c r="S74" s="7" t="n"/>
      <c r="T74" s="7" t="n"/>
      <c r="U74" s="7" t="n"/>
      <c r="V74" s="7" t="n">
        <v>10</v>
      </c>
      <c r="W74" s="7" t="inlineStr">
        <is>
          <t>REC-002</t>
        </is>
      </c>
      <c r="X74" s="7" t="inlineStr">
        <is>
          <t>Chocolate Chip Cookies</t>
        </is>
      </c>
      <c r="Y74" s="7" t="inlineStr">
        <is>
          <t>Chocolate Chips</t>
        </is>
      </c>
      <c r="Z74" s="7" t="n">
        <v>340</v>
      </c>
      <c r="AA74" s="7" t="inlineStr">
        <is>
          <t>g</t>
        </is>
      </c>
      <c r="AB74" s="7">
        <f>IFERROR(VLOOKUP(Y74,'Ingredients + Stock'!B:D,3,FALSE),"")</f>
        <v/>
      </c>
      <c r="AC74" s="29">
        <f>IFERROR(VLOOKUP(Y74,'Ingredients + Stock'!B:G,6,FALSE),0)</f>
        <v/>
      </c>
      <c r="AD74" s="7">
        <f>IFERROR(VLOOKUP(AA74,'Unit Conversion'!A:D,4,FALSE),1)</f>
        <v/>
      </c>
      <c r="AE74" s="7">
        <f>IFERROR(VLOOKUP(AB74,'Unit Conversion'!A:D,4,FALSE),1)</f>
        <v/>
      </c>
      <c r="AF74" s="7">
        <f>IF(AA74="","",Z74*AD74/AE74)</f>
        <v/>
      </c>
      <c r="AG74" s="20">
        <f>AF74*AC74</f>
        <v/>
      </c>
      <c r="AH74" s="7">
        <f>IFERROR(IF(VLOOKUP(AA74,'Unit Conversion'!A:B,2,FALSE)=VLOOKUP(AB74,'Unit Conversion'!A:B,2,FALSE),"OK","Check W/V mismatch"),"Check unit")</f>
        <v/>
      </c>
      <c r="AI74" s="7" t="inlineStr"/>
    </row>
    <row r="75">
      <c r="A75" s="8" t="n"/>
      <c r="B75" s="8" t="n"/>
      <c r="C75" s="8" t="n"/>
      <c r="D75" s="8" t="n"/>
      <c r="E75" s="8" t="n"/>
      <c r="F75" s="8" t="n"/>
      <c r="G75" s="8" t="n"/>
      <c r="H75" s="8" t="n"/>
      <c r="I75" s="8" t="n"/>
      <c r="J75" s="8" t="n"/>
      <c r="K75" s="8" t="n"/>
      <c r="L75" s="8" t="n"/>
      <c r="M75" s="8" t="n"/>
      <c r="N75" s="8" t="n"/>
      <c r="O75" s="8" t="n"/>
      <c r="P75" s="8" t="n"/>
      <c r="Q75" s="8" t="n"/>
      <c r="R75" s="8" t="n"/>
      <c r="S75" s="8" t="n"/>
      <c r="T75" s="8" t="n"/>
      <c r="U75" s="8" t="n"/>
      <c r="V75" s="8" t="n">
        <v>11</v>
      </c>
      <c r="W75" s="8" t="inlineStr">
        <is>
          <t>REC-002</t>
        </is>
      </c>
      <c r="X75" s="8" t="inlineStr">
        <is>
          <t>Chocolate Chip Cookies</t>
        </is>
      </c>
      <c r="Y75" s="8" t="inlineStr">
        <is>
          <t>Eggs</t>
        </is>
      </c>
      <c r="Z75" s="8" t="n">
        <v>2</v>
      </c>
      <c r="AA75" s="8" t="inlineStr">
        <is>
          <t>pcs</t>
        </is>
      </c>
      <c r="AB75" s="8">
        <f>IFERROR(VLOOKUP(Y75,'Ingredients + Stock'!B:D,3,FALSE),"")</f>
        <v/>
      </c>
      <c r="AC75" s="28">
        <f>IFERROR(VLOOKUP(Y75,'Ingredients + Stock'!B:G,6,FALSE),0)</f>
        <v/>
      </c>
      <c r="AD75" s="8">
        <f>IFERROR(VLOOKUP(AA75,'Unit Conversion'!A:D,4,FALSE),1)</f>
        <v/>
      </c>
      <c r="AE75" s="8">
        <f>IFERROR(VLOOKUP(AB75,'Unit Conversion'!A:D,4,FALSE),1)</f>
        <v/>
      </c>
      <c r="AF75" s="8">
        <f>IF(AA75="","",Z75*AD75/AE75)</f>
        <v/>
      </c>
      <c r="AG75" s="23">
        <f>AF75*AC75</f>
        <v/>
      </c>
      <c r="AH75" s="8">
        <f>IFERROR(IF(VLOOKUP(AA75,'Unit Conversion'!A:B,2,FALSE)=VLOOKUP(AB75,'Unit Conversion'!A:B,2,FALSE),"OK","Check W/V mismatch"),"Check unit")</f>
        <v/>
      </c>
      <c r="AI75" s="8" t="inlineStr">
        <is>
          <t>pcs test</t>
        </is>
      </c>
    </row>
    <row r="76">
      <c r="A76" s="7" t="n"/>
      <c r="B76" s="7" t="n"/>
      <c r="C76" s="7" t="n"/>
      <c r="D76" s="7" t="n"/>
      <c r="E76" s="7" t="n"/>
      <c r="F76" s="7" t="n"/>
      <c r="G76" s="7" t="n"/>
      <c r="H76" s="7" t="n"/>
      <c r="I76" s="7" t="n"/>
      <c r="J76" s="7" t="n"/>
      <c r="K76" s="7" t="n"/>
      <c r="L76" s="7" t="n"/>
      <c r="M76" s="7" t="n"/>
      <c r="N76" s="7" t="n"/>
      <c r="O76" s="7" t="n"/>
      <c r="P76" s="7" t="n"/>
      <c r="Q76" s="7" t="n"/>
      <c r="R76" s="7" t="n"/>
      <c r="S76" s="7" t="n"/>
      <c r="T76" s="7" t="n"/>
      <c r="U76" s="7" t="n"/>
      <c r="V76" s="7" t="n">
        <v>12</v>
      </c>
      <c r="W76" s="7" t="inlineStr">
        <is>
          <t>REC-003</t>
        </is>
      </c>
      <c r="X76" s="7" t="inlineStr">
        <is>
          <t>Cinnamon Rolls 6-pack</t>
        </is>
      </c>
      <c r="Y76" s="7" t="inlineStr">
        <is>
          <t>Bread Flour</t>
        </is>
      </c>
      <c r="Z76" s="7" t="n">
        <v>500</v>
      </c>
      <c r="AA76" s="7" t="inlineStr">
        <is>
          <t>g</t>
        </is>
      </c>
      <c r="AB76" s="7">
        <f>IFERROR(VLOOKUP(Y76,'Ingredients + Stock'!B:D,3,FALSE),"")</f>
        <v/>
      </c>
      <c r="AC76" s="29">
        <f>IFERROR(VLOOKUP(Y76,'Ingredients + Stock'!B:G,6,FALSE),0)</f>
        <v/>
      </c>
      <c r="AD76" s="7">
        <f>IFERROR(VLOOKUP(AA76,'Unit Conversion'!A:D,4,FALSE),1)</f>
        <v/>
      </c>
      <c r="AE76" s="7">
        <f>IFERROR(VLOOKUP(AB76,'Unit Conversion'!A:D,4,FALSE),1)</f>
        <v/>
      </c>
      <c r="AF76" s="7">
        <f>IF(AA76="","",Z76*AD76/AE76)</f>
        <v/>
      </c>
      <c r="AG76" s="20">
        <f>AF76*AC76</f>
        <v/>
      </c>
      <c r="AH76" s="7">
        <f>IFERROR(IF(VLOOKUP(AA76,'Unit Conversion'!A:B,2,FALSE)=VLOOKUP(AB76,'Unit Conversion'!A:B,2,FALSE),"OK","Check W/V mismatch"),"Check unit")</f>
        <v/>
      </c>
      <c r="AI76" s="7" t="inlineStr"/>
    </row>
    <row r="77">
      <c r="A77" s="8" t="n"/>
      <c r="B77" s="8" t="n"/>
      <c r="C77" s="8" t="n"/>
      <c r="D77" s="8" t="n"/>
      <c r="E77" s="8" t="n"/>
      <c r="F77" s="8" t="n"/>
      <c r="G77" s="8" t="n"/>
      <c r="H77" s="8" t="n"/>
      <c r="I77" s="8" t="n"/>
      <c r="J77" s="8" t="n"/>
      <c r="K77" s="8" t="n"/>
      <c r="L77" s="8" t="n"/>
      <c r="M77" s="8" t="n"/>
      <c r="N77" s="8" t="n"/>
      <c r="O77" s="8" t="n"/>
      <c r="P77" s="8" t="n"/>
      <c r="Q77" s="8" t="n"/>
      <c r="R77" s="8" t="n"/>
      <c r="S77" s="8" t="n"/>
      <c r="T77" s="8" t="n"/>
      <c r="U77" s="8" t="n"/>
      <c r="V77" s="8" t="n">
        <v>13</v>
      </c>
      <c r="W77" s="8" t="inlineStr">
        <is>
          <t>REC-003</t>
        </is>
      </c>
      <c r="X77" s="8" t="inlineStr">
        <is>
          <t>Cinnamon Rolls 6-pack</t>
        </is>
      </c>
      <c r="Y77" s="8" t="inlineStr">
        <is>
          <t>Cinnamon</t>
        </is>
      </c>
      <c r="Z77" s="8" t="n">
        <v>2</v>
      </c>
      <c r="AA77" s="8" t="inlineStr">
        <is>
          <t>tbsp</t>
        </is>
      </c>
      <c r="AB77" s="8">
        <f>IFERROR(VLOOKUP(Y77,'Ingredients + Stock'!B:D,3,FALSE),"")</f>
        <v/>
      </c>
      <c r="AC77" s="28">
        <f>IFERROR(VLOOKUP(Y77,'Ingredients + Stock'!B:G,6,FALSE),0)</f>
        <v/>
      </c>
      <c r="AD77" s="8">
        <f>IFERROR(VLOOKUP(AA77,'Unit Conversion'!A:D,4,FALSE),1)</f>
        <v/>
      </c>
      <c r="AE77" s="8">
        <f>IFERROR(VLOOKUP(AB77,'Unit Conversion'!A:D,4,FALSE),1)</f>
        <v/>
      </c>
      <c r="AF77" s="8">
        <f>IF(AA77="","",Z77*AD77/AE77)</f>
        <v/>
      </c>
      <c r="AG77" s="23">
        <f>AF77*AC77</f>
        <v/>
      </c>
      <c r="AH77" s="8">
        <f>IFERROR(IF(VLOOKUP(AA77,'Unit Conversion'!A:B,2,FALSE)=VLOOKUP(AB77,'Unit Conversion'!A:B,2,FALSE),"OK","Check W/V mismatch"),"Check unit")</f>
        <v/>
      </c>
      <c r="AI77" s="8" t="inlineStr">
        <is>
          <t>tbsp test</t>
        </is>
      </c>
    </row>
    <row r="78">
      <c r="A78" s="7" t="n"/>
      <c r="B78" s="7" t="n"/>
      <c r="C78" s="7" t="n"/>
      <c r="D78" s="7" t="n"/>
      <c r="E78" s="7" t="n"/>
      <c r="F78" s="7" t="n"/>
      <c r="G78" s="7" t="n"/>
      <c r="H78" s="7" t="n"/>
      <c r="I78" s="7" t="n"/>
      <c r="J78" s="7" t="n"/>
      <c r="K78" s="7" t="n"/>
      <c r="L78" s="7" t="n"/>
      <c r="M78" s="7" t="n"/>
      <c r="N78" s="7" t="n"/>
      <c r="O78" s="7" t="n"/>
      <c r="P78" s="7" t="n"/>
      <c r="Q78" s="7" t="n"/>
      <c r="R78" s="7" t="n"/>
      <c r="S78" s="7" t="n"/>
      <c r="T78" s="7" t="n"/>
      <c r="U78" s="7" t="n"/>
      <c r="V78" s="7" t="n">
        <v>14</v>
      </c>
      <c r="W78" s="7" t="inlineStr">
        <is>
          <t>REC-003</t>
        </is>
      </c>
      <c r="X78" s="7" t="inlineStr">
        <is>
          <t>Cinnamon Rolls 6-pack</t>
        </is>
      </c>
      <c r="Y78" s="7" t="inlineStr">
        <is>
          <t>Brown Sugar</t>
        </is>
      </c>
      <c r="Z78" s="7" t="n">
        <v>100</v>
      </c>
      <c r="AA78" s="7" t="inlineStr">
        <is>
          <t>g</t>
        </is>
      </c>
      <c r="AB78" s="7">
        <f>IFERROR(VLOOKUP(Y78,'Ingredients + Stock'!B:D,3,FALSE),"")</f>
        <v/>
      </c>
      <c r="AC78" s="29">
        <f>IFERROR(VLOOKUP(Y78,'Ingredients + Stock'!B:G,6,FALSE),0)</f>
        <v/>
      </c>
      <c r="AD78" s="7">
        <f>IFERROR(VLOOKUP(AA78,'Unit Conversion'!A:D,4,FALSE),1)</f>
        <v/>
      </c>
      <c r="AE78" s="7">
        <f>IFERROR(VLOOKUP(AB78,'Unit Conversion'!A:D,4,FALSE),1)</f>
        <v/>
      </c>
      <c r="AF78" s="7">
        <f>IF(AA78="","",Z78*AD78/AE78)</f>
        <v/>
      </c>
      <c r="AG78" s="20">
        <f>AF78*AC78</f>
        <v/>
      </c>
      <c r="AH78" s="7">
        <f>IFERROR(IF(VLOOKUP(AA78,'Unit Conversion'!A:B,2,FALSE)=VLOOKUP(AB78,'Unit Conversion'!A:B,2,FALSE),"OK","Check W/V mismatch"),"Check unit")</f>
        <v/>
      </c>
      <c r="AI78" s="7" t="inlineStr"/>
    </row>
    <row r="79">
      <c r="A79" s="8" t="n"/>
      <c r="B79" s="8" t="n"/>
      <c r="C79" s="8" t="n"/>
      <c r="D79" s="8" t="n"/>
      <c r="E79" s="8" t="n"/>
      <c r="F79" s="8" t="n"/>
      <c r="G79" s="8" t="n"/>
      <c r="H79" s="8" t="n"/>
      <c r="I79" s="8" t="n"/>
      <c r="J79" s="8" t="n"/>
      <c r="K79" s="8" t="n"/>
      <c r="L79" s="8" t="n"/>
      <c r="M79" s="8" t="n"/>
      <c r="N79" s="8" t="n"/>
      <c r="O79" s="8" t="n"/>
      <c r="P79" s="8" t="n"/>
      <c r="Q79" s="8" t="n"/>
      <c r="R79" s="8" t="n"/>
      <c r="S79" s="8" t="n"/>
      <c r="T79" s="8" t="n"/>
      <c r="U79" s="8" t="n"/>
      <c r="V79" s="8" t="n"/>
      <c r="W79" s="8" t="n"/>
      <c r="X79" s="8" t="n"/>
      <c r="Y79" s="8" t="n"/>
      <c r="Z79" s="8" t="n"/>
      <c r="AA79" s="8" t="n"/>
      <c r="AB79" s="8">
        <f>IF(Y79="","",IFERROR(VLOOKUP(Y79,'Ingredients + Stock'!B:D,3,FALSE),""))</f>
        <v/>
      </c>
      <c r="AC79" s="8">
        <f>IF(Y79="","",IFERROR(VLOOKUP(Y79,'Ingredients + Stock'!B:G,6,FALSE),0))</f>
        <v/>
      </c>
      <c r="AD79" s="8">
        <f>IF(AA79="","",IFERROR(VLOOKUP(AA79,'Unit Conversion'!A:D,4,FALSE),1))</f>
        <v/>
      </c>
      <c r="AE79" s="8">
        <f>IF(AB79="","",IFERROR(VLOOKUP(AB79,'Unit Conversion'!A:D,4,FALSE),1))</f>
        <v/>
      </c>
      <c r="AF79" s="8">
        <f>IF(AA79="","",Z79*AD79/AE79)</f>
        <v/>
      </c>
      <c r="AG79" s="8">
        <f>AF79*AC79</f>
        <v/>
      </c>
      <c r="AH79" s="8">
        <f>IF(AA79="","",IFERROR(IF(VLOOKUP(AA79,'Unit Conversion'!A:B,2,FALSE)=VLOOKUP(AB79,'Unit Conversion'!A:B,2,FALSE),"OK","Check W/V mismatch"),"Check unit"))</f>
        <v/>
      </c>
      <c r="AI79" s="8" t="n"/>
    </row>
    <row r="80">
      <c r="A80" s="7" t="n"/>
      <c r="B80" s="7" t="n"/>
      <c r="C80" s="7" t="n"/>
      <c r="D80" s="7" t="n"/>
      <c r="E80" s="7" t="n"/>
      <c r="F80" s="7" t="n"/>
      <c r="G80" s="7" t="n"/>
      <c r="H80" s="7" t="n"/>
      <c r="I80" s="7" t="n"/>
      <c r="J80" s="7" t="n"/>
      <c r="K80" s="7" t="n"/>
      <c r="L80" s="7" t="n"/>
      <c r="M80" s="7" t="n"/>
      <c r="N80" s="7" t="n"/>
      <c r="O80" s="7" t="n"/>
      <c r="P80" s="7" t="n"/>
      <c r="Q80" s="7" t="n"/>
      <c r="R80" s="7" t="n"/>
      <c r="S80" s="7" t="n"/>
      <c r="T80" s="7" t="n"/>
      <c r="U80" s="7" t="n"/>
      <c r="V80" s="7" t="n"/>
      <c r="W80" s="7" t="n"/>
      <c r="X80" s="7" t="n"/>
      <c r="Y80" s="7" t="n"/>
      <c r="Z80" s="7" t="n"/>
      <c r="AA80" s="7" t="n"/>
      <c r="AB80" s="7">
        <f>IF(Y80="","",IFERROR(VLOOKUP(Y80,'Ingredients + Stock'!B:D,3,FALSE),""))</f>
        <v/>
      </c>
      <c r="AC80" s="7">
        <f>IF(Y80="","",IFERROR(VLOOKUP(Y80,'Ingredients + Stock'!B:G,6,FALSE),0))</f>
        <v/>
      </c>
      <c r="AD80" s="7">
        <f>IF(AA80="","",IFERROR(VLOOKUP(AA80,'Unit Conversion'!A:D,4,FALSE),1))</f>
        <v/>
      </c>
      <c r="AE80" s="7">
        <f>IF(AB80="","",IFERROR(VLOOKUP(AB80,'Unit Conversion'!A:D,4,FALSE),1))</f>
        <v/>
      </c>
      <c r="AF80" s="7">
        <f>IF(AA80="","",Z80*AD80/AE80)</f>
        <v/>
      </c>
      <c r="AG80" s="7">
        <f>AF80*AC80</f>
        <v/>
      </c>
      <c r="AH80" s="7">
        <f>IF(AA80="","",IFERROR(IF(VLOOKUP(AA80,'Unit Conversion'!A:B,2,FALSE)=VLOOKUP(AB80,'Unit Conversion'!A:B,2,FALSE),"OK","Check W/V mismatch"),"Check unit"))</f>
        <v/>
      </c>
      <c r="AI80" s="7" t="n"/>
    </row>
    <row r="81">
      <c r="A81" s="8" t="n"/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  <c r="N81" s="8" t="n"/>
      <c r="O81" s="8" t="n"/>
      <c r="P81" s="8" t="n"/>
      <c r="Q81" s="8" t="n"/>
      <c r="R81" s="8" t="n"/>
      <c r="S81" s="8" t="n"/>
      <c r="T81" s="8" t="n"/>
      <c r="U81" s="8" t="n"/>
      <c r="V81" s="8" t="n"/>
      <c r="W81" s="8" t="n"/>
      <c r="X81" s="8" t="n"/>
      <c r="Y81" s="8" t="n"/>
      <c r="Z81" s="8" t="n"/>
      <c r="AA81" s="8" t="n"/>
      <c r="AB81" s="8">
        <f>IF(Y81="","",IFERROR(VLOOKUP(Y81,'Ingredients + Stock'!B:D,3,FALSE),""))</f>
        <v/>
      </c>
      <c r="AC81" s="8">
        <f>IF(Y81="","",IFERROR(VLOOKUP(Y81,'Ingredients + Stock'!B:G,6,FALSE),0))</f>
        <v/>
      </c>
      <c r="AD81" s="8">
        <f>IF(AA81="","",IFERROR(VLOOKUP(AA81,'Unit Conversion'!A:D,4,FALSE),1))</f>
        <v/>
      </c>
      <c r="AE81" s="8">
        <f>IF(AB81="","",IFERROR(VLOOKUP(AB81,'Unit Conversion'!A:D,4,FALSE),1))</f>
        <v/>
      </c>
      <c r="AF81" s="8">
        <f>IF(AA81="","",Z81*AD81/AE81)</f>
        <v/>
      </c>
      <c r="AG81" s="8">
        <f>AF81*AC81</f>
        <v/>
      </c>
      <c r="AH81" s="8">
        <f>IF(AA81="","",IFERROR(IF(VLOOKUP(AA81,'Unit Conversion'!A:B,2,FALSE)=VLOOKUP(AB81,'Unit Conversion'!A:B,2,FALSE),"OK","Check W/V mismatch"),"Check unit"))</f>
        <v/>
      </c>
      <c r="AI81" s="8" t="n"/>
    </row>
    <row r="82">
      <c r="A82" s="7" t="n"/>
      <c r="B82" s="7" t="n"/>
      <c r="C82" s="7" t="n"/>
      <c r="D82" s="7" t="n"/>
      <c r="E82" s="7" t="n"/>
      <c r="F82" s="7" t="n"/>
      <c r="G82" s="7" t="n"/>
      <c r="H82" s="7" t="n"/>
      <c r="I82" s="7" t="n"/>
      <c r="J82" s="7" t="n"/>
      <c r="K82" s="7" t="n"/>
      <c r="L82" s="7" t="n"/>
      <c r="M82" s="7" t="n"/>
      <c r="N82" s="7" t="n"/>
      <c r="O82" s="7" t="n"/>
      <c r="P82" s="7" t="n"/>
      <c r="Q82" s="7" t="n"/>
      <c r="R82" s="7" t="n"/>
      <c r="S82" s="7" t="n"/>
      <c r="T82" s="7" t="n"/>
      <c r="U82" s="7" t="n"/>
      <c r="V82" s="7" t="n"/>
      <c r="W82" s="7" t="n"/>
      <c r="X82" s="7" t="n"/>
      <c r="Y82" s="7" t="n"/>
      <c r="Z82" s="7" t="n"/>
      <c r="AA82" s="7" t="n"/>
      <c r="AB82" s="7">
        <f>IF(Y82="","",IFERROR(VLOOKUP(Y82,'Ingredients + Stock'!B:D,3,FALSE),""))</f>
        <v/>
      </c>
      <c r="AC82" s="7">
        <f>IF(Y82="","",IFERROR(VLOOKUP(Y82,'Ingredients + Stock'!B:G,6,FALSE),0))</f>
        <v/>
      </c>
      <c r="AD82" s="7">
        <f>IF(AA82="","",IFERROR(VLOOKUP(AA82,'Unit Conversion'!A:D,4,FALSE),1))</f>
        <v/>
      </c>
      <c r="AE82" s="7">
        <f>IF(AB82="","",IFERROR(VLOOKUP(AB82,'Unit Conversion'!A:D,4,FALSE),1))</f>
        <v/>
      </c>
      <c r="AF82" s="7">
        <f>IF(AA82="","",Z82*AD82/AE82)</f>
        <v/>
      </c>
      <c r="AG82" s="7">
        <f>AF82*AC82</f>
        <v/>
      </c>
      <c r="AH82" s="7">
        <f>IF(AA82="","",IFERROR(IF(VLOOKUP(AA82,'Unit Conversion'!A:B,2,FALSE)=VLOOKUP(AB82,'Unit Conversion'!A:B,2,FALSE),"OK","Check W/V mismatch"),"Check unit"))</f>
        <v/>
      </c>
      <c r="AI82" s="7" t="n"/>
    </row>
    <row r="83">
      <c r="A83" s="8" t="n"/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  <c r="L83" s="8" t="n"/>
      <c r="M83" s="8" t="n"/>
      <c r="N83" s="8" t="n"/>
      <c r="O83" s="8" t="n"/>
      <c r="P83" s="8" t="n"/>
      <c r="Q83" s="8" t="n"/>
      <c r="R83" s="8" t="n"/>
      <c r="S83" s="8" t="n"/>
      <c r="T83" s="8" t="n"/>
      <c r="U83" s="8" t="n"/>
      <c r="V83" s="8" t="n"/>
      <c r="W83" s="8" t="n"/>
      <c r="X83" s="8" t="n"/>
      <c r="Y83" s="8" t="n"/>
      <c r="Z83" s="8" t="n"/>
      <c r="AA83" s="8" t="n"/>
      <c r="AB83" s="8">
        <f>IF(Y83="","",IFERROR(VLOOKUP(Y83,'Ingredients + Stock'!B:D,3,FALSE),""))</f>
        <v/>
      </c>
      <c r="AC83" s="8">
        <f>IF(Y83="","",IFERROR(VLOOKUP(Y83,'Ingredients + Stock'!B:G,6,FALSE),0))</f>
        <v/>
      </c>
      <c r="AD83" s="8">
        <f>IF(AA83="","",IFERROR(VLOOKUP(AA83,'Unit Conversion'!A:D,4,FALSE),1))</f>
        <v/>
      </c>
      <c r="AE83" s="8">
        <f>IF(AB83="","",IFERROR(VLOOKUP(AB83,'Unit Conversion'!A:D,4,FALSE),1))</f>
        <v/>
      </c>
      <c r="AF83" s="8">
        <f>IF(AA83="","",Z83*AD83/AE83)</f>
        <v/>
      </c>
      <c r="AG83" s="8">
        <f>AF83*AC83</f>
        <v/>
      </c>
      <c r="AH83" s="8">
        <f>IF(AA83="","",IFERROR(IF(VLOOKUP(AA83,'Unit Conversion'!A:B,2,FALSE)=VLOOKUP(AB83,'Unit Conversion'!A:B,2,FALSE),"OK","Check W/V mismatch"),"Check unit"))</f>
        <v/>
      </c>
      <c r="AI83" s="8" t="n"/>
    </row>
    <row r="84">
      <c r="A84" s="7" t="n"/>
      <c r="B84" s="7" t="n"/>
      <c r="C84" s="7" t="n"/>
      <c r="D84" s="7" t="n"/>
      <c r="E84" s="7" t="n"/>
      <c r="F84" s="7" t="n"/>
      <c r="G84" s="7" t="n"/>
      <c r="H84" s="7" t="n"/>
      <c r="I84" s="7" t="n"/>
      <c r="J84" s="7" t="n"/>
      <c r="K84" s="7" t="n"/>
      <c r="L84" s="7" t="n"/>
      <c r="M84" s="7" t="n"/>
      <c r="N84" s="7" t="n"/>
      <c r="O84" s="7" t="n"/>
      <c r="P84" s="7" t="n"/>
      <c r="Q84" s="7" t="n"/>
      <c r="R84" s="7" t="n"/>
      <c r="S84" s="7" t="n"/>
      <c r="T84" s="7" t="n"/>
      <c r="U84" s="7" t="n"/>
      <c r="V84" s="7" t="n"/>
      <c r="W84" s="7" t="n"/>
      <c r="X84" s="7" t="n"/>
      <c r="Y84" s="7" t="n"/>
      <c r="Z84" s="7" t="n"/>
      <c r="AA84" s="7" t="n"/>
      <c r="AB84" s="7">
        <f>IF(Y84="","",IFERROR(VLOOKUP(Y84,'Ingredients + Stock'!B:D,3,FALSE),""))</f>
        <v/>
      </c>
      <c r="AC84" s="7">
        <f>IF(Y84="","",IFERROR(VLOOKUP(Y84,'Ingredients + Stock'!B:G,6,FALSE),0))</f>
        <v/>
      </c>
      <c r="AD84" s="7">
        <f>IF(AA84="","",IFERROR(VLOOKUP(AA84,'Unit Conversion'!A:D,4,FALSE),1))</f>
        <v/>
      </c>
      <c r="AE84" s="7">
        <f>IF(AB84="","",IFERROR(VLOOKUP(AB84,'Unit Conversion'!A:D,4,FALSE),1))</f>
        <v/>
      </c>
      <c r="AF84" s="7">
        <f>IF(AA84="","",Z84*AD84/AE84)</f>
        <v/>
      </c>
      <c r="AG84" s="7">
        <f>AF84*AC84</f>
        <v/>
      </c>
      <c r="AH84" s="7">
        <f>IF(AA84="","",IFERROR(IF(VLOOKUP(AA84,'Unit Conversion'!A:B,2,FALSE)=VLOOKUP(AB84,'Unit Conversion'!A:B,2,FALSE),"OK","Check W/V mismatch"),"Check unit"))</f>
        <v/>
      </c>
      <c r="AI84" s="7" t="n"/>
    </row>
    <row r="85">
      <c r="A85" s="8" t="n"/>
      <c r="B85" s="8" t="n"/>
      <c r="C85" s="8" t="n"/>
      <c r="D85" s="8" t="n"/>
      <c r="E85" s="8" t="n"/>
      <c r="F85" s="8" t="n"/>
      <c r="G85" s="8" t="n"/>
      <c r="H85" s="8" t="n"/>
      <c r="I85" s="8" t="n"/>
      <c r="J85" s="8" t="n"/>
      <c r="K85" s="8" t="n"/>
      <c r="L85" s="8" t="n"/>
      <c r="M85" s="8" t="n"/>
      <c r="N85" s="8" t="n"/>
      <c r="O85" s="8" t="n"/>
      <c r="P85" s="8" t="n"/>
      <c r="Q85" s="8" t="n"/>
      <c r="R85" s="8" t="n"/>
      <c r="S85" s="8" t="n"/>
      <c r="T85" s="8" t="n"/>
      <c r="U85" s="8" t="n"/>
      <c r="V85" s="8" t="n"/>
      <c r="W85" s="8" t="n"/>
      <c r="X85" s="8" t="n"/>
      <c r="Y85" s="8" t="n"/>
      <c r="Z85" s="8" t="n"/>
      <c r="AA85" s="8" t="n"/>
      <c r="AB85" s="8">
        <f>IF(Y85="","",IFERROR(VLOOKUP(Y85,'Ingredients + Stock'!B:D,3,FALSE),""))</f>
        <v/>
      </c>
      <c r="AC85" s="8">
        <f>IF(Y85="","",IFERROR(VLOOKUP(Y85,'Ingredients + Stock'!B:G,6,FALSE),0))</f>
        <v/>
      </c>
      <c r="AD85" s="8">
        <f>IF(AA85="","",IFERROR(VLOOKUP(AA85,'Unit Conversion'!A:D,4,FALSE),1))</f>
        <v/>
      </c>
      <c r="AE85" s="8">
        <f>IF(AB85="","",IFERROR(VLOOKUP(AB85,'Unit Conversion'!A:D,4,FALSE),1))</f>
        <v/>
      </c>
      <c r="AF85" s="8">
        <f>IF(AA85="","",Z85*AD85/AE85)</f>
        <v/>
      </c>
      <c r="AG85" s="8">
        <f>AF85*AC85</f>
        <v/>
      </c>
      <c r="AH85" s="8">
        <f>IF(AA85="","",IFERROR(IF(VLOOKUP(AA85,'Unit Conversion'!A:B,2,FALSE)=VLOOKUP(AB85,'Unit Conversion'!A:B,2,FALSE),"OK","Check W/V mismatch"),"Check unit"))</f>
        <v/>
      </c>
      <c r="AI85" s="8" t="n"/>
    </row>
    <row r="86">
      <c r="A86" s="7" t="n"/>
      <c r="B86" s="7" t="n"/>
      <c r="C86" s="7" t="n"/>
      <c r="D86" s="7" t="n"/>
      <c r="E86" s="7" t="n"/>
      <c r="F86" s="7" t="n"/>
      <c r="G86" s="7" t="n"/>
      <c r="H86" s="7" t="n"/>
      <c r="I86" s="7" t="n"/>
      <c r="J86" s="7" t="n"/>
      <c r="K86" s="7" t="n"/>
      <c r="L86" s="7" t="n"/>
      <c r="M86" s="7" t="n"/>
      <c r="N86" s="7" t="n"/>
      <c r="O86" s="7" t="n"/>
      <c r="P86" s="7" t="n"/>
      <c r="Q86" s="7" t="n"/>
      <c r="R86" s="7" t="n"/>
      <c r="S86" s="7" t="n"/>
      <c r="T86" s="7" t="n"/>
      <c r="U86" s="7" t="n"/>
      <c r="V86" s="7" t="n"/>
      <c r="W86" s="7" t="n"/>
      <c r="X86" s="7" t="n"/>
      <c r="Y86" s="7" t="n"/>
      <c r="Z86" s="7" t="n"/>
      <c r="AA86" s="7" t="n"/>
      <c r="AB86" s="7">
        <f>IF(Y86="","",IFERROR(VLOOKUP(Y86,'Ingredients + Stock'!B:D,3,FALSE),""))</f>
        <v/>
      </c>
      <c r="AC86" s="7">
        <f>IF(Y86="","",IFERROR(VLOOKUP(Y86,'Ingredients + Stock'!B:G,6,FALSE),0))</f>
        <v/>
      </c>
      <c r="AD86" s="7">
        <f>IF(AA86="","",IFERROR(VLOOKUP(AA86,'Unit Conversion'!A:D,4,FALSE),1))</f>
        <v/>
      </c>
      <c r="AE86" s="7">
        <f>IF(AB86="","",IFERROR(VLOOKUP(AB86,'Unit Conversion'!A:D,4,FALSE),1))</f>
        <v/>
      </c>
      <c r="AF86" s="7">
        <f>IF(AA86="","",Z86*AD86/AE86)</f>
        <v/>
      </c>
      <c r="AG86" s="7">
        <f>AF86*AC86</f>
        <v/>
      </c>
      <c r="AH86" s="7">
        <f>IF(AA86="","",IFERROR(IF(VLOOKUP(AA86,'Unit Conversion'!A:B,2,FALSE)=VLOOKUP(AB86,'Unit Conversion'!A:B,2,FALSE),"OK","Check W/V mismatch"),"Check unit"))</f>
        <v/>
      </c>
      <c r="AI86" s="7" t="n"/>
    </row>
    <row r="87">
      <c r="A87" s="8" t="n"/>
      <c r="B87" s="8" t="n"/>
      <c r="C87" s="8" t="n"/>
      <c r="D87" s="8" t="n"/>
      <c r="E87" s="8" t="n"/>
      <c r="F87" s="8" t="n"/>
      <c r="G87" s="8" t="n"/>
      <c r="H87" s="8" t="n"/>
      <c r="I87" s="8" t="n"/>
      <c r="J87" s="8" t="n"/>
      <c r="K87" s="8" t="n"/>
      <c r="L87" s="8" t="n"/>
      <c r="M87" s="8" t="n"/>
      <c r="N87" s="8" t="n"/>
      <c r="O87" s="8" t="n"/>
      <c r="P87" s="8" t="n"/>
      <c r="Q87" s="8" t="n"/>
      <c r="R87" s="8" t="n"/>
      <c r="S87" s="8" t="n"/>
      <c r="T87" s="8" t="n"/>
      <c r="U87" s="8" t="n"/>
      <c r="V87" s="8" t="n"/>
      <c r="W87" s="8" t="n"/>
      <c r="X87" s="8" t="n"/>
      <c r="Y87" s="8" t="n"/>
      <c r="Z87" s="8" t="n"/>
      <c r="AA87" s="8" t="n"/>
      <c r="AB87" s="8">
        <f>IF(Y87="","",IFERROR(VLOOKUP(Y87,'Ingredients + Stock'!B:D,3,FALSE),""))</f>
        <v/>
      </c>
      <c r="AC87" s="8">
        <f>IF(Y87="","",IFERROR(VLOOKUP(Y87,'Ingredients + Stock'!B:G,6,FALSE),0))</f>
        <v/>
      </c>
      <c r="AD87" s="8">
        <f>IF(AA87="","",IFERROR(VLOOKUP(AA87,'Unit Conversion'!A:D,4,FALSE),1))</f>
        <v/>
      </c>
      <c r="AE87" s="8">
        <f>IF(AB87="","",IFERROR(VLOOKUP(AB87,'Unit Conversion'!A:D,4,FALSE),1))</f>
        <v/>
      </c>
      <c r="AF87" s="8">
        <f>IF(AA87="","",Z87*AD87/AE87)</f>
        <v/>
      </c>
      <c r="AG87" s="8">
        <f>AF87*AC87</f>
        <v/>
      </c>
      <c r="AH87" s="8">
        <f>IF(AA87="","",IFERROR(IF(VLOOKUP(AA87,'Unit Conversion'!A:B,2,FALSE)=VLOOKUP(AB87,'Unit Conversion'!A:B,2,FALSE),"OK","Check W/V mismatch"),"Check unit"))</f>
        <v/>
      </c>
      <c r="AI87" s="8" t="n"/>
    </row>
    <row r="88">
      <c r="A88" s="7" t="n"/>
      <c r="B88" s="7" t="n"/>
      <c r="C88" s="7" t="n"/>
      <c r="D88" s="7" t="n"/>
      <c r="E88" s="7" t="n"/>
      <c r="F88" s="7" t="n"/>
      <c r="G88" s="7" t="n"/>
      <c r="H88" s="7" t="n"/>
      <c r="I88" s="7" t="n"/>
      <c r="J88" s="7" t="n"/>
      <c r="K88" s="7" t="n"/>
      <c r="L88" s="7" t="n"/>
      <c r="M88" s="7" t="n"/>
      <c r="N88" s="7" t="n"/>
      <c r="O88" s="7" t="n"/>
      <c r="P88" s="7" t="n"/>
      <c r="Q88" s="7" t="n"/>
      <c r="R88" s="7" t="n"/>
      <c r="S88" s="7" t="n"/>
      <c r="T88" s="7" t="n"/>
      <c r="U88" s="7" t="n"/>
      <c r="V88" s="7" t="n"/>
      <c r="W88" s="7" t="n"/>
      <c r="X88" s="7" t="n"/>
      <c r="Y88" s="7" t="n"/>
      <c r="Z88" s="7" t="n"/>
      <c r="AA88" s="7" t="n"/>
      <c r="AB88" s="7">
        <f>IF(Y88="","",IFERROR(VLOOKUP(Y88,'Ingredients + Stock'!B:D,3,FALSE),""))</f>
        <v/>
      </c>
      <c r="AC88" s="7">
        <f>IF(Y88="","",IFERROR(VLOOKUP(Y88,'Ingredients + Stock'!B:G,6,FALSE),0))</f>
        <v/>
      </c>
      <c r="AD88" s="7">
        <f>IF(AA88="","",IFERROR(VLOOKUP(AA88,'Unit Conversion'!A:D,4,FALSE),1))</f>
        <v/>
      </c>
      <c r="AE88" s="7">
        <f>IF(AB88="","",IFERROR(VLOOKUP(AB88,'Unit Conversion'!A:D,4,FALSE),1))</f>
        <v/>
      </c>
      <c r="AF88" s="7">
        <f>IF(AA88="","",Z88*AD88/AE88)</f>
        <v/>
      </c>
      <c r="AG88" s="7">
        <f>AF88*AC88</f>
        <v/>
      </c>
      <c r="AH88" s="7">
        <f>IF(AA88="","",IFERROR(IF(VLOOKUP(AA88,'Unit Conversion'!A:B,2,FALSE)=VLOOKUP(AB88,'Unit Conversion'!A:B,2,FALSE),"OK","Check W/V mismatch"),"Check unit"))</f>
        <v/>
      </c>
      <c r="AI88" s="7" t="n"/>
    </row>
    <row r="89">
      <c r="A89" s="8" t="n"/>
      <c r="B89" s="8" t="n"/>
      <c r="C89" s="8" t="n"/>
      <c r="D89" s="8" t="n"/>
      <c r="E89" s="8" t="n"/>
      <c r="F89" s="8" t="n"/>
      <c r="G89" s="8" t="n"/>
      <c r="H89" s="8" t="n"/>
      <c r="I89" s="8" t="n"/>
      <c r="J89" s="8" t="n"/>
      <c r="K89" s="8" t="n"/>
      <c r="L89" s="8" t="n"/>
      <c r="M89" s="8" t="n"/>
      <c r="N89" s="8" t="n"/>
      <c r="O89" s="8" t="n"/>
      <c r="P89" s="8" t="n"/>
      <c r="Q89" s="8" t="n"/>
      <c r="R89" s="8" t="n"/>
      <c r="S89" s="8" t="n"/>
      <c r="T89" s="8" t="n"/>
      <c r="U89" s="8" t="n"/>
      <c r="V89" s="8" t="n"/>
      <c r="W89" s="8" t="n"/>
      <c r="X89" s="8" t="n"/>
      <c r="Y89" s="8" t="n"/>
      <c r="Z89" s="8" t="n"/>
      <c r="AA89" s="8" t="n"/>
      <c r="AB89" s="8">
        <f>IF(Y89="","",IFERROR(VLOOKUP(Y89,'Ingredients + Stock'!B:D,3,FALSE),""))</f>
        <v/>
      </c>
      <c r="AC89" s="8">
        <f>IF(Y89="","",IFERROR(VLOOKUP(Y89,'Ingredients + Stock'!B:G,6,FALSE),0))</f>
        <v/>
      </c>
      <c r="AD89" s="8">
        <f>IF(AA89="","",IFERROR(VLOOKUP(AA89,'Unit Conversion'!A:D,4,FALSE),1))</f>
        <v/>
      </c>
      <c r="AE89" s="8">
        <f>IF(AB89="","",IFERROR(VLOOKUP(AB89,'Unit Conversion'!A:D,4,FALSE),1))</f>
        <v/>
      </c>
      <c r="AF89" s="8">
        <f>IF(AA89="","",Z89*AD89/AE89)</f>
        <v/>
      </c>
      <c r="AG89" s="8">
        <f>AF89*AC89</f>
        <v/>
      </c>
      <c r="AH89" s="8">
        <f>IF(AA89="","",IFERROR(IF(VLOOKUP(AA89,'Unit Conversion'!A:B,2,FALSE)=VLOOKUP(AB89,'Unit Conversion'!A:B,2,FALSE),"OK","Check W/V mismatch"),"Check unit"))</f>
        <v/>
      </c>
      <c r="AI89" s="8" t="n"/>
    </row>
    <row r="90">
      <c r="A90" s="7" t="n"/>
      <c r="B90" s="7" t="n"/>
      <c r="C90" s="7" t="n"/>
      <c r="D90" s="7" t="n"/>
      <c r="E90" s="7" t="n"/>
      <c r="F90" s="7" t="n"/>
      <c r="G90" s="7" t="n"/>
      <c r="H90" s="7" t="n"/>
      <c r="I90" s="7" t="n"/>
      <c r="J90" s="7" t="n"/>
      <c r="K90" s="7" t="n"/>
      <c r="L90" s="7" t="n"/>
      <c r="M90" s="7" t="n"/>
      <c r="N90" s="7" t="n"/>
      <c r="O90" s="7" t="n"/>
      <c r="P90" s="7" t="n"/>
      <c r="Q90" s="7" t="n"/>
      <c r="R90" s="7" t="n"/>
      <c r="S90" s="7" t="n"/>
      <c r="T90" s="7" t="n"/>
      <c r="U90" s="7" t="n"/>
      <c r="V90" s="7" t="n"/>
      <c r="W90" s="7" t="n"/>
      <c r="X90" s="7" t="n"/>
      <c r="Y90" s="7" t="n"/>
      <c r="Z90" s="7" t="n"/>
      <c r="AA90" s="7" t="n"/>
      <c r="AB90" s="7">
        <f>IF(Y90="","",IFERROR(VLOOKUP(Y90,'Ingredients + Stock'!B:D,3,FALSE),""))</f>
        <v/>
      </c>
      <c r="AC90" s="7">
        <f>IF(Y90="","",IFERROR(VLOOKUP(Y90,'Ingredients + Stock'!B:G,6,FALSE),0))</f>
        <v/>
      </c>
      <c r="AD90" s="7">
        <f>IF(AA90="","",IFERROR(VLOOKUP(AA90,'Unit Conversion'!A:D,4,FALSE),1))</f>
        <v/>
      </c>
      <c r="AE90" s="7">
        <f>IF(AB90="","",IFERROR(VLOOKUP(AB90,'Unit Conversion'!A:D,4,FALSE),1))</f>
        <v/>
      </c>
      <c r="AF90" s="7">
        <f>IF(AA90="","",Z90*AD90/AE90)</f>
        <v/>
      </c>
      <c r="AG90" s="7">
        <f>AF90*AC90</f>
        <v/>
      </c>
      <c r="AH90" s="7">
        <f>IF(AA90="","",IFERROR(IF(VLOOKUP(AA90,'Unit Conversion'!A:B,2,FALSE)=VLOOKUP(AB90,'Unit Conversion'!A:B,2,FALSE),"OK","Check W/V mismatch"),"Check unit"))</f>
        <v/>
      </c>
      <c r="AI90" s="7" t="n"/>
    </row>
    <row r="91">
      <c r="A91" s="8" t="n"/>
      <c r="B91" s="8" t="n"/>
      <c r="C91" s="8" t="n"/>
      <c r="D91" s="8" t="n"/>
      <c r="E91" s="8" t="n"/>
      <c r="F91" s="8" t="n"/>
      <c r="G91" s="8" t="n"/>
      <c r="H91" s="8" t="n"/>
      <c r="I91" s="8" t="n"/>
      <c r="J91" s="8" t="n"/>
      <c r="K91" s="8" t="n"/>
      <c r="L91" s="8" t="n"/>
      <c r="M91" s="8" t="n"/>
      <c r="N91" s="8" t="n"/>
      <c r="O91" s="8" t="n"/>
      <c r="P91" s="8" t="n"/>
      <c r="Q91" s="8" t="n"/>
      <c r="R91" s="8" t="n"/>
      <c r="S91" s="8" t="n"/>
      <c r="T91" s="8" t="n"/>
      <c r="U91" s="8" t="n"/>
      <c r="V91" s="8" t="n"/>
      <c r="W91" s="8" t="n"/>
      <c r="X91" s="8" t="n"/>
      <c r="Y91" s="8" t="n"/>
      <c r="Z91" s="8" t="n"/>
      <c r="AA91" s="8" t="n"/>
      <c r="AB91" s="8">
        <f>IF(Y91="","",IFERROR(VLOOKUP(Y91,'Ingredients + Stock'!B:D,3,FALSE),""))</f>
        <v/>
      </c>
      <c r="AC91" s="8">
        <f>IF(Y91="","",IFERROR(VLOOKUP(Y91,'Ingredients + Stock'!B:G,6,FALSE),0))</f>
        <v/>
      </c>
      <c r="AD91" s="8">
        <f>IF(AA91="","",IFERROR(VLOOKUP(AA91,'Unit Conversion'!A:D,4,FALSE),1))</f>
        <v/>
      </c>
      <c r="AE91" s="8">
        <f>IF(AB91="","",IFERROR(VLOOKUP(AB91,'Unit Conversion'!A:D,4,FALSE),1))</f>
        <v/>
      </c>
      <c r="AF91" s="8">
        <f>IF(AA91="","",Z91*AD91/AE91)</f>
        <v/>
      </c>
      <c r="AG91" s="8">
        <f>AF91*AC91</f>
        <v/>
      </c>
      <c r="AH91" s="8">
        <f>IF(AA91="","",IFERROR(IF(VLOOKUP(AA91,'Unit Conversion'!A:B,2,FALSE)=VLOOKUP(AB91,'Unit Conversion'!A:B,2,FALSE),"OK","Check W/V mismatch"),"Check unit"))</f>
        <v/>
      </c>
      <c r="AI91" s="8" t="n"/>
    </row>
    <row r="92">
      <c r="A92" s="7" t="n"/>
      <c r="B92" s="7" t="n"/>
      <c r="C92" s="7" t="n"/>
      <c r="D92" s="7" t="n"/>
      <c r="E92" s="7" t="n"/>
      <c r="F92" s="7" t="n"/>
      <c r="G92" s="7" t="n"/>
      <c r="H92" s="7" t="n"/>
      <c r="I92" s="7" t="n"/>
      <c r="J92" s="7" t="n"/>
      <c r="K92" s="7" t="n"/>
      <c r="L92" s="7" t="n"/>
      <c r="M92" s="7" t="n"/>
      <c r="N92" s="7" t="n"/>
      <c r="O92" s="7" t="n"/>
      <c r="P92" s="7" t="n"/>
      <c r="Q92" s="7" t="n"/>
      <c r="R92" s="7" t="n"/>
      <c r="S92" s="7" t="n"/>
      <c r="T92" s="7" t="n"/>
      <c r="U92" s="7" t="n"/>
      <c r="V92" s="7" t="n"/>
      <c r="W92" s="7" t="n"/>
      <c r="X92" s="7" t="n"/>
      <c r="Y92" s="7" t="n"/>
      <c r="Z92" s="7" t="n"/>
      <c r="AA92" s="7" t="n"/>
      <c r="AB92" s="7">
        <f>IF(Y92="","",IFERROR(VLOOKUP(Y92,'Ingredients + Stock'!B:D,3,FALSE),""))</f>
        <v/>
      </c>
      <c r="AC92" s="7">
        <f>IF(Y92="","",IFERROR(VLOOKUP(Y92,'Ingredients + Stock'!B:G,6,FALSE),0))</f>
        <v/>
      </c>
      <c r="AD92" s="7">
        <f>IF(AA92="","",IFERROR(VLOOKUP(AA92,'Unit Conversion'!A:D,4,FALSE),1))</f>
        <v/>
      </c>
      <c r="AE92" s="7">
        <f>IF(AB92="","",IFERROR(VLOOKUP(AB92,'Unit Conversion'!A:D,4,FALSE),1))</f>
        <v/>
      </c>
      <c r="AF92" s="7">
        <f>IF(AA92="","",Z92*AD92/AE92)</f>
        <v/>
      </c>
      <c r="AG92" s="7">
        <f>AF92*AC92</f>
        <v/>
      </c>
      <c r="AH92" s="7">
        <f>IF(AA92="","",IFERROR(IF(VLOOKUP(AA92,'Unit Conversion'!A:B,2,FALSE)=VLOOKUP(AB92,'Unit Conversion'!A:B,2,FALSE),"OK","Check W/V mismatch"),"Check unit"))</f>
        <v/>
      </c>
      <c r="AI92" s="7" t="n"/>
    </row>
    <row r="93">
      <c r="A93" s="8" t="n"/>
      <c r="B93" s="8" t="n"/>
      <c r="C93" s="8" t="n"/>
      <c r="D93" s="8" t="n"/>
      <c r="E93" s="8" t="n"/>
      <c r="F93" s="8" t="n"/>
      <c r="G93" s="8" t="n"/>
      <c r="H93" s="8" t="n"/>
      <c r="I93" s="8" t="n"/>
      <c r="J93" s="8" t="n"/>
      <c r="K93" s="8" t="n"/>
      <c r="L93" s="8" t="n"/>
      <c r="M93" s="8" t="n"/>
      <c r="N93" s="8" t="n"/>
      <c r="O93" s="8" t="n"/>
      <c r="P93" s="8" t="n"/>
      <c r="Q93" s="8" t="n"/>
      <c r="R93" s="8" t="n"/>
      <c r="S93" s="8" t="n"/>
      <c r="T93" s="8" t="n"/>
      <c r="U93" s="8" t="n"/>
      <c r="V93" s="8" t="n"/>
      <c r="W93" s="8" t="n"/>
      <c r="X93" s="8" t="n"/>
      <c r="Y93" s="8" t="n"/>
      <c r="Z93" s="8" t="n"/>
      <c r="AA93" s="8" t="n"/>
      <c r="AB93" s="8">
        <f>IF(Y93="","",IFERROR(VLOOKUP(Y93,'Ingredients + Stock'!B:D,3,FALSE),""))</f>
        <v/>
      </c>
      <c r="AC93" s="8">
        <f>IF(Y93="","",IFERROR(VLOOKUP(Y93,'Ingredients + Stock'!B:G,6,FALSE),0))</f>
        <v/>
      </c>
      <c r="AD93" s="8">
        <f>IF(AA93="","",IFERROR(VLOOKUP(AA93,'Unit Conversion'!A:D,4,FALSE),1))</f>
        <v/>
      </c>
      <c r="AE93" s="8">
        <f>IF(AB93="","",IFERROR(VLOOKUP(AB93,'Unit Conversion'!A:D,4,FALSE),1))</f>
        <v/>
      </c>
      <c r="AF93" s="8">
        <f>IF(AA93="","",Z93*AD93/AE93)</f>
        <v/>
      </c>
      <c r="AG93" s="8">
        <f>AF93*AC93</f>
        <v/>
      </c>
      <c r="AH93" s="8">
        <f>IF(AA93="","",IFERROR(IF(VLOOKUP(AA93,'Unit Conversion'!A:B,2,FALSE)=VLOOKUP(AB93,'Unit Conversion'!A:B,2,FALSE),"OK","Check W/V mismatch"),"Check unit"))</f>
        <v/>
      </c>
      <c r="AI93" s="8" t="n"/>
    </row>
    <row r="94">
      <c r="A94" s="7" t="n"/>
      <c r="B94" s="7" t="n"/>
      <c r="C94" s="7" t="n"/>
      <c r="D94" s="7" t="n"/>
      <c r="E94" s="7" t="n"/>
      <c r="F94" s="7" t="n"/>
      <c r="G94" s="7" t="n"/>
      <c r="H94" s="7" t="n"/>
      <c r="I94" s="7" t="n"/>
      <c r="J94" s="7" t="n"/>
      <c r="K94" s="7" t="n"/>
      <c r="L94" s="7" t="n"/>
      <c r="M94" s="7" t="n"/>
      <c r="N94" s="7" t="n"/>
      <c r="O94" s="7" t="n"/>
      <c r="P94" s="7" t="n"/>
      <c r="Q94" s="7" t="n"/>
      <c r="R94" s="7" t="n"/>
      <c r="S94" s="7" t="n"/>
      <c r="T94" s="7" t="n"/>
      <c r="U94" s="7" t="n"/>
      <c r="V94" s="7" t="n"/>
      <c r="W94" s="7" t="n"/>
      <c r="X94" s="7" t="n"/>
      <c r="Y94" s="7" t="n"/>
      <c r="Z94" s="7" t="n"/>
      <c r="AA94" s="7" t="n"/>
      <c r="AB94" s="7">
        <f>IF(Y94="","",IFERROR(VLOOKUP(Y94,'Ingredients + Stock'!B:D,3,FALSE),""))</f>
        <v/>
      </c>
      <c r="AC94" s="7">
        <f>IF(Y94="","",IFERROR(VLOOKUP(Y94,'Ingredients + Stock'!B:G,6,FALSE),0))</f>
        <v/>
      </c>
      <c r="AD94" s="7">
        <f>IF(AA94="","",IFERROR(VLOOKUP(AA94,'Unit Conversion'!A:D,4,FALSE),1))</f>
        <v/>
      </c>
      <c r="AE94" s="7">
        <f>IF(AB94="","",IFERROR(VLOOKUP(AB94,'Unit Conversion'!A:D,4,FALSE),1))</f>
        <v/>
      </c>
      <c r="AF94" s="7">
        <f>IF(AA94="","",Z94*AD94/AE94)</f>
        <v/>
      </c>
      <c r="AG94" s="7">
        <f>AF94*AC94</f>
        <v/>
      </c>
      <c r="AH94" s="7">
        <f>IF(AA94="","",IFERROR(IF(VLOOKUP(AA94,'Unit Conversion'!A:B,2,FALSE)=VLOOKUP(AB94,'Unit Conversion'!A:B,2,FALSE),"OK","Check W/V mismatch"),"Check unit"))</f>
        <v/>
      </c>
      <c r="AI94" s="7" t="n"/>
    </row>
    <row r="95">
      <c r="A95" s="8" t="n"/>
      <c r="B95" s="8" t="n"/>
      <c r="C95" s="8" t="n"/>
      <c r="D95" s="8" t="n"/>
      <c r="E95" s="8" t="n"/>
      <c r="F95" s="8" t="n"/>
      <c r="G95" s="8" t="n"/>
      <c r="H95" s="8" t="n"/>
      <c r="I95" s="8" t="n"/>
      <c r="J95" s="8" t="n"/>
      <c r="K95" s="8" t="n"/>
      <c r="L95" s="8" t="n"/>
      <c r="M95" s="8" t="n"/>
      <c r="N95" s="8" t="n"/>
      <c r="O95" s="8" t="n"/>
      <c r="P95" s="8" t="n"/>
      <c r="Q95" s="8" t="n"/>
      <c r="R95" s="8" t="n"/>
      <c r="S95" s="8" t="n"/>
      <c r="T95" s="8" t="n"/>
      <c r="U95" s="8" t="n"/>
      <c r="V95" s="8" t="n"/>
      <c r="W95" s="8" t="n"/>
      <c r="X95" s="8" t="n"/>
      <c r="Y95" s="8" t="n"/>
      <c r="Z95" s="8" t="n"/>
      <c r="AA95" s="8" t="n"/>
      <c r="AB95" s="8">
        <f>IF(Y95="","",IFERROR(VLOOKUP(Y95,'Ingredients + Stock'!B:D,3,FALSE),""))</f>
        <v/>
      </c>
      <c r="AC95" s="8">
        <f>IF(Y95="","",IFERROR(VLOOKUP(Y95,'Ingredients + Stock'!B:G,6,FALSE),0))</f>
        <v/>
      </c>
      <c r="AD95" s="8">
        <f>IF(AA95="","",IFERROR(VLOOKUP(AA95,'Unit Conversion'!A:D,4,FALSE),1))</f>
        <v/>
      </c>
      <c r="AE95" s="8">
        <f>IF(AB95="","",IFERROR(VLOOKUP(AB95,'Unit Conversion'!A:D,4,FALSE),1))</f>
        <v/>
      </c>
      <c r="AF95" s="8">
        <f>IF(AA95="","",Z95*AD95/AE95)</f>
        <v/>
      </c>
      <c r="AG95" s="8">
        <f>AF95*AC95</f>
        <v/>
      </c>
      <c r="AH95" s="8">
        <f>IF(AA95="","",IFERROR(IF(VLOOKUP(AA95,'Unit Conversion'!A:B,2,FALSE)=VLOOKUP(AB95,'Unit Conversion'!A:B,2,FALSE),"OK","Check W/V mismatch"),"Check unit"))</f>
        <v/>
      </c>
      <c r="AI95" s="8" t="n"/>
    </row>
    <row r="96">
      <c r="A96" s="7" t="n"/>
      <c r="B96" s="7" t="n"/>
      <c r="C96" s="7" t="n"/>
      <c r="D96" s="7" t="n"/>
      <c r="E96" s="7" t="n"/>
      <c r="F96" s="7" t="n"/>
      <c r="G96" s="7" t="n"/>
      <c r="H96" s="7" t="n"/>
      <c r="I96" s="7" t="n"/>
      <c r="J96" s="7" t="n"/>
      <c r="K96" s="7" t="n"/>
      <c r="L96" s="7" t="n"/>
      <c r="M96" s="7" t="n"/>
      <c r="N96" s="7" t="n"/>
      <c r="O96" s="7" t="n"/>
      <c r="P96" s="7" t="n"/>
      <c r="Q96" s="7" t="n"/>
      <c r="R96" s="7" t="n"/>
      <c r="S96" s="7" t="n"/>
      <c r="T96" s="7" t="n"/>
      <c r="U96" s="7" t="n"/>
      <c r="V96" s="7" t="n"/>
      <c r="W96" s="7" t="n"/>
      <c r="X96" s="7" t="n"/>
      <c r="Y96" s="7" t="n"/>
      <c r="Z96" s="7" t="n"/>
      <c r="AA96" s="7" t="n"/>
      <c r="AB96" s="7">
        <f>IF(Y96="","",IFERROR(VLOOKUP(Y96,'Ingredients + Stock'!B:D,3,FALSE),""))</f>
        <v/>
      </c>
      <c r="AC96" s="7">
        <f>IF(Y96="","",IFERROR(VLOOKUP(Y96,'Ingredients + Stock'!B:G,6,FALSE),0))</f>
        <v/>
      </c>
      <c r="AD96" s="7">
        <f>IF(AA96="","",IFERROR(VLOOKUP(AA96,'Unit Conversion'!A:D,4,FALSE),1))</f>
        <v/>
      </c>
      <c r="AE96" s="7">
        <f>IF(AB96="","",IFERROR(VLOOKUP(AB96,'Unit Conversion'!A:D,4,FALSE),1))</f>
        <v/>
      </c>
      <c r="AF96" s="7">
        <f>IF(AA96="","",Z96*AD96/AE96)</f>
        <v/>
      </c>
      <c r="AG96" s="7">
        <f>AF96*AC96</f>
        <v/>
      </c>
      <c r="AH96" s="7">
        <f>IF(AA96="","",IFERROR(IF(VLOOKUP(AA96,'Unit Conversion'!A:B,2,FALSE)=VLOOKUP(AB96,'Unit Conversion'!A:B,2,FALSE),"OK","Check W/V mismatch"),"Check unit"))</f>
        <v/>
      </c>
      <c r="AI96" s="7" t="n"/>
    </row>
    <row r="97">
      <c r="A97" s="8" t="n"/>
      <c r="B97" s="8" t="n"/>
      <c r="C97" s="8" t="n"/>
      <c r="D97" s="8" t="n"/>
      <c r="E97" s="8" t="n"/>
      <c r="F97" s="8" t="n"/>
      <c r="G97" s="8" t="n"/>
      <c r="H97" s="8" t="n"/>
      <c r="I97" s="8" t="n"/>
      <c r="J97" s="8" t="n"/>
      <c r="K97" s="8" t="n"/>
      <c r="L97" s="8" t="n"/>
      <c r="M97" s="8" t="n"/>
      <c r="N97" s="8" t="n"/>
      <c r="O97" s="8" t="n"/>
      <c r="P97" s="8" t="n"/>
      <c r="Q97" s="8" t="n"/>
      <c r="R97" s="8" t="n"/>
      <c r="S97" s="8" t="n"/>
      <c r="T97" s="8" t="n"/>
      <c r="U97" s="8" t="n"/>
      <c r="V97" s="8" t="n"/>
      <c r="W97" s="8" t="n"/>
      <c r="X97" s="8" t="n"/>
      <c r="Y97" s="8" t="n"/>
      <c r="Z97" s="8" t="n"/>
      <c r="AA97" s="8" t="n"/>
      <c r="AB97" s="8">
        <f>IF(Y97="","",IFERROR(VLOOKUP(Y97,'Ingredients + Stock'!B:D,3,FALSE),""))</f>
        <v/>
      </c>
      <c r="AC97" s="8">
        <f>IF(Y97="","",IFERROR(VLOOKUP(Y97,'Ingredients + Stock'!B:G,6,FALSE),0))</f>
        <v/>
      </c>
      <c r="AD97" s="8">
        <f>IF(AA97="","",IFERROR(VLOOKUP(AA97,'Unit Conversion'!A:D,4,FALSE),1))</f>
        <v/>
      </c>
      <c r="AE97" s="8">
        <f>IF(AB97="","",IFERROR(VLOOKUP(AB97,'Unit Conversion'!A:D,4,FALSE),1))</f>
        <v/>
      </c>
      <c r="AF97" s="8">
        <f>IF(AA97="","",Z97*AD97/AE97)</f>
        <v/>
      </c>
      <c r="AG97" s="8">
        <f>AF97*AC97</f>
        <v/>
      </c>
      <c r="AH97" s="8">
        <f>IF(AA97="","",IFERROR(IF(VLOOKUP(AA97,'Unit Conversion'!A:B,2,FALSE)=VLOOKUP(AB97,'Unit Conversion'!A:B,2,FALSE),"OK","Check W/V mismatch"),"Check unit"))</f>
        <v/>
      </c>
      <c r="AI97" s="8" t="n"/>
    </row>
    <row r="98">
      <c r="A98" s="7" t="n"/>
      <c r="B98" s="7" t="n"/>
      <c r="C98" s="7" t="n"/>
      <c r="D98" s="7" t="n"/>
      <c r="E98" s="7" t="n"/>
      <c r="F98" s="7" t="n"/>
      <c r="G98" s="7" t="n"/>
      <c r="H98" s="7" t="n"/>
      <c r="I98" s="7" t="n"/>
      <c r="J98" s="7" t="n"/>
      <c r="K98" s="7" t="n"/>
      <c r="L98" s="7" t="n"/>
      <c r="M98" s="7" t="n"/>
      <c r="N98" s="7" t="n"/>
      <c r="O98" s="7" t="n"/>
      <c r="P98" s="7" t="n"/>
      <c r="Q98" s="7" t="n"/>
      <c r="R98" s="7" t="n"/>
      <c r="S98" s="7" t="n"/>
      <c r="T98" s="7" t="n"/>
      <c r="U98" s="7" t="n"/>
      <c r="V98" s="7" t="n"/>
      <c r="W98" s="7" t="n"/>
      <c r="X98" s="7" t="n"/>
      <c r="Y98" s="7" t="n"/>
      <c r="Z98" s="7" t="n"/>
      <c r="AA98" s="7" t="n"/>
      <c r="AB98" s="7">
        <f>IF(Y98="","",IFERROR(VLOOKUP(Y98,'Ingredients + Stock'!B:D,3,FALSE),""))</f>
        <v/>
      </c>
      <c r="AC98" s="7">
        <f>IF(Y98="","",IFERROR(VLOOKUP(Y98,'Ingredients + Stock'!B:G,6,FALSE),0))</f>
        <v/>
      </c>
      <c r="AD98" s="7">
        <f>IF(AA98="","",IFERROR(VLOOKUP(AA98,'Unit Conversion'!A:D,4,FALSE),1))</f>
        <v/>
      </c>
      <c r="AE98" s="7">
        <f>IF(AB98="","",IFERROR(VLOOKUP(AB98,'Unit Conversion'!A:D,4,FALSE),1))</f>
        <v/>
      </c>
      <c r="AF98" s="7">
        <f>IF(AA98="","",Z98*AD98/AE98)</f>
        <v/>
      </c>
      <c r="AG98" s="7">
        <f>AF98*AC98</f>
        <v/>
      </c>
      <c r="AH98" s="7">
        <f>IF(AA98="","",IFERROR(IF(VLOOKUP(AA98,'Unit Conversion'!A:B,2,FALSE)=VLOOKUP(AB98,'Unit Conversion'!A:B,2,FALSE),"OK","Check W/V mismatch"),"Check unit"))</f>
        <v/>
      </c>
      <c r="AI98" s="7" t="n"/>
    </row>
    <row r="99">
      <c r="A99" s="8" t="n"/>
      <c r="B99" s="8" t="n"/>
      <c r="C99" s="8" t="n"/>
      <c r="D99" s="8" t="n"/>
      <c r="E99" s="8" t="n"/>
      <c r="F99" s="8" t="n"/>
      <c r="G99" s="8" t="n"/>
      <c r="H99" s="8" t="n"/>
      <c r="I99" s="8" t="n"/>
      <c r="J99" s="8" t="n"/>
      <c r="K99" s="8" t="n"/>
      <c r="L99" s="8" t="n"/>
      <c r="M99" s="8" t="n"/>
      <c r="N99" s="8" t="n"/>
      <c r="O99" s="8" t="n"/>
      <c r="P99" s="8" t="n"/>
      <c r="Q99" s="8" t="n"/>
      <c r="R99" s="8" t="n"/>
      <c r="S99" s="8" t="n"/>
      <c r="T99" s="8" t="n"/>
      <c r="U99" s="8" t="n"/>
      <c r="V99" s="8" t="n"/>
      <c r="W99" s="8" t="n"/>
      <c r="X99" s="8" t="n"/>
      <c r="Y99" s="8" t="n"/>
      <c r="Z99" s="8" t="n"/>
      <c r="AA99" s="8" t="n"/>
      <c r="AB99" s="8">
        <f>IF(Y99="","",IFERROR(VLOOKUP(Y99,'Ingredients + Stock'!B:D,3,FALSE),""))</f>
        <v/>
      </c>
      <c r="AC99" s="8">
        <f>IF(Y99="","",IFERROR(VLOOKUP(Y99,'Ingredients + Stock'!B:G,6,FALSE),0))</f>
        <v/>
      </c>
      <c r="AD99" s="8">
        <f>IF(AA99="","",IFERROR(VLOOKUP(AA99,'Unit Conversion'!A:D,4,FALSE),1))</f>
        <v/>
      </c>
      <c r="AE99" s="8">
        <f>IF(AB99="","",IFERROR(VLOOKUP(AB99,'Unit Conversion'!A:D,4,FALSE),1))</f>
        <v/>
      </c>
      <c r="AF99" s="8">
        <f>IF(AA99="","",Z99*AD99/AE99)</f>
        <v/>
      </c>
      <c r="AG99" s="8">
        <f>AF99*AC99</f>
        <v/>
      </c>
      <c r="AH99" s="8">
        <f>IF(AA99="","",IFERROR(IF(VLOOKUP(AA99,'Unit Conversion'!A:B,2,FALSE)=VLOOKUP(AB99,'Unit Conversion'!A:B,2,FALSE),"OK","Check W/V mismatch"),"Check unit"))</f>
        <v/>
      </c>
      <c r="AI99" s="8" t="n"/>
    </row>
    <row r="100">
      <c r="A100" s="7" t="n"/>
      <c r="B100" s="7" t="n"/>
      <c r="C100" s="7" t="n"/>
      <c r="D100" s="7" t="n"/>
      <c r="E100" s="7" t="n"/>
      <c r="F100" s="7" t="n"/>
      <c r="G100" s="7" t="n"/>
      <c r="H100" s="7" t="n"/>
      <c r="I100" s="7" t="n"/>
      <c r="J100" s="7" t="n"/>
      <c r="K100" s="7" t="n"/>
      <c r="L100" s="7" t="n"/>
      <c r="M100" s="7" t="n"/>
      <c r="N100" s="7" t="n"/>
      <c r="O100" s="7" t="n"/>
      <c r="P100" s="7" t="n"/>
      <c r="Q100" s="7" t="n"/>
      <c r="R100" s="7" t="n"/>
      <c r="S100" s="7" t="n"/>
      <c r="T100" s="7" t="n"/>
      <c r="U100" s="7" t="n"/>
      <c r="V100" s="7" t="n"/>
      <c r="W100" s="7" t="n"/>
      <c r="X100" s="7" t="n"/>
      <c r="Y100" s="7" t="n"/>
      <c r="Z100" s="7" t="n"/>
      <c r="AA100" s="7" t="n"/>
      <c r="AB100" s="7">
        <f>IF(Y100="","",IFERROR(VLOOKUP(Y100,'Ingredients + Stock'!B:D,3,FALSE),""))</f>
        <v/>
      </c>
      <c r="AC100" s="7">
        <f>IF(Y100="","",IFERROR(VLOOKUP(Y100,'Ingredients + Stock'!B:G,6,FALSE),0))</f>
        <v/>
      </c>
      <c r="AD100" s="7">
        <f>IF(AA100="","",IFERROR(VLOOKUP(AA100,'Unit Conversion'!A:D,4,FALSE),1))</f>
        <v/>
      </c>
      <c r="AE100" s="7">
        <f>IF(AB100="","",IFERROR(VLOOKUP(AB100,'Unit Conversion'!A:D,4,FALSE),1))</f>
        <v/>
      </c>
      <c r="AF100" s="7">
        <f>IF(AA100="","",Z100*AD100/AE100)</f>
        <v/>
      </c>
      <c r="AG100" s="7">
        <f>AF100*AC100</f>
        <v/>
      </c>
      <c r="AH100" s="7">
        <f>IF(AA100="","",IFERROR(IF(VLOOKUP(AA100,'Unit Conversion'!A:B,2,FALSE)=VLOOKUP(AB100,'Unit Conversion'!A:B,2,FALSE),"OK","Check W/V mismatch"),"Check unit"))</f>
        <v/>
      </c>
      <c r="AI100" s="7" t="n"/>
    </row>
    <row r="101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8" t="n"/>
      <c r="J101" s="8" t="n"/>
      <c r="K101" s="8" t="n"/>
      <c r="L101" s="8" t="n"/>
      <c r="M101" s="8" t="n"/>
      <c r="N101" s="8" t="n"/>
      <c r="O101" s="8" t="n"/>
      <c r="P101" s="8" t="n"/>
      <c r="Q101" s="8" t="n"/>
      <c r="R101" s="8" t="n"/>
      <c r="S101" s="8" t="n"/>
      <c r="T101" s="8" t="n"/>
      <c r="U101" s="8" t="n"/>
      <c r="V101" s="8" t="n"/>
      <c r="W101" s="8" t="n"/>
      <c r="X101" s="8" t="n"/>
      <c r="Y101" s="8" t="n"/>
      <c r="Z101" s="8" t="n"/>
      <c r="AA101" s="8" t="n"/>
      <c r="AB101" s="8">
        <f>IF(Y101="","",IFERROR(VLOOKUP(Y101,'Ingredients + Stock'!B:D,3,FALSE),""))</f>
        <v/>
      </c>
      <c r="AC101" s="8">
        <f>IF(Y101="","",IFERROR(VLOOKUP(Y101,'Ingredients + Stock'!B:G,6,FALSE),0))</f>
        <v/>
      </c>
      <c r="AD101" s="8">
        <f>IF(AA101="","",IFERROR(VLOOKUP(AA101,'Unit Conversion'!A:D,4,FALSE),1))</f>
        <v/>
      </c>
      <c r="AE101" s="8">
        <f>IF(AB101="","",IFERROR(VLOOKUP(AB101,'Unit Conversion'!A:D,4,FALSE),1))</f>
        <v/>
      </c>
      <c r="AF101" s="8">
        <f>IF(AA101="","",Z101*AD101/AE101)</f>
        <v/>
      </c>
      <c r="AG101" s="8">
        <f>AF101*AC101</f>
        <v/>
      </c>
      <c r="AH101" s="8">
        <f>IF(AA101="","",IFERROR(IF(VLOOKUP(AA101,'Unit Conversion'!A:B,2,FALSE)=VLOOKUP(AB101,'Unit Conversion'!A:B,2,FALSE),"OK","Check W/V mismatch"),"Check unit"))</f>
        <v/>
      </c>
      <c r="AI101" s="8" t="n"/>
    </row>
    <row r="102">
      <c r="A102" s="7" t="n"/>
      <c r="B102" s="7" t="n"/>
      <c r="C102" s="7" t="n"/>
      <c r="D102" s="7" t="n"/>
      <c r="E102" s="7" t="n"/>
      <c r="F102" s="7" t="n"/>
      <c r="G102" s="7" t="n"/>
      <c r="H102" s="7" t="n"/>
      <c r="I102" s="7" t="n"/>
      <c r="J102" s="7" t="n"/>
      <c r="K102" s="7" t="n"/>
      <c r="L102" s="7" t="n"/>
      <c r="M102" s="7" t="n"/>
      <c r="N102" s="7" t="n"/>
      <c r="O102" s="7" t="n"/>
      <c r="P102" s="7" t="n"/>
      <c r="Q102" s="7" t="n"/>
      <c r="R102" s="7" t="n"/>
      <c r="S102" s="7" t="n"/>
      <c r="T102" s="7" t="n"/>
      <c r="U102" s="7" t="n"/>
      <c r="V102" s="7" t="n"/>
      <c r="W102" s="7" t="n"/>
      <c r="X102" s="7" t="n"/>
      <c r="Y102" s="7" t="n"/>
      <c r="Z102" s="7" t="n"/>
      <c r="AA102" s="7" t="n"/>
      <c r="AB102" s="7">
        <f>IF(Y102="","",IFERROR(VLOOKUP(Y102,'Ingredients + Stock'!B:D,3,FALSE),""))</f>
        <v/>
      </c>
      <c r="AC102" s="7">
        <f>IF(Y102="","",IFERROR(VLOOKUP(Y102,'Ingredients + Stock'!B:G,6,FALSE),0))</f>
        <v/>
      </c>
      <c r="AD102" s="7">
        <f>IF(AA102="","",IFERROR(VLOOKUP(AA102,'Unit Conversion'!A:D,4,FALSE),1))</f>
        <v/>
      </c>
      <c r="AE102" s="7">
        <f>IF(AB102="","",IFERROR(VLOOKUP(AB102,'Unit Conversion'!A:D,4,FALSE),1))</f>
        <v/>
      </c>
      <c r="AF102" s="7">
        <f>IF(AA102="","",Z102*AD102/AE102)</f>
        <v/>
      </c>
      <c r="AG102" s="7">
        <f>AF102*AC102</f>
        <v/>
      </c>
      <c r="AH102" s="7">
        <f>IF(AA102="","",IFERROR(IF(VLOOKUP(AA102,'Unit Conversion'!A:B,2,FALSE)=VLOOKUP(AB102,'Unit Conversion'!A:B,2,FALSE),"OK","Check W/V mismatch"),"Check unit"))</f>
        <v/>
      </c>
      <c r="AI102" s="7" t="n"/>
    </row>
    <row r="103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8" t="n"/>
      <c r="J103" s="8" t="n"/>
      <c r="K103" s="8" t="n"/>
      <c r="L103" s="8" t="n"/>
      <c r="M103" s="8" t="n"/>
      <c r="N103" s="8" t="n"/>
      <c r="O103" s="8" t="n"/>
      <c r="P103" s="8" t="n"/>
      <c r="Q103" s="8" t="n"/>
      <c r="R103" s="8" t="n"/>
      <c r="S103" s="8" t="n"/>
      <c r="T103" s="8" t="n"/>
      <c r="U103" s="8" t="n"/>
      <c r="V103" s="8" t="n"/>
      <c r="W103" s="8" t="n"/>
      <c r="X103" s="8" t="n"/>
      <c r="Y103" s="8" t="n"/>
      <c r="Z103" s="8" t="n"/>
      <c r="AA103" s="8" t="n"/>
      <c r="AB103" s="8">
        <f>IF(Y103="","",IFERROR(VLOOKUP(Y103,'Ingredients + Stock'!B:D,3,FALSE),""))</f>
        <v/>
      </c>
      <c r="AC103" s="8">
        <f>IF(Y103="","",IFERROR(VLOOKUP(Y103,'Ingredients + Stock'!B:G,6,FALSE),0))</f>
        <v/>
      </c>
      <c r="AD103" s="8">
        <f>IF(AA103="","",IFERROR(VLOOKUP(AA103,'Unit Conversion'!A:D,4,FALSE),1))</f>
        <v/>
      </c>
      <c r="AE103" s="8">
        <f>IF(AB103="","",IFERROR(VLOOKUP(AB103,'Unit Conversion'!A:D,4,FALSE),1))</f>
        <v/>
      </c>
      <c r="AF103" s="8">
        <f>IF(AA103="","",Z103*AD103/AE103)</f>
        <v/>
      </c>
      <c r="AG103" s="8">
        <f>AF103*AC103</f>
        <v/>
      </c>
      <c r="AH103" s="8">
        <f>IF(AA103="","",IFERROR(IF(VLOOKUP(AA103,'Unit Conversion'!A:B,2,FALSE)=VLOOKUP(AB103,'Unit Conversion'!A:B,2,FALSE),"OK","Check W/V mismatch"),"Check unit"))</f>
        <v/>
      </c>
      <c r="AI103" s="8" t="n"/>
    </row>
    <row r="104">
      <c r="A104" s="7" t="n"/>
      <c r="B104" s="7" t="n"/>
      <c r="C104" s="7" t="n"/>
      <c r="D104" s="7" t="n"/>
      <c r="E104" s="7" t="n"/>
      <c r="F104" s="7" t="n"/>
      <c r="G104" s="7" t="n"/>
      <c r="H104" s="7" t="n"/>
      <c r="I104" s="7" t="n"/>
      <c r="J104" s="7" t="n"/>
      <c r="K104" s="7" t="n"/>
      <c r="L104" s="7" t="n"/>
      <c r="M104" s="7" t="n"/>
      <c r="N104" s="7" t="n"/>
      <c r="O104" s="7" t="n"/>
      <c r="P104" s="7" t="n"/>
      <c r="Q104" s="7" t="n"/>
      <c r="R104" s="7" t="n"/>
      <c r="S104" s="7" t="n"/>
      <c r="T104" s="7" t="n"/>
      <c r="U104" s="7" t="n"/>
      <c r="V104" s="7" t="n"/>
      <c r="W104" s="7" t="n"/>
      <c r="X104" s="7" t="n"/>
      <c r="Y104" s="7" t="n"/>
      <c r="Z104" s="7" t="n"/>
      <c r="AA104" s="7" t="n"/>
      <c r="AB104" s="7">
        <f>IF(Y104="","",IFERROR(VLOOKUP(Y104,'Ingredients + Stock'!B:D,3,FALSE),""))</f>
        <v/>
      </c>
      <c r="AC104" s="7">
        <f>IF(Y104="","",IFERROR(VLOOKUP(Y104,'Ingredients + Stock'!B:G,6,FALSE),0))</f>
        <v/>
      </c>
      <c r="AD104" s="7">
        <f>IF(AA104="","",IFERROR(VLOOKUP(AA104,'Unit Conversion'!A:D,4,FALSE),1))</f>
        <v/>
      </c>
      <c r="AE104" s="7">
        <f>IF(AB104="","",IFERROR(VLOOKUP(AB104,'Unit Conversion'!A:D,4,FALSE),1))</f>
        <v/>
      </c>
      <c r="AF104" s="7">
        <f>IF(AA104="","",Z104*AD104/AE104)</f>
        <v/>
      </c>
      <c r="AG104" s="7">
        <f>AF104*AC104</f>
        <v/>
      </c>
      <c r="AH104" s="7">
        <f>IF(AA104="","",IFERROR(IF(VLOOKUP(AA104,'Unit Conversion'!A:B,2,FALSE)=VLOOKUP(AB104,'Unit Conversion'!A:B,2,FALSE),"OK","Check W/V mismatch"),"Check unit"))</f>
        <v/>
      </c>
      <c r="AI104" s="7" t="n"/>
    </row>
    <row r="105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8" t="n"/>
      <c r="J105" s="8" t="n"/>
      <c r="K105" s="8" t="n"/>
      <c r="L105" s="8" t="n"/>
      <c r="M105" s="8" t="n"/>
      <c r="N105" s="8" t="n"/>
      <c r="O105" s="8" t="n"/>
      <c r="P105" s="8" t="n"/>
      <c r="Q105" s="8" t="n"/>
      <c r="R105" s="8" t="n"/>
      <c r="S105" s="8" t="n"/>
      <c r="T105" s="8" t="n"/>
      <c r="U105" s="8" t="n"/>
      <c r="V105" s="8" t="n"/>
      <c r="W105" s="8" t="n"/>
      <c r="X105" s="8" t="n"/>
      <c r="Y105" s="8" t="n"/>
      <c r="Z105" s="8" t="n"/>
      <c r="AA105" s="8" t="n"/>
      <c r="AB105" s="8">
        <f>IF(Y105="","",IFERROR(VLOOKUP(Y105,'Ingredients + Stock'!B:D,3,FALSE),""))</f>
        <v/>
      </c>
      <c r="AC105" s="8">
        <f>IF(Y105="","",IFERROR(VLOOKUP(Y105,'Ingredients + Stock'!B:G,6,FALSE),0))</f>
        <v/>
      </c>
      <c r="AD105" s="8">
        <f>IF(AA105="","",IFERROR(VLOOKUP(AA105,'Unit Conversion'!A:D,4,FALSE),1))</f>
        <v/>
      </c>
      <c r="AE105" s="8">
        <f>IF(AB105="","",IFERROR(VLOOKUP(AB105,'Unit Conversion'!A:D,4,FALSE),1))</f>
        <v/>
      </c>
      <c r="AF105" s="8">
        <f>IF(AA105="","",Z105*AD105/AE105)</f>
        <v/>
      </c>
      <c r="AG105" s="8">
        <f>AF105*AC105</f>
        <v/>
      </c>
      <c r="AH105" s="8">
        <f>IF(AA105="","",IFERROR(IF(VLOOKUP(AA105,'Unit Conversion'!A:B,2,FALSE)=VLOOKUP(AB105,'Unit Conversion'!A:B,2,FALSE),"OK","Check W/V mismatch"),"Check unit"))</f>
        <v/>
      </c>
      <c r="AI105" s="8" t="n"/>
    </row>
    <row r="106">
      <c r="A106" s="7" t="n"/>
      <c r="B106" s="7" t="n"/>
      <c r="C106" s="7" t="n"/>
      <c r="D106" s="7" t="n"/>
      <c r="E106" s="7" t="n"/>
      <c r="F106" s="7" t="n"/>
      <c r="G106" s="7" t="n"/>
      <c r="H106" s="7" t="n"/>
      <c r="I106" s="7" t="n"/>
      <c r="J106" s="7" t="n"/>
      <c r="K106" s="7" t="n"/>
      <c r="L106" s="7" t="n"/>
      <c r="M106" s="7" t="n"/>
      <c r="N106" s="7" t="n"/>
      <c r="O106" s="7" t="n"/>
      <c r="P106" s="7" t="n"/>
      <c r="Q106" s="7" t="n"/>
      <c r="R106" s="7" t="n"/>
      <c r="S106" s="7" t="n"/>
      <c r="T106" s="7" t="n"/>
      <c r="U106" s="7" t="n"/>
      <c r="V106" s="7" t="n"/>
      <c r="W106" s="7" t="n"/>
      <c r="X106" s="7" t="n"/>
      <c r="Y106" s="7" t="n"/>
      <c r="Z106" s="7" t="n"/>
      <c r="AA106" s="7" t="n"/>
      <c r="AB106" s="7">
        <f>IF(Y106="","",IFERROR(VLOOKUP(Y106,'Ingredients + Stock'!B:D,3,FALSE),""))</f>
        <v/>
      </c>
      <c r="AC106" s="7">
        <f>IF(Y106="","",IFERROR(VLOOKUP(Y106,'Ingredients + Stock'!B:G,6,FALSE),0))</f>
        <v/>
      </c>
      <c r="AD106" s="7">
        <f>IF(AA106="","",IFERROR(VLOOKUP(AA106,'Unit Conversion'!A:D,4,FALSE),1))</f>
        <v/>
      </c>
      <c r="AE106" s="7">
        <f>IF(AB106="","",IFERROR(VLOOKUP(AB106,'Unit Conversion'!A:D,4,FALSE),1))</f>
        <v/>
      </c>
      <c r="AF106" s="7">
        <f>IF(AA106="","",Z106*AD106/AE106)</f>
        <v/>
      </c>
      <c r="AG106" s="7">
        <f>AF106*AC106</f>
        <v/>
      </c>
      <c r="AH106" s="7">
        <f>IF(AA106="","",IFERROR(IF(VLOOKUP(AA106,'Unit Conversion'!A:B,2,FALSE)=VLOOKUP(AB106,'Unit Conversion'!A:B,2,FALSE),"OK","Check W/V mismatch"),"Check unit"))</f>
        <v/>
      </c>
      <c r="AI106" s="7" t="n"/>
    </row>
    <row r="107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8" t="n"/>
      <c r="J107" s="8" t="n"/>
      <c r="K107" s="8" t="n"/>
      <c r="L107" s="8" t="n"/>
      <c r="M107" s="8" t="n"/>
      <c r="N107" s="8" t="n"/>
      <c r="O107" s="8" t="n"/>
      <c r="P107" s="8" t="n"/>
      <c r="Q107" s="8" t="n"/>
      <c r="R107" s="8" t="n"/>
      <c r="S107" s="8" t="n"/>
      <c r="T107" s="8" t="n"/>
      <c r="U107" s="8" t="n"/>
      <c r="V107" s="8" t="n"/>
      <c r="W107" s="8" t="n"/>
      <c r="X107" s="8" t="n"/>
      <c r="Y107" s="8" t="n"/>
      <c r="Z107" s="8" t="n"/>
      <c r="AA107" s="8" t="n"/>
      <c r="AB107" s="8">
        <f>IF(Y107="","",IFERROR(VLOOKUP(Y107,'Ingredients + Stock'!B:D,3,FALSE),""))</f>
        <v/>
      </c>
      <c r="AC107" s="8">
        <f>IF(Y107="","",IFERROR(VLOOKUP(Y107,'Ingredients + Stock'!B:G,6,FALSE),0))</f>
        <v/>
      </c>
      <c r="AD107" s="8">
        <f>IF(AA107="","",IFERROR(VLOOKUP(AA107,'Unit Conversion'!A:D,4,FALSE),1))</f>
        <v/>
      </c>
      <c r="AE107" s="8">
        <f>IF(AB107="","",IFERROR(VLOOKUP(AB107,'Unit Conversion'!A:D,4,FALSE),1))</f>
        <v/>
      </c>
      <c r="AF107" s="8">
        <f>IF(AA107="","",Z107*AD107/AE107)</f>
        <v/>
      </c>
      <c r="AG107" s="8">
        <f>AF107*AC107</f>
        <v/>
      </c>
      <c r="AH107" s="8">
        <f>IF(AA107="","",IFERROR(IF(VLOOKUP(AA107,'Unit Conversion'!A:B,2,FALSE)=VLOOKUP(AB107,'Unit Conversion'!A:B,2,FALSE),"OK","Check W/V mismatch"),"Check unit"))</f>
        <v/>
      </c>
      <c r="AI107" s="8" t="n"/>
    </row>
    <row r="108">
      <c r="A108" s="7" t="n"/>
      <c r="B108" s="7" t="n"/>
      <c r="C108" s="7" t="n"/>
      <c r="D108" s="7" t="n"/>
      <c r="E108" s="7" t="n"/>
      <c r="F108" s="7" t="n"/>
      <c r="G108" s="7" t="n"/>
      <c r="H108" s="7" t="n"/>
      <c r="I108" s="7" t="n"/>
      <c r="J108" s="7" t="n"/>
      <c r="K108" s="7" t="n"/>
      <c r="L108" s="7" t="n"/>
      <c r="M108" s="7" t="n"/>
      <c r="N108" s="7" t="n"/>
      <c r="O108" s="7" t="n"/>
      <c r="P108" s="7" t="n"/>
      <c r="Q108" s="7" t="n"/>
      <c r="R108" s="7" t="n"/>
      <c r="S108" s="7" t="n"/>
      <c r="T108" s="7" t="n"/>
      <c r="U108" s="7" t="n"/>
      <c r="V108" s="7" t="n"/>
      <c r="W108" s="7" t="n"/>
      <c r="X108" s="7" t="n"/>
      <c r="Y108" s="7" t="n"/>
      <c r="Z108" s="7" t="n"/>
      <c r="AA108" s="7" t="n"/>
      <c r="AB108" s="7">
        <f>IF(Y108="","",IFERROR(VLOOKUP(Y108,'Ingredients + Stock'!B:D,3,FALSE),""))</f>
        <v/>
      </c>
      <c r="AC108" s="7">
        <f>IF(Y108="","",IFERROR(VLOOKUP(Y108,'Ingredients + Stock'!B:G,6,FALSE),0))</f>
        <v/>
      </c>
      <c r="AD108" s="7">
        <f>IF(AA108="","",IFERROR(VLOOKUP(AA108,'Unit Conversion'!A:D,4,FALSE),1))</f>
        <v/>
      </c>
      <c r="AE108" s="7">
        <f>IF(AB108="","",IFERROR(VLOOKUP(AB108,'Unit Conversion'!A:D,4,FALSE),1))</f>
        <v/>
      </c>
      <c r="AF108" s="7">
        <f>IF(AA108="","",Z108*AD108/AE108)</f>
        <v/>
      </c>
      <c r="AG108" s="7">
        <f>AF108*AC108</f>
        <v/>
      </c>
      <c r="AH108" s="7">
        <f>IF(AA108="","",IFERROR(IF(VLOOKUP(AA108,'Unit Conversion'!A:B,2,FALSE)=VLOOKUP(AB108,'Unit Conversion'!A:B,2,FALSE),"OK","Check W/V mismatch"),"Check unit"))</f>
        <v/>
      </c>
      <c r="AI108" s="7" t="n"/>
    </row>
    <row r="109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8" t="n"/>
      <c r="J109" s="8" t="n"/>
      <c r="K109" s="8" t="n"/>
      <c r="L109" s="8" t="n"/>
      <c r="M109" s="8" t="n"/>
      <c r="N109" s="8" t="n"/>
      <c r="O109" s="8" t="n"/>
      <c r="P109" s="8" t="n"/>
      <c r="Q109" s="8" t="n"/>
      <c r="R109" s="8" t="n"/>
      <c r="S109" s="8" t="n"/>
      <c r="T109" s="8" t="n"/>
      <c r="U109" s="8" t="n"/>
      <c r="V109" s="8" t="n"/>
      <c r="W109" s="8" t="n"/>
      <c r="X109" s="8" t="n"/>
      <c r="Y109" s="8" t="n"/>
      <c r="Z109" s="8" t="n"/>
      <c r="AA109" s="8" t="n"/>
      <c r="AB109" s="8">
        <f>IF(Y109="","",IFERROR(VLOOKUP(Y109,'Ingredients + Stock'!B:D,3,FALSE),""))</f>
        <v/>
      </c>
      <c r="AC109" s="8">
        <f>IF(Y109="","",IFERROR(VLOOKUP(Y109,'Ingredients + Stock'!B:G,6,FALSE),0))</f>
        <v/>
      </c>
      <c r="AD109" s="8">
        <f>IF(AA109="","",IFERROR(VLOOKUP(AA109,'Unit Conversion'!A:D,4,FALSE),1))</f>
        <v/>
      </c>
      <c r="AE109" s="8">
        <f>IF(AB109="","",IFERROR(VLOOKUP(AB109,'Unit Conversion'!A:D,4,FALSE),1))</f>
        <v/>
      </c>
      <c r="AF109" s="8">
        <f>IF(AA109="","",Z109*AD109/AE109)</f>
        <v/>
      </c>
      <c r="AG109" s="8">
        <f>AF109*AC109</f>
        <v/>
      </c>
      <c r="AH109" s="8">
        <f>IF(AA109="","",IFERROR(IF(VLOOKUP(AA109,'Unit Conversion'!A:B,2,FALSE)=VLOOKUP(AB109,'Unit Conversion'!A:B,2,FALSE),"OK","Check W/V mismatch"),"Check unit"))</f>
        <v/>
      </c>
      <c r="AI109" s="8" t="n"/>
    </row>
    <row r="110">
      <c r="A110" s="7" t="n"/>
      <c r="B110" s="7" t="n"/>
      <c r="C110" s="7" t="n"/>
      <c r="D110" s="7" t="n"/>
      <c r="E110" s="7" t="n"/>
      <c r="F110" s="7" t="n"/>
      <c r="G110" s="7" t="n"/>
      <c r="H110" s="7" t="n"/>
      <c r="I110" s="7" t="n"/>
      <c r="J110" s="7" t="n"/>
      <c r="K110" s="7" t="n"/>
      <c r="L110" s="7" t="n"/>
      <c r="M110" s="7" t="n"/>
      <c r="N110" s="7" t="n"/>
      <c r="O110" s="7" t="n"/>
      <c r="P110" s="7" t="n"/>
      <c r="Q110" s="7" t="n"/>
      <c r="R110" s="7" t="n"/>
      <c r="S110" s="7" t="n"/>
      <c r="T110" s="7" t="n"/>
      <c r="U110" s="7" t="n"/>
      <c r="V110" s="7" t="n"/>
      <c r="W110" s="7" t="n"/>
      <c r="X110" s="7" t="n"/>
      <c r="Y110" s="7" t="n"/>
      <c r="Z110" s="7" t="n"/>
      <c r="AA110" s="7" t="n"/>
      <c r="AB110" s="7">
        <f>IF(Y110="","",IFERROR(VLOOKUP(Y110,'Ingredients + Stock'!B:D,3,FALSE),""))</f>
        <v/>
      </c>
      <c r="AC110" s="7">
        <f>IF(Y110="","",IFERROR(VLOOKUP(Y110,'Ingredients + Stock'!B:G,6,FALSE),0))</f>
        <v/>
      </c>
      <c r="AD110" s="7">
        <f>IF(AA110="","",IFERROR(VLOOKUP(AA110,'Unit Conversion'!A:D,4,FALSE),1))</f>
        <v/>
      </c>
      <c r="AE110" s="7">
        <f>IF(AB110="","",IFERROR(VLOOKUP(AB110,'Unit Conversion'!A:D,4,FALSE),1))</f>
        <v/>
      </c>
      <c r="AF110" s="7">
        <f>IF(AA110="","",Z110*AD110/AE110)</f>
        <v/>
      </c>
      <c r="AG110" s="7">
        <f>AF110*AC110</f>
        <v/>
      </c>
      <c r="AH110" s="7">
        <f>IF(AA110="","",IFERROR(IF(VLOOKUP(AA110,'Unit Conversion'!A:B,2,FALSE)=VLOOKUP(AB110,'Unit Conversion'!A:B,2,FALSE),"OK","Check W/V mismatch"),"Check unit"))</f>
        <v/>
      </c>
      <c r="AI110" s="7" t="n"/>
    </row>
    <row r="111">
      <c r="A111" s="8" t="n"/>
      <c r="B111" s="8" t="n"/>
      <c r="C111" s="8" t="n"/>
      <c r="D111" s="8" t="n"/>
      <c r="E111" s="8" t="n"/>
      <c r="F111" s="8" t="n"/>
      <c r="G111" s="8" t="n"/>
      <c r="H111" s="8" t="n"/>
      <c r="I111" s="8" t="n"/>
      <c r="J111" s="8" t="n"/>
      <c r="K111" s="8" t="n"/>
      <c r="L111" s="8" t="n"/>
      <c r="M111" s="8" t="n"/>
      <c r="N111" s="8" t="n"/>
      <c r="O111" s="8" t="n"/>
      <c r="P111" s="8" t="n"/>
      <c r="Q111" s="8" t="n"/>
      <c r="R111" s="8" t="n"/>
      <c r="S111" s="8" t="n"/>
      <c r="T111" s="8" t="n"/>
      <c r="U111" s="8" t="n"/>
      <c r="V111" s="8" t="n"/>
      <c r="W111" s="8" t="n"/>
      <c r="X111" s="8" t="n"/>
      <c r="Y111" s="8" t="n"/>
      <c r="Z111" s="8" t="n"/>
      <c r="AA111" s="8" t="n"/>
      <c r="AB111" s="8">
        <f>IF(Y111="","",IFERROR(VLOOKUP(Y111,'Ingredients + Stock'!B:D,3,FALSE),""))</f>
        <v/>
      </c>
      <c r="AC111" s="8">
        <f>IF(Y111="","",IFERROR(VLOOKUP(Y111,'Ingredients + Stock'!B:G,6,FALSE),0))</f>
        <v/>
      </c>
      <c r="AD111" s="8">
        <f>IF(AA111="","",IFERROR(VLOOKUP(AA111,'Unit Conversion'!A:D,4,FALSE),1))</f>
        <v/>
      </c>
      <c r="AE111" s="8">
        <f>IF(AB111="","",IFERROR(VLOOKUP(AB111,'Unit Conversion'!A:D,4,FALSE),1))</f>
        <v/>
      </c>
      <c r="AF111" s="8">
        <f>IF(AA111="","",Z111*AD111/AE111)</f>
        <v/>
      </c>
      <c r="AG111" s="8">
        <f>AF111*AC111</f>
        <v/>
      </c>
      <c r="AH111" s="8">
        <f>IF(AA111="","",IFERROR(IF(VLOOKUP(AA111,'Unit Conversion'!A:B,2,FALSE)=VLOOKUP(AB111,'Unit Conversion'!A:B,2,FALSE),"OK","Check W/V mismatch"),"Check unit"))</f>
        <v/>
      </c>
      <c r="AI111" s="8" t="n"/>
    </row>
    <row r="112">
      <c r="A112" s="7" t="n"/>
      <c r="B112" s="7" t="n"/>
      <c r="C112" s="7" t="n"/>
      <c r="D112" s="7" t="n"/>
      <c r="E112" s="7" t="n"/>
      <c r="F112" s="7" t="n"/>
      <c r="G112" s="7" t="n"/>
      <c r="H112" s="7" t="n"/>
      <c r="I112" s="7" t="n"/>
      <c r="J112" s="7" t="n"/>
      <c r="K112" s="7" t="n"/>
      <c r="L112" s="7" t="n"/>
      <c r="M112" s="7" t="n"/>
      <c r="N112" s="7" t="n"/>
      <c r="O112" s="7" t="n"/>
      <c r="P112" s="7" t="n"/>
      <c r="Q112" s="7" t="n"/>
      <c r="R112" s="7" t="n"/>
      <c r="S112" s="7" t="n"/>
      <c r="T112" s="7" t="n"/>
      <c r="U112" s="7" t="n"/>
      <c r="V112" s="7" t="n"/>
      <c r="W112" s="7" t="n"/>
      <c r="X112" s="7" t="n"/>
      <c r="Y112" s="7" t="n"/>
      <c r="Z112" s="7" t="n"/>
      <c r="AA112" s="7" t="n"/>
      <c r="AB112" s="7">
        <f>IF(Y112="","",IFERROR(VLOOKUP(Y112,'Ingredients + Stock'!B:D,3,FALSE),""))</f>
        <v/>
      </c>
      <c r="AC112" s="7">
        <f>IF(Y112="","",IFERROR(VLOOKUP(Y112,'Ingredients + Stock'!B:G,6,FALSE),0))</f>
        <v/>
      </c>
      <c r="AD112" s="7">
        <f>IF(AA112="","",IFERROR(VLOOKUP(AA112,'Unit Conversion'!A:D,4,FALSE),1))</f>
        <v/>
      </c>
      <c r="AE112" s="7">
        <f>IF(AB112="","",IFERROR(VLOOKUP(AB112,'Unit Conversion'!A:D,4,FALSE),1))</f>
        <v/>
      </c>
      <c r="AF112" s="7">
        <f>IF(AA112="","",Z112*AD112/AE112)</f>
        <v/>
      </c>
      <c r="AG112" s="7">
        <f>AF112*AC112</f>
        <v/>
      </c>
      <c r="AH112" s="7">
        <f>IF(AA112="","",IFERROR(IF(VLOOKUP(AA112,'Unit Conversion'!A:B,2,FALSE)=VLOOKUP(AB112,'Unit Conversion'!A:B,2,FALSE),"OK","Check W/V mismatch"),"Check unit"))</f>
        <v/>
      </c>
      <c r="AI112" s="7" t="n"/>
    </row>
    <row r="113">
      <c r="A113" s="8" t="n"/>
      <c r="B113" s="8" t="n"/>
      <c r="C113" s="8" t="n"/>
      <c r="D113" s="8" t="n"/>
      <c r="E113" s="8" t="n"/>
      <c r="F113" s="8" t="n"/>
      <c r="G113" s="8" t="n"/>
      <c r="H113" s="8" t="n"/>
      <c r="I113" s="8" t="n"/>
      <c r="J113" s="8" t="n"/>
      <c r="K113" s="8" t="n"/>
      <c r="L113" s="8" t="n"/>
      <c r="M113" s="8" t="n"/>
      <c r="N113" s="8" t="n"/>
      <c r="O113" s="8" t="n"/>
      <c r="P113" s="8" t="n"/>
      <c r="Q113" s="8" t="n"/>
      <c r="R113" s="8" t="n"/>
      <c r="S113" s="8" t="n"/>
      <c r="T113" s="8" t="n"/>
      <c r="U113" s="8" t="n"/>
      <c r="V113" s="8" t="n"/>
      <c r="W113" s="8" t="n"/>
      <c r="X113" s="8" t="n"/>
      <c r="Y113" s="8" t="n"/>
      <c r="Z113" s="8" t="n"/>
      <c r="AA113" s="8" t="n"/>
      <c r="AB113" s="8">
        <f>IF(Y113="","",IFERROR(VLOOKUP(Y113,'Ingredients + Stock'!B:D,3,FALSE),""))</f>
        <v/>
      </c>
      <c r="AC113" s="8">
        <f>IF(Y113="","",IFERROR(VLOOKUP(Y113,'Ingredients + Stock'!B:G,6,FALSE),0))</f>
        <v/>
      </c>
      <c r="AD113" s="8">
        <f>IF(AA113="","",IFERROR(VLOOKUP(AA113,'Unit Conversion'!A:D,4,FALSE),1))</f>
        <v/>
      </c>
      <c r="AE113" s="8">
        <f>IF(AB113="","",IFERROR(VLOOKUP(AB113,'Unit Conversion'!A:D,4,FALSE),1))</f>
        <v/>
      </c>
      <c r="AF113" s="8">
        <f>IF(AA113="","",Z113*AD113/AE113)</f>
        <v/>
      </c>
      <c r="AG113" s="8">
        <f>AF113*AC113</f>
        <v/>
      </c>
      <c r="AH113" s="8">
        <f>IF(AA113="","",IFERROR(IF(VLOOKUP(AA113,'Unit Conversion'!A:B,2,FALSE)=VLOOKUP(AB113,'Unit Conversion'!A:B,2,FALSE),"OK","Check W/V mismatch"),"Check unit"))</f>
        <v/>
      </c>
      <c r="AI113" s="8" t="n"/>
    </row>
    <row r="114">
      <c r="A114" s="7" t="n"/>
      <c r="B114" s="7" t="n"/>
      <c r="C114" s="7" t="n"/>
      <c r="D114" s="7" t="n"/>
      <c r="E114" s="7" t="n"/>
      <c r="F114" s="7" t="n"/>
      <c r="G114" s="7" t="n"/>
      <c r="H114" s="7" t="n"/>
      <c r="I114" s="7" t="n"/>
      <c r="J114" s="7" t="n"/>
      <c r="K114" s="7" t="n"/>
      <c r="L114" s="7" t="n"/>
      <c r="M114" s="7" t="n"/>
      <c r="N114" s="7" t="n"/>
      <c r="O114" s="7" t="n"/>
      <c r="P114" s="7" t="n"/>
      <c r="Q114" s="7" t="n"/>
      <c r="R114" s="7" t="n"/>
      <c r="S114" s="7" t="n"/>
      <c r="T114" s="7" t="n"/>
      <c r="U114" s="7" t="n"/>
      <c r="V114" s="7" t="n"/>
      <c r="W114" s="7" t="n"/>
      <c r="X114" s="7" t="n"/>
      <c r="Y114" s="7" t="n"/>
      <c r="Z114" s="7" t="n"/>
      <c r="AA114" s="7" t="n"/>
      <c r="AB114" s="7">
        <f>IF(Y114="","",IFERROR(VLOOKUP(Y114,'Ingredients + Stock'!B:D,3,FALSE),""))</f>
        <v/>
      </c>
      <c r="AC114" s="7">
        <f>IF(Y114="","",IFERROR(VLOOKUP(Y114,'Ingredients + Stock'!B:G,6,FALSE),0))</f>
        <v/>
      </c>
      <c r="AD114" s="7">
        <f>IF(AA114="","",IFERROR(VLOOKUP(AA114,'Unit Conversion'!A:D,4,FALSE),1))</f>
        <v/>
      </c>
      <c r="AE114" s="7">
        <f>IF(AB114="","",IFERROR(VLOOKUP(AB114,'Unit Conversion'!A:D,4,FALSE),1))</f>
        <v/>
      </c>
      <c r="AF114" s="7">
        <f>IF(AA114="","",Z114*AD114/AE114)</f>
        <v/>
      </c>
      <c r="AG114" s="7">
        <f>AF114*AC114</f>
        <v/>
      </c>
      <c r="AH114" s="7">
        <f>IF(AA114="","",IFERROR(IF(VLOOKUP(AA114,'Unit Conversion'!A:B,2,FALSE)=VLOOKUP(AB114,'Unit Conversion'!A:B,2,FALSE),"OK","Check W/V mismatch"),"Check unit"))</f>
        <v/>
      </c>
      <c r="AI114" s="7" t="n"/>
    </row>
    <row r="115">
      <c r="A115" s="8" t="n"/>
      <c r="B115" s="8" t="n"/>
      <c r="C115" s="8" t="n"/>
      <c r="D115" s="8" t="n"/>
      <c r="E115" s="8" t="n"/>
      <c r="F115" s="8" t="n"/>
      <c r="G115" s="8" t="n"/>
      <c r="H115" s="8" t="n"/>
      <c r="I115" s="8" t="n"/>
      <c r="J115" s="8" t="n"/>
      <c r="K115" s="8" t="n"/>
      <c r="L115" s="8" t="n"/>
      <c r="M115" s="8" t="n"/>
      <c r="N115" s="8" t="n"/>
      <c r="O115" s="8" t="n"/>
      <c r="P115" s="8" t="n"/>
      <c r="Q115" s="8" t="n"/>
      <c r="R115" s="8" t="n"/>
      <c r="S115" s="8" t="n"/>
      <c r="T115" s="8" t="n"/>
      <c r="U115" s="8" t="n"/>
      <c r="V115" s="8" t="n"/>
      <c r="W115" s="8" t="n"/>
      <c r="X115" s="8" t="n"/>
      <c r="Y115" s="8" t="n"/>
      <c r="Z115" s="8" t="n"/>
      <c r="AA115" s="8" t="n"/>
      <c r="AB115" s="8">
        <f>IF(Y115="","",IFERROR(VLOOKUP(Y115,'Ingredients + Stock'!B:D,3,FALSE),""))</f>
        <v/>
      </c>
      <c r="AC115" s="8">
        <f>IF(Y115="","",IFERROR(VLOOKUP(Y115,'Ingredients + Stock'!B:G,6,FALSE),0))</f>
        <v/>
      </c>
      <c r="AD115" s="8">
        <f>IF(AA115="","",IFERROR(VLOOKUP(AA115,'Unit Conversion'!A:D,4,FALSE),1))</f>
        <v/>
      </c>
      <c r="AE115" s="8">
        <f>IF(AB115="","",IFERROR(VLOOKUP(AB115,'Unit Conversion'!A:D,4,FALSE),1))</f>
        <v/>
      </c>
      <c r="AF115" s="8">
        <f>IF(AA115="","",Z115*AD115/AE115)</f>
        <v/>
      </c>
      <c r="AG115" s="8">
        <f>AF115*AC115</f>
        <v/>
      </c>
      <c r="AH115" s="8">
        <f>IF(AA115="","",IFERROR(IF(VLOOKUP(AA115,'Unit Conversion'!A:B,2,FALSE)=VLOOKUP(AB115,'Unit Conversion'!A:B,2,FALSE),"OK","Check W/V mismatch"),"Check unit"))</f>
        <v/>
      </c>
      <c r="AI115" s="8" t="n"/>
    </row>
    <row r="116">
      <c r="A116" s="7" t="n"/>
      <c r="B116" s="7" t="n"/>
      <c r="C116" s="7" t="n"/>
      <c r="D116" s="7" t="n"/>
      <c r="E116" s="7" t="n"/>
      <c r="F116" s="7" t="n"/>
      <c r="G116" s="7" t="n"/>
      <c r="H116" s="7" t="n"/>
      <c r="I116" s="7" t="n"/>
      <c r="J116" s="7" t="n"/>
      <c r="K116" s="7" t="n"/>
      <c r="L116" s="7" t="n"/>
      <c r="M116" s="7" t="n"/>
      <c r="N116" s="7" t="n"/>
      <c r="O116" s="7" t="n"/>
      <c r="P116" s="7" t="n"/>
      <c r="Q116" s="7" t="n"/>
      <c r="R116" s="7" t="n"/>
      <c r="S116" s="7" t="n"/>
      <c r="T116" s="7" t="n"/>
      <c r="U116" s="7" t="n"/>
      <c r="V116" s="7" t="n"/>
      <c r="W116" s="7" t="n"/>
      <c r="X116" s="7" t="n"/>
      <c r="Y116" s="7" t="n"/>
      <c r="Z116" s="7" t="n"/>
      <c r="AA116" s="7" t="n"/>
      <c r="AB116" s="7">
        <f>IF(Y116="","",IFERROR(VLOOKUP(Y116,'Ingredients + Stock'!B:D,3,FALSE),""))</f>
        <v/>
      </c>
      <c r="AC116" s="7">
        <f>IF(Y116="","",IFERROR(VLOOKUP(Y116,'Ingredients + Stock'!B:G,6,FALSE),0))</f>
        <v/>
      </c>
      <c r="AD116" s="7">
        <f>IF(AA116="","",IFERROR(VLOOKUP(AA116,'Unit Conversion'!A:D,4,FALSE),1))</f>
        <v/>
      </c>
      <c r="AE116" s="7">
        <f>IF(AB116="","",IFERROR(VLOOKUP(AB116,'Unit Conversion'!A:D,4,FALSE),1))</f>
        <v/>
      </c>
      <c r="AF116" s="7">
        <f>IF(AA116="","",Z116*AD116/AE116)</f>
        <v/>
      </c>
      <c r="AG116" s="7">
        <f>AF116*AC116</f>
        <v/>
      </c>
      <c r="AH116" s="7">
        <f>IF(AA116="","",IFERROR(IF(VLOOKUP(AA116,'Unit Conversion'!A:B,2,FALSE)=VLOOKUP(AB116,'Unit Conversion'!A:B,2,FALSE),"OK","Check W/V mismatch"),"Check unit"))</f>
        <v/>
      </c>
      <c r="AI116" s="7" t="n"/>
    </row>
    <row r="117">
      <c r="A117" s="8" t="n"/>
      <c r="B117" s="8" t="n"/>
      <c r="C117" s="8" t="n"/>
      <c r="D117" s="8" t="n"/>
      <c r="E117" s="8" t="n"/>
      <c r="F117" s="8" t="n"/>
      <c r="G117" s="8" t="n"/>
      <c r="H117" s="8" t="n"/>
      <c r="I117" s="8" t="n"/>
      <c r="J117" s="8" t="n"/>
      <c r="K117" s="8" t="n"/>
      <c r="L117" s="8" t="n"/>
      <c r="M117" s="8" t="n"/>
      <c r="N117" s="8" t="n"/>
      <c r="O117" s="8" t="n"/>
      <c r="P117" s="8" t="n"/>
      <c r="Q117" s="8" t="n"/>
      <c r="R117" s="8" t="n"/>
      <c r="S117" s="8" t="n"/>
      <c r="T117" s="8" t="n"/>
      <c r="U117" s="8" t="n"/>
      <c r="V117" s="8" t="n"/>
      <c r="W117" s="8" t="n"/>
      <c r="X117" s="8" t="n"/>
      <c r="Y117" s="8" t="n"/>
      <c r="Z117" s="8" t="n"/>
      <c r="AA117" s="8" t="n"/>
      <c r="AB117" s="8">
        <f>IF(Y117="","",IFERROR(VLOOKUP(Y117,'Ingredients + Stock'!B:D,3,FALSE),""))</f>
        <v/>
      </c>
      <c r="AC117" s="8">
        <f>IF(Y117="","",IFERROR(VLOOKUP(Y117,'Ingredients + Stock'!B:G,6,FALSE),0))</f>
        <v/>
      </c>
      <c r="AD117" s="8">
        <f>IF(AA117="","",IFERROR(VLOOKUP(AA117,'Unit Conversion'!A:D,4,FALSE),1))</f>
        <v/>
      </c>
      <c r="AE117" s="8">
        <f>IF(AB117="","",IFERROR(VLOOKUP(AB117,'Unit Conversion'!A:D,4,FALSE),1))</f>
        <v/>
      </c>
      <c r="AF117" s="8">
        <f>IF(AA117="","",Z117*AD117/AE117)</f>
        <v/>
      </c>
      <c r="AG117" s="8">
        <f>AF117*AC117</f>
        <v/>
      </c>
      <c r="AH117" s="8">
        <f>IF(AA117="","",IFERROR(IF(VLOOKUP(AA117,'Unit Conversion'!A:B,2,FALSE)=VLOOKUP(AB117,'Unit Conversion'!A:B,2,FALSE),"OK","Check W/V mismatch"),"Check unit"))</f>
        <v/>
      </c>
      <c r="AI117" s="8" t="n"/>
    </row>
    <row r="118">
      <c r="A118" s="7" t="n"/>
      <c r="B118" s="7" t="n"/>
      <c r="C118" s="7" t="n"/>
      <c r="D118" s="7" t="n"/>
      <c r="E118" s="7" t="n"/>
      <c r="F118" s="7" t="n"/>
      <c r="G118" s="7" t="n"/>
      <c r="H118" s="7" t="n"/>
      <c r="I118" s="7" t="n"/>
      <c r="J118" s="7" t="n"/>
      <c r="K118" s="7" t="n"/>
      <c r="L118" s="7" t="n"/>
      <c r="M118" s="7" t="n"/>
      <c r="N118" s="7" t="n"/>
      <c r="O118" s="7" t="n"/>
      <c r="P118" s="7" t="n"/>
      <c r="Q118" s="7" t="n"/>
      <c r="R118" s="7" t="n"/>
      <c r="S118" s="7" t="n"/>
      <c r="T118" s="7" t="n"/>
      <c r="U118" s="7" t="n"/>
      <c r="V118" s="7" t="n"/>
      <c r="W118" s="7" t="n"/>
      <c r="X118" s="7" t="n"/>
      <c r="Y118" s="7" t="n"/>
      <c r="Z118" s="7" t="n"/>
      <c r="AA118" s="7" t="n"/>
      <c r="AB118" s="7">
        <f>IF(Y118="","",IFERROR(VLOOKUP(Y118,'Ingredients + Stock'!B:D,3,FALSE),""))</f>
        <v/>
      </c>
      <c r="AC118" s="7">
        <f>IF(Y118="","",IFERROR(VLOOKUP(Y118,'Ingredients + Stock'!B:G,6,FALSE),0))</f>
        <v/>
      </c>
      <c r="AD118" s="7">
        <f>IF(AA118="","",IFERROR(VLOOKUP(AA118,'Unit Conversion'!A:D,4,FALSE),1))</f>
        <v/>
      </c>
      <c r="AE118" s="7">
        <f>IF(AB118="","",IFERROR(VLOOKUP(AB118,'Unit Conversion'!A:D,4,FALSE),1))</f>
        <v/>
      </c>
      <c r="AF118" s="7">
        <f>IF(AA118="","",Z118*AD118/AE118)</f>
        <v/>
      </c>
      <c r="AG118" s="7">
        <f>AF118*AC118</f>
        <v/>
      </c>
      <c r="AH118" s="7">
        <f>IF(AA118="","",IFERROR(IF(VLOOKUP(AA118,'Unit Conversion'!A:B,2,FALSE)=VLOOKUP(AB118,'Unit Conversion'!A:B,2,FALSE),"OK","Check W/V mismatch"),"Check unit"))</f>
        <v/>
      </c>
      <c r="AI118" s="7" t="n"/>
    </row>
    <row r="119">
      <c r="A119" s="8" t="n"/>
      <c r="B119" s="8" t="n"/>
      <c r="C119" s="8" t="n"/>
      <c r="D119" s="8" t="n"/>
      <c r="E119" s="8" t="n"/>
      <c r="F119" s="8" t="n"/>
      <c r="G119" s="8" t="n"/>
      <c r="H119" s="8" t="n"/>
      <c r="I119" s="8" t="n"/>
      <c r="J119" s="8" t="n"/>
      <c r="K119" s="8" t="n"/>
      <c r="L119" s="8" t="n"/>
      <c r="M119" s="8" t="n"/>
      <c r="N119" s="8" t="n"/>
      <c r="O119" s="8" t="n"/>
      <c r="P119" s="8" t="n"/>
      <c r="Q119" s="8" t="n"/>
      <c r="R119" s="8" t="n"/>
      <c r="S119" s="8" t="n"/>
      <c r="T119" s="8" t="n"/>
      <c r="U119" s="8" t="n"/>
      <c r="V119" s="8" t="n"/>
      <c r="W119" s="8" t="n"/>
      <c r="X119" s="8" t="n"/>
      <c r="Y119" s="8" t="n"/>
      <c r="Z119" s="8" t="n"/>
      <c r="AA119" s="8" t="n"/>
      <c r="AB119" s="8">
        <f>IF(Y119="","",IFERROR(VLOOKUP(Y119,'Ingredients + Stock'!B:D,3,FALSE),""))</f>
        <v/>
      </c>
      <c r="AC119" s="8">
        <f>IF(Y119="","",IFERROR(VLOOKUP(Y119,'Ingredients + Stock'!B:G,6,FALSE),0))</f>
        <v/>
      </c>
      <c r="AD119" s="8">
        <f>IF(AA119="","",IFERROR(VLOOKUP(AA119,'Unit Conversion'!A:D,4,FALSE),1))</f>
        <v/>
      </c>
      <c r="AE119" s="8">
        <f>IF(AB119="","",IFERROR(VLOOKUP(AB119,'Unit Conversion'!A:D,4,FALSE),1))</f>
        <v/>
      </c>
      <c r="AF119" s="8">
        <f>IF(AA119="","",Z119*AD119/AE119)</f>
        <v/>
      </c>
      <c r="AG119" s="8">
        <f>AF119*AC119</f>
        <v/>
      </c>
      <c r="AH119" s="8">
        <f>IF(AA119="","",IFERROR(IF(VLOOKUP(AA119,'Unit Conversion'!A:B,2,FALSE)=VLOOKUP(AB119,'Unit Conversion'!A:B,2,FALSE),"OK","Check W/V mismatch"),"Check unit"))</f>
        <v/>
      </c>
      <c r="AI119" s="8" t="n"/>
    </row>
    <row r="120">
      <c r="A120" s="7" t="n"/>
      <c r="B120" s="7" t="n"/>
      <c r="C120" s="7" t="n"/>
      <c r="D120" s="7" t="n"/>
      <c r="E120" s="7" t="n"/>
      <c r="F120" s="7" t="n"/>
      <c r="G120" s="7" t="n"/>
      <c r="H120" s="7" t="n"/>
      <c r="I120" s="7" t="n"/>
      <c r="J120" s="7" t="n"/>
      <c r="K120" s="7" t="n"/>
      <c r="L120" s="7" t="n"/>
      <c r="M120" s="7" t="n"/>
      <c r="N120" s="7" t="n"/>
      <c r="O120" s="7" t="n"/>
      <c r="P120" s="7" t="n"/>
      <c r="Q120" s="7" t="n"/>
      <c r="R120" s="7" t="n"/>
      <c r="S120" s="7" t="n"/>
      <c r="T120" s="7" t="n"/>
      <c r="U120" s="7" t="n"/>
      <c r="V120" s="7" t="n"/>
      <c r="W120" s="7" t="n"/>
      <c r="X120" s="7" t="n"/>
      <c r="Y120" s="7" t="n"/>
      <c r="Z120" s="7" t="n"/>
      <c r="AA120" s="7" t="n"/>
      <c r="AB120" s="7">
        <f>IF(Y120="","",IFERROR(VLOOKUP(Y120,'Ingredients + Stock'!B:D,3,FALSE),""))</f>
        <v/>
      </c>
      <c r="AC120" s="7">
        <f>IF(Y120="","",IFERROR(VLOOKUP(Y120,'Ingredients + Stock'!B:G,6,FALSE),0))</f>
        <v/>
      </c>
      <c r="AD120" s="7">
        <f>IF(AA120="","",IFERROR(VLOOKUP(AA120,'Unit Conversion'!A:D,4,FALSE),1))</f>
        <v/>
      </c>
      <c r="AE120" s="7">
        <f>IF(AB120="","",IFERROR(VLOOKUP(AB120,'Unit Conversion'!A:D,4,FALSE),1))</f>
        <v/>
      </c>
      <c r="AF120" s="7">
        <f>IF(AA120="","",Z120*AD120/AE120)</f>
        <v/>
      </c>
      <c r="AG120" s="7">
        <f>AF120*AC120</f>
        <v/>
      </c>
      <c r="AH120" s="7">
        <f>IF(AA120="","",IFERROR(IF(VLOOKUP(AA120,'Unit Conversion'!A:B,2,FALSE)=VLOOKUP(AB120,'Unit Conversion'!A:B,2,FALSE),"OK","Check W/V mismatch"),"Check unit"))</f>
        <v/>
      </c>
      <c r="AI120" s="7" t="n"/>
    </row>
    <row r="121">
      <c r="A121" s="8" t="n"/>
      <c r="B121" s="8" t="n"/>
      <c r="C121" s="8" t="n"/>
      <c r="D121" s="8" t="n"/>
      <c r="E121" s="8" t="n"/>
      <c r="F121" s="8" t="n"/>
      <c r="G121" s="8" t="n"/>
      <c r="H121" s="8" t="n"/>
      <c r="I121" s="8" t="n"/>
      <c r="J121" s="8" t="n"/>
      <c r="K121" s="8" t="n"/>
      <c r="L121" s="8" t="n"/>
      <c r="M121" s="8" t="n"/>
      <c r="N121" s="8" t="n"/>
      <c r="O121" s="8" t="n"/>
      <c r="P121" s="8" t="n"/>
      <c r="Q121" s="8" t="n"/>
      <c r="R121" s="8" t="n"/>
      <c r="S121" s="8" t="n"/>
      <c r="T121" s="8" t="n"/>
      <c r="U121" s="8" t="n"/>
      <c r="V121" s="8" t="n"/>
      <c r="W121" s="8" t="n"/>
      <c r="X121" s="8" t="n"/>
      <c r="Y121" s="8" t="n"/>
      <c r="Z121" s="8" t="n"/>
      <c r="AA121" s="8" t="n"/>
      <c r="AB121" s="8">
        <f>IF(Y121="","",IFERROR(VLOOKUP(Y121,'Ingredients + Stock'!B:D,3,FALSE),""))</f>
        <v/>
      </c>
      <c r="AC121" s="8">
        <f>IF(Y121="","",IFERROR(VLOOKUP(Y121,'Ingredients + Stock'!B:G,6,FALSE),0))</f>
        <v/>
      </c>
      <c r="AD121" s="8">
        <f>IF(AA121="","",IFERROR(VLOOKUP(AA121,'Unit Conversion'!A:D,4,FALSE),1))</f>
        <v/>
      </c>
      <c r="AE121" s="8">
        <f>IF(AB121="","",IFERROR(VLOOKUP(AB121,'Unit Conversion'!A:D,4,FALSE),1))</f>
        <v/>
      </c>
      <c r="AF121" s="8">
        <f>IF(AA121="","",Z121*AD121/AE121)</f>
        <v/>
      </c>
      <c r="AG121" s="8">
        <f>AF121*AC121</f>
        <v/>
      </c>
      <c r="AH121" s="8">
        <f>IF(AA121="","",IFERROR(IF(VLOOKUP(AA121,'Unit Conversion'!A:B,2,FALSE)=VLOOKUP(AB121,'Unit Conversion'!A:B,2,FALSE),"OK","Check W/V mismatch"),"Check unit"))</f>
        <v/>
      </c>
      <c r="AI121" s="8" t="n"/>
    </row>
    <row r="122">
      <c r="A122" s="7" t="n"/>
      <c r="B122" s="7" t="n"/>
      <c r="C122" s="7" t="n"/>
      <c r="D122" s="7" t="n"/>
      <c r="E122" s="7" t="n"/>
      <c r="F122" s="7" t="n"/>
      <c r="G122" s="7" t="n"/>
      <c r="H122" s="7" t="n"/>
      <c r="I122" s="7" t="n"/>
      <c r="J122" s="7" t="n"/>
      <c r="K122" s="7" t="n"/>
      <c r="L122" s="7" t="n"/>
      <c r="M122" s="7" t="n"/>
      <c r="N122" s="7" t="n"/>
      <c r="O122" s="7" t="n"/>
      <c r="P122" s="7" t="n"/>
      <c r="Q122" s="7" t="n"/>
      <c r="R122" s="7" t="n"/>
      <c r="S122" s="7" t="n"/>
      <c r="T122" s="7" t="n"/>
      <c r="U122" s="7" t="n"/>
      <c r="V122" s="7" t="n"/>
      <c r="W122" s="7" t="n"/>
      <c r="X122" s="7" t="n"/>
      <c r="Y122" s="7" t="n"/>
      <c r="Z122" s="7" t="n"/>
      <c r="AA122" s="7" t="n"/>
      <c r="AB122" s="7">
        <f>IF(Y122="","",IFERROR(VLOOKUP(Y122,'Ingredients + Stock'!B:D,3,FALSE),""))</f>
        <v/>
      </c>
      <c r="AC122" s="7">
        <f>IF(Y122="","",IFERROR(VLOOKUP(Y122,'Ingredients + Stock'!B:G,6,FALSE),0))</f>
        <v/>
      </c>
      <c r="AD122" s="7">
        <f>IF(AA122="","",IFERROR(VLOOKUP(AA122,'Unit Conversion'!A:D,4,FALSE),1))</f>
        <v/>
      </c>
      <c r="AE122" s="7">
        <f>IF(AB122="","",IFERROR(VLOOKUP(AB122,'Unit Conversion'!A:D,4,FALSE),1))</f>
        <v/>
      </c>
      <c r="AF122" s="7">
        <f>IF(AA122="","",Z122*AD122/AE122)</f>
        <v/>
      </c>
      <c r="AG122" s="7">
        <f>AF122*AC122</f>
        <v/>
      </c>
      <c r="AH122" s="7">
        <f>IF(AA122="","",IFERROR(IF(VLOOKUP(AA122,'Unit Conversion'!A:B,2,FALSE)=VLOOKUP(AB122,'Unit Conversion'!A:B,2,FALSE),"OK","Check W/V mismatch"),"Check unit"))</f>
        <v/>
      </c>
      <c r="AI122" s="7" t="n"/>
    </row>
    <row r="123">
      <c r="A123" s="8" t="n"/>
      <c r="B123" s="8" t="n"/>
      <c r="C123" s="8" t="n"/>
      <c r="D123" s="8" t="n"/>
      <c r="E123" s="8" t="n"/>
      <c r="F123" s="8" t="n"/>
      <c r="G123" s="8" t="n"/>
      <c r="H123" s="8" t="n"/>
      <c r="I123" s="8" t="n"/>
      <c r="J123" s="8" t="n"/>
      <c r="K123" s="8" t="n"/>
      <c r="L123" s="8" t="n"/>
      <c r="M123" s="8" t="n"/>
      <c r="N123" s="8" t="n"/>
      <c r="O123" s="8" t="n"/>
      <c r="P123" s="8" t="n"/>
      <c r="Q123" s="8" t="n"/>
      <c r="R123" s="8" t="n"/>
      <c r="S123" s="8" t="n"/>
      <c r="T123" s="8" t="n"/>
      <c r="U123" s="8" t="n"/>
      <c r="V123" s="8" t="n"/>
      <c r="W123" s="8" t="n"/>
      <c r="X123" s="8" t="n"/>
      <c r="Y123" s="8" t="n"/>
      <c r="Z123" s="8" t="n"/>
      <c r="AA123" s="8" t="n"/>
      <c r="AB123" s="8">
        <f>IF(Y123="","",IFERROR(VLOOKUP(Y123,'Ingredients + Stock'!B:D,3,FALSE),""))</f>
        <v/>
      </c>
      <c r="AC123" s="8">
        <f>IF(Y123="","",IFERROR(VLOOKUP(Y123,'Ingredients + Stock'!B:G,6,FALSE),0))</f>
        <v/>
      </c>
      <c r="AD123" s="8">
        <f>IF(AA123="","",IFERROR(VLOOKUP(AA123,'Unit Conversion'!A:D,4,FALSE),1))</f>
        <v/>
      </c>
      <c r="AE123" s="8">
        <f>IF(AB123="","",IFERROR(VLOOKUP(AB123,'Unit Conversion'!A:D,4,FALSE),1))</f>
        <v/>
      </c>
      <c r="AF123" s="8">
        <f>IF(AA123="","",Z123*AD123/AE123)</f>
        <v/>
      </c>
      <c r="AG123" s="8">
        <f>AF123*AC123</f>
        <v/>
      </c>
      <c r="AH123" s="8">
        <f>IF(AA123="","",IFERROR(IF(VLOOKUP(AA123,'Unit Conversion'!A:B,2,FALSE)=VLOOKUP(AB123,'Unit Conversion'!A:B,2,FALSE),"OK","Check W/V mismatch"),"Check unit"))</f>
        <v/>
      </c>
      <c r="AI123" s="8" t="n"/>
    </row>
    <row r="124">
      <c r="A124" s="7" t="n"/>
      <c r="B124" s="7" t="n"/>
      <c r="C124" s="7" t="n"/>
      <c r="D124" s="7" t="n"/>
      <c r="E124" s="7" t="n"/>
      <c r="F124" s="7" t="n"/>
      <c r="G124" s="7" t="n"/>
      <c r="H124" s="7" t="n"/>
      <c r="I124" s="7" t="n"/>
      <c r="J124" s="7" t="n"/>
      <c r="K124" s="7" t="n"/>
      <c r="L124" s="7" t="n"/>
      <c r="M124" s="7" t="n"/>
      <c r="N124" s="7" t="n"/>
      <c r="O124" s="7" t="n"/>
      <c r="P124" s="7" t="n"/>
      <c r="Q124" s="7" t="n"/>
      <c r="R124" s="7" t="n"/>
      <c r="S124" s="7" t="n"/>
      <c r="T124" s="7" t="n"/>
      <c r="U124" s="7" t="n"/>
      <c r="V124" s="7" t="n"/>
      <c r="W124" s="7" t="n"/>
      <c r="X124" s="7" t="n"/>
      <c r="Y124" s="7" t="n"/>
      <c r="Z124" s="7" t="n"/>
      <c r="AA124" s="7" t="n"/>
      <c r="AB124" s="7">
        <f>IF(Y124="","",IFERROR(VLOOKUP(Y124,'Ingredients + Stock'!B:D,3,FALSE),""))</f>
        <v/>
      </c>
      <c r="AC124" s="7">
        <f>IF(Y124="","",IFERROR(VLOOKUP(Y124,'Ingredients + Stock'!B:G,6,FALSE),0))</f>
        <v/>
      </c>
      <c r="AD124" s="7">
        <f>IF(AA124="","",IFERROR(VLOOKUP(AA124,'Unit Conversion'!A:D,4,FALSE),1))</f>
        <v/>
      </c>
      <c r="AE124" s="7">
        <f>IF(AB124="","",IFERROR(VLOOKUP(AB124,'Unit Conversion'!A:D,4,FALSE),1))</f>
        <v/>
      </c>
      <c r="AF124" s="7">
        <f>IF(AA124="","",Z124*AD124/AE124)</f>
        <v/>
      </c>
      <c r="AG124" s="7">
        <f>AF124*AC124</f>
        <v/>
      </c>
      <c r="AH124" s="7">
        <f>IF(AA124="","",IFERROR(IF(VLOOKUP(AA124,'Unit Conversion'!A:B,2,FALSE)=VLOOKUP(AB124,'Unit Conversion'!A:B,2,FALSE),"OK","Check W/V mismatch"),"Check unit"))</f>
        <v/>
      </c>
      <c r="AI124" s="7" t="n"/>
    </row>
    <row r="125">
      <c r="A125" s="8" t="n"/>
      <c r="B125" s="8" t="n"/>
      <c r="C125" s="8" t="n"/>
      <c r="D125" s="8" t="n"/>
      <c r="E125" s="8" t="n"/>
      <c r="F125" s="8" t="n"/>
      <c r="G125" s="8" t="n"/>
      <c r="H125" s="8" t="n"/>
      <c r="I125" s="8" t="n"/>
      <c r="J125" s="8" t="n"/>
      <c r="K125" s="8" t="n"/>
      <c r="L125" s="8" t="n"/>
      <c r="M125" s="8" t="n"/>
      <c r="N125" s="8" t="n"/>
      <c r="O125" s="8" t="n"/>
      <c r="P125" s="8" t="n"/>
      <c r="Q125" s="8" t="n"/>
      <c r="R125" s="8" t="n"/>
      <c r="S125" s="8" t="n"/>
      <c r="T125" s="8" t="n"/>
      <c r="U125" s="8" t="n"/>
      <c r="V125" s="8" t="n"/>
      <c r="W125" s="8" t="n"/>
      <c r="X125" s="8" t="n"/>
      <c r="Y125" s="8" t="n"/>
      <c r="Z125" s="8" t="n"/>
      <c r="AA125" s="8" t="n"/>
      <c r="AB125" s="8">
        <f>IF(Y125="","",IFERROR(VLOOKUP(Y125,'Ingredients + Stock'!B:D,3,FALSE),""))</f>
        <v/>
      </c>
      <c r="AC125" s="8">
        <f>IF(Y125="","",IFERROR(VLOOKUP(Y125,'Ingredients + Stock'!B:G,6,FALSE),0))</f>
        <v/>
      </c>
      <c r="AD125" s="8">
        <f>IF(AA125="","",IFERROR(VLOOKUP(AA125,'Unit Conversion'!A:D,4,FALSE),1))</f>
        <v/>
      </c>
      <c r="AE125" s="8">
        <f>IF(AB125="","",IFERROR(VLOOKUP(AB125,'Unit Conversion'!A:D,4,FALSE),1))</f>
        <v/>
      </c>
      <c r="AF125" s="8">
        <f>IF(AA125="","",Z125*AD125/AE125)</f>
        <v/>
      </c>
      <c r="AG125" s="8">
        <f>AF125*AC125</f>
        <v/>
      </c>
      <c r="AH125" s="8">
        <f>IF(AA125="","",IFERROR(IF(VLOOKUP(AA125,'Unit Conversion'!A:B,2,FALSE)=VLOOKUP(AB125,'Unit Conversion'!A:B,2,FALSE),"OK","Check W/V mismatch"),"Check unit"))</f>
        <v/>
      </c>
      <c r="AI125" s="8" t="n"/>
    </row>
    <row r="126">
      <c r="A126" s="7" t="n"/>
      <c r="B126" s="7" t="n"/>
      <c r="C126" s="7" t="n"/>
      <c r="D126" s="7" t="n"/>
      <c r="E126" s="7" t="n"/>
      <c r="F126" s="7" t="n"/>
      <c r="G126" s="7" t="n"/>
      <c r="H126" s="7" t="n"/>
      <c r="I126" s="7" t="n"/>
      <c r="J126" s="7" t="n"/>
      <c r="K126" s="7" t="n"/>
      <c r="L126" s="7" t="n"/>
      <c r="M126" s="7" t="n"/>
      <c r="N126" s="7" t="n"/>
      <c r="O126" s="7" t="n"/>
      <c r="P126" s="7" t="n"/>
      <c r="Q126" s="7" t="n"/>
      <c r="R126" s="7" t="n"/>
      <c r="S126" s="7" t="n"/>
      <c r="T126" s="7" t="n"/>
      <c r="U126" s="7" t="n"/>
      <c r="V126" s="7" t="n"/>
      <c r="W126" s="7" t="n"/>
      <c r="X126" s="7" t="n"/>
      <c r="Y126" s="7" t="n"/>
      <c r="Z126" s="7" t="n"/>
      <c r="AA126" s="7" t="n"/>
      <c r="AB126" s="7">
        <f>IF(Y126="","",IFERROR(VLOOKUP(Y126,'Ingredients + Stock'!B:D,3,FALSE),""))</f>
        <v/>
      </c>
      <c r="AC126" s="7">
        <f>IF(Y126="","",IFERROR(VLOOKUP(Y126,'Ingredients + Stock'!B:G,6,FALSE),0))</f>
        <v/>
      </c>
      <c r="AD126" s="7">
        <f>IF(AA126="","",IFERROR(VLOOKUP(AA126,'Unit Conversion'!A:D,4,FALSE),1))</f>
        <v/>
      </c>
      <c r="AE126" s="7">
        <f>IF(AB126="","",IFERROR(VLOOKUP(AB126,'Unit Conversion'!A:D,4,FALSE),1))</f>
        <v/>
      </c>
      <c r="AF126" s="7">
        <f>IF(AA126="","",Z126*AD126/AE126)</f>
        <v/>
      </c>
      <c r="AG126" s="7">
        <f>AF126*AC126</f>
        <v/>
      </c>
      <c r="AH126" s="7">
        <f>IF(AA126="","",IFERROR(IF(VLOOKUP(AA126,'Unit Conversion'!A:B,2,FALSE)=VLOOKUP(AB126,'Unit Conversion'!A:B,2,FALSE),"OK","Check W/V mismatch"),"Check unit"))</f>
        <v/>
      </c>
      <c r="AI126" s="7" t="n"/>
    </row>
    <row r="127">
      <c r="A127" s="8" t="n"/>
      <c r="B127" s="8" t="n"/>
      <c r="C127" s="8" t="n"/>
      <c r="D127" s="8" t="n"/>
      <c r="E127" s="8" t="n"/>
      <c r="F127" s="8" t="n"/>
      <c r="G127" s="8" t="n"/>
      <c r="H127" s="8" t="n"/>
      <c r="I127" s="8" t="n"/>
      <c r="J127" s="8" t="n"/>
      <c r="K127" s="8" t="n"/>
      <c r="L127" s="8" t="n"/>
      <c r="M127" s="8" t="n"/>
      <c r="N127" s="8" t="n"/>
      <c r="O127" s="8" t="n"/>
      <c r="P127" s="8" t="n"/>
      <c r="Q127" s="8" t="n"/>
      <c r="R127" s="8" t="n"/>
      <c r="S127" s="8" t="n"/>
      <c r="T127" s="8" t="n"/>
      <c r="U127" s="8" t="n"/>
      <c r="V127" s="8" t="n"/>
      <c r="W127" s="8" t="n"/>
      <c r="X127" s="8" t="n"/>
      <c r="Y127" s="8" t="n"/>
      <c r="Z127" s="8" t="n"/>
      <c r="AA127" s="8" t="n"/>
      <c r="AB127" s="8">
        <f>IF(Y127="","",IFERROR(VLOOKUP(Y127,'Ingredients + Stock'!B:D,3,FALSE),""))</f>
        <v/>
      </c>
      <c r="AC127" s="8">
        <f>IF(Y127="","",IFERROR(VLOOKUP(Y127,'Ingredients + Stock'!B:G,6,FALSE),0))</f>
        <v/>
      </c>
      <c r="AD127" s="8">
        <f>IF(AA127="","",IFERROR(VLOOKUP(AA127,'Unit Conversion'!A:D,4,FALSE),1))</f>
        <v/>
      </c>
      <c r="AE127" s="8">
        <f>IF(AB127="","",IFERROR(VLOOKUP(AB127,'Unit Conversion'!A:D,4,FALSE),1))</f>
        <v/>
      </c>
      <c r="AF127" s="8">
        <f>IF(AA127="","",Z127*AD127/AE127)</f>
        <v/>
      </c>
      <c r="AG127" s="8">
        <f>AF127*AC127</f>
        <v/>
      </c>
      <c r="AH127" s="8">
        <f>IF(AA127="","",IFERROR(IF(VLOOKUP(AA127,'Unit Conversion'!A:B,2,FALSE)=VLOOKUP(AB127,'Unit Conversion'!A:B,2,FALSE),"OK","Check W/V mismatch"),"Check unit"))</f>
        <v/>
      </c>
      <c r="AI127" s="8" t="n"/>
    </row>
    <row r="128">
      <c r="A128" s="7" t="n"/>
      <c r="B128" s="7" t="n"/>
      <c r="C128" s="7" t="n"/>
      <c r="D128" s="7" t="n"/>
      <c r="E128" s="7" t="n"/>
      <c r="F128" s="7" t="n"/>
      <c r="G128" s="7" t="n"/>
      <c r="H128" s="7" t="n"/>
      <c r="I128" s="7" t="n"/>
      <c r="J128" s="7" t="n"/>
      <c r="K128" s="7" t="n"/>
      <c r="L128" s="7" t="n"/>
      <c r="M128" s="7" t="n"/>
      <c r="N128" s="7" t="n"/>
      <c r="O128" s="7" t="n"/>
      <c r="P128" s="7" t="n"/>
      <c r="Q128" s="7" t="n"/>
      <c r="R128" s="7" t="n"/>
      <c r="S128" s="7" t="n"/>
      <c r="T128" s="7" t="n"/>
      <c r="U128" s="7" t="n"/>
      <c r="V128" s="7" t="n"/>
      <c r="W128" s="7" t="n"/>
      <c r="X128" s="7" t="n"/>
      <c r="Y128" s="7" t="n"/>
      <c r="Z128" s="7" t="n"/>
      <c r="AA128" s="7" t="n"/>
      <c r="AB128" s="7">
        <f>IF(Y128="","",IFERROR(VLOOKUP(Y128,'Ingredients + Stock'!B:D,3,FALSE),""))</f>
        <v/>
      </c>
      <c r="AC128" s="7">
        <f>IF(Y128="","",IFERROR(VLOOKUP(Y128,'Ingredients + Stock'!B:G,6,FALSE),0))</f>
        <v/>
      </c>
      <c r="AD128" s="7">
        <f>IF(AA128="","",IFERROR(VLOOKUP(AA128,'Unit Conversion'!A:D,4,FALSE),1))</f>
        <v/>
      </c>
      <c r="AE128" s="7">
        <f>IF(AB128="","",IFERROR(VLOOKUP(AB128,'Unit Conversion'!A:D,4,FALSE),1))</f>
        <v/>
      </c>
      <c r="AF128" s="7">
        <f>IF(AA128="","",Z128*AD128/AE128)</f>
        <v/>
      </c>
      <c r="AG128" s="7">
        <f>AF128*AC128</f>
        <v/>
      </c>
      <c r="AH128" s="7">
        <f>IF(AA128="","",IFERROR(IF(VLOOKUP(AA128,'Unit Conversion'!A:B,2,FALSE)=VLOOKUP(AB128,'Unit Conversion'!A:B,2,FALSE),"OK","Check W/V mismatch"),"Check unit"))</f>
        <v/>
      </c>
      <c r="AI128" s="7" t="n"/>
    </row>
    <row r="129">
      <c r="A129" s="8" t="n"/>
      <c r="B129" s="8" t="n"/>
      <c r="C129" s="8" t="n"/>
      <c r="D129" s="8" t="n"/>
      <c r="E129" s="8" t="n"/>
      <c r="F129" s="8" t="n"/>
      <c r="G129" s="8" t="n"/>
      <c r="H129" s="8" t="n"/>
      <c r="I129" s="8" t="n"/>
      <c r="J129" s="8" t="n"/>
      <c r="K129" s="8" t="n"/>
      <c r="L129" s="8" t="n"/>
      <c r="M129" s="8" t="n"/>
      <c r="N129" s="8" t="n"/>
      <c r="O129" s="8" t="n"/>
      <c r="P129" s="8" t="n"/>
      <c r="Q129" s="8" t="n"/>
      <c r="R129" s="8" t="n"/>
      <c r="S129" s="8" t="n"/>
      <c r="T129" s="8" t="n"/>
      <c r="U129" s="8" t="n"/>
      <c r="V129" s="8" t="n"/>
      <c r="W129" s="8" t="n"/>
      <c r="X129" s="8" t="n"/>
      <c r="Y129" s="8" t="n"/>
      <c r="Z129" s="8" t="n"/>
      <c r="AA129" s="8" t="n"/>
      <c r="AB129" s="8">
        <f>IF(Y129="","",IFERROR(VLOOKUP(Y129,'Ingredients + Stock'!B:D,3,FALSE),""))</f>
        <v/>
      </c>
      <c r="AC129" s="8">
        <f>IF(Y129="","",IFERROR(VLOOKUP(Y129,'Ingredients + Stock'!B:G,6,FALSE),0))</f>
        <v/>
      </c>
      <c r="AD129" s="8">
        <f>IF(AA129="","",IFERROR(VLOOKUP(AA129,'Unit Conversion'!A:D,4,FALSE),1))</f>
        <v/>
      </c>
      <c r="AE129" s="8">
        <f>IF(AB129="","",IFERROR(VLOOKUP(AB129,'Unit Conversion'!A:D,4,FALSE),1))</f>
        <v/>
      </c>
      <c r="AF129" s="8">
        <f>IF(AA129="","",Z129*AD129/AE129)</f>
        <v/>
      </c>
      <c r="AG129" s="8">
        <f>AF129*AC129</f>
        <v/>
      </c>
      <c r="AH129" s="8">
        <f>IF(AA129="","",IFERROR(IF(VLOOKUP(AA129,'Unit Conversion'!A:B,2,FALSE)=VLOOKUP(AB129,'Unit Conversion'!A:B,2,FALSE),"OK","Check W/V mismatch"),"Check unit"))</f>
        <v/>
      </c>
      <c r="AI129" s="8" t="n"/>
    </row>
    <row r="130">
      <c r="A130" s="7" t="n"/>
      <c r="B130" s="7" t="n"/>
      <c r="C130" s="7" t="n"/>
      <c r="D130" s="7" t="n"/>
      <c r="E130" s="7" t="n"/>
      <c r="F130" s="7" t="n"/>
      <c r="G130" s="7" t="n"/>
      <c r="H130" s="7" t="n"/>
      <c r="I130" s="7" t="n"/>
      <c r="J130" s="7" t="n"/>
      <c r="K130" s="7" t="n"/>
      <c r="L130" s="7" t="n"/>
      <c r="M130" s="7" t="n"/>
      <c r="N130" s="7" t="n"/>
      <c r="O130" s="7" t="n"/>
      <c r="P130" s="7" t="n"/>
      <c r="Q130" s="7" t="n"/>
      <c r="R130" s="7" t="n"/>
      <c r="S130" s="7" t="n"/>
      <c r="T130" s="7" t="n"/>
      <c r="U130" s="7" t="n"/>
      <c r="V130" s="7" t="n"/>
      <c r="W130" s="7" t="n"/>
      <c r="X130" s="7" t="n"/>
      <c r="Y130" s="7" t="n"/>
      <c r="Z130" s="7" t="n"/>
      <c r="AA130" s="7" t="n"/>
      <c r="AB130" s="7">
        <f>IF(Y130="","",IFERROR(VLOOKUP(Y130,'Ingredients + Stock'!B:D,3,FALSE),""))</f>
        <v/>
      </c>
      <c r="AC130" s="7">
        <f>IF(Y130="","",IFERROR(VLOOKUP(Y130,'Ingredients + Stock'!B:G,6,FALSE),0))</f>
        <v/>
      </c>
      <c r="AD130" s="7">
        <f>IF(AA130="","",IFERROR(VLOOKUP(AA130,'Unit Conversion'!A:D,4,FALSE),1))</f>
        <v/>
      </c>
      <c r="AE130" s="7">
        <f>IF(AB130="","",IFERROR(VLOOKUP(AB130,'Unit Conversion'!A:D,4,FALSE),1))</f>
        <v/>
      </c>
      <c r="AF130" s="7">
        <f>IF(AA130="","",Z130*AD130/AE130)</f>
        <v/>
      </c>
      <c r="AG130" s="7">
        <f>AF130*AC130</f>
        <v/>
      </c>
      <c r="AH130" s="7">
        <f>IF(AA130="","",IFERROR(IF(VLOOKUP(AA130,'Unit Conversion'!A:B,2,FALSE)=VLOOKUP(AB130,'Unit Conversion'!A:B,2,FALSE),"OK","Check W/V mismatch"),"Check unit"))</f>
        <v/>
      </c>
      <c r="AI130" s="7" t="n"/>
    </row>
    <row r="131">
      <c r="A131" s="8" t="n"/>
      <c r="B131" s="8" t="n"/>
      <c r="C131" s="8" t="n"/>
      <c r="D131" s="8" t="n"/>
      <c r="E131" s="8" t="n"/>
      <c r="F131" s="8" t="n"/>
      <c r="G131" s="8" t="n"/>
      <c r="H131" s="8" t="n"/>
      <c r="I131" s="8" t="n"/>
      <c r="J131" s="8" t="n"/>
      <c r="K131" s="8" t="n"/>
      <c r="L131" s="8" t="n"/>
      <c r="M131" s="8" t="n"/>
      <c r="N131" s="8" t="n"/>
      <c r="O131" s="8" t="n"/>
      <c r="P131" s="8" t="n"/>
      <c r="Q131" s="8" t="n"/>
      <c r="R131" s="8" t="n"/>
      <c r="S131" s="8" t="n"/>
      <c r="T131" s="8" t="n"/>
      <c r="U131" s="8" t="n"/>
      <c r="V131" s="8" t="n"/>
      <c r="W131" s="8" t="n"/>
      <c r="X131" s="8" t="n"/>
      <c r="Y131" s="8" t="n"/>
      <c r="Z131" s="8" t="n"/>
      <c r="AA131" s="8" t="n"/>
      <c r="AB131" s="8">
        <f>IF(Y131="","",IFERROR(VLOOKUP(Y131,'Ingredients + Stock'!B:D,3,FALSE),""))</f>
        <v/>
      </c>
      <c r="AC131" s="8">
        <f>IF(Y131="","",IFERROR(VLOOKUP(Y131,'Ingredients + Stock'!B:G,6,FALSE),0))</f>
        <v/>
      </c>
      <c r="AD131" s="8">
        <f>IF(AA131="","",IFERROR(VLOOKUP(AA131,'Unit Conversion'!A:D,4,FALSE),1))</f>
        <v/>
      </c>
      <c r="AE131" s="8">
        <f>IF(AB131="","",IFERROR(VLOOKUP(AB131,'Unit Conversion'!A:D,4,FALSE),1))</f>
        <v/>
      </c>
      <c r="AF131" s="8">
        <f>IF(AA131="","",Z131*AD131/AE131)</f>
        <v/>
      </c>
      <c r="AG131" s="8">
        <f>AF131*AC131</f>
        <v/>
      </c>
      <c r="AH131" s="8">
        <f>IF(AA131="","",IFERROR(IF(VLOOKUP(AA131,'Unit Conversion'!A:B,2,FALSE)=VLOOKUP(AB131,'Unit Conversion'!A:B,2,FALSE),"OK","Check W/V mismatch"),"Check unit"))</f>
        <v/>
      </c>
      <c r="AI131" s="8" t="n"/>
    </row>
    <row r="132">
      <c r="A132" s="7" t="n"/>
      <c r="B132" s="7" t="n"/>
      <c r="C132" s="7" t="n"/>
      <c r="D132" s="7" t="n"/>
      <c r="E132" s="7" t="n"/>
      <c r="F132" s="7" t="n"/>
      <c r="G132" s="7" t="n"/>
      <c r="H132" s="7" t="n"/>
      <c r="I132" s="7" t="n"/>
      <c r="J132" s="7" t="n"/>
      <c r="K132" s="7" t="n"/>
      <c r="L132" s="7" t="n"/>
      <c r="M132" s="7" t="n"/>
      <c r="N132" s="7" t="n"/>
      <c r="O132" s="7" t="n"/>
      <c r="P132" s="7" t="n"/>
      <c r="Q132" s="7" t="n"/>
      <c r="R132" s="7" t="n"/>
      <c r="S132" s="7" t="n"/>
      <c r="T132" s="7" t="n"/>
      <c r="U132" s="7" t="n"/>
      <c r="V132" s="7" t="n"/>
      <c r="W132" s="7" t="n"/>
      <c r="X132" s="7" t="n"/>
      <c r="Y132" s="7" t="n"/>
      <c r="Z132" s="7" t="n"/>
      <c r="AA132" s="7" t="n"/>
      <c r="AB132" s="7">
        <f>IF(Y132="","",IFERROR(VLOOKUP(Y132,'Ingredients + Stock'!B:D,3,FALSE),""))</f>
        <v/>
      </c>
      <c r="AC132" s="7">
        <f>IF(Y132="","",IFERROR(VLOOKUP(Y132,'Ingredients + Stock'!B:G,6,FALSE),0))</f>
        <v/>
      </c>
      <c r="AD132" s="7">
        <f>IF(AA132="","",IFERROR(VLOOKUP(AA132,'Unit Conversion'!A:D,4,FALSE),1))</f>
        <v/>
      </c>
      <c r="AE132" s="7">
        <f>IF(AB132="","",IFERROR(VLOOKUP(AB132,'Unit Conversion'!A:D,4,FALSE),1))</f>
        <v/>
      </c>
      <c r="AF132" s="7">
        <f>IF(AA132="","",Z132*AD132/AE132)</f>
        <v/>
      </c>
      <c r="AG132" s="7">
        <f>AF132*AC132</f>
        <v/>
      </c>
      <c r="AH132" s="7">
        <f>IF(AA132="","",IFERROR(IF(VLOOKUP(AA132,'Unit Conversion'!A:B,2,FALSE)=VLOOKUP(AB132,'Unit Conversion'!A:B,2,FALSE),"OK","Check W/V mismatch"),"Check unit"))</f>
        <v/>
      </c>
      <c r="AI132" s="7" t="n"/>
    </row>
    <row r="133">
      <c r="A133" s="8" t="n"/>
      <c r="B133" s="8" t="n"/>
      <c r="C133" s="8" t="n"/>
      <c r="D133" s="8" t="n"/>
      <c r="E133" s="8" t="n"/>
      <c r="F133" s="8" t="n"/>
      <c r="G133" s="8" t="n"/>
      <c r="H133" s="8" t="n"/>
      <c r="I133" s="8" t="n"/>
      <c r="J133" s="8" t="n"/>
      <c r="K133" s="8" t="n"/>
      <c r="L133" s="8" t="n"/>
      <c r="M133" s="8" t="n"/>
      <c r="N133" s="8" t="n"/>
      <c r="O133" s="8" t="n"/>
      <c r="P133" s="8" t="n"/>
      <c r="Q133" s="8" t="n"/>
      <c r="R133" s="8" t="n"/>
      <c r="S133" s="8" t="n"/>
      <c r="T133" s="8" t="n"/>
      <c r="U133" s="8" t="n"/>
      <c r="V133" s="8" t="n"/>
      <c r="W133" s="8" t="n"/>
      <c r="X133" s="8" t="n"/>
      <c r="Y133" s="8" t="n"/>
      <c r="Z133" s="8" t="n"/>
      <c r="AA133" s="8" t="n"/>
      <c r="AB133" s="8">
        <f>IF(Y133="","",IFERROR(VLOOKUP(Y133,'Ingredients + Stock'!B:D,3,FALSE),""))</f>
        <v/>
      </c>
      <c r="AC133" s="8">
        <f>IF(Y133="","",IFERROR(VLOOKUP(Y133,'Ingredients + Stock'!B:G,6,FALSE),0))</f>
        <v/>
      </c>
      <c r="AD133" s="8">
        <f>IF(AA133="","",IFERROR(VLOOKUP(AA133,'Unit Conversion'!A:D,4,FALSE),1))</f>
        <v/>
      </c>
      <c r="AE133" s="8">
        <f>IF(AB133="","",IFERROR(VLOOKUP(AB133,'Unit Conversion'!A:D,4,FALSE),1))</f>
        <v/>
      </c>
      <c r="AF133" s="8">
        <f>IF(AA133="","",Z133*AD133/AE133)</f>
        <v/>
      </c>
      <c r="AG133" s="8">
        <f>AF133*AC133</f>
        <v/>
      </c>
      <c r="AH133" s="8">
        <f>IF(AA133="","",IFERROR(IF(VLOOKUP(AA133,'Unit Conversion'!A:B,2,FALSE)=VLOOKUP(AB133,'Unit Conversion'!A:B,2,FALSE),"OK","Check W/V mismatch"),"Check unit"))</f>
        <v/>
      </c>
      <c r="AI133" s="8" t="n"/>
    </row>
    <row r="134">
      <c r="A134" s="7" t="n"/>
      <c r="B134" s="7" t="n"/>
      <c r="C134" s="7" t="n"/>
      <c r="D134" s="7" t="n"/>
      <c r="E134" s="7" t="n"/>
      <c r="F134" s="7" t="n"/>
      <c r="G134" s="7" t="n"/>
      <c r="H134" s="7" t="n"/>
      <c r="I134" s="7" t="n"/>
      <c r="J134" s="7" t="n"/>
      <c r="K134" s="7" t="n"/>
      <c r="L134" s="7" t="n"/>
      <c r="M134" s="7" t="n"/>
      <c r="N134" s="7" t="n"/>
      <c r="O134" s="7" t="n"/>
      <c r="P134" s="7" t="n"/>
      <c r="Q134" s="7" t="n"/>
      <c r="R134" s="7" t="n"/>
      <c r="S134" s="7" t="n"/>
      <c r="T134" s="7" t="n"/>
      <c r="U134" s="7" t="n"/>
      <c r="V134" s="7" t="n"/>
      <c r="W134" s="7" t="n"/>
      <c r="X134" s="7" t="n"/>
      <c r="Y134" s="7" t="n"/>
      <c r="Z134" s="7" t="n"/>
      <c r="AA134" s="7" t="n"/>
      <c r="AB134" s="7">
        <f>IF(Y134="","",IFERROR(VLOOKUP(Y134,'Ingredients + Stock'!B:D,3,FALSE),""))</f>
        <v/>
      </c>
      <c r="AC134" s="7">
        <f>IF(Y134="","",IFERROR(VLOOKUP(Y134,'Ingredients + Stock'!B:G,6,FALSE),0))</f>
        <v/>
      </c>
      <c r="AD134" s="7">
        <f>IF(AA134="","",IFERROR(VLOOKUP(AA134,'Unit Conversion'!A:D,4,FALSE),1))</f>
        <v/>
      </c>
      <c r="AE134" s="7">
        <f>IF(AB134="","",IFERROR(VLOOKUP(AB134,'Unit Conversion'!A:D,4,FALSE),1))</f>
        <v/>
      </c>
      <c r="AF134" s="7">
        <f>IF(AA134="","",Z134*AD134/AE134)</f>
        <v/>
      </c>
      <c r="AG134" s="7">
        <f>AF134*AC134</f>
        <v/>
      </c>
      <c r="AH134" s="7">
        <f>IF(AA134="","",IFERROR(IF(VLOOKUP(AA134,'Unit Conversion'!A:B,2,FALSE)=VLOOKUP(AB134,'Unit Conversion'!A:B,2,FALSE),"OK","Check W/V mismatch"),"Check unit"))</f>
        <v/>
      </c>
      <c r="AI134" s="7" t="n"/>
    </row>
    <row r="135">
      <c r="A135" s="8" t="n"/>
      <c r="B135" s="8" t="n"/>
      <c r="C135" s="8" t="n"/>
      <c r="D135" s="8" t="n"/>
      <c r="E135" s="8" t="n"/>
      <c r="F135" s="8" t="n"/>
      <c r="G135" s="8" t="n"/>
      <c r="H135" s="8" t="n"/>
      <c r="I135" s="8" t="n"/>
      <c r="J135" s="8" t="n"/>
      <c r="K135" s="8" t="n"/>
      <c r="L135" s="8" t="n"/>
      <c r="M135" s="8" t="n"/>
      <c r="N135" s="8" t="n"/>
      <c r="O135" s="8" t="n"/>
      <c r="P135" s="8" t="n"/>
      <c r="Q135" s="8" t="n"/>
      <c r="R135" s="8" t="n"/>
      <c r="S135" s="8" t="n"/>
      <c r="T135" s="8" t="n"/>
      <c r="U135" s="8" t="n"/>
      <c r="V135" s="8" t="n"/>
      <c r="W135" s="8" t="n"/>
      <c r="X135" s="8" t="n"/>
      <c r="Y135" s="8" t="n"/>
      <c r="Z135" s="8" t="n"/>
      <c r="AA135" s="8" t="n"/>
      <c r="AB135" s="8">
        <f>IF(Y135="","",IFERROR(VLOOKUP(Y135,'Ingredients + Stock'!B:D,3,FALSE),""))</f>
        <v/>
      </c>
      <c r="AC135" s="8">
        <f>IF(Y135="","",IFERROR(VLOOKUP(Y135,'Ingredients + Stock'!B:G,6,FALSE),0))</f>
        <v/>
      </c>
      <c r="AD135" s="8">
        <f>IF(AA135="","",IFERROR(VLOOKUP(AA135,'Unit Conversion'!A:D,4,FALSE),1))</f>
        <v/>
      </c>
      <c r="AE135" s="8">
        <f>IF(AB135="","",IFERROR(VLOOKUP(AB135,'Unit Conversion'!A:D,4,FALSE),1))</f>
        <v/>
      </c>
      <c r="AF135" s="8">
        <f>IF(AA135="","",Z135*AD135/AE135)</f>
        <v/>
      </c>
      <c r="AG135" s="8">
        <f>AF135*AC135</f>
        <v/>
      </c>
      <c r="AH135" s="8">
        <f>IF(AA135="","",IFERROR(IF(VLOOKUP(AA135,'Unit Conversion'!A:B,2,FALSE)=VLOOKUP(AB135,'Unit Conversion'!A:B,2,FALSE),"OK","Check W/V mismatch"),"Check unit"))</f>
        <v/>
      </c>
      <c r="AI135" s="8" t="n"/>
    </row>
    <row r="136">
      <c r="A136" s="7" t="n"/>
      <c r="B136" s="7" t="n"/>
      <c r="C136" s="7" t="n"/>
      <c r="D136" s="7" t="n"/>
      <c r="E136" s="7" t="n"/>
      <c r="F136" s="7" t="n"/>
      <c r="G136" s="7" t="n"/>
      <c r="H136" s="7" t="n"/>
      <c r="I136" s="7" t="n"/>
      <c r="J136" s="7" t="n"/>
      <c r="K136" s="7" t="n"/>
      <c r="L136" s="7" t="n"/>
      <c r="M136" s="7" t="n"/>
      <c r="N136" s="7" t="n"/>
      <c r="O136" s="7" t="n"/>
      <c r="P136" s="7" t="n"/>
      <c r="Q136" s="7" t="n"/>
      <c r="R136" s="7" t="n"/>
      <c r="S136" s="7" t="n"/>
      <c r="T136" s="7" t="n"/>
      <c r="U136" s="7" t="n"/>
      <c r="V136" s="7" t="n"/>
      <c r="W136" s="7" t="n"/>
      <c r="X136" s="7" t="n"/>
      <c r="Y136" s="7" t="n"/>
      <c r="Z136" s="7" t="n"/>
      <c r="AA136" s="7" t="n"/>
      <c r="AB136" s="7">
        <f>IF(Y136="","",IFERROR(VLOOKUP(Y136,'Ingredients + Stock'!B:D,3,FALSE),""))</f>
        <v/>
      </c>
      <c r="AC136" s="7">
        <f>IF(Y136="","",IFERROR(VLOOKUP(Y136,'Ingredients + Stock'!B:G,6,FALSE),0))</f>
        <v/>
      </c>
      <c r="AD136" s="7">
        <f>IF(AA136="","",IFERROR(VLOOKUP(AA136,'Unit Conversion'!A:D,4,FALSE),1))</f>
        <v/>
      </c>
      <c r="AE136" s="7">
        <f>IF(AB136="","",IFERROR(VLOOKUP(AB136,'Unit Conversion'!A:D,4,FALSE),1))</f>
        <v/>
      </c>
      <c r="AF136" s="7">
        <f>IF(AA136="","",Z136*AD136/AE136)</f>
        <v/>
      </c>
      <c r="AG136" s="7">
        <f>AF136*AC136</f>
        <v/>
      </c>
      <c r="AH136" s="7">
        <f>IF(AA136="","",IFERROR(IF(VLOOKUP(AA136,'Unit Conversion'!A:B,2,FALSE)=VLOOKUP(AB136,'Unit Conversion'!A:B,2,FALSE),"OK","Check W/V mismatch"),"Check unit"))</f>
        <v/>
      </c>
      <c r="AI136" s="7" t="n"/>
    </row>
    <row r="137">
      <c r="A137" s="8" t="n"/>
      <c r="B137" s="8" t="n"/>
      <c r="C137" s="8" t="n"/>
      <c r="D137" s="8" t="n"/>
      <c r="E137" s="8" t="n"/>
      <c r="F137" s="8" t="n"/>
      <c r="G137" s="8" t="n"/>
      <c r="H137" s="8" t="n"/>
      <c r="I137" s="8" t="n"/>
      <c r="J137" s="8" t="n"/>
      <c r="K137" s="8" t="n"/>
      <c r="L137" s="8" t="n"/>
      <c r="M137" s="8" t="n"/>
      <c r="N137" s="8" t="n"/>
      <c r="O137" s="8" t="n"/>
      <c r="P137" s="8" t="n"/>
      <c r="Q137" s="8" t="n"/>
      <c r="R137" s="8" t="n"/>
      <c r="S137" s="8" t="n"/>
      <c r="T137" s="8" t="n"/>
      <c r="U137" s="8" t="n"/>
      <c r="V137" s="8" t="n"/>
      <c r="W137" s="8" t="n"/>
      <c r="X137" s="8" t="n"/>
      <c r="Y137" s="8" t="n"/>
      <c r="Z137" s="8" t="n"/>
      <c r="AA137" s="8" t="n"/>
      <c r="AB137" s="8">
        <f>IF(Y137="","",IFERROR(VLOOKUP(Y137,'Ingredients + Stock'!B:D,3,FALSE),""))</f>
        <v/>
      </c>
      <c r="AC137" s="8">
        <f>IF(Y137="","",IFERROR(VLOOKUP(Y137,'Ingredients + Stock'!B:G,6,FALSE),0))</f>
        <v/>
      </c>
      <c r="AD137" s="8">
        <f>IF(AA137="","",IFERROR(VLOOKUP(AA137,'Unit Conversion'!A:D,4,FALSE),1))</f>
        <v/>
      </c>
      <c r="AE137" s="8">
        <f>IF(AB137="","",IFERROR(VLOOKUP(AB137,'Unit Conversion'!A:D,4,FALSE),1))</f>
        <v/>
      </c>
      <c r="AF137" s="8">
        <f>IF(AA137="","",Z137*AD137/AE137)</f>
        <v/>
      </c>
      <c r="AG137" s="8">
        <f>AF137*AC137</f>
        <v/>
      </c>
      <c r="AH137" s="8">
        <f>IF(AA137="","",IFERROR(IF(VLOOKUP(AA137,'Unit Conversion'!A:B,2,FALSE)=VLOOKUP(AB137,'Unit Conversion'!A:B,2,FALSE),"OK","Check W/V mismatch"),"Check unit"))</f>
        <v/>
      </c>
      <c r="AI137" s="8" t="n"/>
    </row>
    <row r="138">
      <c r="A138" s="7" t="n"/>
      <c r="B138" s="7" t="n"/>
      <c r="C138" s="7" t="n"/>
      <c r="D138" s="7" t="n"/>
      <c r="E138" s="7" t="n"/>
      <c r="F138" s="7" t="n"/>
      <c r="G138" s="7" t="n"/>
      <c r="H138" s="7" t="n"/>
      <c r="I138" s="7" t="n"/>
      <c r="J138" s="7" t="n"/>
      <c r="K138" s="7" t="n"/>
      <c r="L138" s="7" t="n"/>
      <c r="M138" s="7" t="n"/>
      <c r="N138" s="7" t="n"/>
      <c r="O138" s="7" t="n"/>
      <c r="P138" s="7" t="n"/>
      <c r="Q138" s="7" t="n"/>
      <c r="R138" s="7" t="n"/>
      <c r="S138" s="7" t="n"/>
      <c r="T138" s="7" t="n"/>
      <c r="U138" s="7" t="n"/>
      <c r="V138" s="7" t="n"/>
      <c r="W138" s="7" t="n"/>
      <c r="X138" s="7" t="n"/>
      <c r="Y138" s="7" t="n"/>
      <c r="Z138" s="7" t="n"/>
      <c r="AA138" s="7" t="n"/>
      <c r="AB138" s="7">
        <f>IF(Y138="","",IFERROR(VLOOKUP(Y138,'Ingredients + Stock'!B:D,3,FALSE),""))</f>
        <v/>
      </c>
      <c r="AC138" s="7">
        <f>IF(Y138="","",IFERROR(VLOOKUP(Y138,'Ingredients + Stock'!B:G,6,FALSE),0))</f>
        <v/>
      </c>
      <c r="AD138" s="7">
        <f>IF(AA138="","",IFERROR(VLOOKUP(AA138,'Unit Conversion'!A:D,4,FALSE),1))</f>
        <v/>
      </c>
      <c r="AE138" s="7">
        <f>IF(AB138="","",IFERROR(VLOOKUP(AB138,'Unit Conversion'!A:D,4,FALSE),1))</f>
        <v/>
      </c>
      <c r="AF138" s="7">
        <f>IF(AA138="","",Z138*AD138/AE138)</f>
        <v/>
      </c>
      <c r="AG138" s="7">
        <f>AF138*AC138</f>
        <v/>
      </c>
      <c r="AH138" s="7">
        <f>IF(AA138="","",IFERROR(IF(VLOOKUP(AA138,'Unit Conversion'!A:B,2,FALSE)=VLOOKUP(AB138,'Unit Conversion'!A:B,2,FALSE),"OK","Check W/V mismatch"),"Check unit"))</f>
        <v/>
      </c>
      <c r="AI138" s="7" t="n"/>
    </row>
    <row r="139">
      <c r="A139" s="8" t="n"/>
      <c r="B139" s="8" t="n"/>
      <c r="C139" s="8" t="n"/>
      <c r="D139" s="8" t="n"/>
      <c r="E139" s="8" t="n"/>
      <c r="F139" s="8" t="n"/>
      <c r="G139" s="8" t="n"/>
      <c r="H139" s="8" t="n"/>
      <c r="I139" s="8" t="n"/>
      <c r="J139" s="8" t="n"/>
      <c r="K139" s="8" t="n"/>
      <c r="L139" s="8" t="n"/>
      <c r="M139" s="8" t="n"/>
      <c r="N139" s="8" t="n"/>
      <c r="O139" s="8" t="n"/>
      <c r="P139" s="8" t="n"/>
      <c r="Q139" s="8" t="n"/>
      <c r="R139" s="8" t="n"/>
      <c r="S139" s="8" t="n"/>
      <c r="T139" s="8" t="n"/>
      <c r="U139" s="8" t="n"/>
      <c r="V139" s="8" t="n"/>
      <c r="W139" s="8" t="n"/>
      <c r="X139" s="8" t="n"/>
      <c r="Y139" s="8" t="n"/>
      <c r="Z139" s="8" t="n"/>
      <c r="AA139" s="8" t="n"/>
      <c r="AB139" s="8">
        <f>IF(Y139="","",IFERROR(VLOOKUP(Y139,'Ingredients + Stock'!B:D,3,FALSE),""))</f>
        <v/>
      </c>
      <c r="AC139" s="8">
        <f>IF(Y139="","",IFERROR(VLOOKUP(Y139,'Ingredients + Stock'!B:G,6,FALSE),0))</f>
        <v/>
      </c>
      <c r="AD139" s="8">
        <f>IF(AA139="","",IFERROR(VLOOKUP(AA139,'Unit Conversion'!A:D,4,FALSE),1))</f>
        <v/>
      </c>
      <c r="AE139" s="8">
        <f>IF(AB139="","",IFERROR(VLOOKUP(AB139,'Unit Conversion'!A:D,4,FALSE),1))</f>
        <v/>
      </c>
      <c r="AF139" s="8">
        <f>IF(AA139="","",Z139*AD139/AE139)</f>
        <v/>
      </c>
      <c r="AG139" s="8">
        <f>AF139*AC139</f>
        <v/>
      </c>
      <c r="AH139" s="8">
        <f>IF(AA139="","",IFERROR(IF(VLOOKUP(AA139,'Unit Conversion'!A:B,2,FALSE)=VLOOKUP(AB139,'Unit Conversion'!A:B,2,FALSE),"OK","Check W/V mismatch"),"Check unit"))</f>
        <v/>
      </c>
      <c r="AI139" s="8" t="n"/>
    </row>
    <row r="140">
      <c r="A140" s="7" t="n"/>
      <c r="B140" s="7" t="n"/>
      <c r="C140" s="7" t="n"/>
      <c r="D140" s="7" t="n"/>
      <c r="E140" s="7" t="n"/>
      <c r="F140" s="7" t="n"/>
      <c r="G140" s="7" t="n"/>
      <c r="H140" s="7" t="n"/>
      <c r="I140" s="7" t="n"/>
      <c r="J140" s="7" t="n"/>
      <c r="K140" s="7" t="n"/>
      <c r="L140" s="7" t="n"/>
      <c r="M140" s="7" t="n"/>
      <c r="N140" s="7" t="n"/>
      <c r="O140" s="7" t="n"/>
      <c r="P140" s="7" t="n"/>
      <c r="Q140" s="7" t="n"/>
      <c r="R140" s="7" t="n"/>
      <c r="S140" s="7" t="n"/>
      <c r="T140" s="7" t="n"/>
      <c r="U140" s="7" t="n"/>
      <c r="V140" s="7" t="n"/>
      <c r="W140" s="7" t="n"/>
      <c r="X140" s="7" t="n"/>
      <c r="Y140" s="7" t="n"/>
      <c r="Z140" s="7" t="n"/>
      <c r="AA140" s="7" t="n"/>
      <c r="AB140" s="7">
        <f>IF(Y140="","",IFERROR(VLOOKUP(Y140,'Ingredients + Stock'!B:D,3,FALSE),""))</f>
        <v/>
      </c>
      <c r="AC140" s="7">
        <f>IF(Y140="","",IFERROR(VLOOKUP(Y140,'Ingredients + Stock'!B:G,6,FALSE),0))</f>
        <v/>
      </c>
      <c r="AD140" s="7">
        <f>IF(AA140="","",IFERROR(VLOOKUP(AA140,'Unit Conversion'!A:D,4,FALSE),1))</f>
        <v/>
      </c>
      <c r="AE140" s="7">
        <f>IF(AB140="","",IFERROR(VLOOKUP(AB140,'Unit Conversion'!A:D,4,FALSE),1))</f>
        <v/>
      </c>
      <c r="AF140" s="7">
        <f>IF(AA140="","",Z140*AD140/AE140)</f>
        <v/>
      </c>
      <c r="AG140" s="7">
        <f>AF140*AC140</f>
        <v/>
      </c>
      <c r="AH140" s="7">
        <f>IF(AA140="","",IFERROR(IF(VLOOKUP(AA140,'Unit Conversion'!A:B,2,FALSE)=VLOOKUP(AB140,'Unit Conversion'!A:B,2,FALSE),"OK","Check W/V mismatch"),"Check unit"))</f>
        <v/>
      </c>
      <c r="AI140" s="7" t="n"/>
    </row>
    <row r="141">
      <c r="A141" s="8" t="n"/>
      <c r="B141" s="8" t="n"/>
      <c r="C141" s="8" t="n"/>
      <c r="D141" s="8" t="n"/>
      <c r="E141" s="8" t="n"/>
      <c r="F141" s="8" t="n"/>
      <c r="G141" s="8" t="n"/>
      <c r="H141" s="8" t="n"/>
      <c r="I141" s="8" t="n"/>
      <c r="J141" s="8" t="n"/>
      <c r="K141" s="8" t="n"/>
      <c r="L141" s="8" t="n"/>
      <c r="M141" s="8" t="n"/>
      <c r="N141" s="8" t="n"/>
      <c r="O141" s="8" t="n"/>
      <c r="P141" s="8" t="n"/>
      <c r="Q141" s="8" t="n"/>
      <c r="R141" s="8" t="n"/>
      <c r="S141" s="8" t="n"/>
      <c r="T141" s="8" t="n"/>
      <c r="U141" s="8" t="n"/>
      <c r="V141" s="8" t="n"/>
      <c r="W141" s="8" t="n"/>
      <c r="X141" s="8" t="n"/>
      <c r="Y141" s="8" t="n"/>
      <c r="Z141" s="8" t="n"/>
      <c r="AA141" s="8" t="n"/>
      <c r="AB141" s="8">
        <f>IF(Y141="","",IFERROR(VLOOKUP(Y141,'Ingredients + Stock'!B:D,3,FALSE),""))</f>
        <v/>
      </c>
      <c r="AC141" s="8">
        <f>IF(Y141="","",IFERROR(VLOOKUP(Y141,'Ingredients + Stock'!B:G,6,FALSE),0))</f>
        <v/>
      </c>
      <c r="AD141" s="8">
        <f>IF(AA141="","",IFERROR(VLOOKUP(AA141,'Unit Conversion'!A:D,4,FALSE),1))</f>
        <v/>
      </c>
      <c r="AE141" s="8">
        <f>IF(AB141="","",IFERROR(VLOOKUP(AB141,'Unit Conversion'!A:D,4,FALSE),1))</f>
        <v/>
      </c>
      <c r="AF141" s="8">
        <f>IF(AA141="","",Z141*AD141/AE141)</f>
        <v/>
      </c>
      <c r="AG141" s="8">
        <f>AF141*AC141</f>
        <v/>
      </c>
      <c r="AH141" s="8">
        <f>IF(AA141="","",IFERROR(IF(VLOOKUP(AA141,'Unit Conversion'!A:B,2,FALSE)=VLOOKUP(AB141,'Unit Conversion'!A:B,2,FALSE),"OK","Check W/V mismatch"),"Check unit"))</f>
        <v/>
      </c>
      <c r="AI141" s="8" t="n"/>
    </row>
    <row r="142">
      <c r="A142" s="7" t="n"/>
      <c r="B142" s="7" t="n"/>
      <c r="C142" s="7" t="n"/>
      <c r="D142" s="7" t="n"/>
      <c r="E142" s="7" t="n"/>
      <c r="F142" s="7" t="n"/>
      <c r="G142" s="7" t="n"/>
      <c r="H142" s="7" t="n"/>
      <c r="I142" s="7" t="n"/>
      <c r="J142" s="7" t="n"/>
      <c r="K142" s="7" t="n"/>
      <c r="L142" s="7" t="n"/>
      <c r="M142" s="7" t="n"/>
      <c r="N142" s="7" t="n"/>
      <c r="O142" s="7" t="n"/>
      <c r="P142" s="7" t="n"/>
      <c r="Q142" s="7" t="n"/>
      <c r="R142" s="7" t="n"/>
      <c r="S142" s="7" t="n"/>
      <c r="T142" s="7" t="n"/>
      <c r="U142" s="7" t="n"/>
      <c r="V142" s="7" t="n"/>
      <c r="W142" s="7" t="n"/>
      <c r="X142" s="7" t="n"/>
      <c r="Y142" s="7" t="n"/>
      <c r="Z142" s="7" t="n"/>
      <c r="AA142" s="7" t="n"/>
      <c r="AB142" s="7">
        <f>IF(Y142="","",IFERROR(VLOOKUP(Y142,'Ingredients + Stock'!B:D,3,FALSE),""))</f>
        <v/>
      </c>
      <c r="AC142" s="7">
        <f>IF(Y142="","",IFERROR(VLOOKUP(Y142,'Ingredients + Stock'!B:G,6,FALSE),0))</f>
        <v/>
      </c>
      <c r="AD142" s="7">
        <f>IF(AA142="","",IFERROR(VLOOKUP(AA142,'Unit Conversion'!A:D,4,FALSE),1))</f>
        <v/>
      </c>
      <c r="AE142" s="7">
        <f>IF(AB142="","",IFERROR(VLOOKUP(AB142,'Unit Conversion'!A:D,4,FALSE),1))</f>
        <v/>
      </c>
      <c r="AF142" s="7">
        <f>IF(AA142="","",Z142*AD142/AE142)</f>
        <v/>
      </c>
      <c r="AG142" s="7">
        <f>AF142*AC142</f>
        <v/>
      </c>
      <c r="AH142" s="7">
        <f>IF(AA142="","",IFERROR(IF(VLOOKUP(AA142,'Unit Conversion'!A:B,2,FALSE)=VLOOKUP(AB142,'Unit Conversion'!A:B,2,FALSE),"OK","Check W/V mismatch"),"Check unit"))</f>
        <v/>
      </c>
      <c r="AI142" s="7" t="n"/>
    </row>
    <row r="143">
      <c r="A143" s="8" t="n"/>
      <c r="B143" s="8" t="n"/>
      <c r="C143" s="8" t="n"/>
      <c r="D143" s="8" t="n"/>
      <c r="E143" s="8" t="n"/>
      <c r="F143" s="8" t="n"/>
      <c r="G143" s="8" t="n"/>
      <c r="H143" s="8" t="n"/>
      <c r="I143" s="8" t="n"/>
      <c r="J143" s="8" t="n"/>
      <c r="K143" s="8" t="n"/>
      <c r="L143" s="8" t="n"/>
      <c r="M143" s="8" t="n"/>
      <c r="N143" s="8" t="n"/>
      <c r="O143" s="8" t="n"/>
      <c r="P143" s="8" t="n"/>
      <c r="Q143" s="8" t="n"/>
      <c r="R143" s="8" t="n"/>
      <c r="S143" s="8" t="n"/>
      <c r="T143" s="8" t="n"/>
      <c r="U143" s="8" t="n"/>
      <c r="V143" s="8" t="n"/>
      <c r="W143" s="8" t="n"/>
      <c r="X143" s="8" t="n"/>
      <c r="Y143" s="8" t="n"/>
      <c r="Z143" s="8" t="n"/>
      <c r="AA143" s="8" t="n"/>
      <c r="AB143" s="8">
        <f>IF(Y143="","",IFERROR(VLOOKUP(Y143,'Ingredients + Stock'!B:D,3,FALSE),""))</f>
        <v/>
      </c>
      <c r="AC143" s="8">
        <f>IF(Y143="","",IFERROR(VLOOKUP(Y143,'Ingredients + Stock'!B:G,6,FALSE),0))</f>
        <v/>
      </c>
      <c r="AD143" s="8">
        <f>IF(AA143="","",IFERROR(VLOOKUP(AA143,'Unit Conversion'!A:D,4,FALSE),1))</f>
        <v/>
      </c>
      <c r="AE143" s="8">
        <f>IF(AB143="","",IFERROR(VLOOKUP(AB143,'Unit Conversion'!A:D,4,FALSE),1))</f>
        <v/>
      </c>
      <c r="AF143" s="8">
        <f>IF(AA143="","",Z143*AD143/AE143)</f>
        <v/>
      </c>
      <c r="AG143" s="8">
        <f>AF143*AC143</f>
        <v/>
      </c>
      <c r="AH143" s="8">
        <f>IF(AA143="","",IFERROR(IF(VLOOKUP(AA143,'Unit Conversion'!A:B,2,FALSE)=VLOOKUP(AB143,'Unit Conversion'!A:B,2,FALSE),"OK","Check W/V mismatch"),"Check unit"))</f>
        <v/>
      </c>
      <c r="AI143" s="8" t="n"/>
    </row>
    <row r="144">
      <c r="A144" s="7" t="n"/>
      <c r="B144" s="7" t="n"/>
      <c r="C144" s="7" t="n"/>
      <c r="D144" s="7" t="n"/>
      <c r="E144" s="7" t="n"/>
      <c r="F144" s="7" t="n"/>
      <c r="G144" s="7" t="n"/>
      <c r="H144" s="7" t="n"/>
      <c r="I144" s="7" t="n"/>
      <c r="J144" s="7" t="n"/>
      <c r="K144" s="7" t="n"/>
      <c r="L144" s="7" t="n"/>
      <c r="M144" s="7" t="n"/>
      <c r="N144" s="7" t="n"/>
      <c r="O144" s="7" t="n"/>
      <c r="P144" s="7" t="n"/>
      <c r="Q144" s="7" t="n"/>
      <c r="R144" s="7" t="n"/>
      <c r="S144" s="7" t="n"/>
      <c r="T144" s="7" t="n"/>
      <c r="U144" s="7" t="n"/>
      <c r="V144" s="7" t="n"/>
      <c r="W144" s="7" t="n"/>
      <c r="X144" s="7" t="n"/>
      <c r="Y144" s="7" t="n"/>
      <c r="Z144" s="7" t="n"/>
      <c r="AA144" s="7" t="n"/>
      <c r="AB144" s="7">
        <f>IF(Y144="","",IFERROR(VLOOKUP(Y144,'Ingredients + Stock'!B:D,3,FALSE),""))</f>
        <v/>
      </c>
      <c r="AC144" s="7">
        <f>IF(Y144="","",IFERROR(VLOOKUP(Y144,'Ingredients + Stock'!B:G,6,FALSE),0))</f>
        <v/>
      </c>
      <c r="AD144" s="7">
        <f>IF(AA144="","",IFERROR(VLOOKUP(AA144,'Unit Conversion'!A:D,4,FALSE),1))</f>
        <v/>
      </c>
      <c r="AE144" s="7">
        <f>IF(AB144="","",IFERROR(VLOOKUP(AB144,'Unit Conversion'!A:D,4,FALSE),1))</f>
        <v/>
      </c>
      <c r="AF144" s="7">
        <f>IF(AA144="","",Z144*AD144/AE144)</f>
        <v/>
      </c>
      <c r="AG144" s="7">
        <f>AF144*AC144</f>
        <v/>
      </c>
      <c r="AH144" s="7">
        <f>IF(AA144="","",IFERROR(IF(VLOOKUP(AA144,'Unit Conversion'!A:B,2,FALSE)=VLOOKUP(AB144,'Unit Conversion'!A:B,2,FALSE),"OK","Check W/V mismatch"),"Check unit"))</f>
        <v/>
      </c>
      <c r="AI144" s="7" t="n"/>
    </row>
    <row r="145">
      <c r="A145" s="8" t="n"/>
      <c r="B145" s="8" t="n"/>
      <c r="C145" s="8" t="n"/>
      <c r="D145" s="8" t="n"/>
      <c r="E145" s="8" t="n"/>
      <c r="F145" s="8" t="n"/>
      <c r="G145" s="8" t="n"/>
      <c r="H145" s="8" t="n"/>
      <c r="I145" s="8" t="n"/>
      <c r="J145" s="8" t="n"/>
      <c r="K145" s="8" t="n"/>
      <c r="L145" s="8" t="n"/>
      <c r="M145" s="8" t="n"/>
      <c r="N145" s="8" t="n"/>
      <c r="O145" s="8" t="n"/>
      <c r="P145" s="8" t="n"/>
      <c r="Q145" s="8" t="n"/>
      <c r="R145" s="8" t="n"/>
      <c r="S145" s="8" t="n"/>
      <c r="T145" s="8" t="n"/>
      <c r="U145" s="8" t="n"/>
      <c r="V145" s="8" t="n"/>
      <c r="W145" s="8" t="n"/>
      <c r="X145" s="8" t="n"/>
      <c r="Y145" s="8" t="n"/>
      <c r="Z145" s="8" t="n"/>
      <c r="AA145" s="8" t="n"/>
      <c r="AB145" s="8">
        <f>IF(Y145="","",IFERROR(VLOOKUP(Y145,'Ingredients + Stock'!B:D,3,FALSE),""))</f>
        <v/>
      </c>
      <c r="AC145" s="8">
        <f>IF(Y145="","",IFERROR(VLOOKUP(Y145,'Ingredients + Stock'!B:G,6,FALSE),0))</f>
        <v/>
      </c>
      <c r="AD145" s="8">
        <f>IF(AA145="","",IFERROR(VLOOKUP(AA145,'Unit Conversion'!A:D,4,FALSE),1))</f>
        <v/>
      </c>
      <c r="AE145" s="8">
        <f>IF(AB145="","",IFERROR(VLOOKUP(AB145,'Unit Conversion'!A:D,4,FALSE),1))</f>
        <v/>
      </c>
      <c r="AF145" s="8">
        <f>IF(AA145="","",Z145*AD145/AE145)</f>
        <v/>
      </c>
      <c r="AG145" s="8">
        <f>AF145*AC145</f>
        <v/>
      </c>
      <c r="AH145" s="8">
        <f>IF(AA145="","",IFERROR(IF(VLOOKUP(AA145,'Unit Conversion'!A:B,2,FALSE)=VLOOKUP(AB145,'Unit Conversion'!A:B,2,FALSE),"OK","Check W/V mismatch"),"Check unit"))</f>
        <v/>
      </c>
      <c r="AI145" s="8" t="n"/>
    </row>
    <row r="146">
      <c r="A146" s="7" t="n"/>
      <c r="B146" s="7" t="n"/>
      <c r="C146" s="7" t="n"/>
      <c r="D146" s="7" t="n"/>
      <c r="E146" s="7" t="n"/>
      <c r="F146" s="7" t="n"/>
      <c r="G146" s="7" t="n"/>
      <c r="H146" s="7" t="n"/>
      <c r="I146" s="7" t="n"/>
      <c r="J146" s="7" t="n"/>
      <c r="K146" s="7" t="n"/>
      <c r="L146" s="7" t="n"/>
      <c r="M146" s="7" t="n"/>
      <c r="N146" s="7" t="n"/>
      <c r="O146" s="7" t="n"/>
      <c r="P146" s="7" t="n"/>
      <c r="Q146" s="7" t="n"/>
      <c r="R146" s="7" t="n"/>
      <c r="S146" s="7" t="n"/>
      <c r="T146" s="7" t="n"/>
      <c r="U146" s="7" t="n"/>
      <c r="V146" s="7" t="n"/>
      <c r="W146" s="7" t="n"/>
      <c r="X146" s="7" t="n"/>
      <c r="Y146" s="7" t="n"/>
      <c r="Z146" s="7" t="n"/>
      <c r="AA146" s="7" t="n"/>
      <c r="AB146" s="7">
        <f>IF(Y146="","",IFERROR(VLOOKUP(Y146,'Ingredients + Stock'!B:D,3,FALSE),""))</f>
        <v/>
      </c>
      <c r="AC146" s="7">
        <f>IF(Y146="","",IFERROR(VLOOKUP(Y146,'Ingredients + Stock'!B:G,6,FALSE),0))</f>
        <v/>
      </c>
      <c r="AD146" s="7">
        <f>IF(AA146="","",IFERROR(VLOOKUP(AA146,'Unit Conversion'!A:D,4,FALSE),1))</f>
        <v/>
      </c>
      <c r="AE146" s="7">
        <f>IF(AB146="","",IFERROR(VLOOKUP(AB146,'Unit Conversion'!A:D,4,FALSE),1))</f>
        <v/>
      </c>
      <c r="AF146" s="7">
        <f>IF(AA146="","",Z146*AD146/AE146)</f>
        <v/>
      </c>
      <c r="AG146" s="7">
        <f>AF146*AC146</f>
        <v/>
      </c>
      <c r="AH146" s="7">
        <f>IF(AA146="","",IFERROR(IF(VLOOKUP(AA146,'Unit Conversion'!A:B,2,FALSE)=VLOOKUP(AB146,'Unit Conversion'!A:B,2,FALSE),"OK","Check W/V mismatch"),"Check unit"))</f>
        <v/>
      </c>
      <c r="AI146" s="7" t="n"/>
    </row>
    <row r="147">
      <c r="A147" s="8" t="n"/>
      <c r="B147" s="8" t="n"/>
      <c r="C147" s="8" t="n"/>
      <c r="D147" s="8" t="n"/>
      <c r="E147" s="8" t="n"/>
      <c r="F147" s="8" t="n"/>
      <c r="G147" s="8" t="n"/>
      <c r="H147" s="8" t="n"/>
      <c r="I147" s="8" t="n"/>
      <c r="J147" s="8" t="n"/>
      <c r="K147" s="8" t="n"/>
      <c r="L147" s="8" t="n"/>
      <c r="M147" s="8" t="n"/>
      <c r="N147" s="8" t="n"/>
      <c r="O147" s="8" t="n"/>
      <c r="P147" s="8" t="n"/>
      <c r="Q147" s="8" t="n"/>
      <c r="R147" s="8" t="n"/>
      <c r="S147" s="8" t="n"/>
      <c r="T147" s="8" t="n"/>
      <c r="U147" s="8" t="n"/>
      <c r="V147" s="8" t="n"/>
      <c r="W147" s="8" t="n"/>
      <c r="X147" s="8" t="n"/>
      <c r="Y147" s="8" t="n"/>
      <c r="Z147" s="8" t="n"/>
      <c r="AA147" s="8" t="n"/>
      <c r="AB147" s="8">
        <f>IF(Y147="","",IFERROR(VLOOKUP(Y147,'Ingredients + Stock'!B:D,3,FALSE),""))</f>
        <v/>
      </c>
      <c r="AC147" s="8">
        <f>IF(Y147="","",IFERROR(VLOOKUP(Y147,'Ingredients + Stock'!B:G,6,FALSE),0))</f>
        <v/>
      </c>
      <c r="AD147" s="8">
        <f>IF(AA147="","",IFERROR(VLOOKUP(AA147,'Unit Conversion'!A:D,4,FALSE),1))</f>
        <v/>
      </c>
      <c r="AE147" s="8">
        <f>IF(AB147="","",IFERROR(VLOOKUP(AB147,'Unit Conversion'!A:D,4,FALSE),1))</f>
        <v/>
      </c>
      <c r="AF147" s="8">
        <f>IF(AA147="","",Z147*AD147/AE147)</f>
        <v/>
      </c>
      <c r="AG147" s="8">
        <f>AF147*AC147</f>
        <v/>
      </c>
      <c r="AH147" s="8">
        <f>IF(AA147="","",IFERROR(IF(VLOOKUP(AA147,'Unit Conversion'!A:B,2,FALSE)=VLOOKUP(AB147,'Unit Conversion'!A:B,2,FALSE),"OK","Check W/V mismatch"),"Check unit"))</f>
        <v/>
      </c>
      <c r="AI147" s="8" t="n"/>
    </row>
    <row r="148">
      <c r="A148" s="7" t="n"/>
      <c r="B148" s="7" t="n"/>
      <c r="C148" s="7" t="n"/>
      <c r="D148" s="7" t="n"/>
      <c r="E148" s="7" t="n"/>
      <c r="F148" s="7" t="n"/>
      <c r="G148" s="7" t="n"/>
      <c r="H148" s="7" t="n"/>
      <c r="I148" s="7" t="n"/>
      <c r="J148" s="7" t="n"/>
      <c r="K148" s="7" t="n"/>
      <c r="L148" s="7" t="n"/>
      <c r="M148" s="7" t="n"/>
      <c r="N148" s="7" t="n"/>
      <c r="O148" s="7" t="n"/>
      <c r="P148" s="7" t="n"/>
      <c r="Q148" s="7" t="n"/>
      <c r="R148" s="7" t="n"/>
      <c r="S148" s="7" t="n"/>
      <c r="T148" s="7" t="n"/>
      <c r="U148" s="7" t="n"/>
      <c r="V148" s="7" t="n"/>
      <c r="W148" s="7" t="n"/>
      <c r="X148" s="7" t="n"/>
      <c r="Y148" s="7" t="n"/>
      <c r="Z148" s="7" t="n"/>
      <c r="AA148" s="7" t="n"/>
      <c r="AB148" s="7">
        <f>IF(Y148="","",IFERROR(VLOOKUP(Y148,'Ingredients + Stock'!B:D,3,FALSE),""))</f>
        <v/>
      </c>
      <c r="AC148" s="7">
        <f>IF(Y148="","",IFERROR(VLOOKUP(Y148,'Ingredients + Stock'!B:G,6,FALSE),0))</f>
        <v/>
      </c>
      <c r="AD148" s="7">
        <f>IF(AA148="","",IFERROR(VLOOKUP(AA148,'Unit Conversion'!A:D,4,FALSE),1))</f>
        <v/>
      </c>
      <c r="AE148" s="7">
        <f>IF(AB148="","",IFERROR(VLOOKUP(AB148,'Unit Conversion'!A:D,4,FALSE),1))</f>
        <v/>
      </c>
      <c r="AF148" s="7">
        <f>IF(AA148="","",Z148*AD148/AE148)</f>
        <v/>
      </c>
      <c r="AG148" s="7">
        <f>AF148*AC148</f>
        <v/>
      </c>
      <c r="AH148" s="7">
        <f>IF(AA148="","",IFERROR(IF(VLOOKUP(AA148,'Unit Conversion'!A:B,2,FALSE)=VLOOKUP(AB148,'Unit Conversion'!A:B,2,FALSE),"OK","Check W/V mismatch"),"Check unit"))</f>
        <v/>
      </c>
      <c r="AI148" s="7" t="n"/>
    </row>
    <row r="149">
      <c r="A149" s="8" t="n"/>
      <c r="B149" s="8" t="n"/>
      <c r="C149" s="8" t="n"/>
      <c r="D149" s="8" t="n"/>
      <c r="E149" s="8" t="n"/>
      <c r="F149" s="8" t="n"/>
      <c r="G149" s="8" t="n"/>
      <c r="H149" s="8" t="n"/>
      <c r="I149" s="8" t="n"/>
      <c r="J149" s="8" t="n"/>
      <c r="K149" s="8" t="n"/>
      <c r="L149" s="8" t="n"/>
      <c r="M149" s="8" t="n"/>
      <c r="N149" s="8" t="n"/>
      <c r="O149" s="8" t="n"/>
      <c r="P149" s="8" t="n"/>
      <c r="Q149" s="8" t="n"/>
      <c r="R149" s="8" t="n"/>
      <c r="S149" s="8" t="n"/>
      <c r="T149" s="8" t="n"/>
      <c r="U149" s="8" t="n"/>
      <c r="V149" s="8" t="n"/>
      <c r="W149" s="8" t="n"/>
      <c r="X149" s="8" t="n"/>
      <c r="Y149" s="8" t="n"/>
      <c r="Z149" s="8" t="n"/>
      <c r="AA149" s="8" t="n"/>
      <c r="AB149" s="8">
        <f>IF(Y149="","",IFERROR(VLOOKUP(Y149,'Ingredients + Stock'!B:D,3,FALSE),""))</f>
        <v/>
      </c>
      <c r="AC149" s="8">
        <f>IF(Y149="","",IFERROR(VLOOKUP(Y149,'Ingredients + Stock'!B:G,6,FALSE),0))</f>
        <v/>
      </c>
      <c r="AD149" s="8">
        <f>IF(AA149="","",IFERROR(VLOOKUP(AA149,'Unit Conversion'!A:D,4,FALSE),1))</f>
        <v/>
      </c>
      <c r="AE149" s="8">
        <f>IF(AB149="","",IFERROR(VLOOKUP(AB149,'Unit Conversion'!A:D,4,FALSE),1))</f>
        <v/>
      </c>
      <c r="AF149" s="8">
        <f>IF(AA149="","",Z149*AD149/AE149)</f>
        <v/>
      </c>
      <c r="AG149" s="8">
        <f>AF149*AC149</f>
        <v/>
      </c>
      <c r="AH149" s="8">
        <f>IF(AA149="","",IFERROR(IF(VLOOKUP(AA149,'Unit Conversion'!A:B,2,FALSE)=VLOOKUP(AB149,'Unit Conversion'!A:B,2,FALSE),"OK","Check W/V mismatch"),"Check unit"))</f>
        <v/>
      </c>
      <c r="AI149" s="8" t="n"/>
    </row>
    <row r="150">
      <c r="A150" s="7" t="n"/>
      <c r="B150" s="7" t="n"/>
      <c r="C150" s="7" t="n"/>
      <c r="D150" s="7" t="n"/>
      <c r="E150" s="7" t="n"/>
      <c r="F150" s="7" t="n"/>
      <c r="G150" s="7" t="n"/>
      <c r="H150" s="7" t="n"/>
      <c r="I150" s="7" t="n"/>
      <c r="J150" s="7" t="n"/>
      <c r="K150" s="7" t="n"/>
      <c r="L150" s="7" t="n"/>
      <c r="M150" s="7" t="n"/>
      <c r="N150" s="7" t="n"/>
      <c r="O150" s="7" t="n"/>
      <c r="P150" s="7" t="n"/>
      <c r="Q150" s="7" t="n"/>
      <c r="R150" s="7" t="n"/>
      <c r="S150" s="7" t="n"/>
      <c r="T150" s="7" t="n"/>
      <c r="U150" s="7" t="n"/>
      <c r="V150" s="7" t="n"/>
      <c r="W150" s="7" t="n"/>
      <c r="X150" s="7" t="n"/>
      <c r="Y150" s="7" t="n"/>
      <c r="Z150" s="7" t="n"/>
      <c r="AA150" s="7" t="n"/>
      <c r="AB150" s="7">
        <f>IF(Y150="","",IFERROR(VLOOKUP(Y150,'Ingredients + Stock'!B:D,3,FALSE),""))</f>
        <v/>
      </c>
      <c r="AC150" s="7">
        <f>IF(Y150="","",IFERROR(VLOOKUP(Y150,'Ingredients + Stock'!B:G,6,FALSE),0))</f>
        <v/>
      </c>
      <c r="AD150" s="7">
        <f>IF(AA150="","",IFERROR(VLOOKUP(AA150,'Unit Conversion'!A:D,4,FALSE),1))</f>
        <v/>
      </c>
      <c r="AE150" s="7">
        <f>IF(AB150="","",IFERROR(VLOOKUP(AB150,'Unit Conversion'!A:D,4,FALSE),1))</f>
        <v/>
      </c>
      <c r="AF150" s="7">
        <f>IF(AA150="","",Z150*AD150/AE150)</f>
        <v/>
      </c>
      <c r="AG150" s="7">
        <f>AF150*AC150</f>
        <v/>
      </c>
      <c r="AH150" s="7">
        <f>IF(AA150="","",IFERROR(IF(VLOOKUP(AA150,'Unit Conversion'!A:B,2,FALSE)=VLOOKUP(AB150,'Unit Conversion'!A:B,2,FALSE),"OK","Check W/V mismatch"),"Check unit"))</f>
        <v/>
      </c>
      <c r="AI150" s="7" t="n"/>
    </row>
    <row r="151">
      <c r="A151" s="8" t="n"/>
      <c r="B151" s="8" t="n"/>
      <c r="C151" s="8" t="n"/>
      <c r="D151" s="8" t="n"/>
      <c r="E151" s="8" t="n"/>
      <c r="F151" s="8" t="n"/>
      <c r="G151" s="8" t="n"/>
      <c r="H151" s="8" t="n"/>
      <c r="I151" s="8" t="n"/>
      <c r="J151" s="8" t="n"/>
      <c r="K151" s="8" t="n"/>
      <c r="L151" s="8" t="n"/>
      <c r="M151" s="8" t="n"/>
      <c r="N151" s="8" t="n"/>
      <c r="O151" s="8" t="n"/>
      <c r="P151" s="8" t="n"/>
      <c r="Q151" s="8" t="n"/>
      <c r="R151" s="8" t="n"/>
      <c r="S151" s="8" t="n"/>
      <c r="T151" s="8" t="n"/>
      <c r="U151" s="8" t="n"/>
      <c r="V151" s="8" t="n"/>
      <c r="W151" s="8" t="n"/>
      <c r="X151" s="8" t="n"/>
      <c r="Y151" s="8" t="n"/>
      <c r="Z151" s="8" t="n"/>
      <c r="AA151" s="8" t="n"/>
      <c r="AB151" s="8">
        <f>IF(Y151="","",IFERROR(VLOOKUP(Y151,'Ingredients + Stock'!B:D,3,FALSE),""))</f>
        <v/>
      </c>
      <c r="AC151" s="8">
        <f>IF(Y151="","",IFERROR(VLOOKUP(Y151,'Ingredients + Stock'!B:G,6,FALSE),0))</f>
        <v/>
      </c>
      <c r="AD151" s="8">
        <f>IF(AA151="","",IFERROR(VLOOKUP(AA151,'Unit Conversion'!A:D,4,FALSE),1))</f>
        <v/>
      </c>
      <c r="AE151" s="8">
        <f>IF(AB151="","",IFERROR(VLOOKUP(AB151,'Unit Conversion'!A:D,4,FALSE),1))</f>
        <v/>
      </c>
      <c r="AF151" s="8">
        <f>IF(AA151="","",Z151*AD151/AE151)</f>
        <v/>
      </c>
      <c r="AG151" s="8">
        <f>AF151*AC151</f>
        <v/>
      </c>
      <c r="AH151" s="8">
        <f>IF(AA151="","",IFERROR(IF(VLOOKUP(AA151,'Unit Conversion'!A:B,2,FALSE)=VLOOKUP(AB151,'Unit Conversion'!A:B,2,FALSE),"OK","Check W/V mismatch"),"Check unit"))</f>
        <v/>
      </c>
      <c r="AI151" s="8" t="n"/>
    </row>
    <row r="152">
      <c r="A152" s="7" t="n"/>
      <c r="B152" s="7" t="n"/>
      <c r="C152" s="7" t="n"/>
      <c r="D152" s="7" t="n"/>
      <c r="E152" s="7" t="n"/>
      <c r="F152" s="7" t="n"/>
      <c r="G152" s="7" t="n"/>
      <c r="H152" s="7" t="n"/>
      <c r="I152" s="7" t="n"/>
      <c r="J152" s="7" t="n"/>
      <c r="K152" s="7" t="n"/>
      <c r="L152" s="7" t="n"/>
      <c r="M152" s="7" t="n"/>
      <c r="N152" s="7" t="n"/>
      <c r="O152" s="7" t="n"/>
      <c r="P152" s="7" t="n"/>
      <c r="Q152" s="7" t="n"/>
      <c r="R152" s="7" t="n"/>
      <c r="S152" s="7" t="n"/>
      <c r="T152" s="7" t="n"/>
      <c r="U152" s="7" t="n"/>
      <c r="V152" s="7" t="n"/>
      <c r="W152" s="7" t="n"/>
      <c r="X152" s="7" t="n"/>
      <c r="Y152" s="7" t="n"/>
      <c r="Z152" s="7" t="n"/>
      <c r="AA152" s="7" t="n"/>
      <c r="AB152" s="7">
        <f>IF(Y152="","",IFERROR(VLOOKUP(Y152,'Ingredients + Stock'!B:D,3,FALSE),""))</f>
        <v/>
      </c>
      <c r="AC152" s="7">
        <f>IF(Y152="","",IFERROR(VLOOKUP(Y152,'Ingredients + Stock'!B:G,6,FALSE),0))</f>
        <v/>
      </c>
      <c r="AD152" s="7">
        <f>IF(AA152="","",IFERROR(VLOOKUP(AA152,'Unit Conversion'!A:D,4,FALSE),1))</f>
        <v/>
      </c>
      <c r="AE152" s="7">
        <f>IF(AB152="","",IFERROR(VLOOKUP(AB152,'Unit Conversion'!A:D,4,FALSE),1))</f>
        <v/>
      </c>
      <c r="AF152" s="7">
        <f>IF(AA152="","",Z152*AD152/AE152)</f>
        <v/>
      </c>
      <c r="AG152" s="7">
        <f>AF152*AC152</f>
        <v/>
      </c>
      <c r="AH152" s="7">
        <f>IF(AA152="","",IFERROR(IF(VLOOKUP(AA152,'Unit Conversion'!A:B,2,FALSE)=VLOOKUP(AB152,'Unit Conversion'!A:B,2,FALSE),"OK","Check W/V mismatch"),"Check unit"))</f>
        <v/>
      </c>
      <c r="AI152" s="7" t="n"/>
    </row>
    <row r="153">
      <c r="A153" s="8" t="n"/>
      <c r="B153" s="8" t="n"/>
      <c r="C153" s="8" t="n"/>
      <c r="D153" s="8" t="n"/>
      <c r="E153" s="8" t="n"/>
      <c r="F153" s="8" t="n"/>
      <c r="G153" s="8" t="n"/>
      <c r="H153" s="8" t="n"/>
      <c r="I153" s="8" t="n"/>
      <c r="J153" s="8" t="n"/>
      <c r="K153" s="8" t="n"/>
      <c r="L153" s="8" t="n"/>
      <c r="M153" s="8" t="n"/>
      <c r="N153" s="8" t="n"/>
      <c r="O153" s="8" t="n"/>
      <c r="P153" s="8" t="n"/>
      <c r="Q153" s="8" t="n"/>
      <c r="R153" s="8" t="n"/>
      <c r="S153" s="8" t="n"/>
      <c r="T153" s="8" t="n"/>
      <c r="U153" s="8" t="n"/>
      <c r="V153" s="8" t="n"/>
      <c r="W153" s="8" t="n"/>
      <c r="X153" s="8" t="n"/>
      <c r="Y153" s="8" t="n"/>
      <c r="Z153" s="8" t="n"/>
      <c r="AA153" s="8" t="n"/>
      <c r="AB153" s="8">
        <f>IF(Y153="","",IFERROR(VLOOKUP(Y153,'Ingredients + Stock'!B:D,3,FALSE),""))</f>
        <v/>
      </c>
      <c r="AC153" s="8">
        <f>IF(Y153="","",IFERROR(VLOOKUP(Y153,'Ingredients + Stock'!B:G,6,FALSE),0))</f>
        <v/>
      </c>
      <c r="AD153" s="8">
        <f>IF(AA153="","",IFERROR(VLOOKUP(AA153,'Unit Conversion'!A:D,4,FALSE),1))</f>
        <v/>
      </c>
      <c r="AE153" s="8">
        <f>IF(AB153="","",IFERROR(VLOOKUP(AB153,'Unit Conversion'!A:D,4,FALSE),1))</f>
        <v/>
      </c>
      <c r="AF153" s="8">
        <f>IF(AA153="","",Z153*AD153/AE153)</f>
        <v/>
      </c>
      <c r="AG153" s="8">
        <f>AF153*AC153</f>
        <v/>
      </c>
      <c r="AH153" s="8">
        <f>IF(AA153="","",IFERROR(IF(VLOOKUP(AA153,'Unit Conversion'!A:B,2,FALSE)=VLOOKUP(AB153,'Unit Conversion'!A:B,2,FALSE),"OK","Check W/V mismatch"),"Check unit"))</f>
        <v/>
      </c>
      <c r="AI153" s="8" t="n"/>
    </row>
    <row r="154">
      <c r="A154" s="7" t="n"/>
      <c r="B154" s="7" t="n"/>
      <c r="C154" s="7" t="n"/>
      <c r="D154" s="7" t="n"/>
      <c r="E154" s="7" t="n"/>
      <c r="F154" s="7" t="n"/>
      <c r="G154" s="7" t="n"/>
      <c r="H154" s="7" t="n"/>
      <c r="I154" s="7" t="n"/>
      <c r="J154" s="7" t="n"/>
      <c r="K154" s="7" t="n"/>
      <c r="L154" s="7" t="n"/>
      <c r="M154" s="7" t="n"/>
      <c r="N154" s="7" t="n"/>
      <c r="O154" s="7" t="n"/>
      <c r="P154" s="7" t="n"/>
      <c r="Q154" s="7" t="n"/>
      <c r="R154" s="7" t="n"/>
      <c r="S154" s="7" t="n"/>
      <c r="T154" s="7" t="n"/>
      <c r="U154" s="7" t="n"/>
      <c r="V154" s="7" t="n"/>
      <c r="W154" s="7" t="n"/>
      <c r="X154" s="7" t="n"/>
      <c r="Y154" s="7" t="n"/>
      <c r="Z154" s="7" t="n"/>
      <c r="AA154" s="7" t="n"/>
      <c r="AB154" s="7">
        <f>IF(Y154="","",IFERROR(VLOOKUP(Y154,'Ingredients + Stock'!B:D,3,FALSE),""))</f>
        <v/>
      </c>
      <c r="AC154" s="7">
        <f>IF(Y154="","",IFERROR(VLOOKUP(Y154,'Ingredients + Stock'!B:G,6,FALSE),0))</f>
        <v/>
      </c>
      <c r="AD154" s="7">
        <f>IF(AA154="","",IFERROR(VLOOKUP(AA154,'Unit Conversion'!A:D,4,FALSE),1))</f>
        <v/>
      </c>
      <c r="AE154" s="7">
        <f>IF(AB154="","",IFERROR(VLOOKUP(AB154,'Unit Conversion'!A:D,4,FALSE),1))</f>
        <v/>
      </c>
      <c r="AF154" s="7">
        <f>IF(AA154="","",Z154*AD154/AE154)</f>
        <v/>
      </c>
      <c r="AG154" s="7">
        <f>AF154*AC154</f>
        <v/>
      </c>
      <c r="AH154" s="7">
        <f>IF(AA154="","",IFERROR(IF(VLOOKUP(AA154,'Unit Conversion'!A:B,2,FALSE)=VLOOKUP(AB154,'Unit Conversion'!A:B,2,FALSE),"OK","Check W/V mismatch"),"Check unit"))</f>
        <v/>
      </c>
      <c r="AI154" s="7" t="n"/>
    </row>
    <row r="155">
      <c r="A155" s="8" t="n"/>
      <c r="B155" s="8" t="n"/>
      <c r="C155" s="8" t="n"/>
      <c r="D155" s="8" t="n"/>
      <c r="E155" s="8" t="n"/>
      <c r="F155" s="8" t="n"/>
      <c r="G155" s="8" t="n"/>
      <c r="H155" s="8" t="n"/>
      <c r="I155" s="8" t="n"/>
      <c r="J155" s="8" t="n"/>
      <c r="K155" s="8" t="n"/>
      <c r="L155" s="8" t="n"/>
      <c r="M155" s="8" t="n"/>
      <c r="N155" s="8" t="n"/>
      <c r="O155" s="8" t="n"/>
      <c r="P155" s="8" t="n"/>
      <c r="Q155" s="8" t="n"/>
      <c r="R155" s="8" t="n"/>
      <c r="S155" s="8" t="n"/>
      <c r="T155" s="8" t="n"/>
      <c r="U155" s="8" t="n"/>
      <c r="V155" s="8" t="n"/>
      <c r="W155" s="8" t="n"/>
      <c r="X155" s="8" t="n"/>
      <c r="Y155" s="8" t="n"/>
      <c r="Z155" s="8" t="n"/>
      <c r="AA155" s="8" t="n"/>
      <c r="AB155" s="8">
        <f>IF(Y155="","",IFERROR(VLOOKUP(Y155,'Ingredients + Stock'!B:D,3,FALSE),""))</f>
        <v/>
      </c>
      <c r="AC155" s="8">
        <f>IF(Y155="","",IFERROR(VLOOKUP(Y155,'Ingredients + Stock'!B:G,6,FALSE),0))</f>
        <v/>
      </c>
      <c r="AD155" s="8">
        <f>IF(AA155="","",IFERROR(VLOOKUP(AA155,'Unit Conversion'!A:D,4,FALSE),1))</f>
        <v/>
      </c>
      <c r="AE155" s="8">
        <f>IF(AB155="","",IFERROR(VLOOKUP(AB155,'Unit Conversion'!A:D,4,FALSE),1))</f>
        <v/>
      </c>
      <c r="AF155" s="8">
        <f>IF(AA155="","",Z155*AD155/AE155)</f>
        <v/>
      </c>
      <c r="AG155" s="8">
        <f>AF155*AC155</f>
        <v/>
      </c>
      <c r="AH155" s="8">
        <f>IF(AA155="","",IFERROR(IF(VLOOKUP(AA155,'Unit Conversion'!A:B,2,FALSE)=VLOOKUP(AB155,'Unit Conversion'!A:B,2,FALSE),"OK","Check W/V mismatch"),"Check unit"))</f>
        <v/>
      </c>
      <c r="AI155" s="8" t="n"/>
    </row>
    <row r="156">
      <c r="A156" s="7" t="n"/>
      <c r="B156" s="7" t="n"/>
      <c r="C156" s="7" t="n"/>
      <c r="D156" s="7" t="n"/>
      <c r="E156" s="7" t="n"/>
      <c r="F156" s="7" t="n"/>
      <c r="G156" s="7" t="n"/>
      <c r="H156" s="7" t="n"/>
      <c r="I156" s="7" t="n"/>
      <c r="J156" s="7" t="n"/>
      <c r="K156" s="7" t="n"/>
      <c r="L156" s="7" t="n"/>
      <c r="M156" s="7" t="n"/>
      <c r="N156" s="7" t="n"/>
      <c r="O156" s="7" t="n"/>
      <c r="P156" s="7" t="n"/>
      <c r="Q156" s="7" t="n"/>
      <c r="R156" s="7" t="n"/>
      <c r="S156" s="7" t="n"/>
      <c r="T156" s="7" t="n"/>
      <c r="U156" s="7" t="n"/>
      <c r="V156" s="7" t="n"/>
      <c r="W156" s="7" t="n"/>
      <c r="X156" s="7" t="n"/>
      <c r="Y156" s="7" t="n"/>
      <c r="Z156" s="7" t="n"/>
      <c r="AA156" s="7" t="n"/>
      <c r="AB156" s="7">
        <f>IF(Y156="","",IFERROR(VLOOKUP(Y156,'Ingredients + Stock'!B:D,3,FALSE),""))</f>
        <v/>
      </c>
      <c r="AC156" s="7">
        <f>IF(Y156="","",IFERROR(VLOOKUP(Y156,'Ingredients + Stock'!B:G,6,FALSE),0))</f>
        <v/>
      </c>
      <c r="AD156" s="7">
        <f>IF(AA156="","",IFERROR(VLOOKUP(AA156,'Unit Conversion'!A:D,4,FALSE),1))</f>
        <v/>
      </c>
      <c r="AE156" s="7">
        <f>IF(AB156="","",IFERROR(VLOOKUP(AB156,'Unit Conversion'!A:D,4,FALSE),1))</f>
        <v/>
      </c>
      <c r="AF156" s="7">
        <f>IF(AA156="","",Z156*AD156/AE156)</f>
        <v/>
      </c>
      <c r="AG156" s="7">
        <f>AF156*AC156</f>
        <v/>
      </c>
      <c r="AH156" s="7">
        <f>IF(AA156="","",IFERROR(IF(VLOOKUP(AA156,'Unit Conversion'!A:B,2,FALSE)=VLOOKUP(AB156,'Unit Conversion'!A:B,2,FALSE),"OK","Check W/V mismatch"),"Check unit"))</f>
        <v/>
      </c>
      <c r="AI156" s="7" t="n"/>
    </row>
    <row r="157">
      <c r="A157" s="8" t="n"/>
      <c r="B157" s="8" t="n"/>
      <c r="C157" s="8" t="n"/>
      <c r="D157" s="8" t="n"/>
      <c r="E157" s="8" t="n"/>
      <c r="F157" s="8" t="n"/>
      <c r="G157" s="8" t="n"/>
      <c r="H157" s="8" t="n"/>
      <c r="I157" s="8" t="n"/>
      <c r="J157" s="8" t="n"/>
      <c r="K157" s="8" t="n"/>
      <c r="L157" s="8" t="n"/>
      <c r="M157" s="8" t="n"/>
      <c r="N157" s="8" t="n"/>
      <c r="O157" s="8" t="n"/>
      <c r="P157" s="8" t="n"/>
      <c r="Q157" s="8" t="n"/>
      <c r="R157" s="8" t="n"/>
      <c r="S157" s="8" t="n"/>
      <c r="T157" s="8" t="n"/>
      <c r="U157" s="8" t="n"/>
      <c r="V157" s="8" t="n"/>
      <c r="W157" s="8" t="n"/>
      <c r="X157" s="8" t="n"/>
      <c r="Y157" s="8" t="n"/>
      <c r="Z157" s="8" t="n"/>
      <c r="AA157" s="8" t="n"/>
      <c r="AB157" s="8">
        <f>IF(Y157="","",IFERROR(VLOOKUP(Y157,'Ingredients + Stock'!B:D,3,FALSE),""))</f>
        <v/>
      </c>
      <c r="AC157" s="8">
        <f>IF(Y157="","",IFERROR(VLOOKUP(Y157,'Ingredients + Stock'!B:G,6,FALSE),0))</f>
        <v/>
      </c>
      <c r="AD157" s="8">
        <f>IF(AA157="","",IFERROR(VLOOKUP(AA157,'Unit Conversion'!A:D,4,FALSE),1))</f>
        <v/>
      </c>
      <c r="AE157" s="8">
        <f>IF(AB157="","",IFERROR(VLOOKUP(AB157,'Unit Conversion'!A:D,4,FALSE),1))</f>
        <v/>
      </c>
      <c r="AF157" s="8">
        <f>IF(AA157="","",Z157*AD157/AE157)</f>
        <v/>
      </c>
      <c r="AG157" s="8">
        <f>AF157*AC157</f>
        <v/>
      </c>
      <c r="AH157" s="8">
        <f>IF(AA157="","",IFERROR(IF(VLOOKUP(AA157,'Unit Conversion'!A:B,2,FALSE)=VLOOKUP(AB157,'Unit Conversion'!A:B,2,FALSE),"OK","Check W/V mismatch"),"Check unit"))</f>
        <v/>
      </c>
      <c r="AI157" s="8" t="n"/>
    </row>
    <row r="158">
      <c r="A158" s="7" t="n"/>
      <c r="B158" s="7" t="n"/>
      <c r="C158" s="7" t="n"/>
      <c r="D158" s="7" t="n"/>
      <c r="E158" s="7" t="n"/>
      <c r="F158" s="7" t="n"/>
      <c r="G158" s="7" t="n"/>
      <c r="H158" s="7" t="n"/>
      <c r="I158" s="7" t="n"/>
      <c r="J158" s="7" t="n"/>
      <c r="K158" s="7" t="n"/>
      <c r="L158" s="7" t="n"/>
      <c r="M158" s="7" t="n"/>
      <c r="N158" s="7" t="n"/>
      <c r="O158" s="7" t="n"/>
      <c r="P158" s="7" t="n"/>
      <c r="Q158" s="7" t="n"/>
      <c r="R158" s="7" t="n"/>
      <c r="S158" s="7" t="n"/>
      <c r="T158" s="7" t="n"/>
      <c r="U158" s="7" t="n"/>
      <c r="V158" s="7" t="n"/>
      <c r="W158" s="7" t="n"/>
      <c r="X158" s="7" t="n"/>
      <c r="Y158" s="7" t="n"/>
      <c r="Z158" s="7" t="n"/>
      <c r="AA158" s="7" t="n"/>
      <c r="AB158" s="7">
        <f>IF(Y158="","",IFERROR(VLOOKUP(Y158,'Ingredients + Stock'!B:D,3,FALSE),""))</f>
        <v/>
      </c>
      <c r="AC158" s="7">
        <f>IF(Y158="","",IFERROR(VLOOKUP(Y158,'Ingredients + Stock'!B:G,6,FALSE),0))</f>
        <v/>
      </c>
      <c r="AD158" s="7">
        <f>IF(AA158="","",IFERROR(VLOOKUP(AA158,'Unit Conversion'!A:D,4,FALSE),1))</f>
        <v/>
      </c>
      <c r="AE158" s="7">
        <f>IF(AB158="","",IFERROR(VLOOKUP(AB158,'Unit Conversion'!A:D,4,FALSE),1))</f>
        <v/>
      </c>
      <c r="AF158" s="7">
        <f>IF(AA158="","",Z158*AD158/AE158)</f>
        <v/>
      </c>
      <c r="AG158" s="7">
        <f>AF158*AC158</f>
        <v/>
      </c>
      <c r="AH158" s="7">
        <f>IF(AA158="","",IFERROR(IF(VLOOKUP(AA158,'Unit Conversion'!A:B,2,FALSE)=VLOOKUP(AB158,'Unit Conversion'!A:B,2,FALSE),"OK","Check W/V mismatch"),"Check unit"))</f>
        <v/>
      </c>
      <c r="AI158" s="7" t="n"/>
    </row>
    <row r="159">
      <c r="A159" s="8" t="n"/>
      <c r="B159" s="8" t="n"/>
      <c r="C159" s="8" t="n"/>
      <c r="D159" s="8" t="n"/>
      <c r="E159" s="8" t="n"/>
      <c r="F159" s="8" t="n"/>
      <c r="G159" s="8" t="n"/>
      <c r="H159" s="8" t="n"/>
      <c r="I159" s="8" t="n"/>
      <c r="J159" s="8" t="n"/>
      <c r="K159" s="8" t="n"/>
      <c r="L159" s="8" t="n"/>
      <c r="M159" s="8" t="n"/>
      <c r="N159" s="8" t="n"/>
      <c r="O159" s="8" t="n"/>
      <c r="P159" s="8" t="n"/>
      <c r="Q159" s="8" t="n"/>
      <c r="R159" s="8" t="n"/>
      <c r="S159" s="8" t="n"/>
      <c r="T159" s="8" t="n"/>
      <c r="U159" s="8" t="n"/>
      <c r="V159" s="8" t="n"/>
      <c r="W159" s="8" t="n"/>
      <c r="X159" s="8" t="n"/>
      <c r="Y159" s="8" t="n"/>
      <c r="Z159" s="8" t="n"/>
      <c r="AA159" s="8" t="n"/>
      <c r="AB159" s="8">
        <f>IF(Y159="","",IFERROR(VLOOKUP(Y159,'Ingredients + Stock'!B:D,3,FALSE),""))</f>
        <v/>
      </c>
      <c r="AC159" s="8">
        <f>IF(Y159="","",IFERROR(VLOOKUP(Y159,'Ingredients + Stock'!B:G,6,FALSE),0))</f>
        <v/>
      </c>
      <c r="AD159" s="8">
        <f>IF(AA159="","",IFERROR(VLOOKUP(AA159,'Unit Conversion'!A:D,4,FALSE),1))</f>
        <v/>
      </c>
      <c r="AE159" s="8">
        <f>IF(AB159="","",IFERROR(VLOOKUP(AB159,'Unit Conversion'!A:D,4,FALSE),1))</f>
        <v/>
      </c>
      <c r="AF159" s="8">
        <f>IF(AA159="","",Z159*AD159/AE159)</f>
        <v/>
      </c>
      <c r="AG159" s="8">
        <f>AF159*AC159</f>
        <v/>
      </c>
      <c r="AH159" s="8">
        <f>IF(AA159="","",IFERROR(IF(VLOOKUP(AA159,'Unit Conversion'!A:B,2,FALSE)=VLOOKUP(AB159,'Unit Conversion'!A:B,2,FALSE),"OK","Check W/V mismatch"),"Check unit"))</f>
        <v/>
      </c>
      <c r="AI159" s="8" t="n"/>
    </row>
    <row r="160">
      <c r="A160" s="7" t="n"/>
      <c r="B160" s="7" t="n"/>
      <c r="C160" s="7" t="n"/>
      <c r="D160" s="7" t="n"/>
      <c r="E160" s="7" t="n"/>
      <c r="F160" s="7" t="n"/>
      <c r="G160" s="7" t="n"/>
      <c r="H160" s="7" t="n"/>
      <c r="I160" s="7" t="n"/>
      <c r="J160" s="7" t="n"/>
      <c r="K160" s="7" t="n"/>
      <c r="L160" s="7" t="n"/>
      <c r="M160" s="7" t="n"/>
      <c r="N160" s="7" t="n"/>
      <c r="O160" s="7" t="n"/>
      <c r="P160" s="7" t="n"/>
      <c r="Q160" s="7" t="n"/>
      <c r="R160" s="7" t="n"/>
      <c r="S160" s="7" t="n"/>
      <c r="T160" s="7" t="n"/>
      <c r="U160" s="7" t="n"/>
      <c r="V160" s="7" t="n"/>
      <c r="W160" s="7" t="n"/>
      <c r="X160" s="7" t="n"/>
      <c r="Y160" s="7" t="n"/>
      <c r="Z160" s="7" t="n"/>
      <c r="AA160" s="7" t="n"/>
      <c r="AB160" s="7">
        <f>IF(Y160="","",IFERROR(VLOOKUP(Y160,'Ingredients + Stock'!B:D,3,FALSE),""))</f>
        <v/>
      </c>
      <c r="AC160" s="7">
        <f>IF(Y160="","",IFERROR(VLOOKUP(Y160,'Ingredients + Stock'!B:G,6,FALSE),0))</f>
        <v/>
      </c>
      <c r="AD160" s="7">
        <f>IF(AA160="","",IFERROR(VLOOKUP(AA160,'Unit Conversion'!A:D,4,FALSE),1))</f>
        <v/>
      </c>
      <c r="AE160" s="7">
        <f>IF(AB160="","",IFERROR(VLOOKUP(AB160,'Unit Conversion'!A:D,4,FALSE),1))</f>
        <v/>
      </c>
      <c r="AF160" s="7">
        <f>IF(AA160="","",Z160*AD160/AE160)</f>
        <v/>
      </c>
      <c r="AG160" s="7">
        <f>AF160*AC160</f>
        <v/>
      </c>
      <c r="AH160" s="7">
        <f>IF(AA160="","",IFERROR(IF(VLOOKUP(AA160,'Unit Conversion'!A:B,2,FALSE)=VLOOKUP(AB160,'Unit Conversion'!A:B,2,FALSE),"OK","Check W/V mismatch"),"Check unit"))</f>
        <v/>
      </c>
      <c r="AI160" s="7" t="n"/>
    </row>
    <row r="161">
      <c r="A161" s="8" t="n"/>
      <c r="B161" s="8" t="n"/>
      <c r="C161" s="8" t="n"/>
      <c r="D161" s="8" t="n"/>
      <c r="E161" s="8" t="n"/>
      <c r="F161" s="8" t="n"/>
      <c r="G161" s="8" t="n"/>
      <c r="H161" s="8" t="n"/>
      <c r="I161" s="8" t="n"/>
      <c r="J161" s="8" t="n"/>
      <c r="K161" s="8" t="n"/>
      <c r="L161" s="8" t="n"/>
      <c r="M161" s="8" t="n"/>
      <c r="N161" s="8" t="n"/>
      <c r="O161" s="8" t="n"/>
      <c r="P161" s="8" t="n"/>
      <c r="Q161" s="8" t="n"/>
      <c r="R161" s="8" t="n"/>
      <c r="S161" s="8" t="n"/>
      <c r="T161" s="8" t="n"/>
      <c r="U161" s="8" t="n"/>
      <c r="V161" s="8" t="n"/>
      <c r="W161" s="8" t="n"/>
      <c r="X161" s="8" t="n"/>
      <c r="Y161" s="8" t="n"/>
      <c r="Z161" s="8" t="n"/>
      <c r="AA161" s="8" t="n"/>
      <c r="AB161" s="8">
        <f>IF(Y161="","",IFERROR(VLOOKUP(Y161,'Ingredients + Stock'!B:D,3,FALSE),""))</f>
        <v/>
      </c>
      <c r="AC161" s="8">
        <f>IF(Y161="","",IFERROR(VLOOKUP(Y161,'Ingredients + Stock'!B:G,6,FALSE),0))</f>
        <v/>
      </c>
      <c r="AD161" s="8">
        <f>IF(AA161="","",IFERROR(VLOOKUP(AA161,'Unit Conversion'!A:D,4,FALSE),1))</f>
        <v/>
      </c>
      <c r="AE161" s="8">
        <f>IF(AB161="","",IFERROR(VLOOKUP(AB161,'Unit Conversion'!A:D,4,FALSE),1))</f>
        <v/>
      </c>
      <c r="AF161" s="8">
        <f>IF(AA161="","",Z161*AD161/AE161)</f>
        <v/>
      </c>
      <c r="AG161" s="8">
        <f>AF161*AC161</f>
        <v/>
      </c>
      <c r="AH161" s="8">
        <f>IF(AA161="","",IFERROR(IF(VLOOKUP(AA161,'Unit Conversion'!A:B,2,FALSE)=VLOOKUP(AB161,'Unit Conversion'!A:B,2,FALSE),"OK","Check W/V mismatch"),"Check unit"))</f>
        <v/>
      </c>
      <c r="AI161" s="8" t="n"/>
    </row>
    <row r="162">
      <c r="A162" s="7" t="n"/>
      <c r="B162" s="7" t="n"/>
      <c r="C162" s="7" t="n"/>
      <c r="D162" s="7" t="n"/>
      <c r="E162" s="7" t="n"/>
      <c r="F162" s="7" t="n"/>
      <c r="G162" s="7" t="n"/>
      <c r="H162" s="7" t="n"/>
      <c r="I162" s="7" t="n"/>
      <c r="J162" s="7" t="n"/>
      <c r="K162" s="7" t="n"/>
      <c r="L162" s="7" t="n"/>
      <c r="M162" s="7" t="n"/>
      <c r="N162" s="7" t="n"/>
      <c r="O162" s="7" t="n"/>
      <c r="P162" s="7" t="n"/>
      <c r="Q162" s="7" t="n"/>
      <c r="R162" s="7" t="n"/>
      <c r="S162" s="7" t="n"/>
      <c r="T162" s="7" t="n"/>
      <c r="U162" s="7" t="n"/>
      <c r="V162" s="7" t="n"/>
      <c r="W162" s="7" t="n"/>
      <c r="X162" s="7" t="n"/>
      <c r="Y162" s="7" t="n"/>
      <c r="Z162" s="7" t="n"/>
      <c r="AA162" s="7" t="n"/>
      <c r="AB162" s="7">
        <f>IF(Y162="","",IFERROR(VLOOKUP(Y162,'Ingredients + Stock'!B:D,3,FALSE),""))</f>
        <v/>
      </c>
      <c r="AC162" s="7">
        <f>IF(Y162="","",IFERROR(VLOOKUP(Y162,'Ingredients + Stock'!B:G,6,FALSE),0))</f>
        <v/>
      </c>
      <c r="AD162" s="7">
        <f>IF(AA162="","",IFERROR(VLOOKUP(AA162,'Unit Conversion'!A:D,4,FALSE),1))</f>
        <v/>
      </c>
      <c r="AE162" s="7">
        <f>IF(AB162="","",IFERROR(VLOOKUP(AB162,'Unit Conversion'!A:D,4,FALSE),1))</f>
        <v/>
      </c>
      <c r="AF162" s="7">
        <f>IF(AA162="","",Z162*AD162/AE162)</f>
        <v/>
      </c>
      <c r="AG162" s="7">
        <f>AF162*AC162</f>
        <v/>
      </c>
      <c r="AH162" s="7">
        <f>IF(AA162="","",IFERROR(IF(VLOOKUP(AA162,'Unit Conversion'!A:B,2,FALSE)=VLOOKUP(AB162,'Unit Conversion'!A:B,2,FALSE),"OK","Check W/V mismatch"),"Check unit"))</f>
        <v/>
      </c>
      <c r="AI162" s="7" t="n"/>
    </row>
    <row r="163">
      <c r="A163" s="8" t="n"/>
      <c r="B163" s="8" t="n"/>
      <c r="C163" s="8" t="n"/>
      <c r="D163" s="8" t="n"/>
      <c r="E163" s="8" t="n"/>
      <c r="F163" s="8" t="n"/>
      <c r="G163" s="8" t="n"/>
      <c r="H163" s="8" t="n"/>
      <c r="I163" s="8" t="n"/>
      <c r="J163" s="8" t="n"/>
      <c r="K163" s="8" t="n"/>
      <c r="L163" s="8" t="n"/>
      <c r="M163" s="8" t="n"/>
      <c r="N163" s="8" t="n"/>
      <c r="O163" s="8" t="n"/>
      <c r="P163" s="8" t="n"/>
      <c r="Q163" s="8" t="n"/>
      <c r="R163" s="8" t="n"/>
      <c r="S163" s="8" t="n"/>
      <c r="T163" s="8" t="n"/>
      <c r="U163" s="8" t="n"/>
      <c r="V163" s="8" t="n"/>
      <c r="W163" s="8" t="n"/>
      <c r="X163" s="8" t="n"/>
      <c r="Y163" s="8" t="n"/>
      <c r="Z163" s="8" t="n"/>
      <c r="AA163" s="8" t="n"/>
      <c r="AB163" s="8">
        <f>IF(Y163="","",IFERROR(VLOOKUP(Y163,'Ingredients + Stock'!B:D,3,FALSE),""))</f>
        <v/>
      </c>
      <c r="AC163" s="8">
        <f>IF(Y163="","",IFERROR(VLOOKUP(Y163,'Ingredients + Stock'!B:G,6,FALSE),0))</f>
        <v/>
      </c>
      <c r="AD163" s="8">
        <f>IF(AA163="","",IFERROR(VLOOKUP(AA163,'Unit Conversion'!A:D,4,FALSE),1))</f>
        <v/>
      </c>
      <c r="AE163" s="8">
        <f>IF(AB163="","",IFERROR(VLOOKUP(AB163,'Unit Conversion'!A:D,4,FALSE),1))</f>
        <v/>
      </c>
      <c r="AF163" s="8">
        <f>IF(AA163="","",Z163*AD163/AE163)</f>
        <v/>
      </c>
      <c r="AG163" s="8">
        <f>AF163*AC163</f>
        <v/>
      </c>
      <c r="AH163" s="8">
        <f>IF(AA163="","",IFERROR(IF(VLOOKUP(AA163,'Unit Conversion'!A:B,2,FALSE)=VLOOKUP(AB163,'Unit Conversion'!A:B,2,FALSE),"OK","Check W/V mismatch"),"Check unit"))</f>
        <v/>
      </c>
      <c r="AI163" s="8" t="n"/>
    </row>
    <row r="164">
      <c r="A164" s="7" t="n"/>
      <c r="B164" s="7" t="n"/>
      <c r="C164" s="7" t="n"/>
      <c r="D164" s="7" t="n"/>
      <c r="E164" s="7" t="n"/>
      <c r="F164" s="7" t="n"/>
      <c r="G164" s="7" t="n"/>
      <c r="H164" s="7" t="n"/>
      <c r="I164" s="7" t="n"/>
      <c r="J164" s="7" t="n"/>
      <c r="K164" s="7" t="n"/>
      <c r="L164" s="7" t="n"/>
      <c r="M164" s="7" t="n"/>
      <c r="N164" s="7" t="n"/>
      <c r="O164" s="7" t="n"/>
      <c r="P164" s="7" t="n"/>
      <c r="Q164" s="7" t="n"/>
      <c r="R164" s="7" t="n"/>
      <c r="S164" s="7" t="n"/>
      <c r="T164" s="7" t="n"/>
      <c r="U164" s="7" t="n"/>
      <c r="V164" s="7" t="n"/>
      <c r="W164" s="7" t="n"/>
      <c r="X164" s="7" t="n"/>
      <c r="Y164" s="7" t="n"/>
      <c r="Z164" s="7" t="n"/>
      <c r="AA164" s="7" t="n"/>
      <c r="AB164" s="7">
        <f>IF(Y164="","",IFERROR(VLOOKUP(Y164,'Ingredients + Stock'!B:D,3,FALSE),""))</f>
        <v/>
      </c>
      <c r="AC164" s="7">
        <f>IF(Y164="","",IFERROR(VLOOKUP(Y164,'Ingredients + Stock'!B:G,6,FALSE),0))</f>
        <v/>
      </c>
      <c r="AD164" s="7">
        <f>IF(AA164="","",IFERROR(VLOOKUP(AA164,'Unit Conversion'!A:D,4,FALSE),1))</f>
        <v/>
      </c>
      <c r="AE164" s="7">
        <f>IF(AB164="","",IFERROR(VLOOKUP(AB164,'Unit Conversion'!A:D,4,FALSE),1))</f>
        <v/>
      </c>
      <c r="AF164" s="7">
        <f>IF(AA164="","",Z164*AD164/AE164)</f>
        <v/>
      </c>
      <c r="AG164" s="7">
        <f>AF164*AC164</f>
        <v/>
      </c>
      <c r="AH164" s="7">
        <f>IF(AA164="","",IFERROR(IF(VLOOKUP(AA164,'Unit Conversion'!A:B,2,FALSE)=VLOOKUP(AB164,'Unit Conversion'!A:B,2,FALSE),"OK","Check W/V mismatch"),"Check unit"))</f>
        <v/>
      </c>
      <c r="AI164" s="7" t="n"/>
    </row>
    <row r="165">
      <c r="A165" s="8" t="n"/>
      <c r="B165" s="8" t="n"/>
      <c r="C165" s="8" t="n"/>
      <c r="D165" s="8" t="n"/>
      <c r="E165" s="8" t="n"/>
      <c r="F165" s="8" t="n"/>
      <c r="G165" s="8" t="n"/>
      <c r="H165" s="8" t="n"/>
      <c r="I165" s="8" t="n"/>
      <c r="J165" s="8" t="n"/>
      <c r="K165" s="8" t="n"/>
      <c r="L165" s="8" t="n"/>
      <c r="M165" s="8" t="n"/>
      <c r="N165" s="8" t="n"/>
      <c r="O165" s="8" t="n"/>
      <c r="P165" s="8" t="n"/>
      <c r="Q165" s="8" t="n"/>
      <c r="R165" s="8" t="n"/>
      <c r="S165" s="8" t="n"/>
      <c r="T165" s="8" t="n"/>
      <c r="U165" s="8" t="n"/>
      <c r="V165" s="8" t="n"/>
      <c r="W165" s="8" t="n"/>
      <c r="X165" s="8" t="n"/>
      <c r="Y165" s="8" t="n"/>
      <c r="Z165" s="8" t="n"/>
      <c r="AA165" s="8" t="n"/>
      <c r="AB165" s="8">
        <f>IF(Y165="","",IFERROR(VLOOKUP(Y165,'Ingredients + Stock'!B:D,3,FALSE),""))</f>
        <v/>
      </c>
      <c r="AC165" s="8">
        <f>IF(Y165="","",IFERROR(VLOOKUP(Y165,'Ingredients + Stock'!B:G,6,FALSE),0))</f>
        <v/>
      </c>
      <c r="AD165" s="8">
        <f>IF(AA165="","",IFERROR(VLOOKUP(AA165,'Unit Conversion'!A:D,4,FALSE),1))</f>
        <v/>
      </c>
      <c r="AE165" s="8">
        <f>IF(AB165="","",IFERROR(VLOOKUP(AB165,'Unit Conversion'!A:D,4,FALSE),1))</f>
        <v/>
      </c>
      <c r="AF165" s="8">
        <f>IF(AA165="","",Z165*AD165/AE165)</f>
        <v/>
      </c>
      <c r="AG165" s="8">
        <f>AF165*AC165</f>
        <v/>
      </c>
      <c r="AH165" s="8">
        <f>IF(AA165="","",IFERROR(IF(VLOOKUP(AA165,'Unit Conversion'!A:B,2,FALSE)=VLOOKUP(AB165,'Unit Conversion'!A:B,2,FALSE),"OK","Check W/V mismatch"),"Check unit"))</f>
        <v/>
      </c>
      <c r="AI165" s="8" t="n"/>
    </row>
    <row r="166">
      <c r="A166" s="7" t="n"/>
      <c r="B166" s="7" t="n"/>
      <c r="C166" s="7" t="n"/>
      <c r="D166" s="7" t="n"/>
      <c r="E166" s="7" t="n"/>
      <c r="F166" s="7" t="n"/>
      <c r="G166" s="7" t="n"/>
      <c r="H166" s="7" t="n"/>
      <c r="I166" s="7" t="n"/>
      <c r="J166" s="7" t="n"/>
      <c r="K166" s="7" t="n"/>
      <c r="L166" s="7" t="n"/>
      <c r="M166" s="7" t="n"/>
      <c r="N166" s="7" t="n"/>
      <c r="O166" s="7" t="n"/>
      <c r="P166" s="7" t="n"/>
      <c r="Q166" s="7" t="n"/>
      <c r="R166" s="7" t="n"/>
      <c r="S166" s="7" t="n"/>
      <c r="T166" s="7" t="n"/>
      <c r="U166" s="7" t="n"/>
      <c r="V166" s="7" t="n"/>
      <c r="W166" s="7" t="n"/>
      <c r="X166" s="7" t="n"/>
      <c r="Y166" s="7" t="n"/>
      <c r="Z166" s="7" t="n"/>
      <c r="AA166" s="7" t="n"/>
      <c r="AB166" s="7">
        <f>IF(Y166="","",IFERROR(VLOOKUP(Y166,'Ingredients + Stock'!B:D,3,FALSE),""))</f>
        <v/>
      </c>
      <c r="AC166" s="7">
        <f>IF(Y166="","",IFERROR(VLOOKUP(Y166,'Ingredients + Stock'!B:G,6,FALSE),0))</f>
        <v/>
      </c>
      <c r="AD166" s="7">
        <f>IF(AA166="","",IFERROR(VLOOKUP(AA166,'Unit Conversion'!A:D,4,FALSE),1))</f>
        <v/>
      </c>
      <c r="AE166" s="7">
        <f>IF(AB166="","",IFERROR(VLOOKUP(AB166,'Unit Conversion'!A:D,4,FALSE),1))</f>
        <v/>
      </c>
      <c r="AF166" s="7">
        <f>IF(AA166="","",Z166*AD166/AE166)</f>
        <v/>
      </c>
      <c r="AG166" s="7">
        <f>AF166*AC166</f>
        <v/>
      </c>
      <c r="AH166" s="7">
        <f>IF(AA166="","",IFERROR(IF(VLOOKUP(AA166,'Unit Conversion'!A:B,2,FALSE)=VLOOKUP(AB166,'Unit Conversion'!A:B,2,FALSE),"OK","Check W/V mismatch"),"Check unit"))</f>
        <v/>
      </c>
      <c r="AI166" s="7" t="n"/>
    </row>
    <row r="167">
      <c r="A167" s="8" t="n"/>
      <c r="B167" s="8" t="n"/>
      <c r="C167" s="8" t="n"/>
      <c r="D167" s="8" t="n"/>
      <c r="E167" s="8" t="n"/>
      <c r="F167" s="8" t="n"/>
      <c r="G167" s="8" t="n"/>
      <c r="H167" s="8" t="n"/>
      <c r="I167" s="8" t="n"/>
      <c r="J167" s="8" t="n"/>
      <c r="K167" s="8" t="n"/>
      <c r="L167" s="8" t="n"/>
      <c r="M167" s="8" t="n"/>
      <c r="N167" s="8" t="n"/>
      <c r="O167" s="8" t="n"/>
      <c r="P167" s="8" t="n"/>
      <c r="Q167" s="8" t="n"/>
      <c r="R167" s="8" t="n"/>
      <c r="S167" s="8" t="n"/>
      <c r="T167" s="8" t="n"/>
      <c r="U167" s="8" t="n"/>
      <c r="V167" s="8" t="n"/>
      <c r="W167" s="8" t="n"/>
      <c r="X167" s="8" t="n"/>
      <c r="Y167" s="8" t="n"/>
      <c r="Z167" s="8" t="n"/>
      <c r="AA167" s="8" t="n"/>
      <c r="AB167" s="8">
        <f>IF(Y167="","",IFERROR(VLOOKUP(Y167,'Ingredients + Stock'!B:D,3,FALSE),""))</f>
        <v/>
      </c>
      <c r="AC167" s="8">
        <f>IF(Y167="","",IFERROR(VLOOKUP(Y167,'Ingredients + Stock'!B:G,6,FALSE),0))</f>
        <v/>
      </c>
      <c r="AD167" s="8">
        <f>IF(AA167="","",IFERROR(VLOOKUP(AA167,'Unit Conversion'!A:D,4,FALSE),1))</f>
        <v/>
      </c>
      <c r="AE167" s="8">
        <f>IF(AB167="","",IFERROR(VLOOKUP(AB167,'Unit Conversion'!A:D,4,FALSE),1))</f>
        <v/>
      </c>
      <c r="AF167" s="8">
        <f>IF(AA167="","",Z167*AD167/AE167)</f>
        <v/>
      </c>
      <c r="AG167" s="8">
        <f>AF167*AC167</f>
        <v/>
      </c>
      <c r="AH167" s="8">
        <f>IF(AA167="","",IFERROR(IF(VLOOKUP(AA167,'Unit Conversion'!A:B,2,FALSE)=VLOOKUP(AB167,'Unit Conversion'!A:B,2,FALSE),"OK","Check W/V mismatch"),"Check unit"))</f>
        <v/>
      </c>
      <c r="AI167" s="8" t="n"/>
    </row>
    <row r="168">
      <c r="A168" s="7" t="n"/>
      <c r="B168" s="7" t="n"/>
      <c r="C168" s="7" t="n"/>
      <c r="D168" s="7" t="n"/>
      <c r="E168" s="7" t="n"/>
      <c r="F168" s="7" t="n"/>
      <c r="G168" s="7" t="n"/>
      <c r="H168" s="7" t="n"/>
      <c r="I168" s="7" t="n"/>
      <c r="J168" s="7" t="n"/>
      <c r="K168" s="7" t="n"/>
      <c r="L168" s="7" t="n"/>
      <c r="M168" s="7" t="n"/>
      <c r="N168" s="7" t="n"/>
      <c r="O168" s="7" t="n"/>
      <c r="P168" s="7" t="n"/>
      <c r="Q168" s="7" t="n"/>
      <c r="R168" s="7" t="n"/>
      <c r="S168" s="7" t="n"/>
      <c r="T168" s="7" t="n"/>
      <c r="U168" s="7" t="n"/>
      <c r="V168" s="7" t="n"/>
      <c r="W168" s="7" t="n"/>
      <c r="X168" s="7" t="n"/>
      <c r="Y168" s="7" t="n"/>
      <c r="Z168" s="7" t="n"/>
      <c r="AA168" s="7" t="n"/>
      <c r="AB168" s="7">
        <f>IF(Y168="","",IFERROR(VLOOKUP(Y168,'Ingredients + Stock'!B:D,3,FALSE),""))</f>
        <v/>
      </c>
      <c r="AC168" s="7">
        <f>IF(Y168="","",IFERROR(VLOOKUP(Y168,'Ingredients + Stock'!B:G,6,FALSE),0))</f>
        <v/>
      </c>
      <c r="AD168" s="7">
        <f>IF(AA168="","",IFERROR(VLOOKUP(AA168,'Unit Conversion'!A:D,4,FALSE),1))</f>
        <v/>
      </c>
      <c r="AE168" s="7">
        <f>IF(AB168="","",IFERROR(VLOOKUP(AB168,'Unit Conversion'!A:D,4,FALSE),1))</f>
        <v/>
      </c>
      <c r="AF168" s="7">
        <f>IF(AA168="","",Z168*AD168/AE168)</f>
        <v/>
      </c>
      <c r="AG168" s="7">
        <f>AF168*AC168</f>
        <v/>
      </c>
      <c r="AH168" s="7">
        <f>IF(AA168="","",IFERROR(IF(VLOOKUP(AA168,'Unit Conversion'!A:B,2,FALSE)=VLOOKUP(AB168,'Unit Conversion'!A:B,2,FALSE),"OK","Check W/V mismatch"),"Check unit"))</f>
        <v/>
      </c>
      <c r="AI168" s="7" t="n"/>
    </row>
    <row r="169">
      <c r="A169" s="8" t="n"/>
      <c r="B169" s="8" t="n"/>
      <c r="C169" s="8" t="n"/>
      <c r="D169" s="8" t="n"/>
      <c r="E169" s="8" t="n"/>
      <c r="F169" s="8" t="n"/>
      <c r="G169" s="8" t="n"/>
      <c r="H169" s="8" t="n"/>
      <c r="I169" s="8" t="n"/>
      <c r="J169" s="8" t="n"/>
      <c r="K169" s="8" t="n"/>
      <c r="L169" s="8" t="n"/>
      <c r="M169" s="8" t="n"/>
      <c r="N169" s="8" t="n"/>
      <c r="O169" s="8" t="n"/>
      <c r="P169" s="8" t="n"/>
      <c r="Q169" s="8" t="n"/>
      <c r="R169" s="8" t="n"/>
      <c r="S169" s="8" t="n"/>
      <c r="T169" s="8" t="n"/>
      <c r="U169" s="8" t="n"/>
      <c r="V169" s="8" t="n"/>
      <c r="W169" s="8" t="n"/>
      <c r="X169" s="8" t="n"/>
      <c r="Y169" s="8" t="n"/>
      <c r="Z169" s="8" t="n"/>
      <c r="AA169" s="8" t="n"/>
      <c r="AB169" s="8">
        <f>IF(Y169="","",IFERROR(VLOOKUP(Y169,'Ingredients + Stock'!B:D,3,FALSE),""))</f>
        <v/>
      </c>
      <c r="AC169" s="8">
        <f>IF(Y169="","",IFERROR(VLOOKUP(Y169,'Ingredients + Stock'!B:G,6,FALSE),0))</f>
        <v/>
      </c>
      <c r="AD169" s="8">
        <f>IF(AA169="","",IFERROR(VLOOKUP(AA169,'Unit Conversion'!A:D,4,FALSE),1))</f>
        <v/>
      </c>
      <c r="AE169" s="8">
        <f>IF(AB169="","",IFERROR(VLOOKUP(AB169,'Unit Conversion'!A:D,4,FALSE),1))</f>
        <v/>
      </c>
      <c r="AF169" s="8">
        <f>IF(AA169="","",Z169*AD169/AE169)</f>
        <v/>
      </c>
      <c r="AG169" s="8">
        <f>AF169*AC169</f>
        <v/>
      </c>
      <c r="AH169" s="8">
        <f>IF(AA169="","",IFERROR(IF(VLOOKUP(AA169,'Unit Conversion'!A:B,2,FALSE)=VLOOKUP(AB169,'Unit Conversion'!A:B,2,FALSE),"OK","Check W/V mismatch"),"Check unit"))</f>
        <v/>
      </c>
      <c r="AI169" s="8" t="n"/>
    </row>
    <row r="170">
      <c r="A170" s="7" t="n"/>
      <c r="B170" s="7" t="n"/>
      <c r="C170" s="7" t="n"/>
      <c r="D170" s="7" t="n"/>
      <c r="E170" s="7" t="n"/>
      <c r="F170" s="7" t="n"/>
      <c r="G170" s="7" t="n"/>
      <c r="H170" s="7" t="n"/>
      <c r="I170" s="7" t="n"/>
      <c r="J170" s="7" t="n"/>
      <c r="K170" s="7" t="n"/>
      <c r="L170" s="7" t="n"/>
      <c r="M170" s="7" t="n"/>
      <c r="N170" s="7" t="n"/>
      <c r="O170" s="7" t="n"/>
      <c r="P170" s="7" t="n"/>
      <c r="Q170" s="7" t="n"/>
      <c r="R170" s="7" t="n"/>
      <c r="S170" s="7" t="n"/>
      <c r="T170" s="7" t="n"/>
      <c r="U170" s="7" t="n"/>
      <c r="V170" s="7" t="n"/>
      <c r="W170" s="7" t="n"/>
      <c r="X170" s="7" t="n"/>
      <c r="Y170" s="7" t="n"/>
      <c r="Z170" s="7" t="n"/>
      <c r="AA170" s="7" t="n"/>
      <c r="AB170" s="7">
        <f>IF(Y170="","",IFERROR(VLOOKUP(Y170,'Ingredients + Stock'!B:D,3,FALSE),""))</f>
        <v/>
      </c>
      <c r="AC170" s="7">
        <f>IF(Y170="","",IFERROR(VLOOKUP(Y170,'Ingredients + Stock'!B:G,6,FALSE),0))</f>
        <v/>
      </c>
      <c r="AD170" s="7">
        <f>IF(AA170="","",IFERROR(VLOOKUP(AA170,'Unit Conversion'!A:D,4,FALSE),1))</f>
        <v/>
      </c>
      <c r="AE170" s="7">
        <f>IF(AB170="","",IFERROR(VLOOKUP(AB170,'Unit Conversion'!A:D,4,FALSE),1))</f>
        <v/>
      </c>
      <c r="AF170" s="7">
        <f>IF(AA170="","",Z170*AD170/AE170)</f>
        <v/>
      </c>
      <c r="AG170" s="7">
        <f>AF170*AC170</f>
        <v/>
      </c>
      <c r="AH170" s="7">
        <f>IF(AA170="","",IFERROR(IF(VLOOKUP(AA170,'Unit Conversion'!A:B,2,FALSE)=VLOOKUP(AB170,'Unit Conversion'!A:B,2,FALSE),"OK","Check W/V mismatch"),"Check unit"))</f>
        <v/>
      </c>
      <c r="AI170" s="7" t="n"/>
    </row>
    <row r="171">
      <c r="A171" s="8" t="n"/>
      <c r="B171" s="8" t="n"/>
      <c r="C171" s="8" t="n"/>
      <c r="D171" s="8" t="n"/>
      <c r="E171" s="8" t="n"/>
      <c r="F171" s="8" t="n"/>
      <c r="G171" s="8" t="n"/>
      <c r="H171" s="8" t="n"/>
      <c r="I171" s="8" t="n"/>
      <c r="J171" s="8" t="n"/>
      <c r="K171" s="8" t="n"/>
      <c r="L171" s="8" t="n"/>
      <c r="M171" s="8" t="n"/>
      <c r="N171" s="8" t="n"/>
      <c r="O171" s="8" t="n"/>
      <c r="P171" s="8" t="n"/>
      <c r="Q171" s="8" t="n"/>
      <c r="R171" s="8" t="n"/>
      <c r="S171" s="8" t="n"/>
      <c r="T171" s="8" t="n"/>
      <c r="U171" s="8" t="n"/>
      <c r="V171" s="8" t="n"/>
      <c r="W171" s="8" t="n"/>
      <c r="X171" s="8" t="n"/>
      <c r="Y171" s="8" t="n"/>
      <c r="Z171" s="8" t="n"/>
      <c r="AA171" s="8" t="n"/>
      <c r="AB171" s="8">
        <f>IF(Y171="","",IFERROR(VLOOKUP(Y171,'Ingredients + Stock'!B:D,3,FALSE),""))</f>
        <v/>
      </c>
      <c r="AC171" s="8">
        <f>IF(Y171="","",IFERROR(VLOOKUP(Y171,'Ingredients + Stock'!B:G,6,FALSE),0))</f>
        <v/>
      </c>
      <c r="AD171" s="8">
        <f>IF(AA171="","",IFERROR(VLOOKUP(AA171,'Unit Conversion'!A:D,4,FALSE),1))</f>
        <v/>
      </c>
      <c r="AE171" s="8">
        <f>IF(AB171="","",IFERROR(VLOOKUP(AB171,'Unit Conversion'!A:D,4,FALSE),1))</f>
        <v/>
      </c>
      <c r="AF171" s="8">
        <f>IF(AA171="","",Z171*AD171/AE171)</f>
        <v/>
      </c>
      <c r="AG171" s="8">
        <f>AF171*AC171</f>
        <v/>
      </c>
      <c r="AH171" s="8">
        <f>IF(AA171="","",IFERROR(IF(VLOOKUP(AA171,'Unit Conversion'!A:B,2,FALSE)=VLOOKUP(AB171,'Unit Conversion'!A:B,2,FALSE),"OK","Check W/V mismatch"),"Check unit"))</f>
        <v/>
      </c>
      <c r="AI171" s="8" t="n"/>
    </row>
    <row r="172">
      <c r="A172" s="7" t="n"/>
      <c r="B172" s="7" t="n"/>
      <c r="C172" s="7" t="n"/>
      <c r="D172" s="7" t="n"/>
      <c r="E172" s="7" t="n"/>
      <c r="F172" s="7" t="n"/>
      <c r="G172" s="7" t="n"/>
      <c r="H172" s="7" t="n"/>
      <c r="I172" s="7" t="n"/>
      <c r="J172" s="7" t="n"/>
      <c r="K172" s="7" t="n"/>
      <c r="L172" s="7" t="n"/>
      <c r="M172" s="7" t="n"/>
      <c r="N172" s="7" t="n"/>
      <c r="O172" s="7" t="n"/>
      <c r="P172" s="7" t="n"/>
      <c r="Q172" s="7" t="n"/>
      <c r="R172" s="7" t="n"/>
      <c r="S172" s="7" t="n"/>
      <c r="T172" s="7" t="n"/>
      <c r="U172" s="7" t="n"/>
      <c r="V172" s="7" t="n"/>
      <c r="W172" s="7" t="n"/>
      <c r="X172" s="7" t="n"/>
      <c r="Y172" s="7" t="n"/>
      <c r="Z172" s="7" t="n"/>
      <c r="AA172" s="7" t="n"/>
      <c r="AB172" s="7">
        <f>IF(Y172="","",IFERROR(VLOOKUP(Y172,'Ingredients + Stock'!B:D,3,FALSE),""))</f>
        <v/>
      </c>
      <c r="AC172" s="7">
        <f>IF(Y172="","",IFERROR(VLOOKUP(Y172,'Ingredients + Stock'!B:G,6,FALSE),0))</f>
        <v/>
      </c>
      <c r="AD172" s="7">
        <f>IF(AA172="","",IFERROR(VLOOKUP(AA172,'Unit Conversion'!A:D,4,FALSE),1))</f>
        <v/>
      </c>
      <c r="AE172" s="7">
        <f>IF(AB172="","",IFERROR(VLOOKUP(AB172,'Unit Conversion'!A:D,4,FALSE),1))</f>
        <v/>
      </c>
      <c r="AF172" s="7">
        <f>IF(AA172="","",Z172*AD172/AE172)</f>
        <v/>
      </c>
      <c r="AG172" s="7">
        <f>AF172*AC172</f>
        <v/>
      </c>
      <c r="AH172" s="7">
        <f>IF(AA172="","",IFERROR(IF(VLOOKUP(AA172,'Unit Conversion'!A:B,2,FALSE)=VLOOKUP(AB172,'Unit Conversion'!A:B,2,FALSE),"OK","Check W/V mismatch"),"Check unit"))</f>
        <v/>
      </c>
      <c r="AI172" s="7" t="n"/>
    </row>
    <row r="173">
      <c r="A173" s="8" t="n"/>
      <c r="B173" s="8" t="n"/>
      <c r="C173" s="8" t="n"/>
      <c r="D173" s="8" t="n"/>
      <c r="E173" s="8" t="n"/>
      <c r="F173" s="8" t="n"/>
      <c r="G173" s="8" t="n"/>
      <c r="H173" s="8" t="n"/>
      <c r="I173" s="8" t="n"/>
      <c r="J173" s="8" t="n"/>
      <c r="K173" s="8" t="n"/>
      <c r="L173" s="8" t="n"/>
      <c r="M173" s="8" t="n"/>
      <c r="N173" s="8" t="n"/>
      <c r="O173" s="8" t="n"/>
      <c r="P173" s="8" t="n"/>
      <c r="Q173" s="8" t="n"/>
      <c r="R173" s="8" t="n"/>
      <c r="S173" s="8" t="n"/>
      <c r="T173" s="8" t="n"/>
      <c r="U173" s="8" t="n"/>
      <c r="V173" s="8" t="n"/>
      <c r="W173" s="8" t="n"/>
      <c r="X173" s="8" t="n"/>
      <c r="Y173" s="8" t="n"/>
      <c r="Z173" s="8" t="n"/>
      <c r="AA173" s="8" t="n"/>
      <c r="AB173" s="8">
        <f>IF(Y173="","",IFERROR(VLOOKUP(Y173,'Ingredients + Stock'!B:D,3,FALSE),""))</f>
        <v/>
      </c>
      <c r="AC173" s="8">
        <f>IF(Y173="","",IFERROR(VLOOKUP(Y173,'Ingredients + Stock'!B:G,6,FALSE),0))</f>
        <v/>
      </c>
      <c r="AD173" s="8">
        <f>IF(AA173="","",IFERROR(VLOOKUP(AA173,'Unit Conversion'!A:D,4,FALSE),1))</f>
        <v/>
      </c>
      <c r="AE173" s="8">
        <f>IF(AB173="","",IFERROR(VLOOKUP(AB173,'Unit Conversion'!A:D,4,FALSE),1))</f>
        <v/>
      </c>
      <c r="AF173" s="8">
        <f>IF(AA173="","",Z173*AD173/AE173)</f>
        <v/>
      </c>
      <c r="AG173" s="8">
        <f>AF173*AC173</f>
        <v/>
      </c>
      <c r="AH173" s="8">
        <f>IF(AA173="","",IFERROR(IF(VLOOKUP(AA173,'Unit Conversion'!A:B,2,FALSE)=VLOOKUP(AB173,'Unit Conversion'!A:B,2,FALSE),"OK","Check W/V mismatch"),"Check unit"))</f>
        <v/>
      </c>
      <c r="AI173" s="8" t="n"/>
    </row>
    <row r="174">
      <c r="A174" s="7" t="n"/>
      <c r="B174" s="7" t="n"/>
      <c r="C174" s="7" t="n"/>
      <c r="D174" s="7" t="n"/>
      <c r="E174" s="7" t="n"/>
      <c r="F174" s="7" t="n"/>
      <c r="G174" s="7" t="n"/>
      <c r="H174" s="7" t="n"/>
      <c r="I174" s="7" t="n"/>
      <c r="J174" s="7" t="n"/>
      <c r="K174" s="7" t="n"/>
      <c r="L174" s="7" t="n"/>
      <c r="M174" s="7" t="n"/>
      <c r="N174" s="7" t="n"/>
      <c r="O174" s="7" t="n"/>
      <c r="P174" s="7" t="n"/>
      <c r="Q174" s="7" t="n"/>
      <c r="R174" s="7" t="n"/>
      <c r="S174" s="7" t="n"/>
      <c r="T174" s="7" t="n"/>
      <c r="U174" s="7" t="n"/>
      <c r="V174" s="7" t="n"/>
      <c r="W174" s="7" t="n"/>
      <c r="X174" s="7" t="n"/>
      <c r="Y174" s="7" t="n"/>
      <c r="Z174" s="7" t="n"/>
      <c r="AA174" s="7" t="n"/>
      <c r="AB174" s="7">
        <f>IF(Y174="","",IFERROR(VLOOKUP(Y174,'Ingredients + Stock'!B:D,3,FALSE),""))</f>
        <v/>
      </c>
      <c r="AC174" s="7">
        <f>IF(Y174="","",IFERROR(VLOOKUP(Y174,'Ingredients + Stock'!B:G,6,FALSE),0))</f>
        <v/>
      </c>
      <c r="AD174" s="7">
        <f>IF(AA174="","",IFERROR(VLOOKUP(AA174,'Unit Conversion'!A:D,4,FALSE),1))</f>
        <v/>
      </c>
      <c r="AE174" s="7">
        <f>IF(AB174="","",IFERROR(VLOOKUP(AB174,'Unit Conversion'!A:D,4,FALSE),1))</f>
        <v/>
      </c>
      <c r="AF174" s="7">
        <f>IF(AA174="","",Z174*AD174/AE174)</f>
        <v/>
      </c>
      <c r="AG174" s="7">
        <f>AF174*AC174</f>
        <v/>
      </c>
      <c r="AH174" s="7">
        <f>IF(AA174="","",IFERROR(IF(VLOOKUP(AA174,'Unit Conversion'!A:B,2,FALSE)=VLOOKUP(AB174,'Unit Conversion'!A:B,2,FALSE),"OK","Check W/V mismatch"),"Check unit"))</f>
        <v/>
      </c>
      <c r="AI174" s="7" t="n"/>
    </row>
    <row r="175">
      <c r="A175" s="8" t="n"/>
      <c r="B175" s="8" t="n"/>
      <c r="C175" s="8" t="n"/>
      <c r="D175" s="8" t="n"/>
      <c r="E175" s="8" t="n"/>
      <c r="F175" s="8" t="n"/>
      <c r="G175" s="8" t="n"/>
      <c r="H175" s="8" t="n"/>
      <c r="I175" s="8" t="n"/>
      <c r="J175" s="8" t="n"/>
      <c r="K175" s="8" t="n"/>
      <c r="L175" s="8" t="n"/>
      <c r="M175" s="8" t="n"/>
      <c r="N175" s="8" t="n"/>
      <c r="O175" s="8" t="n"/>
      <c r="P175" s="8" t="n"/>
      <c r="Q175" s="8" t="n"/>
      <c r="R175" s="8" t="n"/>
      <c r="S175" s="8" t="n"/>
      <c r="T175" s="8" t="n"/>
      <c r="U175" s="8" t="n"/>
      <c r="V175" s="8" t="n"/>
      <c r="W175" s="8" t="n"/>
      <c r="X175" s="8" t="n"/>
      <c r="Y175" s="8" t="n"/>
      <c r="Z175" s="8" t="n"/>
      <c r="AA175" s="8" t="n"/>
      <c r="AB175" s="8">
        <f>IF(Y175="","",IFERROR(VLOOKUP(Y175,'Ingredients + Stock'!B:D,3,FALSE),""))</f>
        <v/>
      </c>
      <c r="AC175" s="8">
        <f>IF(Y175="","",IFERROR(VLOOKUP(Y175,'Ingredients + Stock'!B:G,6,FALSE),0))</f>
        <v/>
      </c>
      <c r="AD175" s="8">
        <f>IF(AA175="","",IFERROR(VLOOKUP(AA175,'Unit Conversion'!A:D,4,FALSE),1))</f>
        <v/>
      </c>
      <c r="AE175" s="8">
        <f>IF(AB175="","",IFERROR(VLOOKUP(AB175,'Unit Conversion'!A:D,4,FALSE),1))</f>
        <v/>
      </c>
      <c r="AF175" s="8">
        <f>IF(AA175="","",Z175*AD175/AE175)</f>
        <v/>
      </c>
      <c r="AG175" s="8">
        <f>AF175*AC175</f>
        <v/>
      </c>
      <c r="AH175" s="8">
        <f>IF(AA175="","",IFERROR(IF(VLOOKUP(AA175,'Unit Conversion'!A:B,2,FALSE)=VLOOKUP(AB175,'Unit Conversion'!A:B,2,FALSE),"OK","Check W/V mismatch"),"Check unit"))</f>
        <v/>
      </c>
      <c r="AI175" s="8" t="n"/>
    </row>
    <row r="176">
      <c r="A176" s="7" t="n"/>
      <c r="B176" s="7" t="n"/>
      <c r="C176" s="7" t="n"/>
      <c r="D176" s="7" t="n"/>
      <c r="E176" s="7" t="n"/>
      <c r="F176" s="7" t="n"/>
      <c r="G176" s="7" t="n"/>
      <c r="H176" s="7" t="n"/>
      <c r="I176" s="7" t="n"/>
      <c r="J176" s="7" t="n"/>
      <c r="K176" s="7" t="n"/>
      <c r="L176" s="7" t="n"/>
      <c r="M176" s="7" t="n"/>
      <c r="N176" s="7" t="n"/>
      <c r="O176" s="7" t="n"/>
      <c r="P176" s="7" t="n"/>
      <c r="Q176" s="7" t="n"/>
      <c r="R176" s="7" t="n"/>
      <c r="S176" s="7" t="n"/>
      <c r="T176" s="7" t="n"/>
      <c r="U176" s="7" t="n"/>
      <c r="V176" s="7" t="n"/>
      <c r="W176" s="7" t="n"/>
      <c r="X176" s="7" t="n"/>
      <c r="Y176" s="7" t="n"/>
      <c r="Z176" s="7" t="n"/>
      <c r="AA176" s="7" t="n"/>
      <c r="AB176" s="7">
        <f>IF(Y176="","",IFERROR(VLOOKUP(Y176,'Ingredients + Stock'!B:D,3,FALSE),""))</f>
        <v/>
      </c>
      <c r="AC176" s="7">
        <f>IF(Y176="","",IFERROR(VLOOKUP(Y176,'Ingredients + Stock'!B:G,6,FALSE),0))</f>
        <v/>
      </c>
      <c r="AD176" s="7">
        <f>IF(AA176="","",IFERROR(VLOOKUP(AA176,'Unit Conversion'!A:D,4,FALSE),1))</f>
        <v/>
      </c>
      <c r="AE176" s="7">
        <f>IF(AB176="","",IFERROR(VLOOKUP(AB176,'Unit Conversion'!A:D,4,FALSE),1))</f>
        <v/>
      </c>
      <c r="AF176" s="7">
        <f>IF(AA176="","",Z176*AD176/AE176)</f>
        <v/>
      </c>
      <c r="AG176" s="7">
        <f>AF176*AC176</f>
        <v/>
      </c>
      <c r="AH176" s="7">
        <f>IF(AA176="","",IFERROR(IF(VLOOKUP(AA176,'Unit Conversion'!A:B,2,FALSE)=VLOOKUP(AB176,'Unit Conversion'!A:B,2,FALSE),"OK","Check W/V mismatch"),"Check unit"))</f>
        <v/>
      </c>
      <c r="AI176" s="7" t="n"/>
    </row>
    <row r="177">
      <c r="A177" s="8" t="n"/>
      <c r="B177" s="8" t="n"/>
      <c r="C177" s="8" t="n"/>
      <c r="D177" s="8" t="n"/>
      <c r="E177" s="8" t="n"/>
      <c r="F177" s="8" t="n"/>
      <c r="G177" s="8" t="n"/>
      <c r="H177" s="8" t="n"/>
      <c r="I177" s="8" t="n"/>
      <c r="J177" s="8" t="n"/>
      <c r="K177" s="8" t="n"/>
      <c r="L177" s="8" t="n"/>
      <c r="M177" s="8" t="n"/>
      <c r="N177" s="8" t="n"/>
      <c r="O177" s="8" t="n"/>
      <c r="P177" s="8" t="n"/>
      <c r="Q177" s="8" t="n"/>
      <c r="R177" s="8" t="n"/>
      <c r="S177" s="8" t="n"/>
      <c r="T177" s="8" t="n"/>
      <c r="U177" s="8" t="n"/>
      <c r="V177" s="8" t="n"/>
      <c r="W177" s="8" t="n"/>
      <c r="X177" s="8" t="n"/>
      <c r="Y177" s="8" t="n"/>
      <c r="Z177" s="8" t="n"/>
      <c r="AA177" s="8" t="n"/>
      <c r="AB177" s="8">
        <f>IF(Y177="","",IFERROR(VLOOKUP(Y177,'Ingredients + Stock'!B:D,3,FALSE),""))</f>
        <v/>
      </c>
      <c r="AC177" s="8">
        <f>IF(Y177="","",IFERROR(VLOOKUP(Y177,'Ingredients + Stock'!B:G,6,FALSE),0))</f>
        <v/>
      </c>
      <c r="AD177" s="8">
        <f>IF(AA177="","",IFERROR(VLOOKUP(AA177,'Unit Conversion'!A:D,4,FALSE),1))</f>
        <v/>
      </c>
      <c r="AE177" s="8">
        <f>IF(AB177="","",IFERROR(VLOOKUP(AB177,'Unit Conversion'!A:D,4,FALSE),1))</f>
        <v/>
      </c>
      <c r="AF177" s="8">
        <f>IF(AA177="","",Z177*AD177/AE177)</f>
        <v/>
      </c>
      <c r="AG177" s="8">
        <f>AF177*AC177</f>
        <v/>
      </c>
      <c r="AH177" s="8">
        <f>IF(AA177="","",IFERROR(IF(VLOOKUP(AA177,'Unit Conversion'!A:B,2,FALSE)=VLOOKUP(AB177,'Unit Conversion'!A:B,2,FALSE),"OK","Check W/V mismatch"),"Check unit"))</f>
        <v/>
      </c>
      <c r="AI177" s="8" t="n"/>
    </row>
    <row r="178">
      <c r="A178" s="7" t="n"/>
      <c r="B178" s="7" t="n"/>
      <c r="C178" s="7" t="n"/>
      <c r="D178" s="7" t="n"/>
      <c r="E178" s="7" t="n"/>
      <c r="F178" s="7" t="n"/>
      <c r="G178" s="7" t="n"/>
      <c r="H178" s="7" t="n"/>
      <c r="I178" s="7" t="n"/>
      <c r="J178" s="7" t="n"/>
      <c r="K178" s="7" t="n"/>
      <c r="L178" s="7" t="n"/>
      <c r="M178" s="7" t="n"/>
      <c r="N178" s="7" t="n"/>
      <c r="O178" s="7" t="n"/>
      <c r="P178" s="7" t="n"/>
      <c r="Q178" s="7" t="n"/>
      <c r="R178" s="7" t="n"/>
      <c r="S178" s="7" t="n"/>
      <c r="T178" s="7" t="n"/>
      <c r="U178" s="7" t="n"/>
      <c r="V178" s="7" t="n"/>
      <c r="W178" s="7" t="n"/>
      <c r="X178" s="7" t="n"/>
      <c r="Y178" s="7" t="n"/>
      <c r="Z178" s="7" t="n"/>
      <c r="AA178" s="7" t="n"/>
      <c r="AB178" s="7">
        <f>IF(Y178="","",IFERROR(VLOOKUP(Y178,'Ingredients + Stock'!B:D,3,FALSE),""))</f>
        <v/>
      </c>
      <c r="AC178" s="7">
        <f>IF(Y178="","",IFERROR(VLOOKUP(Y178,'Ingredients + Stock'!B:G,6,FALSE),0))</f>
        <v/>
      </c>
      <c r="AD178" s="7">
        <f>IF(AA178="","",IFERROR(VLOOKUP(AA178,'Unit Conversion'!A:D,4,FALSE),1))</f>
        <v/>
      </c>
      <c r="AE178" s="7">
        <f>IF(AB178="","",IFERROR(VLOOKUP(AB178,'Unit Conversion'!A:D,4,FALSE),1))</f>
        <v/>
      </c>
      <c r="AF178" s="7">
        <f>IF(AA178="","",Z178*AD178/AE178)</f>
        <v/>
      </c>
      <c r="AG178" s="7">
        <f>AF178*AC178</f>
        <v/>
      </c>
      <c r="AH178" s="7">
        <f>IF(AA178="","",IFERROR(IF(VLOOKUP(AA178,'Unit Conversion'!A:B,2,FALSE)=VLOOKUP(AB178,'Unit Conversion'!A:B,2,FALSE),"OK","Check W/V mismatch"),"Check unit"))</f>
        <v/>
      </c>
      <c r="AI178" s="7" t="n"/>
    </row>
    <row r="179">
      <c r="A179" s="8" t="n"/>
      <c r="B179" s="8" t="n"/>
      <c r="C179" s="8" t="n"/>
      <c r="D179" s="8" t="n"/>
      <c r="E179" s="8" t="n"/>
      <c r="F179" s="8" t="n"/>
      <c r="G179" s="8" t="n"/>
      <c r="H179" s="8" t="n"/>
      <c r="I179" s="8" t="n"/>
      <c r="J179" s="8" t="n"/>
      <c r="K179" s="8" t="n"/>
      <c r="L179" s="8" t="n"/>
      <c r="M179" s="8" t="n"/>
      <c r="N179" s="8" t="n"/>
      <c r="O179" s="8" t="n"/>
      <c r="P179" s="8" t="n"/>
      <c r="Q179" s="8" t="n"/>
      <c r="R179" s="8" t="n"/>
      <c r="S179" s="8" t="n"/>
      <c r="T179" s="8" t="n"/>
      <c r="U179" s="8" t="n"/>
      <c r="V179" s="8" t="n"/>
      <c r="W179" s="8" t="n"/>
      <c r="X179" s="8" t="n"/>
      <c r="Y179" s="8" t="n"/>
      <c r="Z179" s="8" t="n"/>
      <c r="AA179" s="8" t="n"/>
      <c r="AB179" s="8">
        <f>IF(Y179="","",IFERROR(VLOOKUP(Y179,'Ingredients + Stock'!B:D,3,FALSE),""))</f>
        <v/>
      </c>
      <c r="AC179" s="8">
        <f>IF(Y179="","",IFERROR(VLOOKUP(Y179,'Ingredients + Stock'!B:G,6,FALSE),0))</f>
        <v/>
      </c>
      <c r="AD179" s="8">
        <f>IF(AA179="","",IFERROR(VLOOKUP(AA179,'Unit Conversion'!A:D,4,FALSE),1))</f>
        <v/>
      </c>
      <c r="AE179" s="8">
        <f>IF(AB179="","",IFERROR(VLOOKUP(AB179,'Unit Conversion'!A:D,4,FALSE),1))</f>
        <v/>
      </c>
      <c r="AF179" s="8">
        <f>IF(AA179="","",Z179*AD179/AE179)</f>
        <v/>
      </c>
      <c r="AG179" s="8">
        <f>AF179*AC179</f>
        <v/>
      </c>
      <c r="AH179" s="8">
        <f>IF(AA179="","",IFERROR(IF(VLOOKUP(AA179,'Unit Conversion'!A:B,2,FALSE)=VLOOKUP(AB179,'Unit Conversion'!A:B,2,FALSE),"OK","Check W/V mismatch"),"Check unit"))</f>
        <v/>
      </c>
      <c r="AI179" s="8" t="n"/>
    </row>
    <row r="180">
      <c r="A180" s="7" t="n"/>
      <c r="B180" s="7" t="n"/>
      <c r="C180" s="7" t="n"/>
      <c r="D180" s="7" t="n"/>
      <c r="E180" s="7" t="n"/>
      <c r="F180" s="7" t="n"/>
      <c r="G180" s="7" t="n"/>
      <c r="H180" s="7" t="n"/>
      <c r="I180" s="7" t="n"/>
      <c r="J180" s="7" t="n"/>
      <c r="K180" s="7" t="n"/>
      <c r="L180" s="7" t="n"/>
      <c r="M180" s="7" t="n"/>
      <c r="N180" s="7" t="n"/>
      <c r="O180" s="7" t="n"/>
      <c r="P180" s="7" t="n"/>
      <c r="Q180" s="7" t="n"/>
      <c r="R180" s="7" t="n"/>
      <c r="S180" s="7" t="n"/>
      <c r="T180" s="7" t="n"/>
      <c r="U180" s="7" t="n"/>
      <c r="V180" s="7" t="n"/>
      <c r="W180" s="7" t="n"/>
      <c r="X180" s="7" t="n"/>
      <c r="Y180" s="7" t="n"/>
      <c r="Z180" s="7" t="n"/>
      <c r="AA180" s="7" t="n"/>
      <c r="AB180" s="7">
        <f>IF(Y180="","",IFERROR(VLOOKUP(Y180,'Ingredients + Stock'!B:D,3,FALSE),""))</f>
        <v/>
      </c>
      <c r="AC180" s="7">
        <f>IF(Y180="","",IFERROR(VLOOKUP(Y180,'Ingredients + Stock'!B:G,6,FALSE),0))</f>
        <v/>
      </c>
      <c r="AD180" s="7">
        <f>IF(AA180="","",IFERROR(VLOOKUP(AA180,'Unit Conversion'!A:D,4,FALSE),1))</f>
        <v/>
      </c>
      <c r="AE180" s="7">
        <f>IF(AB180="","",IFERROR(VLOOKUP(AB180,'Unit Conversion'!A:D,4,FALSE),1))</f>
        <v/>
      </c>
      <c r="AF180" s="7">
        <f>IF(AA180="","",Z180*AD180/AE180)</f>
        <v/>
      </c>
      <c r="AG180" s="7">
        <f>AF180*AC180</f>
        <v/>
      </c>
      <c r="AH180" s="7">
        <f>IF(AA180="","",IFERROR(IF(VLOOKUP(AA180,'Unit Conversion'!A:B,2,FALSE)=VLOOKUP(AB180,'Unit Conversion'!A:B,2,FALSE),"OK","Check W/V mismatch"),"Check unit"))</f>
        <v/>
      </c>
      <c r="AI180" s="7" t="n"/>
    </row>
    <row r="181">
      <c r="A181" s="8" t="n"/>
      <c r="B181" s="8" t="n"/>
      <c r="C181" s="8" t="n"/>
      <c r="D181" s="8" t="n"/>
      <c r="E181" s="8" t="n"/>
      <c r="F181" s="8" t="n"/>
      <c r="G181" s="8" t="n"/>
      <c r="H181" s="8" t="n"/>
      <c r="I181" s="8" t="n"/>
      <c r="J181" s="8" t="n"/>
      <c r="K181" s="8" t="n"/>
      <c r="L181" s="8" t="n"/>
      <c r="M181" s="8" t="n"/>
      <c r="N181" s="8" t="n"/>
      <c r="O181" s="8" t="n"/>
      <c r="P181" s="8" t="n"/>
      <c r="Q181" s="8" t="n"/>
      <c r="R181" s="8" t="n"/>
      <c r="S181" s="8" t="n"/>
      <c r="T181" s="8" t="n"/>
      <c r="U181" s="8" t="n"/>
      <c r="V181" s="8" t="n"/>
      <c r="W181" s="8" t="n"/>
      <c r="X181" s="8" t="n"/>
      <c r="Y181" s="8" t="n"/>
      <c r="Z181" s="8" t="n"/>
      <c r="AA181" s="8" t="n"/>
      <c r="AB181" s="8">
        <f>IF(Y181="","",IFERROR(VLOOKUP(Y181,'Ingredients + Stock'!B:D,3,FALSE),""))</f>
        <v/>
      </c>
      <c r="AC181" s="8">
        <f>IF(Y181="","",IFERROR(VLOOKUP(Y181,'Ingredients + Stock'!B:G,6,FALSE),0))</f>
        <v/>
      </c>
      <c r="AD181" s="8">
        <f>IF(AA181="","",IFERROR(VLOOKUP(AA181,'Unit Conversion'!A:D,4,FALSE),1))</f>
        <v/>
      </c>
      <c r="AE181" s="8">
        <f>IF(AB181="","",IFERROR(VLOOKUP(AB181,'Unit Conversion'!A:D,4,FALSE),1))</f>
        <v/>
      </c>
      <c r="AF181" s="8">
        <f>IF(AA181="","",Z181*AD181/AE181)</f>
        <v/>
      </c>
      <c r="AG181" s="8">
        <f>AF181*AC181</f>
        <v/>
      </c>
      <c r="AH181" s="8">
        <f>IF(AA181="","",IFERROR(IF(VLOOKUP(AA181,'Unit Conversion'!A:B,2,FALSE)=VLOOKUP(AB181,'Unit Conversion'!A:B,2,FALSE),"OK","Check W/V mismatch"),"Check unit"))</f>
        <v/>
      </c>
      <c r="AI181" s="8" t="n"/>
    </row>
    <row r="182">
      <c r="A182" s="7" t="n"/>
      <c r="B182" s="7" t="n"/>
      <c r="C182" s="7" t="n"/>
      <c r="D182" s="7" t="n"/>
      <c r="E182" s="7" t="n"/>
      <c r="F182" s="7" t="n"/>
      <c r="G182" s="7" t="n"/>
      <c r="H182" s="7" t="n"/>
      <c r="I182" s="7" t="n"/>
      <c r="J182" s="7" t="n"/>
      <c r="K182" s="7" t="n"/>
      <c r="L182" s="7" t="n"/>
      <c r="M182" s="7" t="n"/>
      <c r="N182" s="7" t="n"/>
      <c r="O182" s="7" t="n"/>
      <c r="P182" s="7" t="n"/>
      <c r="Q182" s="7" t="n"/>
      <c r="R182" s="7" t="n"/>
      <c r="S182" s="7" t="n"/>
      <c r="T182" s="7" t="n"/>
      <c r="U182" s="7" t="n"/>
      <c r="V182" s="7" t="n"/>
      <c r="W182" s="7" t="n"/>
      <c r="X182" s="7" t="n"/>
      <c r="Y182" s="7" t="n"/>
      <c r="Z182" s="7" t="n"/>
      <c r="AA182" s="7" t="n"/>
      <c r="AB182" s="7">
        <f>IF(Y182="","",IFERROR(VLOOKUP(Y182,'Ingredients + Stock'!B:D,3,FALSE),""))</f>
        <v/>
      </c>
      <c r="AC182" s="7">
        <f>IF(Y182="","",IFERROR(VLOOKUP(Y182,'Ingredients + Stock'!B:G,6,FALSE),0))</f>
        <v/>
      </c>
      <c r="AD182" s="7">
        <f>IF(AA182="","",IFERROR(VLOOKUP(AA182,'Unit Conversion'!A:D,4,FALSE),1))</f>
        <v/>
      </c>
      <c r="AE182" s="7">
        <f>IF(AB182="","",IFERROR(VLOOKUP(AB182,'Unit Conversion'!A:D,4,FALSE),1))</f>
        <v/>
      </c>
      <c r="AF182" s="7">
        <f>IF(AA182="","",Z182*AD182/AE182)</f>
        <v/>
      </c>
      <c r="AG182" s="7">
        <f>AF182*AC182</f>
        <v/>
      </c>
      <c r="AH182" s="7">
        <f>IF(AA182="","",IFERROR(IF(VLOOKUP(AA182,'Unit Conversion'!A:B,2,FALSE)=VLOOKUP(AB182,'Unit Conversion'!A:B,2,FALSE),"OK","Check W/V mismatch"),"Check unit"))</f>
        <v/>
      </c>
      <c r="AI182" s="7" t="n"/>
    </row>
    <row r="183">
      <c r="A183" s="8" t="n"/>
      <c r="B183" s="8" t="n"/>
      <c r="C183" s="8" t="n"/>
      <c r="D183" s="8" t="n"/>
      <c r="E183" s="8" t="n"/>
      <c r="F183" s="8" t="n"/>
      <c r="G183" s="8" t="n"/>
      <c r="H183" s="8" t="n"/>
      <c r="I183" s="8" t="n"/>
      <c r="J183" s="8" t="n"/>
      <c r="K183" s="8" t="n"/>
      <c r="L183" s="8" t="n"/>
      <c r="M183" s="8" t="n"/>
      <c r="N183" s="8" t="n"/>
      <c r="O183" s="8" t="n"/>
      <c r="P183" s="8" t="n"/>
      <c r="Q183" s="8" t="n"/>
      <c r="R183" s="8" t="n"/>
      <c r="S183" s="8" t="n"/>
      <c r="T183" s="8" t="n"/>
      <c r="U183" s="8" t="n"/>
      <c r="V183" s="8" t="n"/>
      <c r="W183" s="8" t="n"/>
      <c r="X183" s="8" t="n"/>
      <c r="Y183" s="8" t="n"/>
      <c r="Z183" s="8" t="n"/>
      <c r="AA183" s="8" t="n"/>
      <c r="AB183" s="8">
        <f>IF(Y183="","",IFERROR(VLOOKUP(Y183,'Ingredients + Stock'!B:D,3,FALSE),""))</f>
        <v/>
      </c>
      <c r="AC183" s="8">
        <f>IF(Y183="","",IFERROR(VLOOKUP(Y183,'Ingredients + Stock'!B:G,6,FALSE),0))</f>
        <v/>
      </c>
      <c r="AD183" s="8">
        <f>IF(AA183="","",IFERROR(VLOOKUP(AA183,'Unit Conversion'!A:D,4,FALSE),1))</f>
        <v/>
      </c>
      <c r="AE183" s="8">
        <f>IF(AB183="","",IFERROR(VLOOKUP(AB183,'Unit Conversion'!A:D,4,FALSE),1))</f>
        <v/>
      </c>
      <c r="AF183" s="8">
        <f>IF(AA183="","",Z183*AD183/AE183)</f>
        <v/>
      </c>
      <c r="AG183" s="8">
        <f>AF183*AC183</f>
        <v/>
      </c>
      <c r="AH183" s="8">
        <f>IF(AA183="","",IFERROR(IF(VLOOKUP(AA183,'Unit Conversion'!A:B,2,FALSE)=VLOOKUP(AB183,'Unit Conversion'!A:B,2,FALSE),"OK","Check W/V mismatch"),"Check unit"))</f>
        <v/>
      </c>
      <c r="AI183" s="8" t="n"/>
    </row>
    <row r="184">
      <c r="A184" s="7" t="n"/>
      <c r="B184" s="7" t="n"/>
      <c r="C184" s="7" t="n"/>
      <c r="D184" s="7" t="n"/>
      <c r="E184" s="7" t="n"/>
      <c r="F184" s="7" t="n"/>
      <c r="G184" s="7" t="n"/>
      <c r="H184" s="7" t="n"/>
      <c r="I184" s="7" t="n"/>
      <c r="J184" s="7" t="n"/>
      <c r="K184" s="7" t="n"/>
      <c r="L184" s="7" t="n"/>
      <c r="M184" s="7" t="n"/>
      <c r="N184" s="7" t="n"/>
      <c r="O184" s="7" t="n"/>
      <c r="P184" s="7" t="n"/>
      <c r="Q184" s="7" t="n"/>
      <c r="R184" s="7" t="n"/>
      <c r="S184" s="7" t="n"/>
      <c r="T184" s="7" t="n"/>
      <c r="U184" s="7" t="n"/>
      <c r="V184" s="7" t="n"/>
      <c r="W184" s="7" t="n"/>
      <c r="X184" s="7" t="n"/>
      <c r="Y184" s="7" t="n"/>
      <c r="Z184" s="7" t="n"/>
      <c r="AA184" s="7" t="n"/>
      <c r="AB184" s="7">
        <f>IF(Y184="","",IFERROR(VLOOKUP(Y184,'Ingredients + Stock'!B:D,3,FALSE),""))</f>
        <v/>
      </c>
      <c r="AC184" s="7">
        <f>IF(Y184="","",IFERROR(VLOOKUP(Y184,'Ingredients + Stock'!B:G,6,FALSE),0))</f>
        <v/>
      </c>
      <c r="AD184" s="7">
        <f>IF(AA184="","",IFERROR(VLOOKUP(AA184,'Unit Conversion'!A:D,4,FALSE),1))</f>
        <v/>
      </c>
      <c r="AE184" s="7">
        <f>IF(AB184="","",IFERROR(VLOOKUP(AB184,'Unit Conversion'!A:D,4,FALSE),1))</f>
        <v/>
      </c>
      <c r="AF184" s="7">
        <f>IF(AA184="","",Z184*AD184/AE184)</f>
        <v/>
      </c>
      <c r="AG184" s="7">
        <f>AF184*AC184</f>
        <v/>
      </c>
      <c r="AH184" s="7">
        <f>IF(AA184="","",IFERROR(IF(VLOOKUP(AA184,'Unit Conversion'!A:B,2,FALSE)=VLOOKUP(AB184,'Unit Conversion'!A:B,2,FALSE),"OK","Check W/V mismatch"),"Check unit"))</f>
        <v/>
      </c>
      <c r="AI184" s="7" t="n"/>
    </row>
    <row r="185">
      <c r="A185" s="8" t="n"/>
      <c r="B185" s="8" t="n"/>
      <c r="C185" s="8" t="n"/>
      <c r="D185" s="8" t="n"/>
      <c r="E185" s="8" t="n"/>
      <c r="F185" s="8" t="n"/>
      <c r="G185" s="8" t="n"/>
      <c r="H185" s="8" t="n"/>
      <c r="I185" s="8" t="n"/>
      <c r="J185" s="8" t="n"/>
      <c r="K185" s="8" t="n"/>
      <c r="L185" s="8" t="n"/>
      <c r="M185" s="8" t="n"/>
      <c r="N185" s="8" t="n"/>
      <c r="O185" s="8" t="n"/>
      <c r="P185" s="8" t="n"/>
      <c r="Q185" s="8" t="n"/>
      <c r="R185" s="8" t="n"/>
      <c r="S185" s="8" t="n"/>
      <c r="T185" s="8" t="n"/>
      <c r="U185" s="8" t="n"/>
      <c r="V185" s="8" t="n"/>
      <c r="W185" s="8" t="n"/>
      <c r="X185" s="8" t="n"/>
      <c r="Y185" s="8" t="n"/>
      <c r="Z185" s="8" t="n"/>
      <c r="AA185" s="8" t="n"/>
      <c r="AB185" s="8">
        <f>IF(Y185="","",IFERROR(VLOOKUP(Y185,'Ingredients + Stock'!B:D,3,FALSE),""))</f>
        <v/>
      </c>
      <c r="AC185" s="8">
        <f>IF(Y185="","",IFERROR(VLOOKUP(Y185,'Ingredients + Stock'!B:G,6,FALSE),0))</f>
        <v/>
      </c>
      <c r="AD185" s="8">
        <f>IF(AA185="","",IFERROR(VLOOKUP(AA185,'Unit Conversion'!A:D,4,FALSE),1))</f>
        <v/>
      </c>
      <c r="AE185" s="8">
        <f>IF(AB185="","",IFERROR(VLOOKUP(AB185,'Unit Conversion'!A:D,4,FALSE),1))</f>
        <v/>
      </c>
      <c r="AF185" s="8">
        <f>IF(AA185="","",Z185*AD185/AE185)</f>
        <v/>
      </c>
      <c r="AG185" s="8">
        <f>AF185*AC185</f>
        <v/>
      </c>
      <c r="AH185" s="8">
        <f>IF(AA185="","",IFERROR(IF(VLOOKUP(AA185,'Unit Conversion'!A:B,2,FALSE)=VLOOKUP(AB185,'Unit Conversion'!A:B,2,FALSE),"OK","Check W/V mismatch"),"Check unit"))</f>
        <v/>
      </c>
      <c r="AI185" s="8" t="n"/>
    </row>
    <row r="186">
      <c r="A186" s="7" t="n"/>
      <c r="B186" s="7" t="n"/>
      <c r="C186" s="7" t="n"/>
      <c r="D186" s="7" t="n"/>
      <c r="E186" s="7" t="n"/>
      <c r="F186" s="7" t="n"/>
      <c r="G186" s="7" t="n"/>
      <c r="H186" s="7" t="n"/>
      <c r="I186" s="7" t="n"/>
      <c r="J186" s="7" t="n"/>
      <c r="K186" s="7" t="n"/>
      <c r="L186" s="7" t="n"/>
      <c r="M186" s="7" t="n"/>
      <c r="N186" s="7" t="n"/>
      <c r="O186" s="7" t="n"/>
      <c r="P186" s="7" t="n"/>
      <c r="Q186" s="7" t="n"/>
      <c r="R186" s="7" t="n"/>
      <c r="S186" s="7" t="n"/>
      <c r="T186" s="7" t="n"/>
      <c r="U186" s="7" t="n"/>
      <c r="V186" s="7" t="n"/>
      <c r="W186" s="7" t="n"/>
      <c r="X186" s="7" t="n"/>
      <c r="Y186" s="7" t="n"/>
      <c r="Z186" s="7" t="n"/>
      <c r="AA186" s="7" t="n"/>
      <c r="AB186" s="7">
        <f>IF(Y186="","",IFERROR(VLOOKUP(Y186,'Ingredients + Stock'!B:D,3,FALSE),""))</f>
        <v/>
      </c>
      <c r="AC186" s="7">
        <f>IF(Y186="","",IFERROR(VLOOKUP(Y186,'Ingredients + Stock'!B:G,6,FALSE),0))</f>
        <v/>
      </c>
      <c r="AD186" s="7">
        <f>IF(AA186="","",IFERROR(VLOOKUP(AA186,'Unit Conversion'!A:D,4,FALSE),1))</f>
        <v/>
      </c>
      <c r="AE186" s="7">
        <f>IF(AB186="","",IFERROR(VLOOKUP(AB186,'Unit Conversion'!A:D,4,FALSE),1))</f>
        <v/>
      </c>
      <c r="AF186" s="7">
        <f>IF(AA186="","",Z186*AD186/AE186)</f>
        <v/>
      </c>
      <c r="AG186" s="7">
        <f>AF186*AC186</f>
        <v/>
      </c>
      <c r="AH186" s="7">
        <f>IF(AA186="","",IFERROR(IF(VLOOKUP(AA186,'Unit Conversion'!A:B,2,FALSE)=VLOOKUP(AB186,'Unit Conversion'!A:B,2,FALSE),"OK","Check W/V mismatch"),"Check unit"))</f>
        <v/>
      </c>
      <c r="AI186" s="7" t="n"/>
    </row>
    <row r="187">
      <c r="A187" s="8" t="n"/>
      <c r="B187" s="8" t="n"/>
      <c r="C187" s="8" t="n"/>
      <c r="D187" s="8" t="n"/>
      <c r="E187" s="8" t="n"/>
      <c r="F187" s="8" t="n"/>
      <c r="G187" s="8" t="n"/>
      <c r="H187" s="8" t="n"/>
      <c r="I187" s="8" t="n"/>
      <c r="J187" s="8" t="n"/>
      <c r="K187" s="8" t="n"/>
      <c r="L187" s="8" t="n"/>
      <c r="M187" s="8" t="n"/>
      <c r="N187" s="8" t="n"/>
      <c r="O187" s="8" t="n"/>
      <c r="P187" s="8" t="n"/>
      <c r="Q187" s="8" t="n"/>
      <c r="R187" s="8" t="n"/>
      <c r="S187" s="8" t="n"/>
      <c r="T187" s="8" t="n"/>
      <c r="U187" s="8" t="n"/>
      <c r="V187" s="8" t="n"/>
      <c r="W187" s="8" t="n"/>
      <c r="X187" s="8" t="n"/>
      <c r="Y187" s="8" t="n"/>
      <c r="Z187" s="8" t="n"/>
      <c r="AA187" s="8" t="n"/>
      <c r="AB187" s="8">
        <f>IF(Y187="","",IFERROR(VLOOKUP(Y187,'Ingredients + Stock'!B:D,3,FALSE),""))</f>
        <v/>
      </c>
      <c r="AC187" s="8">
        <f>IF(Y187="","",IFERROR(VLOOKUP(Y187,'Ingredients + Stock'!B:G,6,FALSE),0))</f>
        <v/>
      </c>
      <c r="AD187" s="8">
        <f>IF(AA187="","",IFERROR(VLOOKUP(AA187,'Unit Conversion'!A:D,4,FALSE),1))</f>
        <v/>
      </c>
      <c r="AE187" s="8">
        <f>IF(AB187="","",IFERROR(VLOOKUP(AB187,'Unit Conversion'!A:D,4,FALSE),1))</f>
        <v/>
      </c>
      <c r="AF187" s="8">
        <f>IF(AA187="","",Z187*AD187/AE187)</f>
        <v/>
      </c>
      <c r="AG187" s="8">
        <f>AF187*AC187</f>
        <v/>
      </c>
      <c r="AH187" s="8">
        <f>IF(AA187="","",IFERROR(IF(VLOOKUP(AA187,'Unit Conversion'!A:B,2,FALSE)=VLOOKUP(AB187,'Unit Conversion'!A:B,2,FALSE),"OK","Check W/V mismatch"),"Check unit"))</f>
        <v/>
      </c>
      <c r="AI187" s="8" t="n"/>
    </row>
    <row r="188">
      <c r="A188" s="7" t="n"/>
      <c r="B188" s="7" t="n"/>
      <c r="C188" s="7" t="n"/>
      <c r="D188" s="7" t="n"/>
      <c r="E188" s="7" t="n"/>
      <c r="F188" s="7" t="n"/>
      <c r="G188" s="7" t="n"/>
      <c r="H188" s="7" t="n"/>
      <c r="I188" s="7" t="n"/>
      <c r="J188" s="7" t="n"/>
      <c r="K188" s="7" t="n"/>
      <c r="L188" s="7" t="n"/>
      <c r="M188" s="7" t="n"/>
      <c r="N188" s="7" t="n"/>
      <c r="O188" s="7" t="n"/>
      <c r="P188" s="7" t="n"/>
      <c r="Q188" s="7" t="n"/>
      <c r="R188" s="7" t="n"/>
      <c r="S188" s="7" t="n"/>
      <c r="T188" s="7" t="n"/>
      <c r="U188" s="7" t="n"/>
      <c r="V188" s="7" t="n"/>
      <c r="W188" s="7" t="n"/>
      <c r="X188" s="7" t="n"/>
      <c r="Y188" s="7" t="n"/>
      <c r="Z188" s="7" t="n"/>
      <c r="AA188" s="7" t="n"/>
      <c r="AB188" s="7">
        <f>IF(Y188="","",IFERROR(VLOOKUP(Y188,'Ingredients + Stock'!B:D,3,FALSE),""))</f>
        <v/>
      </c>
      <c r="AC188" s="7">
        <f>IF(Y188="","",IFERROR(VLOOKUP(Y188,'Ingredients + Stock'!B:G,6,FALSE),0))</f>
        <v/>
      </c>
      <c r="AD188" s="7">
        <f>IF(AA188="","",IFERROR(VLOOKUP(AA188,'Unit Conversion'!A:D,4,FALSE),1))</f>
        <v/>
      </c>
      <c r="AE188" s="7">
        <f>IF(AB188="","",IFERROR(VLOOKUP(AB188,'Unit Conversion'!A:D,4,FALSE),1))</f>
        <v/>
      </c>
      <c r="AF188" s="7">
        <f>IF(AA188="","",Z188*AD188/AE188)</f>
        <v/>
      </c>
      <c r="AG188" s="7">
        <f>AF188*AC188</f>
        <v/>
      </c>
      <c r="AH188" s="7">
        <f>IF(AA188="","",IFERROR(IF(VLOOKUP(AA188,'Unit Conversion'!A:B,2,FALSE)=VLOOKUP(AB188,'Unit Conversion'!A:B,2,FALSE),"OK","Check W/V mismatch"),"Check unit"))</f>
        <v/>
      </c>
      <c r="AI188" s="7" t="n"/>
    </row>
    <row r="189">
      <c r="A189" s="8" t="n"/>
      <c r="B189" s="8" t="n"/>
      <c r="C189" s="8" t="n"/>
      <c r="D189" s="8" t="n"/>
      <c r="E189" s="8" t="n"/>
      <c r="F189" s="8" t="n"/>
      <c r="G189" s="8" t="n"/>
      <c r="H189" s="8" t="n"/>
      <c r="I189" s="8" t="n"/>
      <c r="J189" s="8" t="n"/>
      <c r="K189" s="8" t="n"/>
      <c r="L189" s="8" t="n"/>
      <c r="M189" s="8" t="n"/>
      <c r="N189" s="8" t="n"/>
      <c r="O189" s="8" t="n"/>
      <c r="P189" s="8" t="n"/>
      <c r="Q189" s="8" t="n"/>
      <c r="R189" s="8" t="n"/>
      <c r="S189" s="8" t="n"/>
      <c r="T189" s="8" t="n"/>
      <c r="U189" s="8" t="n"/>
      <c r="V189" s="8" t="n"/>
      <c r="W189" s="8" t="n"/>
      <c r="X189" s="8" t="n"/>
      <c r="Y189" s="8" t="n"/>
      <c r="Z189" s="8" t="n"/>
      <c r="AA189" s="8" t="n"/>
      <c r="AB189" s="8">
        <f>IF(Y189="","",IFERROR(VLOOKUP(Y189,'Ingredients + Stock'!B:D,3,FALSE),""))</f>
        <v/>
      </c>
      <c r="AC189" s="8">
        <f>IF(Y189="","",IFERROR(VLOOKUP(Y189,'Ingredients + Stock'!B:G,6,FALSE),0))</f>
        <v/>
      </c>
      <c r="AD189" s="8">
        <f>IF(AA189="","",IFERROR(VLOOKUP(AA189,'Unit Conversion'!A:D,4,FALSE),1))</f>
        <v/>
      </c>
      <c r="AE189" s="8">
        <f>IF(AB189="","",IFERROR(VLOOKUP(AB189,'Unit Conversion'!A:D,4,FALSE),1))</f>
        <v/>
      </c>
      <c r="AF189" s="8">
        <f>IF(AA189="","",Z189*AD189/AE189)</f>
        <v/>
      </c>
      <c r="AG189" s="8">
        <f>AF189*AC189</f>
        <v/>
      </c>
      <c r="AH189" s="8">
        <f>IF(AA189="","",IFERROR(IF(VLOOKUP(AA189,'Unit Conversion'!A:B,2,FALSE)=VLOOKUP(AB189,'Unit Conversion'!A:B,2,FALSE),"OK","Check W/V mismatch"),"Check unit"))</f>
        <v/>
      </c>
      <c r="AI189" s="8" t="n"/>
    </row>
    <row r="190">
      <c r="A190" s="7" t="n"/>
      <c r="B190" s="7" t="n"/>
      <c r="C190" s="7" t="n"/>
      <c r="D190" s="7" t="n"/>
      <c r="E190" s="7" t="n"/>
      <c r="F190" s="7" t="n"/>
      <c r="G190" s="7" t="n"/>
      <c r="H190" s="7" t="n"/>
      <c r="I190" s="7" t="n"/>
      <c r="J190" s="7" t="n"/>
      <c r="K190" s="7" t="n"/>
      <c r="L190" s="7" t="n"/>
      <c r="M190" s="7" t="n"/>
      <c r="N190" s="7" t="n"/>
      <c r="O190" s="7" t="n"/>
      <c r="P190" s="7" t="n"/>
      <c r="Q190" s="7" t="n"/>
      <c r="R190" s="7" t="n"/>
      <c r="S190" s="7" t="n"/>
      <c r="T190" s="7" t="n"/>
      <c r="U190" s="7" t="n"/>
      <c r="V190" s="7" t="n"/>
      <c r="W190" s="7" t="n"/>
      <c r="X190" s="7" t="n"/>
      <c r="Y190" s="7" t="n"/>
      <c r="Z190" s="7" t="n"/>
      <c r="AA190" s="7" t="n"/>
      <c r="AB190" s="7">
        <f>IF(Y190="","",IFERROR(VLOOKUP(Y190,'Ingredients + Stock'!B:D,3,FALSE),""))</f>
        <v/>
      </c>
      <c r="AC190" s="7">
        <f>IF(Y190="","",IFERROR(VLOOKUP(Y190,'Ingredients + Stock'!B:G,6,FALSE),0))</f>
        <v/>
      </c>
      <c r="AD190" s="7">
        <f>IF(AA190="","",IFERROR(VLOOKUP(AA190,'Unit Conversion'!A:D,4,FALSE),1))</f>
        <v/>
      </c>
      <c r="AE190" s="7">
        <f>IF(AB190="","",IFERROR(VLOOKUP(AB190,'Unit Conversion'!A:D,4,FALSE),1))</f>
        <v/>
      </c>
      <c r="AF190" s="7">
        <f>IF(AA190="","",Z190*AD190/AE190)</f>
        <v/>
      </c>
      <c r="AG190" s="7">
        <f>AF190*AC190</f>
        <v/>
      </c>
      <c r="AH190" s="7">
        <f>IF(AA190="","",IFERROR(IF(VLOOKUP(AA190,'Unit Conversion'!A:B,2,FALSE)=VLOOKUP(AB190,'Unit Conversion'!A:B,2,FALSE),"OK","Check W/V mismatch"),"Check unit"))</f>
        <v/>
      </c>
      <c r="AI190" s="7" t="n"/>
    </row>
    <row r="191">
      <c r="A191" s="8" t="n"/>
      <c r="B191" s="8" t="n"/>
      <c r="C191" s="8" t="n"/>
      <c r="D191" s="8" t="n"/>
      <c r="E191" s="8" t="n"/>
      <c r="F191" s="8" t="n"/>
      <c r="G191" s="8" t="n"/>
      <c r="H191" s="8" t="n"/>
      <c r="I191" s="8" t="n"/>
      <c r="J191" s="8" t="n"/>
      <c r="K191" s="8" t="n"/>
      <c r="L191" s="8" t="n"/>
      <c r="M191" s="8" t="n"/>
      <c r="N191" s="8" t="n"/>
      <c r="O191" s="8" t="n"/>
      <c r="P191" s="8" t="n"/>
      <c r="Q191" s="8" t="n"/>
      <c r="R191" s="8" t="n"/>
      <c r="S191" s="8" t="n"/>
      <c r="T191" s="8" t="n"/>
      <c r="U191" s="8" t="n"/>
      <c r="V191" s="8" t="n"/>
      <c r="W191" s="8" t="n"/>
      <c r="X191" s="8" t="n"/>
      <c r="Y191" s="8" t="n"/>
      <c r="Z191" s="8" t="n"/>
      <c r="AA191" s="8" t="n"/>
      <c r="AB191" s="8">
        <f>IF(Y191="","",IFERROR(VLOOKUP(Y191,'Ingredients + Stock'!B:D,3,FALSE),""))</f>
        <v/>
      </c>
      <c r="AC191" s="8">
        <f>IF(Y191="","",IFERROR(VLOOKUP(Y191,'Ingredients + Stock'!B:G,6,FALSE),0))</f>
        <v/>
      </c>
      <c r="AD191" s="8">
        <f>IF(AA191="","",IFERROR(VLOOKUP(AA191,'Unit Conversion'!A:D,4,FALSE),1))</f>
        <v/>
      </c>
      <c r="AE191" s="8">
        <f>IF(AB191="","",IFERROR(VLOOKUP(AB191,'Unit Conversion'!A:D,4,FALSE),1))</f>
        <v/>
      </c>
      <c r="AF191" s="8">
        <f>IF(AA191="","",Z191*AD191/AE191)</f>
        <v/>
      </c>
      <c r="AG191" s="8">
        <f>AF191*AC191</f>
        <v/>
      </c>
      <c r="AH191" s="8">
        <f>IF(AA191="","",IFERROR(IF(VLOOKUP(AA191,'Unit Conversion'!A:B,2,FALSE)=VLOOKUP(AB191,'Unit Conversion'!A:B,2,FALSE),"OK","Check W/V mismatch"),"Check unit"))</f>
        <v/>
      </c>
      <c r="AI191" s="8" t="n"/>
    </row>
    <row r="192">
      <c r="A192" s="7" t="n"/>
      <c r="B192" s="7" t="n"/>
      <c r="C192" s="7" t="n"/>
      <c r="D192" s="7" t="n"/>
      <c r="E192" s="7" t="n"/>
      <c r="F192" s="7" t="n"/>
      <c r="G192" s="7" t="n"/>
      <c r="H192" s="7" t="n"/>
      <c r="I192" s="7" t="n"/>
      <c r="J192" s="7" t="n"/>
      <c r="K192" s="7" t="n"/>
      <c r="L192" s="7" t="n"/>
      <c r="M192" s="7" t="n"/>
      <c r="N192" s="7" t="n"/>
      <c r="O192" s="7" t="n"/>
      <c r="P192" s="7" t="n"/>
      <c r="Q192" s="7" t="n"/>
      <c r="R192" s="7" t="n"/>
      <c r="S192" s="7" t="n"/>
      <c r="T192" s="7" t="n"/>
      <c r="U192" s="7" t="n"/>
      <c r="V192" s="7" t="n"/>
      <c r="W192" s="7" t="n"/>
      <c r="X192" s="7" t="n"/>
      <c r="Y192" s="7" t="n"/>
      <c r="Z192" s="7" t="n"/>
      <c r="AA192" s="7" t="n"/>
      <c r="AB192" s="7">
        <f>IF(Y192="","",IFERROR(VLOOKUP(Y192,'Ingredients + Stock'!B:D,3,FALSE),""))</f>
        <v/>
      </c>
      <c r="AC192" s="7">
        <f>IF(Y192="","",IFERROR(VLOOKUP(Y192,'Ingredients + Stock'!B:G,6,FALSE),0))</f>
        <v/>
      </c>
      <c r="AD192" s="7">
        <f>IF(AA192="","",IFERROR(VLOOKUP(AA192,'Unit Conversion'!A:D,4,FALSE),1))</f>
        <v/>
      </c>
      <c r="AE192" s="7">
        <f>IF(AB192="","",IFERROR(VLOOKUP(AB192,'Unit Conversion'!A:D,4,FALSE),1))</f>
        <v/>
      </c>
      <c r="AF192" s="7">
        <f>IF(AA192="","",Z192*AD192/AE192)</f>
        <v/>
      </c>
      <c r="AG192" s="7">
        <f>AF192*AC192</f>
        <v/>
      </c>
      <c r="AH192" s="7">
        <f>IF(AA192="","",IFERROR(IF(VLOOKUP(AA192,'Unit Conversion'!A:B,2,FALSE)=VLOOKUP(AB192,'Unit Conversion'!A:B,2,FALSE),"OK","Check W/V mismatch"),"Check unit"))</f>
        <v/>
      </c>
      <c r="AI192" s="7" t="n"/>
    </row>
    <row r="193">
      <c r="A193" s="8" t="n"/>
      <c r="B193" s="8" t="n"/>
      <c r="C193" s="8" t="n"/>
      <c r="D193" s="8" t="n"/>
      <c r="E193" s="8" t="n"/>
      <c r="F193" s="8" t="n"/>
      <c r="G193" s="8" t="n"/>
      <c r="H193" s="8" t="n"/>
      <c r="I193" s="8" t="n"/>
      <c r="J193" s="8" t="n"/>
      <c r="K193" s="8" t="n"/>
      <c r="L193" s="8" t="n"/>
      <c r="M193" s="8" t="n"/>
      <c r="N193" s="8" t="n"/>
      <c r="O193" s="8" t="n"/>
      <c r="P193" s="8" t="n"/>
      <c r="Q193" s="8" t="n"/>
      <c r="R193" s="8" t="n"/>
      <c r="S193" s="8" t="n"/>
      <c r="T193" s="8" t="n"/>
      <c r="U193" s="8" t="n"/>
      <c r="V193" s="8" t="n"/>
      <c r="W193" s="8" t="n"/>
      <c r="X193" s="8" t="n"/>
      <c r="Y193" s="8" t="n"/>
      <c r="Z193" s="8" t="n"/>
      <c r="AA193" s="8" t="n"/>
      <c r="AB193" s="8">
        <f>IF(Y193="","",IFERROR(VLOOKUP(Y193,'Ingredients + Stock'!B:D,3,FALSE),""))</f>
        <v/>
      </c>
      <c r="AC193" s="8">
        <f>IF(Y193="","",IFERROR(VLOOKUP(Y193,'Ingredients + Stock'!B:G,6,FALSE),0))</f>
        <v/>
      </c>
      <c r="AD193" s="8">
        <f>IF(AA193="","",IFERROR(VLOOKUP(AA193,'Unit Conversion'!A:D,4,FALSE),1))</f>
        <v/>
      </c>
      <c r="AE193" s="8">
        <f>IF(AB193="","",IFERROR(VLOOKUP(AB193,'Unit Conversion'!A:D,4,FALSE),1))</f>
        <v/>
      </c>
      <c r="AF193" s="8">
        <f>IF(AA193="","",Z193*AD193/AE193)</f>
        <v/>
      </c>
      <c r="AG193" s="8">
        <f>AF193*AC193</f>
        <v/>
      </c>
      <c r="AH193" s="8">
        <f>IF(AA193="","",IFERROR(IF(VLOOKUP(AA193,'Unit Conversion'!A:B,2,FALSE)=VLOOKUP(AB193,'Unit Conversion'!A:B,2,FALSE),"OK","Check W/V mismatch"),"Check unit"))</f>
        <v/>
      </c>
      <c r="AI193" s="8" t="n"/>
    </row>
    <row r="194">
      <c r="A194" s="7" t="n"/>
      <c r="B194" s="7" t="n"/>
      <c r="C194" s="7" t="n"/>
      <c r="D194" s="7" t="n"/>
      <c r="E194" s="7" t="n"/>
      <c r="F194" s="7" t="n"/>
      <c r="G194" s="7" t="n"/>
      <c r="H194" s="7" t="n"/>
      <c r="I194" s="7" t="n"/>
      <c r="J194" s="7" t="n"/>
      <c r="K194" s="7" t="n"/>
      <c r="L194" s="7" t="n"/>
      <c r="M194" s="7" t="n"/>
      <c r="N194" s="7" t="n"/>
      <c r="O194" s="7" t="n"/>
      <c r="P194" s="7" t="n"/>
      <c r="Q194" s="7" t="n"/>
      <c r="R194" s="7" t="n"/>
      <c r="S194" s="7" t="n"/>
      <c r="T194" s="7" t="n"/>
      <c r="U194" s="7" t="n"/>
      <c r="V194" s="7" t="n"/>
      <c r="W194" s="7" t="n"/>
      <c r="X194" s="7" t="n"/>
      <c r="Y194" s="7" t="n"/>
      <c r="Z194" s="7" t="n"/>
      <c r="AA194" s="7" t="n"/>
      <c r="AB194" s="7">
        <f>IF(Y194="","",IFERROR(VLOOKUP(Y194,'Ingredients + Stock'!B:D,3,FALSE),""))</f>
        <v/>
      </c>
      <c r="AC194" s="7">
        <f>IF(Y194="","",IFERROR(VLOOKUP(Y194,'Ingredients + Stock'!B:G,6,FALSE),0))</f>
        <v/>
      </c>
      <c r="AD194" s="7">
        <f>IF(AA194="","",IFERROR(VLOOKUP(AA194,'Unit Conversion'!A:D,4,FALSE),1))</f>
        <v/>
      </c>
      <c r="AE194" s="7">
        <f>IF(AB194="","",IFERROR(VLOOKUP(AB194,'Unit Conversion'!A:D,4,FALSE),1))</f>
        <v/>
      </c>
      <c r="AF194" s="7">
        <f>IF(AA194="","",Z194*AD194/AE194)</f>
        <v/>
      </c>
      <c r="AG194" s="7">
        <f>AF194*AC194</f>
        <v/>
      </c>
      <c r="AH194" s="7">
        <f>IF(AA194="","",IFERROR(IF(VLOOKUP(AA194,'Unit Conversion'!A:B,2,FALSE)=VLOOKUP(AB194,'Unit Conversion'!A:B,2,FALSE),"OK","Check W/V mismatch"),"Check unit"))</f>
        <v/>
      </c>
      <c r="AI194" s="7" t="n"/>
    </row>
    <row r="195">
      <c r="A195" s="8" t="n"/>
      <c r="B195" s="8" t="n"/>
      <c r="C195" s="8" t="n"/>
      <c r="D195" s="8" t="n"/>
      <c r="E195" s="8" t="n"/>
      <c r="F195" s="8" t="n"/>
      <c r="G195" s="8" t="n"/>
      <c r="H195" s="8" t="n"/>
      <c r="I195" s="8" t="n"/>
      <c r="J195" s="8" t="n"/>
      <c r="K195" s="8" t="n"/>
      <c r="L195" s="8" t="n"/>
      <c r="M195" s="8" t="n"/>
      <c r="N195" s="8" t="n"/>
      <c r="O195" s="8" t="n"/>
      <c r="P195" s="8" t="n"/>
      <c r="Q195" s="8" t="n"/>
      <c r="R195" s="8" t="n"/>
      <c r="S195" s="8" t="n"/>
      <c r="T195" s="8" t="n"/>
      <c r="U195" s="8" t="n"/>
      <c r="V195" s="8" t="n"/>
      <c r="W195" s="8" t="n"/>
      <c r="X195" s="8" t="n"/>
      <c r="Y195" s="8" t="n"/>
      <c r="Z195" s="8" t="n"/>
      <c r="AA195" s="8" t="n"/>
      <c r="AB195" s="8">
        <f>IF(Y195="","",IFERROR(VLOOKUP(Y195,'Ingredients + Stock'!B:D,3,FALSE),""))</f>
        <v/>
      </c>
      <c r="AC195" s="8">
        <f>IF(Y195="","",IFERROR(VLOOKUP(Y195,'Ingredients + Stock'!B:G,6,FALSE),0))</f>
        <v/>
      </c>
      <c r="AD195" s="8">
        <f>IF(AA195="","",IFERROR(VLOOKUP(AA195,'Unit Conversion'!A:D,4,FALSE),1))</f>
        <v/>
      </c>
      <c r="AE195" s="8">
        <f>IF(AB195="","",IFERROR(VLOOKUP(AB195,'Unit Conversion'!A:D,4,FALSE),1))</f>
        <v/>
      </c>
      <c r="AF195" s="8">
        <f>IF(AA195="","",Z195*AD195/AE195)</f>
        <v/>
      </c>
      <c r="AG195" s="8">
        <f>AF195*AC195</f>
        <v/>
      </c>
      <c r="AH195" s="8">
        <f>IF(AA195="","",IFERROR(IF(VLOOKUP(AA195,'Unit Conversion'!A:B,2,FALSE)=VLOOKUP(AB195,'Unit Conversion'!A:B,2,FALSE),"OK","Check W/V mismatch"),"Check unit"))</f>
        <v/>
      </c>
      <c r="AI195" s="8" t="n"/>
    </row>
    <row r="196">
      <c r="A196" s="7" t="n"/>
      <c r="B196" s="7" t="n"/>
      <c r="C196" s="7" t="n"/>
      <c r="D196" s="7" t="n"/>
      <c r="E196" s="7" t="n"/>
      <c r="F196" s="7" t="n"/>
      <c r="G196" s="7" t="n"/>
      <c r="H196" s="7" t="n"/>
      <c r="I196" s="7" t="n"/>
      <c r="J196" s="7" t="n"/>
      <c r="K196" s="7" t="n"/>
      <c r="L196" s="7" t="n"/>
      <c r="M196" s="7" t="n"/>
      <c r="N196" s="7" t="n"/>
      <c r="O196" s="7" t="n"/>
      <c r="P196" s="7" t="n"/>
      <c r="Q196" s="7" t="n"/>
      <c r="R196" s="7" t="n"/>
      <c r="S196" s="7" t="n"/>
      <c r="T196" s="7" t="n"/>
      <c r="U196" s="7" t="n"/>
      <c r="V196" s="7" t="n"/>
      <c r="W196" s="7" t="n"/>
      <c r="X196" s="7" t="n"/>
      <c r="Y196" s="7" t="n"/>
      <c r="Z196" s="7" t="n"/>
      <c r="AA196" s="7" t="n"/>
      <c r="AB196" s="7">
        <f>IF(Y196="","",IFERROR(VLOOKUP(Y196,'Ingredients + Stock'!B:D,3,FALSE),""))</f>
        <v/>
      </c>
      <c r="AC196" s="7">
        <f>IF(Y196="","",IFERROR(VLOOKUP(Y196,'Ingredients + Stock'!B:G,6,FALSE),0))</f>
        <v/>
      </c>
      <c r="AD196" s="7">
        <f>IF(AA196="","",IFERROR(VLOOKUP(AA196,'Unit Conversion'!A:D,4,FALSE),1))</f>
        <v/>
      </c>
      <c r="AE196" s="7">
        <f>IF(AB196="","",IFERROR(VLOOKUP(AB196,'Unit Conversion'!A:D,4,FALSE),1))</f>
        <v/>
      </c>
      <c r="AF196" s="7">
        <f>IF(AA196="","",Z196*AD196/AE196)</f>
        <v/>
      </c>
      <c r="AG196" s="7">
        <f>AF196*AC196</f>
        <v/>
      </c>
      <c r="AH196" s="7">
        <f>IF(AA196="","",IFERROR(IF(VLOOKUP(AA196,'Unit Conversion'!A:B,2,FALSE)=VLOOKUP(AB196,'Unit Conversion'!A:B,2,FALSE),"OK","Check W/V mismatch"),"Check unit"))</f>
        <v/>
      </c>
      <c r="AI196" s="7" t="n"/>
    </row>
    <row r="197">
      <c r="A197" s="8" t="n"/>
      <c r="B197" s="8" t="n"/>
      <c r="C197" s="8" t="n"/>
      <c r="D197" s="8" t="n"/>
      <c r="E197" s="8" t="n"/>
      <c r="F197" s="8" t="n"/>
      <c r="G197" s="8" t="n"/>
      <c r="H197" s="8" t="n"/>
      <c r="I197" s="8" t="n"/>
      <c r="J197" s="8" t="n"/>
      <c r="K197" s="8" t="n"/>
      <c r="L197" s="8" t="n"/>
      <c r="M197" s="8" t="n"/>
      <c r="N197" s="8" t="n"/>
      <c r="O197" s="8" t="n"/>
      <c r="P197" s="8" t="n"/>
      <c r="Q197" s="8" t="n"/>
      <c r="R197" s="8" t="n"/>
      <c r="S197" s="8" t="n"/>
      <c r="T197" s="8" t="n"/>
      <c r="U197" s="8" t="n"/>
      <c r="V197" s="8" t="n"/>
      <c r="W197" s="8" t="n"/>
      <c r="X197" s="8" t="n"/>
      <c r="Y197" s="8" t="n"/>
      <c r="Z197" s="8" t="n"/>
      <c r="AA197" s="8" t="n"/>
      <c r="AB197" s="8">
        <f>IF(Y197="","",IFERROR(VLOOKUP(Y197,'Ingredients + Stock'!B:D,3,FALSE),""))</f>
        <v/>
      </c>
      <c r="AC197" s="8">
        <f>IF(Y197="","",IFERROR(VLOOKUP(Y197,'Ingredients + Stock'!B:G,6,FALSE),0))</f>
        <v/>
      </c>
      <c r="AD197" s="8">
        <f>IF(AA197="","",IFERROR(VLOOKUP(AA197,'Unit Conversion'!A:D,4,FALSE),1))</f>
        <v/>
      </c>
      <c r="AE197" s="8">
        <f>IF(AB197="","",IFERROR(VLOOKUP(AB197,'Unit Conversion'!A:D,4,FALSE),1))</f>
        <v/>
      </c>
      <c r="AF197" s="8">
        <f>IF(AA197="","",Z197*AD197/AE197)</f>
        <v/>
      </c>
      <c r="AG197" s="8">
        <f>AF197*AC197</f>
        <v/>
      </c>
      <c r="AH197" s="8">
        <f>IF(AA197="","",IFERROR(IF(VLOOKUP(AA197,'Unit Conversion'!A:B,2,FALSE)=VLOOKUP(AB197,'Unit Conversion'!A:B,2,FALSE),"OK","Check W/V mismatch"),"Check unit"))</f>
        <v/>
      </c>
      <c r="AI197" s="8" t="n"/>
    </row>
    <row r="198">
      <c r="A198" s="7" t="n"/>
      <c r="B198" s="7" t="n"/>
      <c r="C198" s="7" t="n"/>
      <c r="D198" s="7" t="n"/>
      <c r="E198" s="7" t="n"/>
      <c r="F198" s="7" t="n"/>
      <c r="G198" s="7" t="n"/>
      <c r="H198" s="7" t="n"/>
      <c r="I198" s="7" t="n"/>
      <c r="J198" s="7" t="n"/>
      <c r="K198" s="7" t="n"/>
      <c r="L198" s="7" t="n"/>
      <c r="M198" s="7" t="n"/>
      <c r="N198" s="7" t="n"/>
      <c r="O198" s="7" t="n"/>
      <c r="P198" s="7" t="n"/>
      <c r="Q198" s="7" t="n"/>
      <c r="R198" s="7" t="n"/>
      <c r="S198" s="7" t="n"/>
      <c r="T198" s="7" t="n"/>
      <c r="U198" s="7" t="n"/>
      <c r="V198" s="7" t="n"/>
      <c r="W198" s="7" t="n"/>
      <c r="X198" s="7" t="n"/>
      <c r="Y198" s="7" t="n"/>
      <c r="Z198" s="7" t="n"/>
      <c r="AA198" s="7" t="n"/>
      <c r="AB198" s="7">
        <f>IF(Y198="","",IFERROR(VLOOKUP(Y198,'Ingredients + Stock'!B:D,3,FALSE),""))</f>
        <v/>
      </c>
      <c r="AC198" s="7">
        <f>IF(Y198="","",IFERROR(VLOOKUP(Y198,'Ingredients + Stock'!B:G,6,FALSE),0))</f>
        <v/>
      </c>
      <c r="AD198" s="7">
        <f>IF(AA198="","",IFERROR(VLOOKUP(AA198,'Unit Conversion'!A:D,4,FALSE),1))</f>
        <v/>
      </c>
      <c r="AE198" s="7">
        <f>IF(AB198="","",IFERROR(VLOOKUP(AB198,'Unit Conversion'!A:D,4,FALSE),1))</f>
        <v/>
      </c>
      <c r="AF198" s="7">
        <f>IF(AA198="","",Z198*AD198/AE198)</f>
        <v/>
      </c>
      <c r="AG198" s="7">
        <f>AF198*AC198</f>
        <v/>
      </c>
      <c r="AH198" s="7">
        <f>IF(AA198="","",IFERROR(IF(VLOOKUP(AA198,'Unit Conversion'!A:B,2,FALSE)=VLOOKUP(AB198,'Unit Conversion'!A:B,2,FALSE),"OK","Check W/V mismatch"),"Check unit"))</f>
        <v/>
      </c>
      <c r="AI198" s="7" t="n"/>
    </row>
    <row r="199">
      <c r="A199" s="8" t="n"/>
      <c r="B199" s="8" t="n"/>
      <c r="C199" s="8" t="n"/>
      <c r="D199" s="8" t="n"/>
      <c r="E199" s="8" t="n"/>
      <c r="F199" s="8" t="n"/>
      <c r="G199" s="8" t="n"/>
      <c r="H199" s="8" t="n"/>
      <c r="I199" s="8" t="n"/>
      <c r="J199" s="8" t="n"/>
      <c r="K199" s="8" t="n"/>
      <c r="L199" s="8" t="n"/>
      <c r="M199" s="8" t="n"/>
      <c r="N199" s="8" t="n"/>
      <c r="O199" s="8" t="n"/>
      <c r="P199" s="8" t="n"/>
      <c r="Q199" s="8" t="n"/>
      <c r="R199" s="8" t="n"/>
      <c r="S199" s="8" t="n"/>
      <c r="T199" s="8" t="n"/>
      <c r="U199" s="8" t="n"/>
      <c r="V199" s="8" t="n"/>
      <c r="W199" s="8" t="n"/>
      <c r="X199" s="8" t="n"/>
      <c r="Y199" s="8" t="n"/>
      <c r="Z199" s="8" t="n"/>
      <c r="AA199" s="8" t="n"/>
      <c r="AB199" s="8">
        <f>IF(Y199="","",IFERROR(VLOOKUP(Y199,'Ingredients + Stock'!B:D,3,FALSE),""))</f>
        <v/>
      </c>
      <c r="AC199" s="8">
        <f>IF(Y199="","",IFERROR(VLOOKUP(Y199,'Ingredients + Stock'!B:G,6,FALSE),0))</f>
        <v/>
      </c>
      <c r="AD199" s="8">
        <f>IF(AA199="","",IFERROR(VLOOKUP(AA199,'Unit Conversion'!A:D,4,FALSE),1))</f>
        <v/>
      </c>
      <c r="AE199" s="8">
        <f>IF(AB199="","",IFERROR(VLOOKUP(AB199,'Unit Conversion'!A:D,4,FALSE),1))</f>
        <v/>
      </c>
      <c r="AF199" s="8">
        <f>IF(AA199="","",Z199*AD199/AE199)</f>
        <v/>
      </c>
      <c r="AG199" s="8">
        <f>AF199*AC199</f>
        <v/>
      </c>
      <c r="AH199" s="8">
        <f>IF(AA199="","",IFERROR(IF(VLOOKUP(AA199,'Unit Conversion'!A:B,2,FALSE)=VLOOKUP(AB199,'Unit Conversion'!A:B,2,FALSE),"OK","Check W/V mismatch"),"Check unit"))</f>
        <v/>
      </c>
      <c r="AI199" s="8" t="n"/>
    </row>
    <row r="200">
      <c r="A200" s="7" t="n"/>
      <c r="B200" s="7" t="n"/>
      <c r="C200" s="7" t="n"/>
      <c r="D200" s="7" t="n"/>
      <c r="E200" s="7" t="n"/>
      <c r="F200" s="7" t="n"/>
      <c r="G200" s="7" t="n"/>
      <c r="H200" s="7" t="n"/>
      <c r="I200" s="7" t="n"/>
      <c r="J200" s="7" t="n"/>
      <c r="K200" s="7" t="n"/>
      <c r="L200" s="7" t="n"/>
      <c r="M200" s="7" t="n"/>
      <c r="N200" s="7" t="n"/>
      <c r="O200" s="7" t="n"/>
      <c r="P200" s="7" t="n"/>
      <c r="Q200" s="7" t="n"/>
      <c r="R200" s="7" t="n"/>
      <c r="S200" s="7" t="n"/>
      <c r="T200" s="7" t="n"/>
      <c r="U200" s="7" t="n"/>
      <c r="V200" s="7" t="n"/>
      <c r="W200" s="7" t="n"/>
      <c r="X200" s="7" t="n"/>
      <c r="Y200" s="7" t="n"/>
      <c r="Z200" s="7" t="n"/>
      <c r="AA200" s="7" t="n"/>
      <c r="AB200" s="7">
        <f>IF(Y200="","",IFERROR(VLOOKUP(Y200,'Ingredients + Stock'!B:D,3,FALSE),""))</f>
        <v/>
      </c>
      <c r="AC200" s="7">
        <f>IF(Y200="","",IFERROR(VLOOKUP(Y200,'Ingredients + Stock'!B:G,6,FALSE),0))</f>
        <v/>
      </c>
      <c r="AD200" s="7">
        <f>IF(AA200="","",IFERROR(VLOOKUP(AA200,'Unit Conversion'!A:D,4,FALSE),1))</f>
        <v/>
      </c>
      <c r="AE200" s="7">
        <f>IF(AB200="","",IFERROR(VLOOKUP(AB200,'Unit Conversion'!A:D,4,FALSE),1))</f>
        <v/>
      </c>
      <c r="AF200" s="7">
        <f>IF(AA200="","",Z200*AD200/AE200)</f>
        <v/>
      </c>
      <c r="AG200" s="7">
        <f>AF200*AC200</f>
        <v/>
      </c>
      <c r="AH200" s="7">
        <f>IF(AA200="","",IFERROR(IF(VLOOKUP(AA200,'Unit Conversion'!A:B,2,FALSE)=VLOOKUP(AB200,'Unit Conversion'!A:B,2,FALSE),"OK","Check W/V mismatch"),"Check unit"))</f>
        <v/>
      </c>
      <c r="AI200" s="7" t="n"/>
    </row>
    <row r="201">
      <c r="A201" s="8" t="n"/>
      <c r="B201" s="8" t="n"/>
      <c r="C201" s="8" t="n"/>
      <c r="D201" s="8" t="n"/>
      <c r="E201" s="8" t="n"/>
      <c r="F201" s="8" t="n"/>
      <c r="G201" s="8" t="n"/>
      <c r="H201" s="8" t="n"/>
      <c r="I201" s="8" t="n"/>
      <c r="J201" s="8" t="n"/>
      <c r="K201" s="8" t="n"/>
      <c r="L201" s="8" t="n"/>
      <c r="M201" s="8" t="n"/>
      <c r="N201" s="8" t="n"/>
      <c r="O201" s="8" t="n"/>
      <c r="P201" s="8" t="n"/>
      <c r="Q201" s="8" t="n"/>
      <c r="R201" s="8" t="n"/>
      <c r="S201" s="8" t="n"/>
      <c r="T201" s="8" t="n"/>
      <c r="U201" s="8" t="n"/>
      <c r="V201" s="8" t="n"/>
      <c r="W201" s="8" t="n"/>
      <c r="X201" s="8" t="n"/>
      <c r="Y201" s="8" t="n"/>
      <c r="Z201" s="8" t="n"/>
      <c r="AA201" s="8" t="n"/>
      <c r="AB201" s="8">
        <f>IF(Y201="","",IFERROR(VLOOKUP(Y201,'Ingredients + Stock'!B:D,3,FALSE),""))</f>
        <v/>
      </c>
      <c r="AC201" s="8">
        <f>IF(Y201="","",IFERROR(VLOOKUP(Y201,'Ingredients + Stock'!B:G,6,FALSE),0))</f>
        <v/>
      </c>
      <c r="AD201" s="8">
        <f>IF(AA201="","",IFERROR(VLOOKUP(AA201,'Unit Conversion'!A:D,4,FALSE),1))</f>
        <v/>
      </c>
      <c r="AE201" s="8">
        <f>IF(AB201="","",IFERROR(VLOOKUP(AB201,'Unit Conversion'!A:D,4,FALSE),1))</f>
        <v/>
      </c>
      <c r="AF201" s="8">
        <f>IF(AA201="","",Z201*AD201/AE201)</f>
        <v/>
      </c>
      <c r="AG201" s="8">
        <f>AF201*AC201</f>
        <v/>
      </c>
      <c r="AH201" s="8">
        <f>IF(AA201="","",IFERROR(IF(VLOOKUP(AA201,'Unit Conversion'!A:B,2,FALSE)=VLOOKUP(AB201,'Unit Conversion'!A:B,2,FALSE),"OK","Check W/V mismatch"),"Check unit"))</f>
        <v/>
      </c>
      <c r="AI201" s="8" t="n"/>
    </row>
    <row r="202">
      <c r="A202" s="7" t="n"/>
      <c r="B202" s="7" t="n"/>
      <c r="C202" s="7" t="n"/>
      <c r="D202" s="7" t="n"/>
      <c r="E202" s="7" t="n"/>
      <c r="F202" s="7" t="n"/>
      <c r="G202" s="7" t="n"/>
      <c r="H202" s="7" t="n"/>
      <c r="I202" s="7" t="n"/>
      <c r="J202" s="7" t="n"/>
      <c r="K202" s="7" t="n"/>
      <c r="L202" s="7" t="n"/>
      <c r="M202" s="7" t="n"/>
      <c r="N202" s="7" t="n"/>
      <c r="O202" s="7" t="n"/>
      <c r="P202" s="7" t="n"/>
      <c r="Q202" s="7" t="n"/>
      <c r="R202" s="7" t="n"/>
      <c r="S202" s="7" t="n"/>
      <c r="T202" s="7" t="n"/>
      <c r="U202" s="7" t="n"/>
      <c r="V202" s="7" t="n"/>
      <c r="W202" s="7" t="n"/>
      <c r="X202" s="7" t="n"/>
      <c r="Y202" s="7" t="n"/>
      <c r="Z202" s="7" t="n"/>
      <c r="AA202" s="7" t="n"/>
      <c r="AB202" s="7">
        <f>IF(Y202="","",IFERROR(VLOOKUP(Y202,'Ingredients + Stock'!B:D,3,FALSE),""))</f>
        <v/>
      </c>
      <c r="AC202" s="7">
        <f>IF(Y202="","",IFERROR(VLOOKUP(Y202,'Ingredients + Stock'!B:G,6,FALSE),0))</f>
        <v/>
      </c>
      <c r="AD202" s="7">
        <f>IF(AA202="","",IFERROR(VLOOKUP(AA202,'Unit Conversion'!A:D,4,FALSE),1))</f>
        <v/>
      </c>
      <c r="AE202" s="7">
        <f>IF(AB202="","",IFERROR(VLOOKUP(AB202,'Unit Conversion'!A:D,4,FALSE),1))</f>
        <v/>
      </c>
      <c r="AF202" s="7">
        <f>IF(AA202="","",Z202*AD202/AE202)</f>
        <v/>
      </c>
      <c r="AG202" s="7">
        <f>AF202*AC202</f>
        <v/>
      </c>
      <c r="AH202" s="7">
        <f>IF(AA202="","",IFERROR(IF(VLOOKUP(AA202,'Unit Conversion'!A:B,2,FALSE)=VLOOKUP(AB202,'Unit Conversion'!A:B,2,FALSE),"OK","Check W/V mismatch"),"Check unit"))</f>
        <v/>
      </c>
      <c r="AI202" s="7" t="n"/>
    </row>
    <row r="203">
      <c r="A203" s="8" t="n"/>
      <c r="B203" s="8" t="n"/>
      <c r="C203" s="8" t="n"/>
      <c r="D203" s="8" t="n"/>
      <c r="E203" s="8" t="n"/>
      <c r="F203" s="8" t="n"/>
      <c r="G203" s="8" t="n"/>
      <c r="H203" s="8" t="n"/>
      <c r="I203" s="8" t="n"/>
      <c r="J203" s="8" t="n"/>
      <c r="K203" s="8" t="n"/>
      <c r="L203" s="8" t="n"/>
      <c r="M203" s="8" t="n"/>
      <c r="N203" s="8" t="n"/>
      <c r="O203" s="8" t="n"/>
      <c r="P203" s="8" t="n"/>
      <c r="Q203" s="8" t="n"/>
      <c r="R203" s="8" t="n"/>
      <c r="S203" s="8" t="n"/>
      <c r="T203" s="8" t="n"/>
      <c r="U203" s="8" t="n"/>
      <c r="V203" s="8" t="n"/>
      <c r="W203" s="8" t="n"/>
      <c r="X203" s="8" t="n"/>
      <c r="Y203" s="8" t="n"/>
      <c r="Z203" s="8" t="n"/>
      <c r="AA203" s="8" t="n"/>
      <c r="AB203" s="8">
        <f>IF(Y203="","",IFERROR(VLOOKUP(Y203,'Ingredients + Stock'!B:D,3,FALSE),""))</f>
        <v/>
      </c>
      <c r="AC203" s="8">
        <f>IF(Y203="","",IFERROR(VLOOKUP(Y203,'Ingredients + Stock'!B:G,6,FALSE),0))</f>
        <v/>
      </c>
      <c r="AD203" s="8">
        <f>IF(AA203="","",IFERROR(VLOOKUP(AA203,'Unit Conversion'!A:D,4,FALSE),1))</f>
        <v/>
      </c>
      <c r="AE203" s="8">
        <f>IF(AB203="","",IFERROR(VLOOKUP(AB203,'Unit Conversion'!A:D,4,FALSE),1))</f>
        <v/>
      </c>
      <c r="AF203" s="8">
        <f>IF(AA203="","",Z203*AD203/AE203)</f>
        <v/>
      </c>
      <c r="AG203" s="8">
        <f>AF203*AC203</f>
        <v/>
      </c>
      <c r="AH203" s="8">
        <f>IF(AA203="","",IFERROR(IF(VLOOKUP(AA203,'Unit Conversion'!A:B,2,FALSE)=VLOOKUP(AB203,'Unit Conversion'!A:B,2,FALSE),"OK","Check W/V mismatch"),"Check unit"))</f>
        <v/>
      </c>
      <c r="AI203" s="8" t="n"/>
    </row>
    <row r="204">
      <c r="A204" s="7" t="n"/>
      <c r="B204" s="7" t="n"/>
      <c r="C204" s="7" t="n"/>
      <c r="D204" s="7" t="n"/>
      <c r="E204" s="7" t="n"/>
      <c r="F204" s="7" t="n"/>
      <c r="G204" s="7" t="n"/>
      <c r="H204" s="7" t="n"/>
      <c r="I204" s="7" t="n"/>
      <c r="J204" s="7" t="n"/>
      <c r="K204" s="7" t="n"/>
      <c r="L204" s="7" t="n"/>
      <c r="M204" s="7" t="n"/>
      <c r="N204" s="7" t="n"/>
      <c r="O204" s="7" t="n"/>
      <c r="P204" s="7" t="n"/>
      <c r="Q204" s="7" t="n"/>
      <c r="R204" s="7" t="n"/>
      <c r="S204" s="7" t="n"/>
      <c r="T204" s="7" t="n"/>
      <c r="U204" s="7" t="n"/>
      <c r="V204" s="7" t="n"/>
      <c r="W204" s="7" t="n"/>
      <c r="X204" s="7" t="n"/>
      <c r="Y204" s="7" t="n"/>
      <c r="Z204" s="7" t="n"/>
      <c r="AA204" s="7" t="n"/>
      <c r="AB204" s="7">
        <f>IF(Y204="","",IFERROR(VLOOKUP(Y204,'Ingredients + Stock'!B:D,3,FALSE),""))</f>
        <v/>
      </c>
      <c r="AC204" s="7">
        <f>IF(Y204="","",IFERROR(VLOOKUP(Y204,'Ingredients + Stock'!B:G,6,FALSE),0))</f>
        <v/>
      </c>
      <c r="AD204" s="7">
        <f>IF(AA204="","",IFERROR(VLOOKUP(AA204,'Unit Conversion'!A:D,4,FALSE),1))</f>
        <v/>
      </c>
      <c r="AE204" s="7">
        <f>IF(AB204="","",IFERROR(VLOOKUP(AB204,'Unit Conversion'!A:D,4,FALSE),1))</f>
        <v/>
      </c>
      <c r="AF204" s="7">
        <f>IF(AA204="","",Z204*AD204/AE204)</f>
        <v/>
      </c>
      <c r="AG204" s="7">
        <f>AF204*AC204</f>
        <v/>
      </c>
      <c r="AH204" s="7">
        <f>IF(AA204="","",IFERROR(IF(VLOOKUP(AA204,'Unit Conversion'!A:B,2,FALSE)=VLOOKUP(AB204,'Unit Conversion'!A:B,2,FALSE),"OK","Check W/V mismatch"),"Check unit"))</f>
        <v/>
      </c>
      <c r="AI204" s="7" t="n"/>
    </row>
    <row r="205">
      <c r="A205" s="8" t="n"/>
      <c r="B205" s="8" t="n"/>
      <c r="C205" s="8" t="n"/>
      <c r="D205" s="8" t="n"/>
      <c r="E205" s="8" t="n"/>
      <c r="F205" s="8" t="n"/>
      <c r="G205" s="8" t="n"/>
      <c r="H205" s="8" t="n"/>
      <c r="I205" s="8" t="n"/>
      <c r="J205" s="8" t="n"/>
      <c r="K205" s="8" t="n"/>
      <c r="L205" s="8" t="n"/>
      <c r="M205" s="8" t="n"/>
      <c r="N205" s="8" t="n"/>
      <c r="O205" s="8" t="n"/>
      <c r="P205" s="8" t="n"/>
      <c r="Q205" s="8" t="n"/>
      <c r="R205" s="8" t="n"/>
      <c r="S205" s="8" t="n"/>
      <c r="T205" s="8" t="n"/>
      <c r="U205" s="8" t="n"/>
      <c r="V205" s="8" t="n"/>
      <c r="W205" s="8" t="n"/>
      <c r="X205" s="8" t="n"/>
      <c r="Y205" s="8" t="n"/>
      <c r="Z205" s="8" t="n"/>
      <c r="AA205" s="8" t="n"/>
      <c r="AB205" s="8">
        <f>IF(Y205="","",IFERROR(VLOOKUP(Y205,'Ingredients + Stock'!B:D,3,FALSE),""))</f>
        <v/>
      </c>
      <c r="AC205" s="8">
        <f>IF(Y205="","",IFERROR(VLOOKUP(Y205,'Ingredients + Stock'!B:G,6,FALSE),0))</f>
        <v/>
      </c>
      <c r="AD205" s="8">
        <f>IF(AA205="","",IFERROR(VLOOKUP(AA205,'Unit Conversion'!A:D,4,FALSE),1))</f>
        <v/>
      </c>
      <c r="AE205" s="8">
        <f>IF(AB205="","",IFERROR(VLOOKUP(AB205,'Unit Conversion'!A:D,4,FALSE),1))</f>
        <v/>
      </c>
      <c r="AF205" s="8">
        <f>IF(AA205="","",Z205*AD205/AE205)</f>
        <v/>
      </c>
      <c r="AG205" s="8">
        <f>AF205*AC205</f>
        <v/>
      </c>
      <c r="AH205" s="8">
        <f>IF(AA205="","",IFERROR(IF(VLOOKUP(AA205,'Unit Conversion'!A:B,2,FALSE)=VLOOKUP(AB205,'Unit Conversion'!A:B,2,FALSE),"OK","Check W/V mismatch"),"Check unit"))</f>
        <v/>
      </c>
      <c r="AI205" s="8" t="n"/>
    </row>
    <row r="206">
      <c r="A206" s="7" t="n"/>
      <c r="B206" s="7" t="n"/>
      <c r="C206" s="7" t="n"/>
      <c r="D206" s="7" t="n"/>
      <c r="E206" s="7" t="n"/>
      <c r="F206" s="7" t="n"/>
      <c r="G206" s="7" t="n"/>
      <c r="H206" s="7" t="n"/>
      <c r="I206" s="7" t="n"/>
      <c r="J206" s="7" t="n"/>
      <c r="K206" s="7" t="n"/>
      <c r="L206" s="7" t="n"/>
      <c r="M206" s="7" t="n"/>
      <c r="N206" s="7" t="n"/>
      <c r="O206" s="7" t="n"/>
      <c r="P206" s="7" t="n"/>
      <c r="Q206" s="7" t="n"/>
      <c r="R206" s="7" t="n"/>
      <c r="S206" s="7" t="n"/>
      <c r="T206" s="7" t="n"/>
      <c r="U206" s="7" t="n"/>
      <c r="V206" s="7" t="n"/>
      <c r="W206" s="7" t="n"/>
      <c r="X206" s="7" t="n"/>
      <c r="Y206" s="7" t="n"/>
      <c r="Z206" s="7" t="n"/>
      <c r="AA206" s="7" t="n"/>
      <c r="AB206" s="7">
        <f>IF(Y206="","",IFERROR(VLOOKUP(Y206,'Ingredients + Stock'!B:D,3,FALSE),""))</f>
        <v/>
      </c>
      <c r="AC206" s="7">
        <f>IF(Y206="","",IFERROR(VLOOKUP(Y206,'Ingredients + Stock'!B:G,6,FALSE),0))</f>
        <v/>
      </c>
      <c r="AD206" s="7">
        <f>IF(AA206="","",IFERROR(VLOOKUP(AA206,'Unit Conversion'!A:D,4,FALSE),1))</f>
        <v/>
      </c>
      <c r="AE206" s="7">
        <f>IF(AB206="","",IFERROR(VLOOKUP(AB206,'Unit Conversion'!A:D,4,FALSE),1))</f>
        <v/>
      </c>
      <c r="AF206" s="7">
        <f>IF(AA206="","",Z206*AD206/AE206)</f>
        <v/>
      </c>
      <c r="AG206" s="7">
        <f>AF206*AC206</f>
        <v/>
      </c>
      <c r="AH206" s="7">
        <f>IF(AA206="","",IFERROR(IF(VLOOKUP(AA206,'Unit Conversion'!A:B,2,FALSE)=VLOOKUP(AB206,'Unit Conversion'!A:B,2,FALSE),"OK","Check W/V mismatch"),"Check unit"))</f>
        <v/>
      </c>
      <c r="AI206" s="7" t="n"/>
    </row>
    <row r="207">
      <c r="A207" s="8" t="n"/>
      <c r="B207" s="8" t="n"/>
      <c r="C207" s="8" t="n"/>
      <c r="D207" s="8" t="n"/>
      <c r="E207" s="8" t="n"/>
      <c r="F207" s="8" t="n"/>
      <c r="G207" s="8" t="n"/>
      <c r="H207" s="8" t="n"/>
      <c r="I207" s="8" t="n"/>
      <c r="J207" s="8" t="n"/>
      <c r="K207" s="8" t="n"/>
      <c r="L207" s="8" t="n"/>
      <c r="M207" s="8" t="n"/>
      <c r="N207" s="8" t="n"/>
      <c r="O207" s="8" t="n"/>
      <c r="P207" s="8" t="n"/>
      <c r="Q207" s="8" t="n"/>
      <c r="R207" s="8" t="n"/>
      <c r="S207" s="8" t="n"/>
      <c r="T207" s="8" t="n"/>
      <c r="U207" s="8" t="n"/>
      <c r="V207" s="8" t="n"/>
      <c r="W207" s="8" t="n"/>
      <c r="X207" s="8" t="n"/>
      <c r="Y207" s="8" t="n"/>
      <c r="Z207" s="8" t="n"/>
      <c r="AA207" s="8" t="n"/>
      <c r="AB207" s="8">
        <f>IF(Y207="","",IFERROR(VLOOKUP(Y207,'Ingredients + Stock'!B:D,3,FALSE),""))</f>
        <v/>
      </c>
      <c r="AC207" s="8">
        <f>IF(Y207="","",IFERROR(VLOOKUP(Y207,'Ingredients + Stock'!B:G,6,FALSE),0))</f>
        <v/>
      </c>
      <c r="AD207" s="8">
        <f>IF(AA207="","",IFERROR(VLOOKUP(AA207,'Unit Conversion'!A:D,4,FALSE),1))</f>
        <v/>
      </c>
      <c r="AE207" s="8">
        <f>IF(AB207="","",IFERROR(VLOOKUP(AB207,'Unit Conversion'!A:D,4,FALSE),1))</f>
        <v/>
      </c>
      <c r="AF207" s="8">
        <f>IF(AA207="","",Z207*AD207/AE207)</f>
        <v/>
      </c>
      <c r="AG207" s="8">
        <f>AF207*AC207</f>
        <v/>
      </c>
      <c r="AH207" s="8">
        <f>IF(AA207="","",IFERROR(IF(VLOOKUP(AA207,'Unit Conversion'!A:B,2,FALSE)=VLOOKUP(AB207,'Unit Conversion'!A:B,2,FALSE),"OK","Check W/V mismatch"),"Check unit"))</f>
        <v/>
      </c>
      <c r="AI207" s="8" t="n"/>
    </row>
    <row r="208">
      <c r="A208" s="7" t="n"/>
      <c r="B208" s="7" t="n"/>
      <c r="C208" s="7" t="n"/>
      <c r="D208" s="7" t="n"/>
      <c r="E208" s="7" t="n"/>
      <c r="F208" s="7" t="n"/>
      <c r="G208" s="7" t="n"/>
      <c r="H208" s="7" t="n"/>
      <c r="I208" s="7" t="n"/>
      <c r="J208" s="7" t="n"/>
      <c r="K208" s="7" t="n"/>
      <c r="L208" s="7" t="n"/>
      <c r="M208" s="7" t="n"/>
      <c r="N208" s="7" t="n"/>
      <c r="O208" s="7" t="n"/>
      <c r="P208" s="7" t="n"/>
      <c r="Q208" s="7" t="n"/>
      <c r="R208" s="7" t="n"/>
      <c r="S208" s="7" t="n"/>
      <c r="T208" s="7" t="n"/>
      <c r="U208" s="7" t="n"/>
      <c r="V208" s="7" t="n"/>
      <c r="W208" s="7" t="n"/>
      <c r="X208" s="7" t="n"/>
      <c r="Y208" s="7" t="n"/>
      <c r="Z208" s="7" t="n"/>
      <c r="AA208" s="7" t="n"/>
      <c r="AB208" s="7">
        <f>IF(Y208="","",IFERROR(VLOOKUP(Y208,'Ingredients + Stock'!B:D,3,FALSE),""))</f>
        <v/>
      </c>
      <c r="AC208" s="7">
        <f>IF(Y208="","",IFERROR(VLOOKUP(Y208,'Ingredients + Stock'!B:G,6,FALSE),0))</f>
        <v/>
      </c>
      <c r="AD208" s="7">
        <f>IF(AA208="","",IFERROR(VLOOKUP(AA208,'Unit Conversion'!A:D,4,FALSE),1))</f>
        <v/>
      </c>
      <c r="AE208" s="7">
        <f>IF(AB208="","",IFERROR(VLOOKUP(AB208,'Unit Conversion'!A:D,4,FALSE),1))</f>
        <v/>
      </c>
      <c r="AF208" s="7">
        <f>IF(AA208="","",Z208*AD208/AE208)</f>
        <v/>
      </c>
      <c r="AG208" s="7">
        <f>AF208*AC208</f>
        <v/>
      </c>
      <c r="AH208" s="7">
        <f>IF(AA208="","",IFERROR(IF(VLOOKUP(AA208,'Unit Conversion'!A:B,2,FALSE)=VLOOKUP(AB208,'Unit Conversion'!A:B,2,FALSE),"OK","Check W/V mismatch"),"Check unit"))</f>
        <v/>
      </c>
      <c r="AI208" s="7" t="n"/>
    </row>
    <row r="209">
      <c r="A209" s="8" t="n"/>
      <c r="B209" s="8" t="n"/>
      <c r="C209" s="8" t="n"/>
      <c r="D209" s="8" t="n"/>
      <c r="E209" s="8" t="n"/>
      <c r="F209" s="8" t="n"/>
      <c r="G209" s="8" t="n"/>
      <c r="H209" s="8" t="n"/>
      <c r="I209" s="8" t="n"/>
      <c r="J209" s="8" t="n"/>
      <c r="K209" s="8" t="n"/>
      <c r="L209" s="8" t="n"/>
      <c r="M209" s="8" t="n"/>
      <c r="N209" s="8" t="n"/>
      <c r="O209" s="8" t="n"/>
      <c r="P209" s="8" t="n"/>
      <c r="Q209" s="8" t="n"/>
      <c r="R209" s="8" t="n"/>
      <c r="S209" s="8" t="n"/>
      <c r="T209" s="8" t="n"/>
      <c r="U209" s="8" t="n"/>
      <c r="V209" s="8" t="n"/>
      <c r="W209" s="8" t="n"/>
      <c r="X209" s="8" t="n"/>
      <c r="Y209" s="8" t="n"/>
      <c r="Z209" s="8" t="n"/>
      <c r="AA209" s="8" t="n"/>
      <c r="AB209" s="8">
        <f>IF(Y209="","",IFERROR(VLOOKUP(Y209,'Ingredients + Stock'!B:D,3,FALSE),""))</f>
        <v/>
      </c>
      <c r="AC209" s="8">
        <f>IF(Y209="","",IFERROR(VLOOKUP(Y209,'Ingredients + Stock'!B:G,6,FALSE),0))</f>
        <v/>
      </c>
      <c r="AD209" s="8">
        <f>IF(AA209="","",IFERROR(VLOOKUP(AA209,'Unit Conversion'!A:D,4,FALSE),1))</f>
        <v/>
      </c>
      <c r="AE209" s="8">
        <f>IF(AB209="","",IFERROR(VLOOKUP(AB209,'Unit Conversion'!A:D,4,FALSE),1))</f>
        <v/>
      </c>
      <c r="AF209" s="8">
        <f>IF(AA209="","",Z209*AD209/AE209)</f>
        <v/>
      </c>
      <c r="AG209" s="8">
        <f>AF209*AC209</f>
        <v/>
      </c>
      <c r="AH209" s="8">
        <f>IF(AA209="","",IFERROR(IF(VLOOKUP(AA209,'Unit Conversion'!A:B,2,FALSE)=VLOOKUP(AB209,'Unit Conversion'!A:B,2,FALSE),"OK","Check W/V mismatch"),"Check unit"))</f>
        <v/>
      </c>
      <c r="AI209" s="8" t="n"/>
    </row>
    <row r="210">
      <c r="A210" s="7" t="n"/>
      <c r="B210" s="7" t="n"/>
      <c r="C210" s="7" t="n"/>
      <c r="D210" s="7" t="n"/>
      <c r="E210" s="7" t="n"/>
      <c r="F210" s="7" t="n"/>
      <c r="G210" s="7" t="n"/>
      <c r="H210" s="7" t="n"/>
      <c r="I210" s="7" t="n"/>
      <c r="J210" s="7" t="n"/>
      <c r="K210" s="7" t="n"/>
      <c r="L210" s="7" t="n"/>
      <c r="M210" s="7" t="n"/>
      <c r="N210" s="7" t="n"/>
      <c r="O210" s="7" t="n"/>
      <c r="P210" s="7" t="n"/>
      <c r="Q210" s="7" t="n"/>
      <c r="R210" s="7" t="n"/>
      <c r="S210" s="7" t="n"/>
      <c r="T210" s="7" t="n"/>
      <c r="U210" s="7" t="n"/>
      <c r="V210" s="7" t="n"/>
      <c r="W210" s="7" t="n"/>
      <c r="X210" s="7" t="n"/>
      <c r="Y210" s="7" t="n"/>
      <c r="Z210" s="7" t="n"/>
      <c r="AA210" s="7" t="n"/>
      <c r="AB210" s="7">
        <f>IF(Y210="","",IFERROR(VLOOKUP(Y210,'Ingredients + Stock'!B:D,3,FALSE),""))</f>
        <v/>
      </c>
      <c r="AC210" s="7">
        <f>IF(Y210="","",IFERROR(VLOOKUP(Y210,'Ingredients + Stock'!B:G,6,FALSE),0))</f>
        <v/>
      </c>
      <c r="AD210" s="7">
        <f>IF(AA210="","",IFERROR(VLOOKUP(AA210,'Unit Conversion'!A:D,4,FALSE),1))</f>
        <v/>
      </c>
      <c r="AE210" s="7">
        <f>IF(AB210="","",IFERROR(VLOOKUP(AB210,'Unit Conversion'!A:D,4,FALSE),1))</f>
        <v/>
      </c>
      <c r="AF210" s="7">
        <f>IF(AA210="","",Z210*AD210/AE210)</f>
        <v/>
      </c>
      <c r="AG210" s="7">
        <f>AF210*AC210</f>
        <v/>
      </c>
      <c r="AH210" s="7">
        <f>IF(AA210="","",IFERROR(IF(VLOOKUP(AA210,'Unit Conversion'!A:B,2,FALSE)=VLOOKUP(AB210,'Unit Conversion'!A:B,2,FALSE),"OK","Check W/V mismatch"),"Check unit"))</f>
        <v/>
      </c>
      <c r="AI210" s="7" t="n"/>
    </row>
    <row r="211">
      <c r="A211" s="8" t="n"/>
      <c r="B211" s="8" t="n"/>
      <c r="C211" s="8" t="n"/>
      <c r="D211" s="8" t="n"/>
      <c r="E211" s="8" t="n"/>
      <c r="F211" s="8" t="n"/>
      <c r="G211" s="8" t="n"/>
      <c r="H211" s="8" t="n"/>
      <c r="I211" s="8" t="n"/>
      <c r="J211" s="8" t="n"/>
      <c r="K211" s="8" t="n"/>
      <c r="L211" s="8" t="n"/>
      <c r="M211" s="8" t="n"/>
      <c r="N211" s="8" t="n"/>
      <c r="O211" s="8" t="n"/>
      <c r="P211" s="8" t="n"/>
      <c r="Q211" s="8" t="n"/>
      <c r="R211" s="8" t="n"/>
      <c r="S211" s="8" t="n"/>
      <c r="T211" s="8" t="n"/>
      <c r="U211" s="8" t="n"/>
      <c r="V211" s="8" t="n"/>
      <c r="W211" s="8" t="n"/>
      <c r="X211" s="8" t="n"/>
      <c r="Y211" s="8" t="n"/>
      <c r="Z211" s="8" t="n"/>
      <c r="AA211" s="8" t="n"/>
      <c r="AB211" s="8">
        <f>IF(Y211="","",IFERROR(VLOOKUP(Y211,'Ingredients + Stock'!B:D,3,FALSE),""))</f>
        <v/>
      </c>
      <c r="AC211" s="8">
        <f>IF(Y211="","",IFERROR(VLOOKUP(Y211,'Ingredients + Stock'!B:G,6,FALSE),0))</f>
        <v/>
      </c>
      <c r="AD211" s="8">
        <f>IF(AA211="","",IFERROR(VLOOKUP(AA211,'Unit Conversion'!A:D,4,FALSE),1))</f>
        <v/>
      </c>
      <c r="AE211" s="8">
        <f>IF(AB211="","",IFERROR(VLOOKUP(AB211,'Unit Conversion'!A:D,4,FALSE),1))</f>
        <v/>
      </c>
      <c r="AF211" s="8">
        <f>IF(AA211="","",Z211*AD211/AE211)</f>
        <v/>
      </c>
      <c r="AG211" s="8">
        <f>AF211*AC211</f>
        <v/>
      </c>
      <c r="AH211" s="8">
        <f>IF(AA211="","",IFERROR(IF(VLOOKUP(AA211,'Unit Conversion'!A:B,2,FALSE)=VLOOKUP(AB211,'Unit Conversion'!A:B,2,FALSE),"OK","Check W/V mismatch"),"Check unit"))</f>
        <v/>
      </c>
      <c r="AI211" s="8" t="n"/>
    </row>
    <row r="212">
      <c r="A212" s="7" t="n"/>
      <c r="B212" s="7" t="n"/>
      <c r="C212" s="7" t="n"/>
      <c r="D212" s="7" t="n"/>
      <c r="E212" s="7" t="n"/>
      <c r="F212" s="7" t="n"/>
      <c r="G212" s="7" t="n"/>
      <c r="H212" s="7" t="n"/>
      <c r="I212" s="7" t="n"/>
      <c r="J212" s="7" t="n"/>
      <c r="K212" s="7" t="n"/>
      <c r="L212" s="7" t="n"/>
      <c r="M212" s="7" t="n"/>
      <c r="N212" s="7" t="n"/>
      <c r="O212" s="7" t="n"/>
      <c r="P212" s="7" t="n"/>
      <c r="Q212" s="7" t="n"/>
      <c r="R212" s="7" t="n"/>
      <c r="S212" s="7" t="n"/>
      <c r="T212" s="7" t="n"/>
      <c r="U212" s="7" t="n"/>
      <c r="V212" s="7" t="n"/>
      <c r="W212" s="7" t="n"/>
      <c r="X212" s="7" t="n"/>
      <c r="Y212" s="7" t="n"/>
      <c r="Z212" s="7" t="n"/>
      <c r="AA212" s="7" t="n"/>
      <c r="AB212" s="7">
        <f>IF(Y212="","",IFERROR(VLOOKUP(Y212,'Ingredients + Stock'!B:D,3,FALSE),""))</f>
        <v/>
      </c>
      <c r="AC212" s="7">
        <f>IF(Y212="","",IFERROR(VLOOKUP(Y212,'Ingredients + Stock'!B:G,6,FALSE),0))</f>
        <v/>
      </c>
      <c r="AD212" s="7">
        <f>IF(AA212="","",IFERROR(VLOOKUP(AA212,'Unit Conversion'!A:D,4,FALSE),1))</f>
        <v/>
      </c>
      <c r="AE212" s="7">
        <f>IF(AB212="","",IFERROR(VLOOKUP(AB212,'Unit Conversion'!A:D,4,FALSE),1))</f>
        <v/>
      </c>
      <c r="AF212" s="7">
        <f>IF(AA212="","",Z212*AD212/AE212)</f>
        <v/>
      </c>
      <c r="AG212" s="7">
        <f>AF212*AC212</f>
        <v/>
      </c>
      <c r="AH212" s="7">
        <f>IF(AA212="","",IFERROR(IF(VLOOKUP(AA212,'Unit Conversion'!A:B,2,FALSE)=VLOOKUP(AB212,'Unit Conversion'!A:B,2,FALSE),"OK","Check W/V mismatch"),"Check unit"))</f>
        <v/>
      </c>
      <c r="AI212" s="7" t="n"/>
    </row>
    <row r="213">
      <c r="A213" s="8" t="n"/>
      <c r="B213" s="8" t="n"/>
      <c r="C213" s="8" t="n"/>
      <c r="D213" s="8" t="n"/>
      <c r="E213" s="8" t="n"/>
      <c r="F213" s="8" t="n"/>
      <c r="G213" s="8" t="n"/>
      <c r="H213" s="8" t="n"/>
      <c r="I213" s="8" t="n"/>
      <c r="J213" s="8" t="n"/>
      <c r="K213" s="8" t="n"/>
      <c r="L213" s="8" t="n"/>
      <c r="M213" s="8" t="n"/>
      <c r="N213" s="8" t="n"/>
      <c r="O213" s="8" t="n"/>
      <c r="P213" s="8" t="n"/>
      <c r="Q213" s="8" t="n"/>
      <c r="R213" s="8" t="n"/>
      <c r="S213" s="8" t="n"/>
      <c r="T213" s="8" t="n"/>
      <c r="U213" s="8" t="n"/>
      <c r="V213" s="8" t="n"/>
      <c r="W213" s="8" t="n"/>
      <c r="X213" s="8" t="n"/>
      <c r="Y213" s="8" t="n"/>
      <c r="Z213" s="8" t="n"/>
      <c r="AA213" s="8" t="n"/>
      <c r="AB213" s="8">
        <f>IF(Y213="","",IFERROR(VLOOKUP(Y213,'Ingredients + Stock'!B:D,3,FALSE),""))</f>
        <v/>
      </c>
      <c r="AC213" s="8">
        <f>IF(Y213="","",IFERROR(VLOOKUP(Y213,'Ingredients + Stock'!B:G,6,FALSE),0))</f>
        <v/>
      </c>
      <c r="AD213" s="8">
        <f>IF(AA213="","",IFERROR(VLOOKUP(AA213,'Unit Conversion'!A:D,4,FALSE),1))</f>
        <v/>
      </c>
      <c r="AE213" s="8">
        <f>IF(AB213="","",IFERROR(VLOOKUP(AB213,'Unit Conversion'!A:D,4,FALSE),1))</f>
        <v/>
      </c>
      <c r="AF213" s="8">
        <f>IF(AA213="","",Z213*AD213/AE213)</f>
        <v/>
      </c>
      <c r="AG213" s="8">
        <f>AF213*AC213</f>
        <v/>
      </c>
      <c r="AH213" s="8">
        <f>IF(AA213="","",IFERROR(IF(VLOOKUP(AA213,'Unit Conversion'!A:B,2,FALSE)=VLOOKUP(AB213,'Unit Conversion'!A:B,2,FALSE),"OK","Check W/V mismatch"),"Check unit"))</f>
        <v/>
      </c>
      <c r="AI213" s="8" t="n"/>
    </row>
    <row r="214">
      <c r="A214" s="7" t="n"/>
      <c r="B214" s="7" t="n"/>
      <c r="C214" s="7" t="n"/>
      <c r="D214" s="7" t="n"/>
      <c r="E214" s="7" t="n"/>
      <c r="F214" s="7" t="n"/>
      <c r="G214" s="7" t="n"/>
      <c r="H214" s="7" t="n"/>
      <c r="I214" s="7" t="n"/>
      <c r="J214" s="7" t="n"/>
      <c r="K214" s="7" t="n"/>
      <c r="L214" s="7" t="n"/>
      <c r="M214" s="7" t="n"/>
      <c r="N214" s="7" t="n"/>
      <c r="O214" s="7" t="n"/>
      <c r="P214" s="7" t="n"/>
      <c r="Q214" s="7" t="n"/>
      <c r="R214" s="7" t="n"/>
      <c r="S214" s="7" t="n"/>
      <c r="T214" s="7" t="n"/>
      <c r="U214" s="7" t="n"/>
      <c r="V214" s="7" t="n"/>
      <c r="W214" s="7" t="n"/>
      <c r="X214" s="7" t="n"/>
      <c r="Y214" s="7" t="n"/>
      <c r="Z214" s="7" t="n"/>
      <c r="AA214" s="7" t="n"/>
      <c r="AB214" s="7">
        <f>IF(Y214="","",IFERROR(VLOOKUP(Y214,'Ingredients + Stock'!B:D,3,FALSE),""))</f>
        <v/>
      </c>
      <c r="AC214" s="7">
        <f>IF(Y214="","",IFERROR(VLOOKUP(Y214,'Ingredients + Stock'!B:G,6,FALSE),0))</f>
        <v/>
      </c>
      <c r="AD214" s="7">
        <f>IF(AA214="","",IFERROR(VLOOKUP(AA214,'Unit Conversion'!A:D,4,FALSE),1))</f>
        <v/>
      </c>
      <c r="AE214" s="7">
        <f>IF(AB214="","",IFERROR(VLOOKUP(AB214,'Unit Conversion'!A:D,4,FALSE),1))</f>
        <v/>
      </c>
      <c r="AF214" s="7">
        <f>IF(AA214="","",Z214*AD214/AE214)</f>
        <v/>
      </c>
      <c r="AG214" s="7">
        <f>AF214*AC214</f>
        <v/>
      </c>
      <c r="AH214" s="7">
        <f>IF(AA214="","",IFERROR(IF(VLOOKUP(AA214,'Unit Conversion'!A:B,2,FALSE)=VLOOKUP(AB214,'Unit Conversion'!A:B,2,FALSE),"OK","Check W/V mismatch"),"Check unit"))</f>
        <v/>
      </c>
      <c r="AI214" s="7" t="n"/>
    </row>
    <row r="215">
      <c r="A215" s="8" t="n"/>
      <c r="B215" s="8" t="n"/>
      <c r="C215" s="8" t="n"/>
      <c r="D215" s="8" t="n"/>
      <c r="E215" s="8" t="n"/>
      <c r="F215" s="8" t="n"/>
      <c r="G215" s="8" t="n"/>
      <c r="H215" s="8" t="n"/>
      <c r="I215" s="8" t="n"/>
      <c r="J215" s="8" t="n"/>
      <c r="K215" s="8" t="n"/>
      <c r="L215" s="8" t="n"/>
      <c r="M215" s="8" t="n"/>
      <c r="N215" s="8" t="n"/>
      <c r="O215" s="8" t="n"/>
      <c r="P215" s="8" t="n"/>
      <c r="Q215" s="8" t="n"/>
      <c r="R215" s="8" t="n"/>
      <c r="S215" s="8" t="n"/>
      <c r="T215" s="8" t="n"/>
      <c r="U215" s="8" t="n"/>
      <c r="V215" s="8" t="n"/>
      <c r="W215" s="8" t="n"/>
      <c r="X215" s="8" t="n"/>
      <c r="Y215" s="8" t="n"/>
      <c r="Z215" s="8" t="n"/>
      <c r="AA215" s="8" t="n"/>
      <c r="AB215" s="8">
        <f>IF(Y215="","",IFERROR(VLOOKUP(Y215,'Ingredients + Stock'!B:D,3,FALSE),""))</f>
        <v/>
      </c>
      <c r="AC215" s="8">
        <f>IF(Y215="","",IFERROR(VLOOKUP(Y215,'Ingredients + Stock'!B:G,6,FALSE),0))</f>
        <v/>
      </c>
      <c r="AD215" s="8">
        <f>IF(AA215="","",IFERROR(VLOOKUP(AA215,'Unit Conversion'!A:D,4,FALSE),1))</f>
        <v/>
      </c>
      <c r="AE215" s="8">
        <f>IF(AB215="","",IFERROR(VLOOKUP(AB215,'Unit Conversion'!A:D,4,FALSE),1))</f>
        <v/>
      </c>
      <c r="AF215" s="8">
        <f>IF(AA215="","",Z215*AD215/AE215)</f>
        <v/>
      </c>
      <c r="AG215" s="8">
        <f>AF215*AC215</f>
        <v/>
      </c>
      <c r="AH215" s="8">
        <f>IF(AA215="","",IFERROR(IF(VLOOKUP(AA215,'Unit Conversion'!A:B,2,FALSE)=VLOOKUP(AB215,'Unit Conversion'!A:B,2,FALSE),"OK","Check W/V mismatch"),"Check unit"))</f>
        <v/>
      </c>
      <c r="AI215" s="8" t="n"/>
    </row>
    <row r="216">
      <c r="A216" s="7" t="n"/>
      <c r="B216" s="7" t="n"/>
      <c r="C216" s="7" t="n"/>
      <c r="D216" s="7" t="n"/>
      <c r="E216" s="7" t="n"/>
      <c r="F216" s="7" t="n"/>
      <c r="G216" s="7" t="n"/>
      <c r="H216" s="7" t="n"/>
      <c r="I216" s="7" t="n"/>
      <c r="J216" s="7" t="n"/>
      <c r="K216" s="7" t="n"/>
      <c r="L216" s="7" t="n"/>
      <c r="M216" s="7" t="n"/>
      <c r="N216" s="7" t="n"/>
      <c r="O216" s="7" t="n"/>
      <c r="P216" s="7" t="n"/>
      <c r="Q216" s="7" t="n"/>
      <c r="R216" s="7" t="n"/>
      <c r="S216" s="7" t="n"/>
      <c r="T216" s="7" t="n"/>
      <c r="U216" s="7" t="n"/>
      <c r="V216" s="7" t="n"/>
      <c r="W216" s="7" t="n"/>
      <c r="X216" s="7" t="n"/>
      <c r="Y216" s="7" t="n"/>
      <c r="Z216" s="7" t="n"/>
      <c r="AA216" s="7" t="n"/>
      <c r="AB216" s="7">
        <f>IF(Y216="","",IFERROR(VLOOKUP(Y216,'Ingredients + Stock'!B:D,3,FALSE),""))</f>
        <v/>
      </c>
      <c r="AC216" s="7">
        <f>IF(Y216="","",IFERROR(VLOOKUP(Y216,'Ingredients + Stock'!B:G,6,FALSE),0))</f>
        <v/>
      </c>
      <c r="AD216" s="7">
        <f>IF(AA216="","",IFERROR(VLOOKUP(AA216,'Unit Conversion'!A:D,4,FALSE),1))</f>
        <v/>
      </c>
      <c r="AE216" s="7">
        <f>IF(AB216="","",IFERROR(VLOOKUP(AB216,'Unit Conversion'!A:D,4,FALSE),1))</f>
        <v/>
      </c>
      <c r="AF216" s="7">
        <f>IF(AA216="","",Z216*AD216/AE216)</f>
        <v/>
      </c>
      <c r="AG216" s="7">
        <f>AF216*AC216</f>
        <v/>
      </c>
      <c r="AH216" s="7">
        <f>IF(AA216="","",IFERROR(IF(VLOOKUP(AA216,'Unit Conversion'!A:B,2,FALSE)=VLOOKUP(AB216,'Unit Conversion'!A:B,2,FALSE),"OK","Check W/V mismatch"),"Check unit"))</f>
        <v/>
      </c>
      <c r="AI216" s="7" t="n"/>
    </row>
    <row r="217">
      <c r="A217" s="8" t="n"/>
      <c r="B217" s="8" t="n"/>
      <c r="C217" s="8" t="n"/>
      <c r="D217" s="8" t="n"/>
      <c r="E217" s="8" t="n"/>
      <c r="F217" s="8" t="n"/>
      <c r="G217" s="8" t="n"/>
      <c r="H217" s="8" t="n"/>
      <c r="I217" s="8" t="n"/>
      <c r="J217" s="8" t="n"/>
      <c r="K217" s="8" t="n"/>
      <c r="L217" s="8" t="n"/>
      <c r="M217" s="8" t="n"/>
      <c r="N217" s="8" t="n"/>
      <c r="O217" s="8" t="n"/>
      <c r="P217" s="8" t="n"/>
      <c r="Q217" s="8" t="n"/>
      <c r="R217" s="8" t="n"/>
      <c r="S217" s="8" t="n"/>
      <c r="T217" s="8" t="n"/>
      <c r="U217" s="8" t="n"/>
      <c r="V217" s="8" t="n"/>
      <c r="W217" s="8" t="n"/>
      <c r="X217" s="8" t="n"/>
      <c r="Y217" s="8" t="n"/>
      <c r="Z217" s="8" t="n"/>
      <c r="AA217" s="8" t="n"/>
      <c r="AB217" s="8">
        <f>IF(Y217="","",IFERROR(VLOOKUP(Y217,'Ingredients + Stock'!B:D,3,FALSE),""))</f>
        <v/>
      </c>
      <c r="AC217" s="8">
        <f>IF(Y217="","",IFERROR(VLOOKUP(Y217,'Ingredients + Stock'!B:G,6,FALSE),0))</f>
        <v/>
      </c>
      <c r="AD217" s="8">
        <f>IF(AA217="","",IFERROR(VLOOKUP(AA217,'Unit Conversion'!A:D,4,FALSE),1))</f>
        <v/>
      </c>
      <c r="AE217" s="8">
        <f>IF(AB217="","",IFERROR(VLOOKUP(AB217,'Unit Conversion'!A:D,4,FALSE),1))</f>
        <v/>
      </c>
      <c r="AF217" s="8">
        <f>IF(AA217="","",Z217*AD217/AE217)</f>
        <v/>
      </c>
      <c r="AG217" s="8">
        <f>AF217*AC217</f>
        <v/>
      </c>
      <c r="AH217" s="8">
        <f>IF(AA217="","",IFERROR(IF(VLOOKUP(AA217,'Unit Conversion'!A:B,2,FALSE)=VLOOKUP(AB217,'Unit Conversion'!A:B,2,FALSE),"OK","Check W/V mismatch"),"Check unit"))</f>
        <v/>
      </c>
      <c r="AI217" s="8" t="n"/>
    </row>
    <row r="218">
      <c r="A218" s="7" t="n"/>
      <c r="B218" s="7" t="n"/>
      <c r="C218" s="7" t="n"/>
      <c r="D218" s="7" t="n"/>
      <c r="E218" s="7" t="n"/>
      <c r="F218" s="7" t="n"/>
      <c r="G218" s="7" t="n"/>
      <c r="H218" s="7" t="n"/>
      <c r="I218" s="7" t="n"/>
      <c r="J218" s="7" t="n"/>
      <c r="K218" s="7" t="n"/>
      <c r="L218" s="7" t="n"/>
      <c r="M218" s="7" t="n"/>
      <c r="N218" s="7" t="n"/>
      <c r="O218" s="7" t="n"/>
      <c r="P218" s="7" t="n"/>
      <c r="Q218" s="7" t="n"/>
      <c r="R218" s="7" t="n"/>
      <c r="S218" s="7" t="n"/>
      <c r="T218" s="7" t="n"/>
      <c r="U218" s="7" t="n"/>
      <c r="V218" s="7" t="n"/>
      <c r="W218" s="7" t="n"/>
      <c r="X218" s="7" t="n"/>
      <c r="Y218" s="7" t="n"/>
      <c r="Z218" s="7" t="n"/>
      <c r="AA218" s="7" t="n"/>
      <c r="AB218" s="7">
        <f>IF(Y218="","",IFERROR(VLOOKUP(Y218,'Ingredients + Stock'!B:D,3,FALSE),""))</f>
        <v/>
      </c>
      <c r="AC218" s="7">
        <f>IF(Y218="","",IFERROR(VLOOKUP(Y218,'Ingredients + Stock'!B:G,6,FALSE),0))</f>
        <v/>
      </c>
      <c r="AD218" s="7">
        <f>IF(AA218="","",IFERROR(VLOOKUP(AA218,'Unit Conversion'!A:D,4,FALSE),1))</f>
        <v/>
      </c>
      <c r="AE218" s="7">
        <f>IF(AB218="","",IFERROR(VLOOKUP(AB218,'Unit Conversion'!A:D,4,FALSE),1))</f>
        <v/>
      </c>
      <c r="AF218" s="7">
        <f>IF(AA218="","",Z218*AD218/AE218)</f>
        <v/>
      </c>
      <c r="AG218" s="7">
        <f>AF218*AC218</f>
        <v/>
      </c>
      <c r="AH218" s="7">
        <f>IF(AA218="","",IFERROR(IF(VLOOKUP(AA218,'Unit Conversion'!A:B,2,FALSE)=VLOOKUP(AB218,'Unit Conversion'!A:B,2,FALSE),"OK","Check W/V mismatch"),"Check unit"))</f>
        <v/>
      </c>
      <c r="AI218" s="7" t="n"/>
    </row>
    <row r="219">
      <c r="A219" s="8" t="n"/>
      <c r="B219" s="8" t="n"/>
      <c r="C219" s="8" t="n"/>
      <c r="D219" s="8" t="n"/>
      <c r="E219" s="8" t="n"/>
      <c r="F219" s="8" t="n"/>
      <c r="G219" s="8" t="n"/>
      <c r="H219" s="8" t="n"/>
      <c r="I219" s="8" t="n"/>
      <c r="J219" s="8" t="n"/>
      <c r="K219" s="8" t="n"/>
      <c r="L219" s="8" t="n"/>
      <c r="M219" s="8" t="n"/>
      <c r="N219" s="8" t="n"/>
      <c r="O219" s="8" t="n"/>
      <c r="P219" s="8" t="n"/>
      <c r="Q219" s="8" t="n"/>
      <c r="R219" s="8" t="n"/>
      <c r="S219" s="8" t="n"/>
      <c r="T219" s="8" t="n"/>
      <c r="U219" s="8" t="n"/>
      <c r="V219" s="8" t="n"/>
      <c r="W219" s="8" t="n"/>
      <c r="X219" s="8" t="n"/>
      <c r="Y219" s="8" t="n"/>
      <c r="Z219" s="8" t="n"/>
      <c r="AA219" s="8" t="n"/>
      <c r="AB219" s="8">
        <f>IF(Y219="","",IFERROR(VLOOKUP(Y219,'Ingredients + Stock'!B:D,3,FALSE),""))</f>
        <v/>
      </c>
      <c r="AC219" s="8">
        <f>IF(Y219="","",IFERROR(VLOOKUP(Y219,'Ingredients + Stock'!B:G,6,FALSE),0))</f>
        <v/>
      </c>
      <c r="AD219" s="8">
        <f>IF(AA219="","",IFERROR(VLOOKUP(AA219,'Unit Conversion'!A:D,4,FALSE),1))</f>
        <v/>
      </c>
      <c r="AE219" s="8">
        <f>IF(AB219="","",IFERROR(VLOOKUP(AB219,'Unit Conversion'!A:D,4,FALSE),1))</f>
        <v/>
      </c>
      <c r="AF219" s="8">
        <f>IF(AA219="","",Z219*AD219/AE219)</f>
        <v/>
      </c>
      <c r="AG219" s="8">
        <f>AF219*AC219</f>
        <v/>
      </c>
      <c r="AH219" s="8">
        <f>IF(AA219="","",IFERROR(IF(VLOOKUP(AA219,'Unit Conversion'!A:B,2,FALSE)=VLOOKUP(AB219,'Unit Conversion'!A:B,2,FALSE),"OK","Check W/V mismatch"),"Check unit"))</f>
        <v/>
      </c>
      <c r="AI219" s="8" t="n"/>
    </row>
    <row r="220">
      <c r="A220" s="7" t="n"/>
      <c r="B220" s="7" t="n"/>
      <c r="C220" s="7" t="n"/>
      <c r="D220" s="7" t="n"/>
      <c r="E220" s="7" t="n"/>
      <c r="F220" s="7" t="n"/>
      <c r="G220" s="7" t="n"/>
      <c r="H220" s="7" t="n"/>
      <c r="I220" s="7" t="n"/>
      <c r="J220" s="7" t="n"/>
      <c r="K220" s="7" t="n"/>
      <c r="L220" s="7" t="n"/>
      <c r="M220" s="7" t="n"/>
      <c r="N220" s="7" t="n"/>
      <c r="O220" s="7" t="n"/>
      <c r="P220" s="7" t="n"/>
      <c r="Q220" s="7" t="n"/>
      <c r="R220" s="7" t="n"/>
      <c r="S220" s="7" t="n"/>
      <c r="T220" s="7" t="n"/>
      <c r="U220" s="7" t="n"/>
      <c r="V220" s="7" t="n"/>
      <c r="W220" s="7" t="n"/>
      <c r="X220" s="7" t="n"/>
      <c r="Y220" s="7" t="n"/>
      <c r="Z220" s="7" t="n"/>
      <c r="AA220" s="7" t="n"/>
      <c r="AB220" s="7">
        <f>IF(Y220="","",IFERROR(VLOOKUP(Y220,'Ingredients + Stock'!B:D,3,FALSE),""))</f>
        <v/>
      </c>
      <c r="AC220" s="7">
        <f>IF(Y220="","",IFERROR(VLOOKUP(Y220,'Ingredients + Stock'!B:G,6,FALSE),0))</f>
        <v/>
      </c>
      <c r="AD220" s="7">
        <f>IF(AA220="","",IFERROR(VLOOKUP(AA220,'Unit Conversion'!A:D,4,FALSE),1))</f>
        <v/>
      </c>
      <c r="AE220" s="7">
        <f>IF(AB220="","",IFERROR(VLOOKUP(AB220,'Unit Conversion'!A:D,4,FALSE),1))</f>
        <v/>
      </c>
      <c r="AF220" s="7">
        <f>IF(AA220="","",Z220*AD220/AE220)</f>
        <v/>
      </c>
      <c r="AG220" s="7">
        <f>AF220*AC220</f>
        <v/>
      </c>
      <c r="AH220" s="7">
        <f>IF(AA220="","",IFERROR(IF(VLOOKUP(AA220,'Unit Conversion'!A:B,2,FALSE)=VLOOKUP(AB220,'Unit Conversion'!A:B,2,FALSE),"OK","Check W/V mismatch"),"Check unit"))</f>
        <v/>
      </c>
      <c r="AI220" s="7" t="n"/>
    </row>
    <row r="221">
      <c r="A221" s="8" t="n"/>
      <c r="B221" s="8" t="n"/>
      <c r="C221" s="8" t="n"/>
      <c r="D221" s="8" t="n"/>
      <c r="E221" s="8" t="n"/>
      <c r="F221" s="8" t="n"/>
      <c r="G221" s="8" t="n"/>
      <c r="H221" s="8" t="n"/>
      <c r="I221" s="8" t="n"/>
      <c r="J221" s="8" t="n"/>
      <c r="K221" s="8" t="n"/>
      <c r="L221" s="8" t="n"/>
      <c r="M221" s="8" t="n"/>
      <c r="N221" s="8" t="n"/>
      <c r="O221" s="8" t="n"/>
      <c r="P221" s="8" t="n"/>
      <c r="Q221" s="8" t="n"/>
      <c r="R221" s="8" t="n"/>
      <c r="S221" s="8" t="n"/>
      <c r="T221" s="8" t="n"/>
      <c r="U221" s="8" t="n"/>
      <c r="V221" s="8" t="n"/>
      <c r="W221" s="8" t="n"/>
      <c r="X221" s="8" t="n"/>
      <c r="Y221" s="8" t="n"/>
      <c r="Z221" s="8" t="n"/>
      <c r="AA221" s="8" t="n"/>
      <c r="AB221" s="8">
        <f>IF(Y221="","",IFERROR(VLOOKUP(Y221,'Ingredients + Stock'!B:D,3,FALSE),""))</f>
        <v/>
      </c>
      <c r="AC221" s="8">
        <f>IF(Y221="","",IFERROR(VLOOKUP(Y221,'Ingredients + Stock'!B:G,6,FALSE),0))</f>
        <v/>
      </c>
      <c r="AD221" s="8">
        <f>IF(AA221="","",IFERROR(VLOOKUP(AA221,'Unit Conversion'!A:D,4,FALSE),1))</f>
        <v/>
      </c>
      <c r="AE221" s="8">
        <f>IF(AB221="","",IFERROR(VLOOKUP(AB221,'Unit Conversion'!A:D,4,FALSE),1))</f>
        <v/>
      </c>
      <c r="AF221" s="8">
        <f>IF(AA221="","",Z221*AD221/AE221)</f>
        <v/>
      </c>
      <c r="AG221" s="8">
        <f>AF221*AC221</f>
        <v/>
      </c>
      <c r="AH221" s="8">
        <f>IF(AA221="","",IFERROR(IF(VLOOKUP(AA221,'Unit Conversion'!A:B,2,FALSE)=VLOOKUP(AB221,'Unit Conversion'!A:B,2,FALSE),"OK","Check W/V mismatch"),"Check unit"))</f>
        <v/>
      </c>
      <c r="AI221" s="8" t="n"/>
    </row>
    <row r="222">
      <c r="A222" s="7" t="n"/>
      <c r="B222" s="7" t="n"/>
      <c r="C222" s="7" t="n"/>
      <c r="D222" s="7" t="n"/>
      <c r="E222" s="7" t="n"/>
      <c r="F222" s="7" t="n"/>
      <c r="G222" s="7" t="n"/>
      <c r="H222" s="7" t="n"/>
      <c r="I222" s="7" t="n"/>
      <c r="J222" s="7" t="n"/>
      <c r="K222" s="7" t="n"/>
      <c r="L222" s="7" t="n"/>
      <c r="M222" s="7" t="n"/>
      <c r="N222" s="7" t="n"/>
      <c r="O222" s="7" t="n"/>
      <c r="P222" s="7" t="n"/>
      <c r="Q222" s="7" t="n"/>
      <c r="R222" s="7" t="n"/>
      <c r="S222" s="7" t="n"/>
      <c r="T222" s="7" t="n"/>
      <c r="U222" s="7" t="n"/>
      <c r="V222" s="7" t="n"/>
      <c r="W222" s="7" t="n"/>
      <c r="X222" s="7" t="n"/>
      <c r="Y222" s="7" t="n"/>
      <c r="Z222" s="7" t="n"/>
      <c r="AA222" s="7" t="n"/>
      <c r="AB222" s="7">
        <f>IF(Y222="","",IFERROR(VLOOKUP(Y222,'Ingredients + Stock'!B:D,3,FALSE),""))</f>
        <v/>
      </c>
      <c r="AC222" s="7">
        <f>IF(Y222="","",IFERROR(VLOOKUP(Y222,'Ingredients + Stock'!B:G,6,FALSE),0))</f>
        <v/>
      </c>
      <c r="AD222" s="7">
        <f>IF(AA222="","",IFERROR(VLOOKUP(AA222,'Unit Conversion'!A:D,4,FALSE),1))</f>
        <v/>
      </c>
      <c r="AE222" s="7">
        <f>IF(AB222="","",IFERROR(VLOOKUP(AB222,'Unit Conversion'!A:D,4,FALSE),1))</f>
        <v/>
      </c>
      <c r="AF222" s="7">
        <f>IF(AA222="","",Z222*AD222/AE222)</f>
        <v/>
      </c>
      <c r="AG222" s="7">
        <f>AF222*AC222</f>
        <v/>
      </c>
      <c r="AH222" s="7">
        <f>IF(AA222="","",IFERROR(IF(VLOOKUP(AA222,'Unit Conversion'!A:B,2,FALSE)=VLOOKUP(AB222,'Unit Conversion'!A:B,2,FALSE),"OK","Check W/V mismatch"),"Check unit"))</f>
        <v/>
      </c>
      <c r="AI222" s="7" t="n"/>
    </row>
    <row r="223">
      <c r="A223" s="8" t="n"/>
      <c r="B223" s="8" t="n"/>
      <c r="C223" s="8" t="n"/>
      <c r="D223" s="8" t="n"/>
      <c r="E223" s="8" t="n"/>
      <c r="F223" s="8" t="n"/>
      <c r="G223" s="8" t="n"/>
      <c r="H223" s="8" t="n"/>
      <c r="I223" s="8" t="n"/>
      <c r="J223" s="8" t="n"/>
      <c r="K223" s="8" t="n"/>
      <c r="L223" s="8" t="n"/>
      <c r="M223" s="8" t="n"/>
      <c r="N223" s="8" t="n"/>
      <c r="O223" s="8" t="n"/>
      <c r="P223" s="8" t="n"/>
      <c r="Q223" s="8" t="n"/>
      <c r="R223" s="8" t="n"/>
      <c r="S223" s="8" t="n"/>
      <c r="T223" s="8" t="n"/>
      <c r="U223" s="8" t="n"/>
      <c r="V223" s="8" t="n"/>
      <c r="W223" s="8" t="n"/>
      <c r="X223" s="8" t="n"/>
      <c r="Y223" s="8" t="n"/>
      <c r="Z223" s="8" t="n"/>
      <c r="AA223" s="8" t="n"/>
      <c r="AB223" s="8">
        <f>IF(Y223="","",IFERROR(VLOOKUP(Y223,'Ingredients + Stock'!B:D,3,FALSE),""))</f>
        <v/>
      </c>
      <c r="AC223" s="8">
        <f>IF(Y223="","",IFERROR(VLOOKUP(Y223,'Ingredients + Stock'!B:G,6,FALSE),0))</f>
        <v/>
      </c>
      <c r="AD223" s="8">
        <f>IF(AA223="","",IFERROR(VLOOKUP(AA223,'Unit Conversion'!A:D,4,FALSE),1))</f>
        <v/>
      </c>
      <c r="AE223" s="8">
        <f>IF(AB223="","",IFERROR(VLOOKUP(AB223,'Unit Conversion'!A:D,4,FALSE),1))</f>
        <v/>
      </c>
      <c r="AF223" s="8">
        <f>IF(AA223="","",Z223*AD223/AE223)</f>
        <v/>
      </c>
      <c r="AG223" s="8">
        <f>AF223*AC223</f>
        <v/>
      </c>
      <c r="AH223" s="8">
        <f>IF(AA223="","",IFERROR(IF(VLOOKUP(AA223,'Unit Conversion'!A:B,2,FALSE)=VLOOKUP(AB223,'Unit Conversion'!A:B,2,FALSE),"OK","Check W/V mismatch"),"Check unit"))</f>
        <v/>
      </c>
      <c r="AI223" s="8" t="n"/>
    </row>
    <row r="224">
      <c r="A224" s="7" t="n"/>
      <c r="B224" s="7" t="n"/>
      <c r="C224" s="7" t="n"/>
      <c r="D224" s="7" t="n"/>
      <c r="E224" s="7" t="n"/>
      <c r="F224" s="7" t="n"/>
      <c r="G224" s="7" t="n"/>
      <c r="H224" s="7" t="n"/>
      <c r="I224" s="7" t="n"/>
      <c r="J224" s="7" t="n"/>
      <c r="K224" s="7" t="n"/>
      <c r="L224" s="7" t="n"/>
      <c r="M224" s="7" t="n"/>
      <c r="N224" s="7" t="n"/>
      <c r="O224" s="7" t="n"/>
      <c r="P224" s="7" t="n"/>
      <c r="Q224" s="7" t="n"/>
      <c r="R224" s="7" t="n"/>
      <c r="S224" s="7" t="n"/>
      <c r="T224" s="7" t="n"/>
      <c r="U224" s="7" t="n"/>
      <c r="V224" s="7" t="n"/>
      <c r="W224" s="7" t="n"/>
      <c r="X224" s="7" t="n"/>
      <c r="Y224" s="7" t="n"/>
      <c r="Z224" s="7" t="n"/>
      <c r="AA224" s="7" t="n"/>
      <c r="AB224" s="7">
        <f>IF(Y224="","",IFERROR(VLOOKUP(Y224,'Ingredients + Stock'!B:D,3,FALSE),""))</f>
        <v/>
      </c>
      <c r="AC224" s="7">
        <f>IF(Y224="","",IFERROR(VLOOKUP(Y224,'Ingredients + Stock'!B:G,6,FALSE),0))</f>
        <v/>
      </c>
      <c r="AD224" s="7">
        <f>IF(AA224="","",IFERROR(VLOOKUP(AA224,'Unit Conversion'!A:D,4,FALSE),1))</f>
        <v/>
      </c>
      <c r="AE224" s="7">
        <f>IF(AB224="","",IFERROR(VLOOKUP(AB224,'Unit Conversion'!A:D,4,FALSE),1))</f>
        <v/>
      </c>
      <c r="AF224" s="7">
        <f>IF(AA224="","",Z224*AD224/AE224)</f>
        <v/>
      </c>
      <c r="AG224" s="7">
        <f>AF224*AC224</f>
        <v/>
      </c>
      <c r="AH224" s="7">
        <f>IF(AA224="","",IFERROR(IF(VLOOKUP(AA224,'Unit Conversion'!A:B,2,FALSE)=VLOOKUP(AB224,'Unit Conversion'!A:B,2,FALSE),"OK","Check W/V mismatch"),"Check unit"))</f>
        <v/>
      </c>
      <c r="AI224" s="7" t="n"/>
    </row>
    <row r="225">
      <c r="A225" s="8" t="n"/>
      <c r="B225" s="8" t="n"/>
      <c r="C225" s="8" t="n"/>
      <c r="D225" s="8" t="n"/>
      <c r="E225" s="8" t="n"/>
      <c r="F225" s="8" t="n"/>
      <c r="G225" s="8" t="n"/>
      <c r="H225" s="8" t="n"/>
      <c r="I225" s="8" t="n"/>
      <c r="J225" s="8" t="n"/>
      <c r="K225" s="8" t="n"/>
      <c r="L225" s="8" t="n"/>
      <c r="M225" s="8" t="n"/>
      <c r="N225" s="8" t="n"/>
      <c r="O225" s="8" t="n"/>
      <c r="P225" s="8" t="n"/>
      <c r="Q225" s="8" t="n"/>
      <c r="R225" s="8" t="n"/>
      <c r="S225" s="8" t="n"/>
      <c r="T225" s="8" t="n"/>
      <c r="U225" s="8" t="n"/>
      <c r="V225" s="8" t="n"/>
      <c r="W225" s="8" t="n"/>
      <c r="X225" s="8" t="n"/>
      <c r="Y225" s="8" t="n"/>
      <c r="Z225" s="8" t="n"/>
      <c r="AA225" s="8" t="n"/>
      <c r="AB225" s="8">
        <f>IF(Y225="","",IFERROR(VLOOKUP(Y225,'Ingredients + Stock'!B:D,3,FALSE),""))</f>
        <v/>
      </c>
      <c r="AC225" s="8">
        <f>IF(Y225="","",IFERROR(VLOOKUP(Y225,'Ingredients + Stock'!B:G,6,FALSE),0))</f>
        <v/>
      </c>
      <c r="AD225" s="8">
        <f>IF(AA225="","",IFERROR(VLOOKUP(AA225,'Unit Conversion'!A:D,4,FALSE),1))</f>
        <v/>
      </c>
      <c r="AE225" s="8">
        <f>IF(AB225="","",IFERROR(VLOOKUP(AB225,'Unit Conversion'!A:D,4,FALSE),1))</f>
        <v/>
      </c>
      <c r="AF225" s="8">
        <f>IF(AA225="","",Z225*AD225/AE225)</f>
        <v/>
      </c>
      <c r="AG225" s="8">
        <f>AF225*AC225</f>
        <v/>
      </c>
      <c r="AH225" s="8">
        <f>IF(AA225="","",IFERROR(IF(VLOOKUP(AA225,'Unit Conversion'!A:B,2,FALSE)=VLOOKUP(AB225,'Unit Conversion'!A:B,2,FALSE),"OK","Check W/V mismatch"),"Check unit"))</f>
        <v/>
      </c>
      <c r="AI225" s="8" t="n"/>
    </row>
    <row r="226">
      <c r="A226" s="7" t="n"/>
      <c r="B226" s="7" t="n"/>
      <c r="C226" s="7" t="n"/>
      <c r="D226" s="7" t="n"/>
      <c r="E226" s="7" t="n"/>
      <c r="F226" s="7" t="n"/>
      <c r="G226" s="7" t="n"/>
      <c r="H226" s="7" t="n"/>
      <c r="I226" s="7" t="n"/>
      <c r="J226" s="7" t="n"/>
      <c r="K226" s="7" t="n"/>
      <c r="L226" s="7" t="n"/>
      <c r="M226" s="7" t="n"/>
      <c r="N226" s="7" t="n"/>
      <c r="O226" s="7" t="n"/>
      <c r="P226" s="7" t="n"/>
      <c r="Q226" s="7" t="n"/>
      <c r="R226" s="7" t="n"/>
      <c r="S226" s="7" t="n"/>
      <c r="T226" s="7" t="n"/>
      <c r="U226" s="7" t="n"/>
      <c r="V226" s="7" t="n"/>
      <c r="W226" s="7" t="n"/>
      <c r="X226" s="7" t="n"/>
      <c r="Y226" s="7" t="n"/>
      <c r="Z226" s="7" t="n"/>
      <c r="AA226" s="7" t="n"/>
      <c r="AB226" s="7">
        <f>IF(Y226="","",IFERROR(VLOOKUP(Y226,'Ingredients + Stock'!B:D,3,FALSE),""))</f>
        <v/>
      </c>
      <c r="AC226" s="7">
        <f>IF(Y226="","",IFERROR(VLOOKUP(Y226,'Ingredients + Stock'!B:G,6,FALSE),0))</f>
        <v/>
      </c>
      <c r="AD226" s="7">
        <f>IF(AA226="","",IFERROR(VLOOKUP(AA226,'Unit Conversion'!A:D,4,FALSE),1))</f>
        <v/>
      </c>
      <c r="AE226" s="7">
        <f>IF(AB226="","",IFERROR(VLOOKUP(AB226,'Unit Conversion'!A:D,4,FALSE),1))</f>
        <v/>
      </c>
      <c r="AF226" s="7">
        <f>IF(AA226="","",Z226*AD226/AE226)</f>
        <v/>
      </c>
      <c r="AG226" s="7">
        <f>AF226*AC226</f>
        <v/>
      </c>
      <c r="AH226" s="7">
        <f>IF(AA226="","",IFERROR(IF(VLOOKUP(AA226,'Unit Conversion'!A:B,2,FALSE)=VLOOKUP(AB226,'Unit Conversion'!A:B,2,FALSE),"OK","Check W/V mismatch"),"Check unit"))</f>
        <v/>
      </c>
      <c r="AI226" s="7" t="n"/>
    </row>
    <row r="227">
      <c r="A227" s="8" t="n"/>
      <c r="B227" s="8" t="n"/>
      <c r="C227" s="8" t="n"/>
      <c r="D227" s="8" t="n"/>
      <c r="E227" s="8" t="n"/>
      <c r="F227" s="8" t="n"/>
      <c r="G227" s="8" t="n"/>
      <c r="H227" s="8" t="n"/>
      <c r="I227" s="8" t="n"/>
      <c r="J227" s="8" t="n"/>
      <c r="K227" s="8" t="n"/>
      <c r="L227" s="8" t="n"/>
      <c r="M227" s="8" t="n"/>
      <c r="N227" s="8" t="n"/>
      <c r="O227" s="8" t="n"/>
      <c r="P227" s="8" t="n"/>
      <c r="Q227" s="8" t="n"/>
      <c r="R227" s="8" t="n"/>
      <c r="S227" s="8" t="n"/>
      <c r="T227" s="8" t="n"/>
      <c r="U227" s="8" t="n"/>
      <c r="V227" s="8" t="n"/>
      <c r="W227" s="8" t="n"/>
      <c r="X227" s="8" t="n"/>
      <c r="Y227" s="8" t="n"/>
      <c r="Z227" s="8" t="n"/>
      <c r="AA227" s="8" t="n"/>
      <c r="AB227" s="8">
        <f>IF(Y227="","",IFERROR(VLOOKUP(Y227,'Ingredients + Stock'!B:D,3,FALSE),""))</f>
        <v/>
      </c>
      <c r="AC227" s="8">
        <f>IF(Y227="","",IFERROR(VLOOKUP(Y227,'Ingredients + Stock'!B:G,6,FALSE),0))</f>
        <v/>
      </c>
      <c r="AD227" s="8">
        <f>IF(AA227="","",IFERROR(VLOOKUP(AA227,'Unit Conversion'!A:D,4,FALSE),1))</f>
        <v/>
      </c>
      <c r="AE227" s="8">
        <f>IF(AB227="","",IFERROR(VLOOKUP(AB227,'Unit Conversion'!A:D,4,FALSE),1))</f>
        <v/>
      </c>
      <c r="AF227" s="8">
        <f>IF(AA227="","",Z227*AD227/AE227)</f>
        <v/>
      </c>
      <c r="AG227" s="8">
        <f>AF227*AC227</f>
        <v/>
      </c>
      <c r="AH227" s="8">
        <f>IF(AA227="","",IFERROR(IF(VLOOKUP(AA227,'Unit Conversion'!A:B,2,FALSE)=VLOOKUP(AB227,'Unit Conversion'!A:B,2,FALSE),"OK","Check W/V mismatch"),"Check unit"))</f>
        <v/>
      </c>
      <c r="AI227" s="8" t="n"/>
    </row>
    <row r="228">
      <c r="A228" s="7" t="n"/>
      <c r="B228" s="7" t="n"/>
      <c r="C228" s="7" t="n"/>
      <c r="D228" s="7" t="n"/>
      <c r="E228" s="7" t="n"/>
      <c r="F228" s="7" t="n"/>
      <c r="G228" s="7" t="n"/>
      <c r="H228" s="7" t="n"/>
      <c r="I228" s="7" t="n"/>
      <c r="J228" s="7" t="n"/>
      <c r="K228" s="7" t="n"/>
      <c r="L228" s="7" t="n"/>
      <c r="M228" s="7" t="n"/>
      <c r="N228" s="7" t="n"/>
      <c r="O228" s="7" t="n"/>
      <c r="P228" s="7" t="n"/>
      <c r="Q228" s="7" t="n"/>
      <c r="R228" s="7" t="n"/>
      <c r="S228" s="7" t="n"/>
      <c r="T228" s="7" t="n"/>
      <c r="U228" s="7" t="n"/>
      <c r="V228" s="7" t="n"/>
      <c r="W228" s="7" t="n"/>
      <c r="X228" s="7" t="n"/>
      <c r="Y228" s="7" t="n"/>
      <c r="Z228" s="7" t="n"/>
      <c r="AA228" s="7" t="n"/>
      <c r="AB228" s="7">
        <f>IF(Y228="","",IFERROR(VLOOKUP(Y228,'Ingredients + Stock'!B:D,3,FALSE),""))</f>
        <v/>
      </c>
      <c r="AC228" s="7">
        <f>IF(Y228="","",IFERROR(VLOOKUP(Y228,'Ingredients + Stock'!B:G,6,FALSE),0))</f>
        <v/>
      </c>
      <c r="AD228" s="7">
        <f>IF(AA228="","",IFERROR(VLOOKUP(AA228,'Unit Conversion'!A:D,4,FALSE),1))</f>
        <v/>
      </c>
      <c r="AE228" s="7">
        <f>IF(AB228="","",IFERROR(VLOOKUP(AB228,'Unit Conversion'!A:D,4,FALSE),1))</f>
        <v/>
      </c>
      <c r="AF228" s="7">
        <f>IF(AA228="","",Z228*AD228/AE228)</f>
        <v/>
      </c>
      <c r="AG228" s="7">
        <f>AF228*AC228</f>
        <v/>
      </c>
      <c r="AH228" s="7">
        <f>IF(AA228="","",IFERROR(IF(VLOOKUP(AA228,'Unit Conversion'!A:B,2,FALSE)=VLOOKUP(AB228,'Unit Conversion'!A:B,2,FALSE),"OK","Check W/V mismatch"),"Check unit"))</f>
        <v/>
      </c>
      <c r="AI228" s="7" t="n"/>
    </row>
    <row r="229">
      <c r="A229" s="8" t="n"/>
      <c r="B229" s="8" t="n"/>
      <c r="C229" s="8" t="n"/>
      <c r="D229" s="8" t="n"/>
      <c r="E229" s="8" t="n"/>
      <c r="F229" s="8" t="n"/>
      <c r="G229" s="8" t="n"/>
      <c r="H229" s="8" t="n"/>
      <c r="I229" s="8" t="n"/>
      <c r="J229" s="8" t="n"/>
      <c r="K229" s="8" t="n"/>
      <c r="L229" s="8" t="n"/>
      <c r="M229" s="8" t="n"/>
      <c r="N229" s="8" t="n"/>
      <c r="O229" s="8" t="n"/>
      <c r="P229" s="8" t="n"/>
      <c r="Q229" s="8" t="n"/>
      <c r="R229" s="8" t="n"/>
      <c r="S229" s="8" t="n"/>
      <c r="T229" s="8" t="n"/>
      <c r="U229" s="8" t="n"/>
      <c r="V229" s="8" t="n"/>
      <c r="W229" s="8" t="n"/>
      <c r="X229" s="8" t="n"/>
      <c r="Y229" s="8" t="n"/>
      <c r="Z229" s="8" t="n"/>
      <c r="AA229" s="8" t="n"/>
      <c r="AB229" s="8">
        <f>IF(Y229="","",IFERROR(VLOOKUP(Y229,'Ingredients + Stock'!B:D,3,FALSE),""))</f>
        <v/>
      </c>
      <c r="AC229" s="8">
        <f>IF(Y229="","",IFERROR(VLOOKUP(Y229,'Ingredients + Stock'!B:G,6,FALSE),0))</f>
        <v/>
      </c>
      <c r="AD229" s="8">
        <f>IF(AA229="","",IFERROR(VLOOKUP(AA229,'Unit Conversion'!A:D,4,FALSE),1))</f>
        <v/>
      </c>
      <c r="AE229" s="8">
        <f>IF(AB229="","",IFERROR(VLOOKUP(AB229,'Unit Conversion'!A:D,4,FALSE),1))</f>
        <v/>
      </c>
      <c r="AF229" s="8">
        <f>IF(AA229="","",Z229*AD229/AE229)</f>
        <v/>
      </c>
      <c r="AG229" s="8">
        <f>AF229*AC229</f>
        <v/>
      </c>
      <c r="AH229" s="8">
        <f>IF(AA229="","",IFERROR(IF(VLOOKUP(AA229,'Unit Conversion'!A:B,2,FALSE)=VLOOKUP(AB229,'Unit Conversion'!A:B,2,FALSE),"OK","Check W/V mismatch"),"Check unit"))</f>
        <v/>
      </c>
      <c r="AI229" s="8" t="n"/>
    </row>
    <row r="230">
      <c r="A230" s="7" t="n"/>
      <c r="B230" s="7" t="n"/>
      <c r="C230" s="7" t="n"/>
      <c r="D230" s="7" t="n"/>
      <c r="E230" s="7" t="n"/>
      <c r="F230" s="7" t="n"/>
      <c r="G230" s="7" t="n"/>
      <c r="H230" s="7" t="n"/>
      <c r="I230" s="7" t="n"/>
      <c r="J230" s="7" t="n"/>
      <c r="K230" s="7" t="n"/>
      <c r="L230" s="7" t="n"/>
      <c r="M230" s="7" t="n"/>
      <c r="N230" s="7" t="n"/>
      <c r="O230" s="7" t="n"/>
      <c r="P230" s="7" t="n"/>
      <c r="Q230" s="7" t="n"/>
      <c r="R230" s="7" t="n"/>
      <c r="S230" s="7" t="n"/>
      <c r="T230" s="7" t="n"/>
      <c r="U230" s="7" t="n"/>
      <c r="V230" s="7" t="n"/>
      <c r="W230" s="7" t="n"/>
      <c r="X230" s="7" t="n"/>
      <c r="Y230" s="7" t="n"/>
      <c r="Z230" s="7" t="n"/>
      <c r="AA230" s="7" t="n"/>
      <c r="AB230" s="7">
        <f>IF(Y230="","",IFERROR(VLOOKUP(Y230,'Ingredients + Stock'!B:D,3,FALSE),""))</f>
        <v/>
      </c>
      <c r="AC230" s="7">
        <f>IF(Y230="","",IFERROR(VLOOKUP(Y230,'Ingredients + Stock'!B:G,6,FALSE),0))</f>
        <v/>
      </c>
      <c r="AD230" s="7">
        <f>IF(AA230="","",IFERROR(VLOOKUP(AA230,'Unit Conversion'!A:D,4,FALSE),1))</f>
        <v/>
      </c>
      <c r="AE230" s="7">
        <f>IF(AB230="","",IFERROR(VLOOKUP(AB230,'Unit Conversion'!A:D,4,FALSE),1))</f>
        <v/>
      </c>
      <c r="AF230" s="7">
        <f>IF(AA230="","",Z230*AD230/AE230)</f>
        <v/>
      </c>
      <c r="AG230" s="7">
        <f>AF230*AC230</f>
        <v/>
      </c>
      <c r="AH230" s="7">
        <f>IF(AA230="","",IFERROR(IF(VLOOKUP(AA230,'Unit Conversion'!A:B,2,FALSE)=VLOOKUP(AB230,'Unit Conversion'!A:B,2,FALSE),"OK","Check W/V mismatch"),"Check unit"))</f>
        <v/>
      </c>
      <c r="AI230" s="7" t="n"/>
    </row>
    <row r="231">
      <c r="A231" s="8" t="n"/>
      <c r="B231" s="8" t="n"/>
      <c r="C231" s="8" t="n"/>
      <c r="D231" s="8" t="n"/>
      <c r="E231" s="8" t="n"/>
      <c r="F231" s="8" t="n"/>
      <c r="G231" s="8" t="n"/>
      <c r="H231" s="8" t="n"/>
      <c r="I231" s="8" t="n"/>
      <c r="J231" s="8" t="n"/>
      <c r="K231" s="8" t="n"/>
      <c r="L231" s="8" t="n"/>
      <c r="M231" s="8" t="n"/>
      <c r="N231" s="8" t="n"/>
      <c r="O231" s="8" t="n"/>
      <c r="P231" s="8" t="n"/>
      <c r="Q231" s="8" t="n"/>
      <c r="R231" s="8" t="n"/>
      <c r="S231" s="8" t="n"/>
      <c r="T231" s="8" t="n"/>
      <c r="U231" s="8" t="n"/>
      <c r="V231" s="8" t="n"/>
      <c r="W231" s="8" t="n"/>
      <c r="X231" s="8" t="n"/>
      <c r="Y231" s="8" t="n"/>
      <c r="Z231" s="8" t="n"/>
      <c r="AA231" s="8" t="n"/>
      <c r="AB231" s="8">
        <f>IF(Y231="","",IFERROR(VLOOKUP(Y231,'Ingredients + Stock'!B:D,3,FALSE),""))</f>
        <v/>
      </c>
      <c r="AC231" s="8">
        <f>IF(Y231="","",IFERROR(VLOOKUP(Y231,'Ingredients + Stock'!B:G,6,FALSE),0))</f>
        <v/>
      </c>
      <c r="AD231" s="8">
        <f>IF(AA231="","",IFERROR(VLOOKUP(AA231,'Unit Conversion'!A:D,4,FALSE),1))</f>
        <v/>
      </c>
      <c r="AE231" s="8">
        <f>IF(AB231="","",IFERROR(VLOOKUP(AB231,'Unit Conversion'!A:D,4,FALSE),1))</f>
        <v/>
      </c>
      <c r="AF231" s="8">
        <f>IF(AA231="","",Z231*AD231/AE231)</f>
        <v/>
      </c>
      <c r="AG231" s="8">
        <f>AF231*AC231</f>
        <v/>
      </c>
      <c r="AH231" s="8">
        <f>IF(AA231="","",IFERROR(IF(VLOOKUP(AA231,'Unit Conversion'!A:B,2,FALSE)=VLOOKUP(AB231,'Unit Conversion'!A:B,2,FALSE),"OK","Check W/V mismatch"),"Check unit"))</f>
        <v/>
      </c>
      <c r="AI231" s="8" t="n"/>
    </row>
    <row r="232">
      <c r="A232" s="7" t="n"/>
      <c r="B232" s="7" t="n"/>
      <c r="C232" s="7" t="n"/>
      <c r="D232" s="7" t="n"/>
      <c r="E232" s="7" t="n"/>
      <c r="F232" s="7" t="n"/>
      <c r="G232" s="7" t="n"/>
      <c r="H232" s="7" t="n"/>
      <c r="I232" s="7" t="n"/>
      <c r="J232" s="7" t="n"/>
      <c r="K232" s="7" t="n"/>
      <c r="L232" s="7" t="n"/>
      <c r="M232" s="7" t="n"/>
      <c r="N232" s="7" t="n"/>
      <c r="O232" s="7" t="n"/>
      <c r="P232" s="7" t="n"/>
      <c r="Q232" s="7" t="n"/>
      <c r="R232" s="7" t="n"/>
      <c r="S232" s="7" t="n"/>
      <c r="T232" s="7" t="n"/>
      <c r="U232" s="7" t="n"/>
      <c r="V232" s="7" t="n"/>
      <c r="W232" s="7" t="n"/>
      <c r="X232" s="7" t="n"/>
      <c r="Y232" s="7" t="n"/>
      <c r="Z232" s="7" t="n"/>
      <c r="AA232" s="7" t="n"/>
      <c r="AB232" s="7">
        <f>IF(Y232="","",IFERROR(VLOOKUP(Y232,'Ingredients + Stock'!B:D,3,FALSE),""))</f>
        <v/>
      </c>
      <c r="AC232" s="7">
        <f>IF(Y232="","",IFERROR(VLOOKUP(Y232,'Ingredients + Stock'!B:G,6,FALSE),0))</f>
        <v/>
      </c>
      <c r="AD232" s="7">
        <f>IF(AA232="","",IFERROR(VLOOKUP(AA232,'Unit Conversion'!A:D,4,FALSE),1))</f>
        <v/>
      </c>
      <c r="AE232" s="7">
        <f>IF(AB232="","",IFERROR(VLOOKUP(AB232,'Unit Conversion'!A:D,4,FALSE),1))</f>
        <v/>
      </c>
      <c r="AF232" s="7">
        <f>IF(AA232="","",Z232*AD232/AE232)</f>
        <v/>
      </c>
      <c r="AG232" s="7">
        <f>AF232*AC232</f>
        <v/>
      </c>
      <c r="AH232" s="7">
        <f>IF(AA232="","",IFERROR(IF(VLOOKUP(AA232,'Unit Conversion'!A:B,2,FALSE)=VLOOKUP(AB232,'Unit Conversion'!A:B,2,FALSE),"OK","Check W/V mismatch"),"Check unit"))</f>
        <v/>
      </c>
      <c r="AI232" s="7" t="n"/>
    </row>
    <row r="233">
      <c r="A233" s="8" t="n"/>
      <c r="B233" s="8" t="n"/>
      <c r="C233" s="8" t="n"/>
      <c r="D233" s="8" t="n"/>
      <c r="E233" s="8" t="n"/>
      <c r="F233" s="8" t="n"/>
      <c r="G233" s="8" t="n"/>
      <c r="H233" s="8" t="n"/>
      <c r="I233" s="8" t="n"/>
      <c r="J233" s="8" t="n"/>
      <c r="K233" s="8" t="n"/>
      <c r="L233" s="8" t="n"/>
      <c r="M233" s="8" t="n"/>
      <c r="N233" s="8" t="n"/>
      <c r="O233" s="8" t="n"/>
      <c r="P233" s="8" t="n"/>
      <c r="Q233" s="8" t="n"/>
      <c r="R233" s="8" t="n"/>
      <c r="S233" s="8" t="n"/>
      <c r="T233" s="8" t="n"/>
      <c r="U233" s="8" t="n"/>
      <c r="V233" s="8" t="n"/>
      <c r="W233" s="8" t="n"/>
      <c r="X233" s="8" t="n"/>
      <c r="Y233" s="8" t="n"/>
      <c r="Z233" s="8" t="n"/>
      <c r="AA233" s="8" t="n"/>
      <c r="AB233" s="8">
        <f>IF(Y233="","",IFERROR(VLOOKUP(Y233,'Ingredients + Stock'!B:D,3,FALSE),""))</f>
        <v/>
      </c>
      <c r="AC233" s="8">
        <f>IF(Y233="","",IFERROR(VLOOKUP(Y233,'Ingredients + Stock'!B:G,6,FALSE),0))</f>
        <v/>
      </c>
      <c r="AD233" s="8">
        <f>IF(AA233="","",IFERROR(VLOOKUP(AA233,'Unit Conversion'!A:D,4,FALSE),1))</f>
        <v/>
      </c>
      <c r="AE233" s="8">
        <f>IF(AB233="","",IFERROR(VLOOKUP(AB233,'Unit Conversion'!A:D,4,FALSE),1))</f>
        <v/>
      </c>
      <c r="AF233" s="8">
        <f>IF(AA233="","",Z233*AD233/AE233)</f>
        <v/>
      </c>
      <c r="AG233" s="8">
        <f>AF233*AC233</f>
        <v/>
      </c>
      <c r="AH233" s="8">
        <f>IF(AA233="","",IFERROR(IF(VLOOKUP(AA233,'Unit Conversion'!A:B,2,FALSE)=VLOOKUP(AB233,'Unit Conversion'!A:B,2,FALSE),"OK","Check W/V mismatch"),"Check unit"))</f>
        <v/>
      </c>
      <c r="AI233" s="8" t="n"/>
    </row>
    <row r="234">
      <c r="A234" s="7" t="n"/>
      <c r="B234" s="7" t="n"/>
      <c r="C234" s="7" t="n"/>
      <c r="D234" s="7" t="n"/>
      <c r="E234" s="7" t="n"/>
      <c r="F234" s="7" t="n"/>
      <c r="G234" s="7" t="n"/>
      <c r="H234" s="7" t="n"/>
      <c r="I234" s="7" t="n"/>
      <c r="J234" s="7" t="n"/>
      <c r="K234" s="7" t="n"/>
      <c r="L234" s="7" t="n"/>
      <c r="M234" s="7" t="n"/>
      <c r="N234" s="7" t="n"/>
      <c r="O234" s="7" t="n"/>
      <c r="P234" s="7" t="n"/>
      <c r="Q234" s="7" t="n"/>
      <c r="R234" s="7" t="n"/>
      <c r="S234" s="7" t="n"/>
      <c r="T234" s="7" t="n"/>
      <c r="U234" s="7" t="n"/>
      <c r="V234" s="7" t="n"/>
      <c r="W234" s="7" t="n"/>
      <c r="X234" s="7" t="n"/>
      <c r="Y234" s="7" t="n"/>
      <c r="Z234" s="7" t="n"/>
      <c r="AA234" s="7" t="n"/>
      <c r="AB234" s="7">
        <f>IF(Y234="","",IFERROR(VLOOKUP(Y234,'Ingredients + Stock'!B:D,3,FALSE),""))</f>
        <v/>
      </c>
      <c r="AC234" s="7">
        <f>IF(Y234="","",IFERROR(VLOOKUP(Y234,'Ingredients + Stock'!B:G,6,FALSE),0))</f>
        <v/>
      </c>
      <c r="AD234" s="7">
        <f>IF(AA234="","",IFERROR(VLOOKUP(AA234,'Unit Conversion'!A:D,4,FALSE),1))</f>
        <v/>
      </c>
      <c r="AE234" s="7">
        <f>IF(AB234="","",IFERROR(VLOOKUP(AB234,'Unit Conversion'!A:D,4,FALSE),1))</f>
        <v/>
      </c>
      <c r="AF234" s="7">
        <f>IF(AA234="","",Z234*AD234/AE234)</f>
        <v/>
      </c>
      <c r="AG234" s="7">
        <f>AF234*AC234</f>
        <v/>
      </c>
      <c r="AH234" s="7">
        <f>IF(AA234="","",IFERROR(IF(VLOOKUP(AA234,'Unit Conversion'!A:B,2,FALSE)=VLOOKUP(AB234,'Unit Conversion'!A:B,2,FALSE),"OK","Check W/V mismatch"),"Check unit"))</f>
        <v/>
      </c>
      <c r="AI234" s="7" t="n"/>
    </row>
    <row r="235">
      <c r="A235" s="8" t="n"/>
      <c r="B235" s="8" t="n"/>
      <c r="C235" s="8" t="n"/>
      <c r="D235" s="8" t="n"/>
      <c r="E235" s="8" t="n"/>
      <c r="F235" s="8" t="n"/>
      <c r="G235" s="8" t="n"/>
      <c r="H235" s="8" t="n"/>
      <c r="I235" s="8" t="n"/>
      <c r="J235" s="8" t="n"/>
      <c r="K235" s="8" t="n"/>
      <c r="L235" s="8" t="n"/>
      <c r="M235" s="8" t="n"/>
      <c r="N235" s="8" t="n"/>
      <c r="O235" s="8" t="n"/>
      <c r="P235" s="8" t="n"/>
      <c r="Q235" s="8" t="n"/>
      <c r="R235" s="8" t="n"/>
      <c r="S235" s="8" t="n"/>
      <c r="T235" s="8" t="n"/>
      <c r="U235" s="8" t="n"/>
      <c r="V235" s="8" t="n"/>
      <c r="W235" s="8" t="n"/>
      <c r="X235" s="8" t="n"/>
      <c r="Y235" s="8" t="n"/>
      <c r="Z235" s="8" t="n"/>
      <c r="AA235" s="8" t="n"/>
      <c r="AB235" s="8">
        <f>IF(Y235="","",IFERROR(VLOOKUP(Y235,'Ingredients + Stock'!B:D,3,FALSE),""))</f>
        <v/>
      </c>
      <c r="AC235" s="8">
        <f>IF(Y235="","",IFERROR(VLOOKUP(Y235,'Ingredients + Stock'!B:G,6,FALSE),0))</f>
        <v/>
      </c>
      <c r="AD235" s="8">
        <f>IF(AA235="","",IFERROR(VLOOKUP(AA235,'Unit Conversion'!A:D,4,FALSE),1))</f>
        <v/>
      </c>
      <c r="AE235" s="8">
        <f>IF(AB235="","",IFERROR(VLOOKUP(AB235,'Unit Conversion'!A:D,4,FALSE),1))</f>
        <v/>
      </c>
      <c r="AF235" s="8">
        <f>IF(AA235="","",Z235*AD235/AE235)</f>
        <v/>
      </c>
      <c r="AG235" s="8">
        <f>AF235*AC235</f>
        <v/>
      </c>
      <c r="AH235" s="8">
        <f>IF(AA235="","",IFERROR(IF(VLOOKUP(AA235,'Unit Conversion'!A:B,2,FALSE)=VLOOKUP(AB235,'Unit Conversion'!A:B,2,FALSE),"OK","Check W/V mismatch"),"Check unit"))</f>
        <v/>
      </c>
      <c r="AI235" s="8" t="n"/>
    </row>
    <row r="236">
      <c r="A236" s="7" t="n"/>
      <c r="B236" s="7" t="n"/>
      <c r="C236" s="7" t="n"/>
      <c r="D236" s="7" t="n"/>
      <c r="E236" s="7" t="n"/>
      <c r="F236" s="7" t="n"/>
      <c r="G236" s="7" t="n"/>
      <c r="H236" s="7" t="n"/>
      <c r="I236" s="7" t="n"/>
      <c r="J236" s="7" t="n"/>
      <c r="K236" s="7" t="n"/>
      <c r="L236" s="7" t="n"/>
      <c r="M236" s="7" t="n"/>
      <c r="N236" s="7" t="n"/>
      <c r="O236" s="7" t="n"/>
      <c r="P236" s="7" t="n"/>
      <c r="Q236" s="7" t="n"/>
      <c r="R236" s="7" t="n"/>
      <c r="S236" s="7" t="n"/>
      <c r="T236" s="7" t="n"/>
      <c r="U236" s="7" t="n"/>
      <c r="V236" s="7" t="n"/>
      <c r="W236" s="7" t="n"/>
      <c r="X236" s="7" t="n"/>
      <c r="Y236" s="7" t="n"/>
      <c r="Z236" s="7" t="n"/>
      <c r="AA236" s="7" t="n"/>
      <c r="AB236" s="7">
        <f>IF(Y236="","",IFERROR(VLOOKUP(Y236,'Ingredients + Stock'!B:D,3,FALSE),""))</f>
        <v/>
      </c>
      <c r="AC236" s="7">
        <f>IF(Y236="","",IFERROR(VLOOKUP(Y236,'Ingredients + Stock'!B:G,6,FALSE),0))</f>
        <v/>
      </c>
      <c r="AD236" s="7">
        <f>IF(AA236="","",IFERROR(VLOOKUP(AA236,'Unit Conversion'!A:D,4,FALSE),1))</f>
        <v/>
      </c>
      <c r="AE236" s="7">
        <f>IF(AB236="","",IFERROR(VLOOKUP(AB236,'Unit Conversion'!A:D,4,FALSE),1))</f>
        <v/>
      </c>
      <c r="AF236" s="7">
        <f>IF(AA236="","",Z236*AD236/AE236)</f>
        <v/>
      </c>
      <c r="AG236" s="7">
        <f>AF236*AC236</f>
        <v/>
      </c>
      <c r="AH236" s="7">
        <f>IF(AA236="","",IFERROR(IF(VLOOKUP(AA236,'Unit Conversion'!A:B,2,FALSE)=VLOOKUP(AB236,'Unit Conversion'!A:B,2,FALSE),"OK","Check W/V mismatch"),"Check unit"))</f>
        <v/>
      </c>
      <c r="AI236" s="7" t="n"/>
    </row>
    <row r="237">
      <c r="A237" s="8" t="n"/>
      <c r="B237" s="8" t="n"/>
      <c r="C237" s="8" t="n"/>
      <c r="D237" s="8" t="n"/>
      <c r="E237" s="8" t="n"/>
      <c r="F237" s="8" t="n"/>
      <c r="G237" s="8" t="n"/>
      <c r="H237" s="8" t="n"/>
      <c r="I237" s="8" t="n"/>
      <c r="J237" s="8" t="n"/>
      <c r="K237" s="8" t="n"/>
      <c r="L237" s="8" t="n"/>
      <c r="M237" s="8" t="n"/>
      <c r="N237" s="8" t="n"/>
      <c r="O237" s="8" t="n"/>
      <c r="P237" s="8" t="n"/>
      <c r="Q237" s="8" t="n"/>
      <c r="R237" s="8" t="n"/>
      <c r="S237" s="8" t="n"/>
      <c r="T237" s="8" t="n"/>
      <c r="U237" s="8" t="n"/>
      <c r="V237" s="8" t="n"/>
      <c r="W237" s="8" t="n"/>
      <c r="X237" s="8" t="n"/>
      <c r="Y237" s="8" t="n"/>
      <c r="Z237" s="8" t="n"/>
      <c r="AA237" s="8" t="n"/>
      <c r="AB237" s="8">
        <f>IF(Y237="","",IFERROR(VLOOKUP(Y237,'Ingredients + Stock'!B:D,3,FALSE),""))</f>
        <v/>
      </c>
      <c r="AC237" s="8">
        <f>IF(Y237="","",IFERROR(VLOOKUP(Y237,'Ingredients + Stock'!B:G,6,FALSE),0))</f>
        <v/>
      </c>
      <c r="AD237" s="8">
        <f>IF(AA237="","",IFERROR(VLOOKUP(AA237,'Unit Conversion'!A:D,4,FALSE),1))</f>
        <v/>
      </c>
      <c r="AE237" s="8">
        <f>IF(AB237="","",IFERROR(VLOOKUP(AB237,'Unit Conversion'!A:D,4,FALSE),1))</f>
        <v/>
      </c>
      <c r="AF237" s="8">
        <f>IF(AA237="","",Z237*AD237/AE237)</f>
        <v/>
      </c>
      <c r="AG237" s="8">
        <f>AF237*AC237</f>
        <v/>
      </c>
      <c r="AH237" s="8">
        <f>IF(AA237="","",IFERROR(IF(VLOOKUP(AA237,'Unit Conversion'!A:B,2,FALSE)=VLOOKUP(AB237,'Unit Conversion'!A:B,2,FALSE),"OK","Check W/V mismatch"),"Check unit"))</f>
        <v/>
      </c>
      <c r="AI237" s="8" t="n"/>
    </row>
    <row r="238">
      <c r="A238" s="7" t="n"/>
      <c r="B238" s="7" t="n"/>
      <c r="C238" s="7" t="n"/>
      <c r="D238" s="7" t="n"/>
      <c r="E238" s="7" t="n"/>
      <c r="F238" s="7" t="n"/>
      <c r="G238" s="7" t="n"/>
      <c r="H238" s="7" t="n"/>
      <c r="I238" s="7" t="n"/>
      <c r="J238" s="7" t="n"/>
      <c r="K238" s="7" t="n"/>
      <c r="L238" s="7" t="n"/>
      <c r="M238" s="7" t="n"/>
      <c r="N238" s="7" t="n"/>
      <c r="O238" s="7" t="n"/>
      <c r="P238" s="7" t="n"/>
      <c r="Q238" s="7" t="n"/>
      <c r="R238" s="7" t="n"/>
      <c r="S238" s="7" t="n"/>
      <c r="T238" s="7" t="n"/>
      <c r="U238" s="7" t="n"/>
      <c r="V238" s="7" t="n"/>
      <c r="W238" s="7" t="n"/>
      <c r="X238" s="7" t="n"/>
      <c r="Y238" s="7" t="n"/>
      <c r="Z238" s="7" t="n"/>
      <c r="AA238" s="7" t="n"/>
      <c r="AB238" s="7">
        <f>IF(Y238="","",IFERROR(VLOOKUP(Y238,'Ingredients + Stock'!B:D,3,FALSE),""))</f>
        <v/>
      </c>
      <c r="AC238" s="7">
        <f>IF(Y238="","",IFERROR(VLOOKUP(Y238,'Ingredients + Stock'!B:G,6,FALSE),0))</f>
        <v/>
      </c>
      <c r="AD238" s="7">
        <f>IF(AA238="","",IFERROR(VLOOKUP(AA238,'Unit Conversion'!A:D,4,FALSE),1))</f>
        <v/>
      </c>
      <c r="AE238" s="7">
        <f>IF(AB238="","",IFERROR(VLOOKUP(AB238,'Unit Conversion'!A:D,4,FALSE),1))</f>
        <v/>
      </c>
      <c r="AF238" s="7">
        <f>IF(AA238="","",Z238*AD238/AE238)</f>
        <v/>
      </c>
      <c r="AG238" s="7">
        <f>AF238*AC238</f>
        <v/>
      </c>
      <c r="AH238" s="7">
        <f>IF(AA238="","",IFERROR(IF(VLOOKUP(AA238,'Unit Conversion'!A:B,2,FALSE)=VLOOKUP(AB238,'Unit Conversion'!A:B,2,FALSE),"OK","Check W/V mismatch"),"Check unit"))</f>
        <v/>
      </c>
      <c r="AI238" s="7" t="n"/>
    </row>
    <row r="239">
      <c r="A239" s="8" t="n"/>
      <c r="B239" s="8" t="n"/>
      <c r="C239" s="8" t="n"/>
      <c r="D239" s="8" t="n"/>
      <c r="E239" s="8" t="n"/>
      <c r="F239" s="8" t="n"/>
      <c r="G239" s="8" t="n"/>
      <c r="H239" s="8" t="n"/>
      <c r="I239" s="8" t="n"/>
      <c r="J239" s="8" t="n"/>
      <c r="K239" s="8" t="n"/>
      <c r="L239" s="8" t="n"/>
      <c r="M239" s="8" t="n"/>
      <c r="N239" s="8" t="n"/>
      <c r="O239" s="8" t="n"/>
      <c r="P239" s="8" t="n"/>
      <c r="Q239" s="8" t="n"/>
      <c r="R239" s="8" t="n"/>
      <c r="S239" s="8" t="n"/>
      <c r="T239" s="8" t="n"/>
      <c r="U239" s="8" t="n"/>
      <c r="V239" s="8" t="n"/>
      <c r="W239" s="8" t="n"/>
      <c r="X239" s="8" t="n"/>
      <c r="Y239" s="8" t="n"/>
      <c r="Z239" s="8" t="n"/>
      <c r="AA239" s="8" t="n"/>
      <c r="AB239" s="8">
        <f>IF(Y239="","",IFERROR(VLOOKUP(Y239,'Ingredients + Stock'!B:D,3,FALSE),""))</f>
        <v/>
      </c>
      <c r="AC239" s="8">
        <f>IF(Y239="","",IFERROR(VLOOKUP(Y239,'Ingredients + Stock'!B:G,6,FALSE),0))</f>
        <v/>
      </c>
      <c r="AD239" s="8">
        <f>IF(AA239="","",IFERROR(VLOOKUP(AA239,'Unit Conversion'!A:D,4,FALSE),1))</f>
        <v/>
      </c>
      <c r="AE239" s="8">
        <f>IF(AB239="","",IFERROR(VLOOKUP(AB239,'Unit Conversion'!A:D,4,FALSE),1))</f>
        <v/>
      </c>
      <c r="AF239" s="8">
        <f>IF(AA239="","",Z239*AD239/AE239)</f>
        <v/>
      </c>
      <c r="AG239" s="8">
        <f>AF239*AC239</f>
        <v/>
      </c>
      <c r="AH239" s="8">
        <f>IF(AA239="","",IFERROR(IF(VLOOKUP(AA239,'Unit Conversion'!A:B,2,FALSE)=VLOOKUP(AB239,'Unit Conversion'!A:B,2,FALSE),"OK","Check W/V mismatch"),"Check unit"))</f>
        <v/>
      </c>
      <c r="AI239" s="8" t="n"/>
    </row>
    <row r="240">
      <c r="A240" s="7" t="n"/>
      <c r="B240" s="7" t="n"/>
      <c r="C240" s="7" t="n"/>
      <c r="D240" s="7" t="n"/>
      <c r="E240" s="7" t="n"/>
      <c r="F240" s="7" t="n"/>
      <c r="G240" s="7" t="n"/>
      <c r="H240" s="7" t="n"/>
      <c r="I240" s="7" t="n"/>
      <c r="J240" s="7" t="n"/>
      <c r="K240" s="7" t="n"/>
      <c r="L240" s="7" t="n"/>
      <c r="M240" s="7" t="n"/>
      <c r="N240" s="7" t="n"/>
      <c r="O240" s="7" t="n"/>
      <c r="P240" s="7" t="n"/>
      <c r="Q240" s="7" t="n"/>
      <c r="R240" s="7" t="n"/>
      <c r="S240" s="7" t="n"/>
      <c r="T240" s="7" t="n"/>
      <c r="U240" s="7" t="n"/>
      <c r="V240" s="7" t="n"/>
      <c r="W240" s="7" t="n"/>
      <c r="X240" s="7" t="n"/>
      <c r="Y240" s="7" t="n"/>
      <c r="Z240" s="7" t="n"/>
      <c r="AA240" s="7" t="n"/>
      <c r="AB240" s="7">
        <f>IF(Y240="","",IFERROR(VLOOKUP(Y240,'Ingredients + Stock'!B:D,3,FALSE),""))</f>
        <v/>
      </c>
      <c r="AC240" s="7">
        <f>IF(Y240="","",IFERROR(VLOOKUP(Y240,'Ingredients + Stock'!B:G,6,FALSE),0))</f>
        <v/>
      </c>
      <c r="AD240" s="7">
        <f>IF(AA240="","",IFERROR(VLOOKUP(AA240,'Unit Conversion'!A:D,4,FALSE),1))</f>
        <v/>
      </c>
      <c r="AE240" s="7">
        <f>IF(AB240="","",IFERROR(VLOOKUP(AB240,'Unit Conversion'!A:D,4,FALSE),1))</f>
        <v/>
      </c>
      <c r="AF240" s="7">
        <f>IF(AA240="","",Z240*AD240/AE240)</f>
        <v/>
      </c>
      <c r="AG240" s="7">
        <f>AF240*AC240</f>
        <v/>
      </c>
      <c r="AH240" s="7">
        <f>IF(AA240="","",IFERROR(IF(VLOOKUP(AA240,'Unit Conversion'!A:B,2,FALSE)=VLOOKUP(AB240,'Unit Conversion'!A:B,2,FALSE),"OK","Check W/V mismatch"),"Check unit"))</f>
        <v/>
      </c>
      <c r="AI240" s="7" t="n"/>
    </row>
    <row r="241">
      <c r="A241" s="8" t="n"/>
      <c r="B241" s="8" t="n"/>
      <c r="C241" s="8" t="n"/>
      <c r="D241" s="8" t="n"/>
      <c r="E241" s="8" t="n"/>
      <c r="F241" s="8" t="n"/>
      <c r="G241" s="8" t="n"/>
      <c r="H241" s="8" t="n"/>
      <c r="I241" s="8" t="n"/>
      <c r="J241" s="8" t="n"/>
      <c r="K241" s="8" t="n"/>
      <c r="L241" s="8" t="n"/>
      <c r="M241" s="8" t="n"/>
      <c r="N241" s="8" t="n"/>
      <c r="O241" s="8" t="n"/>
      <c r="P241" s="8" t="n"/>
      <c r="Q241" s="8" t="n"/>
      <c r="R241" s="8" t="n"/>
      <c r="S241" s="8" t="n"/>
      <c r="T241" s="8" t="n"/>
      <c r="U241" s="8" t="n"/>
      <c r="V241" s="8" t="n"/>
      <c r="W241" s="8" t="n"/>
      <c r="X241" s="8" t="n"/>
      <c r="Y241" s="8" t="n"/>
      <c r="Z241" s="8" t="n"/>
      <c r="AA241" s="8" t="n"/>
      <c r="AB241" s="8">
        <f>IF(Y241="","",IFERROR(VLOOKUP(Y241,'Ingredients + Stock'!B:D,3,FALSE),""))</f>
        <v/>
      </c>
      <c r="AC241" s="8">
        <f>IF(Y241="","",IFERROR(VLOOKUP(Y241,'Ingredients + Stock'!B:G,6,FALSE),0))</f>
        <v/>
      </c>
      <c r="AD241" s="8">
        <f>IF(AA241="","",IFERROR(VLOOKUP(AA241,'Unit Conversion'!A:D,4,FALSE),1))</f>
        <v/>
      </c>
      <c r="AE241" s="8">
        <f>IF(AB241="","",IFERROR(VLOOKUP(AB241,'Unit Conversion'!A:D,4,FALSE),1))</f>
        <v/>
      </c>
      <c r="AF241" s="8">
        <f>IF(AA241="","",Z241*AD241/AE241)</f>
        <v/>
      </c>
      <c r="AG241" s="8">
        <f>AF241*AC241</f>
        <v/>
      </c>
      <c r="AH241" s="8">
        <f>IF(AA241="","",IFERROR(IF(VLOOKUP(AA241,'Unit Conversion'!A:B,2,FALSE)=VLOOKUP(AB241,'Unit Conversion'!A:B,2,FALSE),"OK","Check W/V mismatch"),"Check unit"))</f>
        <v/>
      </c>
      <c r="AI241" s="8" t="n"/>
    </row>
    <row r="242">
      <c r="A242" s="7" t="n"/>
      <c r="B242" s="7" t="n"/>
      <c r="C242" s="7" t="n"/>
      <c r="D242" s="7" t="n"/>
      <c r="E242" s="7" t="n"/>
      <c r="F242" s="7" t="n"/>
      <c r="G242" s="7" t="n"/>
      <c r="H242" s="7" t="n"/>
      <c r="I242" s="7" t="n"/>
      <c r="J242" s="7" t="n"/>
      <c r="K242" s="7" t="n"/>
      <c r="L242" s="7" t="n"/>
      <c r="M242" s="7" t="n"/>
      <c r="N242" s="7" t="n"/>
      <c r="O242" s="7" t="n"/>
      <c r="P242" s="7" t="n"/>
      <c r="Q242" s="7" t="n"/>
      <c r="R242" s="7" t="n"/>
      <c r="S242" s="7" t="n"/>
      <c r="T242" s="7" t="n"/>
      <c r="U242" s="7" t="n"/>
      <c r="V242" s="7" t="n"/>
      <c r="W242" s="7" t="n"/>
      <c r="X242" s="7" t="n"/>
      <c r="Y242" s="7" t="n"/>
      <c r="Z242" s="7" t="n"/>
      <c r="AA242" s="7" t="n"/>
      <c r="AB242" s="7">
        <f>IF(Y242="","",IFERROR(VLOOKUP(Y242,'Ingredients + Stock'!B:D,3,FALSE),""))</f>
        <v/>
      </c>
      <c r="AC242" s="7">
        <f>IF(Y242="","",IFERROR(VLOOKUP(Y242,'Ingredients + Stock'!B:G,6,FALSE),0))</f>
        <v/>
      </c>
      <c r="AD242" s="7">
        <f>IF(AA242="","",IFERROR(VLOOKUP(AA242,'Unit Conversion'!A:D,4,FALSE),1))</f>
        <v/>
      </c>
      <c r="AE242" s="7">
        <f>IF(AB242="","",IFERROR(VLOOKUP(AB242,'Unit Conversion'!A:D,4,FALSE),1))</f>
        <v/>
      </c>
      <c r="AF242" s="7">
        <f>IF(AA242="","",Z242*AD242/AE242)</f>
        <v/>
      </c>
      <c r="AG242" s="7">
        <f>AF242*AC242</f>
        <v/>
      </c>
      <c r="AH242" s="7">
        <f>IF(AA242="","",IFERROR(IF(VLOOKUP(AA242,'Unit Conversion'!A:B,2,FALSE)=VLOOKUP(AB242,'Unit Conversion'!A:B,2,FALSE),"OK","Check W/V mismatch"),"Check unit"))</f>
        <v/>
      </c>
      <c r="AI242" s="7" t="n"/>
    </row>
    <row r="243">
      <c r="A243" s="8" t="n"/>
      <c r="B243" s="8" t="n"/>
      <c r="C243" s="8" t="n"/>
      <c r="D243" s="8" t="n"/>
      <c r="E243" s="8" t="n"/>
      <c r="F243" s="8" t="n"/>
      <c r="G243" s="8" t="n"/>
      <c r="H243" s="8" t="n"/>
      <c r="I243" s="8" t="n"/>
      <c r="J243" s="8" t="n"/>
      <c r="K243" s="8" t="n"/>
      <c r="L243" s="8" t="n"/>
      <c r="M243" s="8" t="n"/>
      <c r="N243" s="8" t="n"/>
      <c r="O243" s="8" t="n"/>
      <c r="P243" s="8" t="n"/>
      <c r="Q243" s="8" t="n"/>
      <c r="R243" s="8" t="n"/>
      <c r="S243" s="8" t="n"/>
      <c r="T243" s="8" t="n"/>
      <c r="U243" s="8" t="n"/>
      <c r="V243" s="8" t="n"/>
      <c r="W243" s="8" t="n"/>
      <c r="X243" s="8" t="n"/>
      <c r="Y243" s="8" t="n"/>
      <c r="Z243" s="8" t="n"/>
      <c r="AA243" s="8" t="n"/>
      <c r="AB243" s="8">
        <f>IF(Y243="","",IFERROR(VLOOKUP(Y243,'Ingredients + Stock'!B:D,3,FALSE),""))</f>
        <v/>
      </c>
      <c r="AC243" s="8">
        <f>IF(Y243="","",IFERROR(VLOOKUP(Y243,'Ingredients + Stock'!B:G,6,FALSE),0))</f>
        <v/>
      </c>
      <c r="AD243" s="8">
        <f>IF(AA243="","",IFERROR(VLOOKUP(AA243,'Unit Conversion'!A:D,4,FALSE),1))</f>
        <v/>
      </c>
      <c r="AE243" s="8">
        <f>IF(AB243="","",IFERROR(VLOOKUP(AB243,'Unit Conversion'!A:D,4,FALSE),1))</f>
        <v/>
      </c>
      <c r="AF243" s="8">
        <f>IF(AA243="","",Z243*AD243/AE243)</f>
        <v/>
      </c>
      <c r="AG243" s="8">
        <f>AF243*AC243</f>
        <v/>
      </c>
      <c r="AH243" s="8">
        <f>IF(AA243="","",IFERROR(IF(VLOOKUP(AA243,'Unit Conversion'!A:B,2,FALSE)=VLOOKUP(AB243,'Unit Conversion'!A:B,2,FALSE),"OK","Check W/V mismatch"),"Check unit"))</f>
        <v/>
      </c>
      <c r="AI243" s="8" t="n"/>
    </row>
    <row r="244">
      <c r="A244" s="7" t="n"/>
      <c r="B244" s="7" t="n"/>
      <c r="C244" s="7" t="n"/>
      <c r="D244" s="7" t="n"/>
      <c r="E244" s="7" t="n"/>
      <c r="F244" s="7" t="n"/>
      <c r="G244" s="7" t="n"/>
      <c r="H244" s="7" t="n"/>
      <c r="I244" s="7" t="n"/>
      <c r="J244" s="7" t="n"/>
      <c r="K244" s="7" t="n"/>
      <c r="L244" s="7" t="n"/>
      <c r="M244" s="7" t="n"/>
      <c r="N244" s="7" t="n"/>
      <c r="O244" s="7" t="n"/>
      <c r="P244" s="7" t="n"/>
      <c r="Q244" s="7" t="n"/>
      <c r="R244" s="7" t="n"/>
      <c r="S244" s="7" t="n"/>
      <c r="T244" s="7" t="n"/>
      <c r="U244" s="7" t="n"/>
      <c r="V244" s="7" t="n"/>
      <c r="W244" s="7" t="n"/>
      <c r="X244" s="7" t="n"/>
      <c r="Y244" s="7" t="n"/>
      <c r="Z244" s="7" t="n"/>
      <c r="AA244" s="7" t="n"/>
      <c r="AB244" s="7">
        <f>IF(Y244="","",IFERROR(VLOOKUP(Y244,'Ingredients + Stock'!B:D,3,FALSE),""))</f>
        <v/>
      </c>
      <c r="AC244" s="7">
        <f>IF(Y244="","",IFERROR(VLOOKUP(Y244,'Ingredients + Stock'!B:G,6,FALSE),0))</f>
        <v/>
      </c>
      <c r="AD244" s="7">
        <f>IF(AA244="","",IFERROR(VLOOKUP(AA244,'Unit Conversion'!A:D,4,FALSE),1))</f>
        <v/>
      </c>
      <c r="AE244" s="7">
        <f>IF(AB244="","",IFERROR(VLOOKUP(AB244,'Unit Conversion'!A:D,4,FALSE),1))</f>
        <v/>
      </c>
      <c r="AF244" s="7">
        <f>IF(AA244="","",Z244*AD244/AE244)</f>
        <v/>
      </c>
      <c r="AG244" s="7">
        <f>AF244*AC244</f>
        <v/>
      </c>
      <c r="AH244" s="7">
        <f>IF(AA244="","",IFERROR(IF(VLOOKUP(AA244,'Unit Conversion'!A:B,2,FALSE)=VLOOKUP(AB244,'Unit Conversion'!A:B,2,FALSE),"OK","Check W/V mismatch"),"Check unit"))</f>
        <v/>
      </c>
      <c r="AI244" s="7" t="n"/>
    </row>
    <row r="245">
      <c r="A245" s="8" t="n"/>
      <c r="B245" s="8" t="n"/>
      <c r="C245" s="8" t="n"/>
      <c r="D245" s="8" t="n"/>
      <c r="E245" s="8" t="n"/>
      <c r="F245" s="8" t="n"/>
      <c r="G245" s="8" t="n"/>
      <c r="H245" s="8" t="n"/>
      <c r="I245" s="8" t="n"/>
      <c r="J245" s="8" t="n"/>
      <c r="K245" s="8" t="n"/>
      <c r="L245" s="8" t="n"/>
      <c r="M245" s="8" t="n"/>
      <c r="N245" s="8" t="n"/>
      <c r="O245" s="8" t="n"/>
      <c r="P245" s="8" t="n"/>
      <c r="Q245" s="8" t="n"/>
      <c r="R245" s="8" t="n"/>
      <c r="S245" s="8" t="n"/>
      <c r="T245" s="8" t="n"/>
      <c r="U245" s="8" t="n"/>
      <c r="V245" s="8" t="n"/>
      <c r="W245" s="8" t="n"/>
      <c r="X245" s="8" t="n"/>
      <c r="Y245" s="8" t="n"/>
      <c r="Z245" s="8" t="n"/>
      <c r="AA245" s="8" t="n"/>
      <c r="AB245" s="8">
        <f>IF(Y245="","",IFERROR(VLOOKUP(Y245,'Ingredients + Stock'!B:D,3,FALSE),""))</f>
        <v/>
      </c>
      <c r="AC245" s="8">
        <f>IF(Y245="","",IFERROR(VLOOKUP(Y245,'Ingredients + Stock'!B:G,6,FALSE),0))</f>
        <v/>
      </c>
      <c r="AD245" s="8">
        <f>IF(AA245="","",IFERROR(VLOOKUP(AA245,'Unit Conversion'!A:D,4,FALSE),1))</f>
        <v/>
      </c>
      <c r="AE245" s="8">
        <f>IF(AB245="","",IFERROR(VLOOKUP(AB245,'Unit Conversion'!A:D,4,FALSE),1))</f>
        <v/>
      </c>
      <c r="AF245" s="8">
        <f>IF(AA245="","",Z245*AD245/AE245)</f>
        <v/>
      </c>
      <c r="AG245" s="8">
        <f>AF245*AC245</f>
        <v/>
      </c>
      <c r="AH245" s="8">
        <f>IF(AA245="","",IFERROR(IF(VLOOKUP(AA245,'Unit Conversion'!A:B,2,FALSE)=VLOOKUP(AB245,'Unit Conversion'!A:B,2,FALSE),"OK","Check W/V mismatch"),"Check unit"))</f>
        <v/>
      </c>
      <c r="AI245" s="8" t="n"/>
    </row>
    <row r="246">
      <c r="A246" s="7" t="n"/>
      <c r="B246" s="7" t="n"/>
      <c r="C246" s="7" t="n"/>
      <c r="D246" s="7" t="n"/>
      <c r="E246" s="7" t="n"/>
      <c r="F246" s="7" t="n"/>
      <c r="G246" s="7" t="n"/>
      <c r="H246" s="7" t="n"/>
      <c r="I246" s="7" t="n"/>
      <c r="J246" s="7" t="n"/>
      <c r="K246" s="7" t="n"/>
      <c r="L246" s="7" t="n"/>
      <c r="M246" s="7" t="n"/>
      <c r="N246" s="7" t="n"/>
      <c r="O246" s="7" t="n"/>
      <c r="P246" s="7" t="n"/>
      <c r="Q246" s="7" t="n"/>
      <c r="R246" s="7" t="n"/>
      <c r="S246" s="7" t="n"/>
      <c r="T246" s="7" t="n"/>
      <c r="U246" s="7" t="n"/>
      <c r="V246" s="7" t="n"/>
      <c r="W246" s="7" t="n"/>
      <c r="X246" s="7" t="n"/>
      <c r="Y246" s="7" t="n"/>
      <c r="Z246" s="7" t="n"/>
      <c r="AA246" s="7" t="n"/>
      <c r="AB246" s="7">
        <f>IF(Y246="","",IFERROR(VLOOKUP(Y246,'Ingredients + Stock'!B:D,3,FALSE),""))</f>
        <v/>
      </c>
      <c r="AC246" s="7">
        <f>IF(Y246="","",IFERROR(VLOOKUP(Y246,'Ingredients + Stock'!B:G,6,FALSE),0))</f>
        <v/>
      </c>
      <c r="AD246" s="7">
        <f>IF(AA246="","",IFERROR(VLOOKUP(AA246,'Unit Conversion'!A:D,4,FALSE),1))</f>
        <v/>
      </c>
      <c r="AE246" s="7">
        <f>IF(AB246="","",IFERROR(VLOOKUP(AB246,'Unit Conversion'!A:D,4,FALSE),1))</f>
        <v/>
      </c>
      <c r="AF246" s="7">
        <f>IF(AA246="","",Z246*AD246/AE246)</f>
        <v/>
      </c>
      <c r="AG246" s="7">
        <f>AF246*AC246</f>
        <v/>
      </c>
      <c r="AH246" s="7">
        <f>IF(AA246="","",IFERROR(IF(VLOOKUP(AA246,'Unit Conversion'!A:B,2,FALSE)=VLOOKUP(AB246,'Unit Conversion'!A:B,2,FALSE),"OK","Check W/V mismatch"),"Check unit"))</f>
        <v/>
      </c>
      <c r="AI246" s="7" t="n"/>
    </row>
    <row r="247">
      <c r="A247" s="8" t="n"/>
      <c r="B247" s="8" t="n"/>
      <c r="C247" s="8" t="n"/>
      <c r="D247" s="8" t="n"/>
      <c r="E247" s="8" t="n"/>
      <c r="F247" s="8" t="n"/>
      <c r="G247" s="8" t="n"/>
      <c r="H247" s="8" t="n"/>
      <c r="I247" s="8" t="n"/>
      <c r="J247" s="8" t="n"/>
      <c r="K247" s="8" t="n"/>
      <c r="L247" s="8" t="n"/>
      <c r="M247" s="8" t="n"/>
      <c r="N247" s="8" t="n"/>
      <c r="O247" s="8" t="n"/>
      <c r="P247" s="8" t="n"/>
      <c r="Q247" s="8" t="n"/>
      <c r="R247" s="8" t="n"/>
      <c r="S247" s="8" t="n"/>
      <c r="T247" s="8" t="n"/>
      <c r="U247" s="8" t="n"/>
      <c r="V247" s="8" t="n"/>
      <c r="W247" s="8" t="n"/>
      <c r="X247" s="8" t="n"/>
      <c r="Y247" s="8" t="n"/>
      <c r="Z247" s="8" t="n"/>
      <c r="AA247" s="8" t="n"/>
      <c r="AB247" s="8">
        <f>IF(Y247="","",IFERROR(VLOOKUP(Y247,'Ingredients + Stock'!B:D,3,FALSE),""))</f>
        <v/>
      </c>
      <c r="AC247" s="8">
        <f>IF(Y247="","",IFERROR(VLOOKUP(Y247,'Ingredients + Stock'!B:G,6,FALSE),0))</f>
        <v/>
      </c>
      <c r="AD247" s="8">
        <f>IF(AA247="","",IFERROR(VLOOKUP(AA247,'Unit Conversion'!A:D,4,FALSE),1))</f>
        <v/>
      </c>
      <c r="AE247" s="8">
        <f>IF(AB247="","",IFERROR(VLOOKUP(AB247,'Unit Conversion'!A:D,4,FALSE),1))</f>
        <v/>
      </c>
      <c r="AF247" s="8">
        <f>IF(AA247="","",Z247*AD247/AE247)</f>
        <v/>
      </c>
      <c r="AG247" s="8">
        <f>AF247*AC247</f>
        <v/>
      </c>
      <c r="AH247" s="8">
        <f>IF(AA247="","",IFERROR(IF(VLOOKUP(AA247,'Unit Conversion'!A:B,2,FALSE)=VLOOKUP(AB247,'Unit Conversion'!A:B,2,FALSE),"OK","Check W/V mismatch"),"Check unit"))</f>
        <v/>
      </c>
      <c r="AI247" s="8" t="n"/>
    </row>
    <row r="248">
      <c r="A248" s="7" t="n"/>
      <c r="B248" s="7" t="n"/>
      <c r="C248" s="7" t="n"/>
      <c r="D248" s="7" t="n"/>
      <c r="E248" s="7" t="n"/>
      <c r="F248" s="7" t="n"/>
      <c r="G248" s="7" t="n"/>
      <c r="H248" s="7" t="n"/>
      <c r="I248" s="7" t="n"/>
      <c r="J248" s="7" t="n"/>
      <c r="K248" s="7" t="n"/>
      <c r="L248" s="7" t="n"/>
      <c r="M248" s="7" t="n"/>
      <c r="N248" s="7" t="n"/>
      <c r="O248" s="7" t="n"/>
      <c r="P248" s="7" t="n"/>
      <c r="Q248" s="7" t="n"/>
      <c r="R248" s="7" t="n"/>
      <c r="S248" s="7" t="n"/>
      <c r="T248" s="7" t="n"/>
      <c r="U248" s="7" t="n"/>
      <c r="V248" s="7" t="n"/>
      <c r="W248" s="7" t="n"/>
      <c r="X248" s="7" t="n"/>
      <c r="Y248" s="7" t="n"/>
      <c r="Z248" s="7" t="n"/>
      <c r="AA248" s="7" t="n"/>
      <c r="AB248" s="7">
        <f>IF(Y248="","",IFERROR(VLOOKUP(Y248,'Ingredients + Stock'!B:D,3,FALSE),""))</f>
        <v/>
      </c>
      <c r="AC248" s="7">
        <f>IF(Y248="","",IFERROR(VLOOKUP(Y248,'Ingredients + Stock'!B:G,6,FALSE),0))</f>
        <v/>
      </c>
      <c r="AD248" s="7">
        <f>IF(AA248="","",IFERROR(VLOOKUP(AA248,'Unit Conversion'!A:D,4,FALSE),1))</f>
        <v/>
      </c>
      <c r="AE248" s="7">
        <f>IF(AB248="","",IFERROR(VLOOKUP(AB248,'Unit Conversion'!A:D,4,FALSE),1))</f>
        <v/>
      </c>
      <c r="AF248" s="7">
        <f>IF(AA248="","",Z248*AD248/AE248)</f>
        <v/>
      </c>
      <c r="AG248" s="7">
        <f>AF248*AC248</f>
        <v/>
      </c>
      <c r="AH248" s="7">
        <f>IF(AA248="","",IFERROR(IF(VLOOKUP(AA248,'Unit Conversion'!A:B,2,FALSE)=VLOOKUP(AB248,'Unit Conversion'!A:B,2,FALSE),"OK","Check W/V mismatch"),"Check unit"))</f>
        <v/>
      </c>
      <c r="AI248" s="7" t="n"/>
    </row>
    <row r="249">
      <c r="A249" s="8" t="n"/>
      <c r="B249" s="8" t="n"/>
      <c r="C249" s="8" t="n"/>
      <c r="D249" s="8" t="n"/>
      <c r="E249" s="8" t="n"/>
      <c r="F249" s="8" t="n"/>
      <c r="G249" s="8" t="n"/>
      <c r="H249" s="8" t="n"/>
      <c r="I249" s="8" t="n"/>
      <c r="J249" s="8" t="n"/>
      <c r="K249" s="8" t="n"/>
      <c r="L249" s="8" t="n"/>
      <c r="M249" s="8" t="n"/>
      <c r="N249" s="8" t="n"/>
      <c r="O249" s="8" t="n"/>
      <c r="P249" s="8" t="n"/>
      <c r="Q249" s="8" t="n"/>
      <c r="R249" s="8" t="n"/>
      <c r="S249" s="8" t="n"/>
      <c r="T249" s="8" t="n"/>
      <c r="U249" s="8" t="n"/>
      <c r="V249" s="8" t="n"/>
      <c r="W249" s="8" t="n"/>
      <c r="X249" s="8" t="n"/>
      <c r="Y249" s="8" t="n"/>
      <c r="Z249" s="8" t="n"/>
      <c r="AA249" s="8" t="n"/>
      <c r="AB249" s="8">
        <f>IF(Y249="","",IFERROR(VLOOKUP(Y249,'Ingredients + Stock'!B:D,3,FALSE),""))</f>
        <v/>
      </c>
      <c r="AC249" s="8">
        <f>IF(Y249="","",IFERROR(VLOOKUP(Y249,'Ingredients + Stock'!B:G,6,FALSE),0))</f>
        <v/>
      </c>
      <c r="AD249" s="8">
        <f>IF(AA249="","",IFERROR(VLOOKUP(AA249,'Unit Conversion'!A:D,4,FALSE),1))</f>
        <v/>
      </c>
      <c r="AE249" s="8">
        <f>IF(AB249="","",IFERROR(VLOOKUP(AB249,'Unit Conversion'!A:D,4,FALSE),1))</f>
        <v/>
      </c>
      <c r="AF249" s="8">
        <f>IF(AA249="","",Z249*AD249/AE249)</f>
        <v/>
      </c>
      <c r="AG249" s="8">
        <f>AF249*AC249</f>
        <v/>
      </c>
      <c r="AH249" s="8">
        <f>IF(AA249="","",IFERROR(IF(VLOOKUP(AA249,'Unit Conversion'!A:B,2,FALSE)=VLOOKUP(AB249,'Unit Conversion'!A:B,2,FALSE),"OK","Check W/V mismatch"),"Check unit"))</f>
        <v/>
      </c>
      <c r="AI249" s="8" t="n"/>
    </row>
    <row r="250">
      <c r="A250" s="7" t="n"/>
      <c r="B250" s="7" t="n"/>
      <c r="C250" s="7" t="n"/>
      <c r="D250" s="7" t="n"/>
      <c r="E250" s="7" t="n"/>
      <c r="F250" s="7" t="n"/>
      <c r="G250" s="7" t="n"/>
      <c r="H250" s="7" t="n"/>
      <c r="I250" s="7" t="n"/>
      <c r="J250" s="7" t="n"/>
      <c r="K250" s="7" t="n"/>
      <c r="L250" s="7" t="n"/>
      <c r="M250" s="7" t="n"/>
      <c r="N250" s="7" t="n"/>
      <c r="O250" s="7" t="n"/>
      <c r="P250" s="7" t="n"/>
      <c r="Q250" s="7" t="n"/>
      <c r="R250" s="7" t="n"/>
      <c r="S250" s="7" t="n"/>
      <c r="T250" s="7" t="n"/>
      <c r="U250" s="7" t="n"/>
      <c r="V250" s="7" t="n"/>
      <c r="W250" s="7" t="n"/>
      <c r="X250" s="7" t="n"/>
      <c r="Y250" s="7" t="n"/>
      <c r="Z250" s="7" t="n"/>
      <c r="AA250" s="7" t="n"/>
      <c r="AB250" s="7">
        <f>IF(Y250="","",IFERROR(VLOOKUP(Y250,'Ingredients + Stock'!B:D,3,FALSE),""))</f>
        <v/>
      </c>
      <c r="AC250" s="7">
        <f>IF(Y250="","",IFERROR(VLOOKUP(Y250,'Ingredients + Stock'!B:G,6,FALSE),0))</f>
        <v/>
      </c>
      <c r="AD250" s="7">
        <f>IF(AA250="","",IFERROR(VLOOKUP(AA250,'Unit Conversion'!A:D,4,FALSE),1))</f>
        <v/>
      </c>
      <c r="AE250" s="7">
        <f>IF(AB250="","",IFERROR(VLOOKUP(AB250,'Unit Conversion'!A:D,4,FALSE),1))</f>
        <v/>
      </c>
      <c r="AF250" s="7">
        <f>IF(AA250="","",Z250*AD250/AE250)</f>
        <v/>
      </c>
      <c r="AG250" s="7">
        <f>AF250*AC250</f>
        <v/>
      </c>
      <c r="AH250" s="7">
        <f>IF(AA250="","",IFERROR(IF(VLOOKUP(AA250,'Unit Conversion'!A:B,2,FALSE)=VLOOKUP(AB250,'Unit Conversion'!A:B,2,FALSE),"OK","Check W/V mismatch"),"Check unit"))</f>
        <v/>
      </c>
      <c r="AI250" s="7" t="n"/>
    </row>
    <row r="251">
      <c r="A251" s="8" t="n"/>
      <c r="B251" s="8" t="n"/>
      <c r="C251" s="8" t="n"/>
      <c r="D251" s="8" t="n"/>
      <c r="E251" s="8" t="n"/>
      <c r="F251" s="8" t="n"/>
      <c r="G251" s="8" t="n"/>
      <c r="H251" s="8" t="n"/>
      <c r="I251" s="8" t="n"/>
      <c r="J251" s="8" t="n"/>
      <c r="K251" s="8" t="n"/>
      <c r="L251" s="8" t="n"/>
      <c r="M251" s="8" t="n"/>
      <c r="N251" s="8" t="n"/>
      <c r="O251" s="8" t="n"/>
      <c r="P251" s="8" t="n"/>
      <c r="Q251" s="8" t="n"/>
      <c r="R251" s="8" t="n"/>
      <c r="S251" s="8" t="n"/>
      <c r="T251" s="8" t="n"/>
      <c r="U251" s="8" t="n"/>
      <c r="V251" s="8" t="n"/>
      <c r="W251" s="8" t="n"/>
      <c r="X251" s="8" t="n"/>
      <c r="Y251" s="8" t="n"/>
      <c r="Z251" s="8" t="n"/>
      <c r="AA251" s="8" t="n"/>
      <c r="AB251" s="8">
        <f>IF(Y251="","",IFERROR(VLOOKUP(Y251,'Ingredients + Stock'!B:D,3,FALSE),""))</f>
        <v/>
      </c>
      <c r="AC251" s="8">
        <f>IF(Y251="","",IFERROR(VLOOKUP(Y251,'Ingredients + Stock'!B:G,6,FALSE),0))</f>
        <v/>
      </c>
      <c r="AD251" s="8">
        <f>IF(AA251="","",IFERROR(VLOOKUP(AA251,'Unit Conversion'!A:D,4,FALSE),1))</f>
        <v/>
      </c>
      <c r="AE251" s="8">
        <f>IF(AB251="","",IFERROR(VLOOKUP(AB251,'Unit Conversion'!A:D,4,FALSE),1))</f>
        <v/>
      </c>
      <c r="AF251" s="8">
        <f>IF(AA251="","",Z251*AD251/AE251)</f>
        <v/>
      </c>
      <c r="AG251" s="8">
        <f>AF251*AC251</f>
        <v/>
      </c>
      <c r="AH251" s="8">
        <f>IF(AA251="","",IFERROR(IF(VLOOKUP(AA251,'Unit Conversion'!A:B,2,FALSE)=VLOOKUP(AB251,'Unit Conversion'!A:B,2,FALSE),"OK","Check W/V mismatch"),"Check unit"))</f>
        <v/>
      </c>
      <c r="AI251" s="8" t="n"/>
    </row>
    <row r="252">
      <c r="A252" s="7" t="n"/>
      <c r="B252" s="7" t="n"/>
      <c r="C252" s="7" t="n"/>
      <c r="D252" s="7" t="n"/>
      <c r="E252" s="7" t="n"/>
      <c r="F252" s="7" t="n"/>
      <c r="G252" s="7" t="n"/>
      <c r="H252" s="7" t="n"/>
      <c r="I252" s="7" t="n"/>
      <c r="J252" s="7" t="n"/>
      <c r="K252" s="7" t="n"/>
      <c r="L252" s="7" t="n"/>
      <c r="M252" s="7" t="n"/>
      <c r="N252" s="7" t="n"/>
      <c r="O252" s="7" t="n"/>
      <c r="P252" s="7" t="n"/>
      <c r="Q252" s="7" t="n"/>
      <c r="R252" s="7" t="n"/>
      <c r="S252" s="7" t="n"/>
      <c r="T252" s="7" t="n"/>
      <c r="U252" s="7" t="n"/>
      <c r="V252" s="7" t="n"/>
      <c r="W252" s="7" t="n"/>
      <c r="X252" s="7" t="n"/>
      <c r="Y252" s="7" t="n"/>
      <c r="Z252" s="7" t="n"/>
      <c r="AA252" s="7" t="n"/>
      <c r="AB252" s="7">
        <f>IF(Y252="","",IFERROR(VLOOKUP(Y252,'Ingredients + Stock'!B:D,3,FALSE),""))</f>
        <v/>
      </c>
      <c r="AC252" s="7">
        <f>IF(Y252="","",IFERROR(VLOOKUP(Y252,'Ingredients + Stock'!B:G,6,FALSE),0))</f>
        <v/>
      </c>
      <c r="AD252" s="7">
        <f>IF(AA252="","",IFERROR(VLOOKUP(AA252,'Unit Conversion'!A:D,4,FALSE),1))</f>
        <v/>
      </c>
      <c r="AE252" s="7">
        <f>IF(AB252="","",IFERROR(VLOOKUP(AB252,'Unit Conversion'!A:D,4,FALSE),1))</f>
        <v/>
      </c>
      <c r="AF252" s="7">
        <f>IF(AA252="","",Z252*AD252/AE252)</f>
        <v/>
      </c>
      <c r="AG252" s="7">
        <f>AF252*AC252</f>
        <v/>
      </c>
      <c r="AH252" s="7">
        <f>IF(AA252="","",IFERROR(IF(VLOOKUP(AA252,'Unit Conversion'!A:B,2,FALSE)=VLOOKUP(AB252,'Unit Conversion'!A:B,2,FALSE),"OK","Check W/V mismatch"),"Check unit"))</f>
        <v/>
      </c>
      <c r="AI252" s="7" t="n"/>
    </row>
    <row r="253">
      <c r="A253" s="8" t="n"/>
      <c r="B253" s="8" t="n"/>
      <c r="C253" s="8" t="n"/>
      <c r="D253" s="8" t="n"/>
      <c r="E253" s="8" t="n"/>
      <c r="F253" s="8" t="n"/>
      <c r="G253" s="8" t="n"/>
      <c r="H253" s="8" t="n"/>
      <c r="I253" s="8" t="n"/>
      <c r="J253" s="8" t="n"/>
      <c r="K253" s="8" t="n"/>
      <c r="L253" s="8" t="n"/>
      <c r="M253" s="8" t="n"/>
      <c r="N253" s="8" t="n"/>
      <c r="O253" s="8" t="n"/>
      <c r="P253" s="8" t="n"/>
      <c r="Q253" s="8" t="n"/>
      <c r="R253" s="8" t="n"/>
      <c r="S253" s="8" t="n"/>
      <c r="T253" s="8" t="n"/>
      <c r="U253" s="8" t="n"/>
      <c r="V253" s="8" t="n"/>
      <c r="W253" s="8" t="n"/>
      <c r="X253" s="8" t="n"/>
      <c r="Y253" s="8" t="n"/>
      <c r="Z253" s="8" t="n"/>
      <c r="AA253" s="8" t="n"/>
      <c r="AB253" s="8">
        <f>IF(Y253="","",IFERROR(VLOOKUP(Y253,'Ingredients + Stock'!B:D,3,FALSE),""))</f>
        <v/>
      </c>
      <c r="AC253" s="8">
        <f>IF(Y253="","",IFERROR(VLOOKUP(Y253,'Ingredients + Stock'!B:G,6,FALSE),0))</f>
        <v/>
      </c>
      <c r="AD253" s="8">
        <f>IF(AA253="","",IFERROR(VLOOKUP(AA253,'Unit Conversion'!A:D,4,FALSE),1))</f>
        <v/>
      </c>
      <c r="AE253" s="8">
        <f>IF(AB253="","",IFERROR(VLOOKUP(AB253,'Unit Conversion'!A:D,4,FALSE),1))</f>
        <v/>
      </c>
      <c r="AF253" s="8">
        <f>IF(AA253="","",Z253*AD253/AE253)</f>
        <v/>
      </c>
      <c r="AG253" s="8">
        <f>AF253*AC253</f>
        <v/>
      </c>
      <c r="AH253" s="8">
        <f>IF(AA253="","",IFERROR(IF(VLOOKUP(AA253,'Unit Conversion'!A:B,2,FALSE)=VLOOKUP(AB253,'Unit Conversion'!A:B,2,FALSE),"OK","Check W/V mismatch"),"Check unit"))</f>
        <v/>
      </c>
      <c r="AI253" s="8" t="n"/>
    </row>
    <row r="254">
      <c r="A254" s="7" t="n"/>
      <c r="B254" s="7" t="n"/>
      <c r="C254" s="7" t="n"/>
      <c r="D254" s="7" t="n"/>
      <c r="E254" s="7" t="n"/>
      <c r="F254" s="7" t="n"/>
      <c r="G254" s="7" t="n"/>
      <c r="H254" s="7" t="n"/>
      <c r="I254" s="7" t="n"/>
      <c r="J254" s="7" t="n"/>
      <c r="K254" s="7" t="n"/>
      <c r="L254" s="7" t="n"/>
      <c r="M254" s="7" t="n"/>
      <c r="N254" s="7" t="n"/>
      <c r="O254" s="7" t="n"/>
      <c r="P254" s="7" t="n"/>
      <c r="Q254" s="7" t="n"/>
      <c r="R254" s="7" t="n"/>
      <c r="S254" s="7" t="n"/>
      <c r="T254" s="7" t="n"/>
      <c r="U254" s="7" t="n"/>
      <c r="V254" s="7" t="n"/>
      <c r="W254" s="7" t="n"/>
      <c r="X254" s="7" t="n"/>
      <c r="Y254" s="7" t="n"/>
      <c r="Z254" s="7" t="n"/>
      <c r="AA254" s="7" t="n"/>
      <c r="AB254" s="7">
        <f>IF(Y254="","",IFERROR(VLOOKUP(Y254,'Ingredients + Stock'!B:D,3,FALSE),""))</f>
        <v/>
      </c>
      <c r="AC254" s="7">
        <f>IF(Y254="","",IFERROR(VLOOKUP(Y254,'Ingredients + Stock'!B:G,6,FALSE),0))</f>
        <v/>
      </c>
      <c r="AD254" s="7">
        <f>IF(AA254="","",IFERROR(VLOOKUP(AA254,'Unit Conversion'!A:D,4,FALSE),1))</f>
        <v/>
      </c>
      <c r="AE254" s="7">
        <f>IF(AB254="","",IFERROR(VLOOKUP(AB254,'Unit Conversion'!A:D,4,FALSE),1))</f>
        <v/>
      </c>
      <c r="AF254" s="7">
        <f>IF(AA254="","",Z254*AD254/AE254)</f>
        <v/>
      </c>
      <c r="AG254" s="7">
        <f>AF254*AC254</f>
        <v/>
      </c>
      <c r="AH254" s="7">
        <f>IF(AA254="","",IFERROR(IF(VLOOKUP(AA254,'Unit Conversion'!A:B,2,FALSE)=VLOOKUP(AB254,'Unit Conversion'!A:B,2,FALSE),"OK","Check W/V mismatch"),"Check unit"))</f>
        <v/>
      </c>
      <c r="AI254" s="7" t="n"/>
    </row>
    <row r="255">
      <c r="A255" s="8" t="n"/>
      <c r="B255" s="8" t="n"/>
      <c r="C255" s="8" t="n"/>
      <c r="D255" s="8" t="n"/>
      <c r="E255" s="8" t="n"/>
      <c r="F255" s="8" t="n"/>
      <c r="G255" s="8" t="n"/>
      <c r="H255" s="8" t="n"/>
      <c r="I255" s="8" t="n"/>
      <c r="J255" s="8" t="n"/>
      <c r="K255" s="8" t="n"/>
      <c r="L255" s="8" t="n"/>
      <c r="M255" s="8" t="n"/>
      <c r="N255" s="8" t="n"/>
      <c r="O255" s="8" t="n"/>
      <c r="P255" s="8" t="n"/>
      <c r="Q255" s="8" t="n"/>
      <c r="R255" s="8" t="n"/>
      <c r="S255" s="8" t="n"/>
      <c r="T255" s="8" t="n"/>
      <c r="U255" s="8" t="n"/>
      <c r="V255" s="8" t="n"/>
      <c r="W255" s="8" t="n"/>
      <c r="X255" s="8" t="n"/>
      <c r="Y255" s="8" t="n"/>
      <c r="Z255" s="8" t="n"/>
      <c r="AA255" s="8" t="n"/>
      <c r="AB255" s="8">
        <f>IF(Y255="","",IFERROR(VLOOKUP(Y255,'Ingredients + Stock'!B:D,3,FALSE),""))</f>
        <v/>
      </c>
      <c r="AC255" s="8">
        <f>IF(Y255="","",IFERROR(VLOOKUP(Y255,'Ingredients + Stock'!B:G,6,FALSE),0))</f>
        <v/>
      </c>
      <c r="AD255" s="8">
        <f>IF(AA255="","",IFERROR(VLOOKUP(AA255,'Unit Conversion'!A:D,4,FALSE),1))</f>
        <v/>
      </c>
      <c r="AE255" s="8">
        <f>IF(AB255="","",IFERROR(VLOOKUP(AB255,'Unit Conversion'!A:D,4,FALSE),1))</f>
        <v/>
      </c>
      <c r="AF255" s="8">
        <f>IF(AA255="","",Z255*AD255/AE255)</f>
        <v/>
      </c>
      <c r="AG255" s="8">
        <f>AF255*AC255</f>
        <v/>
      </c>
      <c r="AH255" s="8">
        <f>IF(AA255="","",IFERROR(IF(VLOOKUP(AA255,'Unit Conversion'!A:B,2,FALSE)=VLOOKUP(AB255,'Unit Conversion'!A:B,2,FALSE),"OK","Check W/V mismatch"),"Check unit"))</f>
        <v/>
      </c>
      <c r="AI255" s="8" t="n"/>
    </row>
    <row r="256">
      <c r="A256" s="7" t="n"/>
      <c r="B256" s="7" t="n"/>
      <c r="C256" s="7" t="n"/>
      <c r="D256" s="7" t="n"/>
      <c r="E256" s="7" t="n"/>
      <c r="F256" s="7" t="n"/>
      <c r="G256" s="7" t="n"/>
      <c r="H256" s="7" t="n"/>
      <c r="I256" s="7" t="n"/>
      <c r="J256" s="7" t="n"/>
      <c r="K256" s="7" t="n"/>
      <c r="L256" s="7" t="n"/>
      <c r="M256" s="7" t="n"/>
      <c r="N256" s="7" t="n"/>
      <c r="O256" s="7" t="n"/>
      <c r="P256" s="7" t="n"/>
      <c r="Q256" s="7" t="n"/>
      <c r="R256" s="7" t="n"/>
      <c r="S256" s="7" t="n"/>
      <c r="T256" s="7" t="n"/>
      <c r="U256" s="7" t="n"/>
      <c r="V256" s="7" t="n"/>
      <c r="W256" s="7" t="n"/>
      <c r="X256" s="7" t="n"/>
      <c r="Y256" s="7" t="n"/>
      <c r="Z256" s="7" t="n"/>
      <c r="AA256" s="7" t="n"/>
      <c r="AB256" s="7">
        <f>IF(Y256="","",IFERROR(VLOOKUP(Y256,'Ingredients + Stock'!B:D,3,FALSE),""))</f>
        <v/>
      </c>
      <c r="AC256" s="7">
        <f>IF(Y256="","",IFERROR(VLOOKUP(Y256,'Ingredients + Stock'!B:G,6,FALSE),0))</f>
        <v/>
      </c>
      <c r="AD256" s="7">
        <f>IF(AA256="","",IFERROR(VLOOKUP(AA256,'Unit Conversion'!A:D,4,FALSE),1))</f>
        <v/>
      </c>
      <c r="AE256" s="7">
        <f>IF(AB256="","",IFERROR(VLOOKUP(AB256,'Unit Conversion'!A:D,4,FALSE),1))</f>
        <v/>
      </c>
      <c r="AF256" s="7">
        <f>IF(AA256="","",Z256*AD256/AE256)</f>
        <v/>
      </c>
      <c r="AG256" s="7">
        <f>AF256*AC256</f>
        <v/>
      </c>
      <c r="AH256" s="7">
        <f>IF(AA256="","",IFERROR(IF(VLOOKUP(AA256,'Unit Conversion'!A:B,2,FALSE)=VLOOKUP(AB256,'Unit Conversion'!A:B,2,FALSE),"OK","Check W/V mismatch"),"Check unit"))</f>
        <v/>
      </c>
      <c r="AI256" s="7" t="n"/>
    </row>
    <row r="257">
      <c r="A257" s="8" t="n"/>
      <c r="B257" s="8" t="n"/>
      <c r="C257" s="8" t="n"/>
      <c r="D257" s="8" t="n"/>
      <c r="E257" s="8" t="n"/>
      <c r="F257" s="8" t="n"/>
      <c r="G257" s="8" t="n"/>
      <c r="H257" s="8" t="n"/>
      <c r="I257" s="8" t="n"/>
      <c r="J257" s="8" t="n"/>
      <c r="K257" s="8" t="n"/>
      <c r="L257" s="8" t="n"/>
      <c r="M257" s="8" t="n"/>
      <c r="N257" s="8" t="n"/>
      <c r="O257" s="8" t="n"/>
      <c r="P257" s="8" t="n"/>
      <c r="Q257" s="8" t="n"/>
      <c r="R257" s="8" t="n"/>
      <c r="S257" s="8" t="n"/>
      <c r="T257" s="8" t="n"/>
      <c r="U257" s="8" t="n"/>
      <c r="V257" s="8" t="n"/>
      <c r="W257" s="8" t="n"/>
      <c r="X257" s="8" t="n"/>
      <c r="Y257" s="8" t="n"/>
      <c r="Z257" s="8" t="n"/>
      <c r="AA257" s="8" t="n"/>
      <c r="AB257" s="8">
        <f>IF(Y257="","",IFERROR(VLOOKUP(Y257,'Ingredients + Stock'!B:D,3,FALSE),""))</f>
        <v/>
      </c>
      <c r="AC257" s="8">
        <f>IF(Y257="","",IFERROR(VLOOKUP(Y257,'Ingredients + Stock'!B:G,6,FALSE),0))</f>
        <v/>
      </c>
      <c r="AD257" s="8">
        <f>IF(AA257="","",IFERROR(VLOOKUP(AA257,'Unit Conversion'!A:D,4,FALSE),1))</f>
        <v/>
      </c>
      <c r="AE257" s="8">
        <f>IF(AB257="","",IFERROR(VLOOKUP(AB257,'Unit Conversion'!A:D,4,FALSE),1))</f>
        <v/>
      </c>
      <c r="AF257" s="8">
        <f>IF(AA257="","",Z257*AD257/AE257)</f>
        <v/>
      </c>
      <c r="AG257" s="8">
        <f>AF257*AC257</f>
        <v/>
      </c>
      <c r="AH257" s="8">
        <f>IF(AA257="","",IFERROR(IF(VLOOKUP(AA257,'Unit Conversion'!A:B,2,FALSE)=VLOOKUP(AB257,'Unit Conversion'!A:B,2,FALSE),"OK","Check W/V mismatch"),"Check unit"))</f>
        <v/>
      </c>
      <c r="AI257" s="8" t="n"/>
    </row>
    <row r="258">
      <c r="A258" s="7" t="n"/>
      <c r="B258" s="7" t="n"/>
      <c r="C258" s="7" t="n"/>
      <c r="D258" s="7" t="n"/>
      <c r="E258" s="7" t="n"/>
      <c r="F258" s="7" t="n"/>
      <c r="G258" s="7" t="n"/>
      <c r="H258" s="7" t="n"/>
      <c r="I258" s="7" t="n"/>
      <c r="J258" s="7" t="n"/>
      <c r="K258" s="7" t="n"/>
      <c r="L258" s="7" t="n"/>
      <c r="M258" s="7" t="n"/>
      <c r="N258" s="7" t="n"/>
      <c r="O258" s="7" t="n"/>
      <c r="P258" s="7" t="n"/>
      <c r="Q258" s="7" t="n"/>
      <c r="R258" s="7" t="n"/>
      <c r="S258" s="7" t="n"/>
      <c r="T258" s="7" t="n"/>
      <c r="U258" s="7" t="n"/>
      <c r="V258" s="7" t="n"/>
      <c r="W258" s="7" t="n"/>
      <c r="X258" s="7" t="n"/>
      <c r="Y258" s="7" t="n"/>
      <c r="Z258" s="7" t="n"/>
      <c r="AA258" s="7" t="n"/>
      <c r="AB258" s="7">
        <f>IF(Y258="","",IFERROR(VLOOKUP(Y258,'Ingredients + Stock'!B:D,3,FALSE),""))</f>
        <v/>
      </c>
      <c r="AC258" s="7">
        <f>IF(Y258="","",IFERROR(VLOOKUP(Y258,'Ingredients + Stock'!B:G,6,FALSE),0))</f>
        <v/>
      </c>
      <c r="AD258" s="7">
        <f>IF(AA258="","",IFERROR(VLOOKUP(AA258,'Unit Conversion'!A:D,4,FALSE),1))</f>
        <v/>
      </c>
      <c r="AE258" s="7">
        <f>IF(AB258="","",IFERROR(VLOOKUP(AB258,'Unit Conversion'!A:D,4,FALSE),1))</f>
        <v/>
      </c>
      <c r="AF258" s="7">
        <f>IF(AA258="","",Z258*AD258/AE258)</f>
        <v/>
      </c>
      <c r="AG258" s="7">
        <f>AF258*AC258</f>
        <v/>
      </c>
      <c r="AH258" s="7">
        <f>IF(AA258="","",IFERROR(IF(VLOOKUP(AA258,'Unit Conversion'!A:B,2,FALSE)=VLOOKUP(AB258,'Unit Conversion'!A:B,2,FALSE),"OK","Check W/V mismatch"),"Check unit"))</f>
        <v/>
      </c>
      <c r="AI258" s="7" t="n"/>
    </row>
    <row r="259">
      <c r="A259" s="8" t="n"/>
      <c r="B259" s="8" t="n"/>
      <c r="C259" s="8" t="n"/>
      <c r="D259" s="8" t="n"/>
      <c r="E259" s="8" t="n"/>
      <c r="F259" s="8" t="n"/>
      <c r="G259" s="8" t="n"/>
      <c r="H259" s="8" t="n"/>
      <c r="I259" s="8" t="n"/>
      <c r="J259" s="8" t="n"/>
      <c r="K259" s="8" t="n"/>
      <c r="L259" s="8" t="n"/>
      <c r="M259" s="8" t="n"/>
      <c r="N259" s="8" t="n"/>
      <c r="O259" s="8" t="n"/>
      <c r="P259" s="8" t="n"/>
      <c r="Q259" s="8" t="n"/>
      <c r="R259" s="8" t="n"/>
      <c r="S259" s="8" t="n"/>
      <c r="T259" s="8" t="n"/>
      <c r="U259" s="8" t="n"/>
      <c r="V259" s="8" t="n"/>
      <c r="W259" s="8" t="n"/>
      <c r="X259" s="8" t="n"/>
      <c r="Y259" s="8" t="n"/>
      <c r="Z259" s="8" t="n"/>
      <c r="AA259" s="8" t="n"/>
      <c r="AB259" s="8">
        <f>IF(Y259="","",IFERROR(VLOOKUP(Y259,'Ingredients + Stock'!B:D,3,FALSE),""))</f>
        <v/>
      </c>
      <c r="AC259" s="8">
        <f>IF(Y259="","",IFERROR(VLOOKUP(Y259,'Ingredients + Stock'!B:G,6,FALSE),0))</f>
        <v/>
      </c>
      <c r="AD259" s="8">
        <f>IF(AA259="","",IFERROR(VLOOKUP(AA259,'Unit Conversion'!A:D,4,FALSE),1))</f>
        <v/>
      </c>
      <c r="AE259" s="8">
        <f>IF(AB259="","",IFERROR(VLOOKUP(AB259,'Unit Conversion'!A:D,4,FALSE),1))</f>
        <v/>
      </c>
      <c r="AF259" s="8">
        <f>IF(AA259="","",Z259*AD259/AE259)</f>
        <v/>
      </c>
      <c r="AG259" s="8">
        <f>AF259*AC259</f>
        <v/>
      </c>
      <c r="AH259" s="8">
        <f>IF(AA259="","",IFERROR(IF(VLOOKUP(AA259,'Unit Conversion'!A:B,2,FALSE)=VLOOKUP(AB259,'Unit Conversion'!A:B,2,FALSE),"OK","Check W/V mismatch"),"Check unit"))</f>
        <v/>
      </c>
      <c r="AI259" s="8" t="n"/>
    </row>
    <row r="260">
      <c r="A260" s="7" t="n"/>
      <c r="B260" s="7" t="n"/>
      <c r="C260" s="7" t="n"/>
      <c r="D260" s="7" t="n"/>
      <c r="E260" s="7" t="n"/>
      <c r="F260" s="7" t="n"/>
      <c r="G260" s="7" t="n"/>
      <c r="H260" s="7" t="n"/>
      <c r="I260" s="7" t="n"/>
      <c r="J260" s="7" t="n"/>
      <c r="K260" s="7" t="n"/>
      <c r="L260" s="7" t="n"/>
      <c r="M260" s="7" t="n"/>
      <c r="N260" s="7" t="n"/>
      <c r="O260" s="7" t="n"/>
      <c r="P260" s="7" t="n"/>
      <c r="Q260" s="7" t="n"/>
      <c r="R260" s="7" t="n"/>
      <c r="S260" s="7" t="n"/>
      <c r="T260" s="7" t="n"/>
      <c r="U260" s="7" t="n"/>
      <c r="V260" s="7" t="n"/>
      <c r="W260" s="7" t="n"/>
      <c r="X260" s="7" t="n"/>
      <c r="Y260" s="7" t="n"/>
      <c r="Z260" s="7" t="n"/>
      <c r="AA260" s="7" t="n"/>
      <c r="AB260" s="7">
        <f>IF(Y260="","",IFERROR(VLOOKUP(Y260,'Ingredients + Stock'!B:D,3,FALSE),""))</f>
        <v/>
      </c>
      <c r="AC260" s="7">
        <f>IF(Y260="","",IFERROR(VLOOKUP(Y260,'Ingredients + Stock'!B:G,6,FALSE),0))</f>
        <v/>
      </c>
      <c r="AD260" s="7">
        <f>IF(AA260="","",IFERROR(VLOOKUP(AA260,'Unit Conversion'!A:D,4,FALSE),1))</f>
        <v/>
      </c>
      <c r="AE260" s="7">
        <f>IF(AB260="","",IFERROR(VLOOKUP(AB260,'Unit Conversion'!A:D,4,FALSE),1))</f>
        <v/>
      </c>
      <c r="AF260" s="7">
        <f>IF(AA260="","",Z260*AD260/AE260)</f>
        <v/>
      </c>
      <c r="AG260" s="7">
        <f>AF260*AC260</f>
        <v/>
      </c>
      <c r="AH260" s="7">
        <f>IF(AA260="","",IFERROR(IF(VLOOKUP(AA260,'Unit Conversion'!A:B,2,FALSE)=VLOOKUP(AB260,'Unit Conversion'!A:B,2,FALSE),"OK","Check W/V mismatch"),"Check unit"))</f>
        <v/>
      </c>
      <c r="AI260" s="7" t="n"/>
    </row>
    <row r="261">
      <c r="A261" s="8" t="n"/>
      <c r="B261" s="8" t="n"/>
      <c r="C261" s="8" t="n"/>
      <c r="D261" s="8" t="n"/>
      <c r="E261" s="8" t="n"/>
      <c r="F261" s="8" t="n"/>
      <c r="G261" s="8" t="n"/>
      <c r="H261" s="8" t="n"/>
      <c r="I261" s="8" t="n"/>
      <c r="J261" s="8" t="n"/>
      <c r="K261" s="8" t="n"/>
      <c r="L261" s="8" t="n"/>
      <c r="M261" s="8" t="n"/>
      <c r="N261" s="8" t="n"/>
      <c r="O261" s="8" t="n"/>
      <c r="P261" s="8" t="n"/>
      <c r="Q261" s="8" t="n"/>
      <c r="R261" s="8" t="n"/>
      <c r="S261" s="8" t="n"/>
      <c r="T261" s="8" t="n"/>
      <c r="U261" s="8" t="n"/>
      <c r="V261" s="8" t="n"/>
      <c r="W261" s="8" t="n"/>
      <c r="X261" s="8" t="n"/>
      <c r="Y261" s="8" t="n"/>
      <c r="Z261" s="8" t="n"/>
      <c r="AA261" s="8" t="n"/>
      <c r="AB261" s="8">
        <f>IF(Y261="","",IFERROR(VLOOKUP(Y261,'Ingredients + Stock'!B:D,3,FALSE),""))</f>
        <v/>
      </c>
      <c r="AC261" s="8">
        <f>IF(Y261="","",IFERROR(VLOOKUP(Y261,'Ingredients + Stock'!B:G,6,FALSE),0))</f>
        <v/>
      </c>
      <c r="AD261" s="8">
        <f>IF(AA261="","",IFERROR(VLOOKUP(AA261,'Unit Conversion'!A:D,4,FALSE),1))</f>
        <v/>
      </c>
      <c r="AE261" s="8">
        <f>IF(AB261="","",IFERROR(VLOOKUP(AB261,'Unit Conversion'!A:D,4,FALSE),1))</f>
        <v/>
      </c>
      <c r="AF261" s="8">
        <f>IF(AA261="","",Z261*AD261/AE261)</f>
        <v/>
      </c>
      <c r="AG261" s="8">
        <f>AF261*AC261</f>
        <v/>
      </c>
      <c r="AH261" s="8">
        <f>IF(AA261="","",IFERROR(IF(VLOOKUP(AA261,'Unit Conversion'!A:B,2,FALSE)=VLOOKUP(AB261,'Unit Conversion'!A:B,2,FALSE),"OK","Check W/V mismatch"),"Check unit"))</f>
        <v/>
      </c>
      <c r="AI261" s="8" t="n"/>
    </row>
    <row r="262">
      <c r="A262" s="7" t="n"/>
      <c r="B262" s="7" t="n"/>
      <c r="C262" s="7" t="n"/>
      <c r="D262" s="7" t="n"/>
      <c r="E262" s="7" t="n"/>
      <c r="F262" s="7" t="n"/>
      <c r="G262" s="7" t="n"/>
      <c r="H262" s="7" t="n"/>
      <c r="I262" s="7" t="n"/>
      <c r="J262" s="7" t="n"/>
      <c r="K262" s="7" t="n"/>
      <c r="L262" s="7" t="n"/>
      <c r="M262" s="7" t="n"/>
      <c r="N262" s="7" t="n"/>
      <c r="O262" s="7" t="n"/>
      <c r="P262" s="7" t="n"/>
      <c r="Q262" s="7" t="n"/>
      <c r="R262" s="7" t="n"/>
      <c r="S262" s="7" t="n"/>
      <c r="T262" s="7" t="n"/>
      <c r="U262" s="7" t="n"/>
      <c r="V262" s="7" t="n"/>
      <c r="W262" s="7" t="n"/>
      <c r="X262" s="7" t="n"/>
      <c r="Y262" s="7" t="n"/>
      <c r="Z262" s="7" t="n"/>
      <c r="AA262" s="7" t="n"/>
      <c r="AB262" s="7">
        <f>IF(Y262="","",IFERROR(VLOOKUP(Y262,'Ingredients + Stock'!B:D,3,FALSE),""))</f>
        <v/>
      </c>
      <c r="AC262" s="7">
        <f>IF(Y262="","",IFERROR(VLOOKUP(Y262,'Ingredients + Stock'!B:G,6,FALSE),0))</f>
        <v/>
      </c>
      <c r="AD262" s="7">
        <f>IF(AA262="","",IFERROR(VLOOKUP(AA262,'Unit Conversion'!A:D,4,FALSE),1))</f>
        <v/>
      </c>
      <c r="AE262" s="7">
        <f>IF(AB262="","",IFERROR(VLOOKUP(AB262,'Unit Conversion'!A:D,4,FALSE),1))</f>
        <v/>
      </c>
      <c r="AF262" s="7">
        <f>IF(AA262="","",Z262*AD262/AE262)</f>
        <v/>
      </c>
      <c r="AG262" s="7">
        <f>AF262*AC262</f>
        <v/>
      </c>
      <c r="AH262" s="7">
        <f>IF(AA262="","",IFERROR(IF(VLOOKUP(AA262,'Unit Conversion'!A:B,2,FALSE)=VLOOKUP(AB262,'Unit Conversion'!A:B,2,FALSE),"OK","Check W/V mismatch"),"Check unit"))</f>
        <v/>
      </c>
      <c r="AI262" s="7" t="n"/>
    </row>
    <row r="263">
      <c r="A263" s="8" t="n"/>
      <c r="B263" s="8" t="n"/>
      <c r="C263" s="8" t="n"/>
      <c r="D263" s="8" t="n"/>
      <c r="E263" s="8" t="n"/>
      <c r="F263" s="8" t="n"/>
      <c r="G263" s="8" t="n"/>
      <c r="H263" s="8" t="n"/>
      <c r="I263" s="8" t="n"/>
      <c r="J263" s="8" t="n"/>
      <c r="K263" s="8" t="n"/>
      <c r="L263" s="8" t="n"/>
      <c r="M263" s="8" t="n"/>
      <c r="N263" s="8" t="n"/>
      <c r="O263" s="8" t="n"/>
      <c r="P263" s="8" t="n"/>
      <c r="Q263" s="8" t="n"/>
      <c r="R263" s="8" t="n"/>
      <c r="S263" s="8" t="n"/>
      <c r="T263" s="8" t="n"/>
      <c r="U263" s="8" t="n"/>
      <c r="V263" s="8" t="n"/>
      <c r="W263" s="8" t="n"/>
      <c r="X263" s="8" t="n"/>
      <c r="Y263" s="8" t="n"/>
      <c r="Z263" s="8" t="n"/>
      <c r="AA263" s="8" t="n"/>
      <c r="AB263" s="8">
        <f>IF(Y263="","",IFERROR(VLOOKUP(Y263,'Ingredients + Stock'!B:D,3,FALSE),""))</f>
        <v/>
      </c>
      <c r="AC263" s="8">
        <f>IF(Y263="","",IFERROR(VLOOKUP(Y263,'Ingredients + Stock'!B:G,6,FALSE),0))</f>
        <v/>
      </c>
      <c r="AD263" s="8">
        <f>IF(AA263="","",IFERROR(VLOOKUP(AA263,'Unit Conversion'!A:D,4,FALSE),1))</f>
        <v/>
      </c>
      <c r="AE263" s="8">
        <f>IF(AB263="","",IFERROR(VLOOKUP(AB263,'Unit Conversion'!A:D,4,FALSE),1))</f>
        <v/>
      </c>
      <c r="AF263" s="8">
        <f>IF(AA263="","",Z263*AD263/AE263)</f>
        <v/>
      </c>
      <c r="AG263" s="8">
        <f>AF263*AC263</f>
        <v/>
      </c>
      <c r="AH263" s="8">
        <f>IF(AA263="","",IFERROR(IF(VLOOKUP(AA263,'Unit Conversion'!A:B,2,FALSE)=VLOOKUP(AB263,'Unit Conversion'!A:B,2,FALSE),"OK","Check W/V mismatch"),"Check unit"))</f>
        <v/>
      </c>
      <c r="AI263" s="8" t="n"/>
    </row>
    <row r="264">
      <c r="A264" s="7" t="n"/>
      <c r="B264" s="7" t="n"/>
      <c r="C264" s="7" t="n"/>
      <c r="D264" s="7" t="n"/>
      <c r="E264" s="7" t="n"/>
      <c r="F264" s="7" t="n"/>
      <c r="G264" s="7" t="n"/>
      <c r="H264" s="7" t="n"/>
      <c r="I264" s="7" t="n"/>
      <c r="J264" s="7" t="n"/>
      <c r="K264" s="7" t="n"/>
      <c r="L264" s="7" t="n"/>
      <c r="M264" s="7" t="n"/>
      <c r="N264" s="7" t="n"/>
      <c r="O264" s="7" t="n"/>
      <c r="P264" s="7" t="n"/>
      <c r="Q264" s="7" t="n"/>
      <c r="R264" s="7" t="n"/>
      <c r="S264" s="7" t="n"/>
      <c r="T264" s="7" t="n"/>
      <c r="U264" s="7" t="n"/>
      <c r="V264" s="7" t="n"/>
      <c r="W264" s="7" t="n"/>
      <c r="X264" s="7" t="n"/>
      <c r="Y264" s="7" t="n"/>
      <c r="Z264" s="7" t="n"/>
      <c r="AA264" s="7" t="n"/>
      <c r="AB264" s="7">
        <f>IF(Y264="","",IFERROR(VLOOKUP(Y264,'Ingredients + Stock'!B:D,3,FALSE),""))</f>
        <v/>
      </c>
      <c r="AC264" s="7">
        <f>IF(Y264="","",IFERROR(VLOOKUP(Y264,'Ingredients + Stock'!B:G,6,FALSE),0))</f>
        <v/>
      </c>
      <c r="AD264" s="7">
        <f>IF(AA264="","",IFERROR(VLOOKUP(AA264,'Unit Conversion'!A:D,4,FALSE),1))</f>
        <v/>
      </c>
      <c r="AE264" s="7">
        <f>IF(AB264="","",IFERROR(VLOOKUP(AB264,'Unit Conversion'!A:D,4,FALSE),1))</f>
        <v/>
      </c>
      <c r="AF264" s="7">
        <f>IF(AA264="","",Z264*AD264/AE264)</f>
        <v/>
      </c>
      <c r="AG264" s="7">
        <f>AF264*AC264</f>
        <v/>
      </c>
      <c r="AH264" s="7">
        <f>IF(AA264="","",IFERROR(IF(VLOOKUP(AA264,'Unit Conversion'!A:B,2,FALSE)=VLOOKUP(AB264,'Unit Conversion'!A:B,2,FALSE),"OK","Check W/V mismatch"),"Check unit"))</f>
        <v/>
      </c>
      <c r="AI264" s="7" t="n"/>
    </row>
    <row r="265">
      <c r="A265" s="8" t="n"/>
      <c r="B265" s="8" t="n"/>
      <c r="C265" s="8" t="n"/>
      <c r="D265" s="8" t="n"/>
      <c r="E265" s="8" t="n"/>
      <c r="F265" s="8" t="n"/>
      <c r="G265" s="8" t="n"/>
      <c r="H265" s="8" t="n"/>
      <c r="I265" s="8" t="n"/>
      <c r="J265" s="8" t="n"/>
      <c r="K265" s="8" t="n"/>
      <c r="L265" s="8" t="n"/>
      <c r="M265" s="8" t="n"/>
      <c r="N265" s="8" t="n"/>
      <c r="O265" s="8" t="n"/>
      <c r="P265" s="8" t="n"/>
      <c r="Q265" s="8" t="n"/>
      <c r="R265" s="8" t="n"/>
      <c r="S265" s="8" t="n"/>
      <c r="T265" s="8" t="n"/>
      <c r="U265" s="8" t="n"/>
      <c r="V265" s="8" t="n"/>
      <c r="W265" s="8" t="n"/>
      <c r="X265" s="8" t="n"/>
      <c r="Y265" s="8" t="n"/>
      <c r="Z265" s="8" t="n"/>
      <c r="AA265" s="8" t="n"/>
      <c r="AB265" s="8">
        <f>IF(Y265="","",IFERROR(VLOOKUP(Y265,'Ingredients + Stock'!B:D,3,FALSE),""))</f>
        <v/>
      </c>
      <c r="AC265" s="8">
        <f>IF(Y265="","",IFERROR(VLOOKUP(Y265,'Ingredients + Stock'!B:G,6,FALSE),0))</f>
        <v/>
      </c>
      <c r="AD265" s="8">
        <f>IF(AA265="","",IFERROR(VLOOKUP(AA265,'Unit Conversion'!A:D,4,FALSE),1))</f>
        <v/>
      </c>
      <c r="AE265" s="8">
        <f>IF(AB265="","",IFERROR(VLOOKUP(AB265,'Unit Conversion'!A:D,4,FALSE),1))</f>
        <v/>
      </c>
      <c r="AF265" s="8">
        <f>IF(AA265="","",Z265*AD265/AE265)</f>
        <v/>
      </c>
      <c r="AG265" s="8">
        <f>AF265*AC265</f>
        <v/>
      </c>
      <c r="AH265" s="8">
        <f>IF(AA265="","",IFERROR(IF(VLOOKUP(AA265,'Unit Conversion'!A:B,2,FALSE)=VLOOKUP(AB265,'Unit Conversion'!A:B,2,FALSE),"OK","Check W/V mismatch"),"Check unit"))</f>
        <v/>
      </c>
      <c r="AI265" s="8" t="n"/>
    </row>
    <row r="266">
      <c r="A266" s="7" t="n"/>
      <c r="B266" s="7" t="n"/>
      <c r="C266" s="7" t="n"/>
      <c r="D266" s="7" t="n"/>
      <c r="E266" s="7" t="n"/>
      <c r="F266" s="7" t="n"/>
      <c r="G266" s="7" t="n"/>
      <c r="H266" s="7" t="n"/>
      <c r="I266" s="7" t="n"/>
      <c r="J266" s="7" t="n"/>
      <c r="K266" s="7" t="n"/>
      <c r="L266" s="7" t="n"/>
      <c r="M266" s="7" t="n"/>
      <c r="N266" s="7" t="n"/>
      <c r="O266" s="7" t="n"/>
      <c r="P266" s="7" t="n"/>
      <c r="Q266" s="7" t="n"/>
      <c r="R266" s="7" t="n"/>
      <c r="S266" s="7" t="n"/>
      <c r="T266" s="7" t="n"/>
      <c r="U266" s="7" t="n"/>
      <c r="V266" s="7" t="n"/>
      <c r="W266" s="7" t="n"/>
      <c r="X266" s="7" t="n"/>
      <c r="Y266" s="7" t="n"/>
      <c r="Z266" s="7" t="n"/>
      <c r="AA266" s="7" t="n"/>
      <c r="AB266" s="7">
        <f>IF(Y266="","",IFERROR(VLOOKUP(Y266,'Ingredients + Stock'!B:D,3,FALSE),""))</f>
        <v/>
      </c>
      <c r="AC266" s="7">
        <f>IF(Y266="","",IFERROR(VLOOKUP(Y266,'Ingredients + Stock'!B:G,6,FALSE),0))</f>
        <v/>
      </c>
      <c r="AD266" s="7">
        <f>IF(AA266="","",IFERROR(VLOOKUP(AA266,'Unit Conversion'!A:D,4,FALSE),1))</f>
        <v/>
      </c>
      <c r="AE266" s="7">
        <f>IF(AB266="","",IFERROR(VLOOKUP(AB266,'Unit Conversion'!A:D,4,FALSE),1))</f>
        <v/>
      </c>
      <c r="AF266" s="7">
        <f>IF(AA266="","",Z266*AD266/AE266)</f>
        <v/>
      </c>
      <c r="AG266" s="7">
        <f>AF266*AC266</f>
        <v/>
      </c>
      <c r="AH266" s="7">
        <f>IF(AA266="","",IFERROR(IF(VLOOKUP(AA266,'Unit Conversion'!A:B,2,FALSE)=VLOOKUP(AB266,'Unit Conversion'!A:B,2,FALSE),"OK","Check W/V mismatch"),"Check unit"))</f>
        <v/>
      </c>
      <c r="AI266" s="7" t="n"/>
    </row>
    <row r="267">
      <c r="A267" s="8" t="n"/>
      <c r="B267" s="8" t="n"/>
      <c r="C267" s="8" t="n"/>
      <c r="D267" s="8" t="n"/>
      <c r="E267" s="8" t="n"/>
      <c r="F267" s="8" t="n"/>
      <c r="G267" s="8" t="n"/>
      <c r="H267" s="8" t="n"/>
      <c r="I267" s="8" t="n"/>
      <c r="J267" s="8" t="n"/>
      <c r="K267" s="8" t="n"/>
      <c r="L267" s="8" t="n"/>
      <c r="M267" s="8" t="n"/>
      <c r="N267" s="8" t="n"/>
      <c r="O267" s="8" t="n"/>
      <c r="P267" s="8" t="n"/>
      <c r="Q267" s="8" t="n"/>
      <c r="R267" s="8" t="n"/>
      <c r="S267" s="8" t="n"/>
      <c r="T267" s="8" t="n"/>
      <c r="U267" s="8" t="n"/>
      <c r="V267" s="8" t="n"/>
      <c r="W267" s="8" t="n"/>
      <c r="X267" s="8" t="n"/>
      <c r="Y267" s="8" t="n"/>
      <c r="Z267" s="8" t="n"/>
      <c r="AA267" s="8" t="n"/>
      <c r="AB267" s="8">
        <f>IF(Y267="","",IFERROR(VLOOKUP(Y267,'Ingredients + Stock'!B:D,3,FALSE),""))</f>
        <v/>
      </c>
      <c r="AC267" s="8">
        <f>IF(Y267="","",IFERROR(VLOOKUP(Y267,'Ingredients + Stock'!B:G,6,FALSE),0))</f>
        <v/>
      </c>
      <c r="AD267" s="8">
        <f>IF(AA267="","",IFERROR(VLOOKUP(AA267,'Unit Conversion'!A:D,4,FALSE),1))</f>
        <v/>
      </c>
      <c r="AE267" s="8">
        <f>IF(AB267="","",IFERROR(VLOOKUP(AB267,'Unit Conversion'!A:D,4,FALSE),1))</f>
        <v/>
      </c>
      <c r="AF267" s="8">
        <f>IF(AA267="","",Z267*AD267/AE267)</f>
        <v/>
      </c>
      <c r="AG267" s="8">
        <f>AF267*AC267</f>
        <v/>
      </c>
      <c r="AH267" s="8">
        <f>IF(AA267="","",IFERROR(IF(VLOOKUP(AA267,'Unit Conversion'!A:B,2,FALSE)=VLOOKUP(AB267,'Unit Conversion'!A:B,2,FALSE),"OK","Check W/V mismatch"),"Check unit"))</f>
        <v/>
      </c>
      <c r="AI267" s="8" t="n"/>
    </row>
    <row r="268">
      <c r="A268" s="7" t="n"/>
      <c r="B268" s="7" t="n"/>
      <c r="C268" s="7" t="n"/>
      <c r="D268" s="7" t="n"/>
      <c r="E268" s="7" t="n"/>
      <c r="F268" s="7" t="n"/>
      <c r="G268" s="7" t="n"/>
      <c r="H268" s="7" t="n"/>
      <c r="I268" s="7" t="n"/>
      <c r="J268" s="7" t="n"/>
      <c r="K268" s="7" t="n"/>
      <c r="L268" s="7" t="n"/>
      <c r="M268" s="7" t="n"/>
      <c r="N268" s="7" t="n"/>
      <c r="O268" s="7" t="n"/>
      <c r="P268" s="7" t="n"/>
      <c r="Q268" s="7" t="n"/>
      <c r="R268" s="7" t="n"/>
      <c r="S268" s="7" t="n"/>
      <c r="T268" s="7" t="n"/>
      <c r="U268" s="7" t="n"/>
      <c r="V268" s="7" t="n"/>
      <c r="W268" s="7" t="n"/>
      <c r="X268" s="7" t="n"/>
      <c r="Y268" s="7" t="n"/>
      <c r="Z268" s="7" t="n"/>
      <c r="AA268" s="7" t="n"/>
      <c r="AB268" s="7">
        <f>IF(Y268="","",IFERROR(VLOOKUP(Y268,'Ingredients + Stock'!B:D,3,FALSE),""))</f>
        <v/>
      </c>
      <c r="AC268" s="7">
        <f>IF(Y268="","",IFERROR(VLOOKUP(Y268,'Ingredients + Stock'!B:G,6,FALSE),0))</f>
        <v/>
      </c>
      <c r="AD268" s="7">
        <f>IF(AA268="","",IFERROR(VLOOKUP(AA268,'Unit Conversion'!A:D,4,FALSE),1))</f>
        <v/>
      </c>
      <c r="AE268" s="7">
        <f>IF(AB268="","",IFERROR(VLOOKUP(AB268,'Unit Conversion'!A:D,4,FALSE),1))</f>
        <v/>
      </c>
      <c r="AF268" s="7">
        <f>IF(AA268="","",Z268*AD268/AE268)</f>
        <v/>
      </c>
      <c r="AG268" s="7">
        <f>AF268*AC268</f>
        <v/>
      </c>
      <c r="AH268" s="7">
        <f>IF(AA268="","",IFERROR(IF(VLOOKUP(AA268,'Unit Conversion'!A:B,2,FALSE)=VLOOKUP(AB268,'Unit Conversion'!A:B,2,FALSE),"OK","Check W/V mismatch"),"Check unit"))</f>
        <v/>
      </c>
      <c r="AI268" s="7" t="n"/>
    </row>
    <row r="269">
      <c r="A269" s="8" t="n"/>
      <c r="B269" s="8" t="n"/>
      <c r="C269" s="8" t="n"/>
      <c r="D269" s="8" t="n"/>
      <c r="E269" s="8" t="n"/>
      <c r="F269" s="8" t="n"/>
      <c r="G269" s="8" t="n"/>
      <c r="H269" s="8" t="n"/>
      <c r="I269" s="8" t="n"/>
      <c r="J269" s="8" t="n"/>
      <c r="K269" s="8" t="n"/>
      <c r="L269" s="8" t="n"/>
      <c r="M269" s="8" t="n"/>
      <c r="N269" s="8" t="n"/>
      <c r="O269" s="8" t="n"/>
      <c r="P269" s="8" t="n"/>
      <c r="Q269" s="8" t="n"/>
      <c r="R269" s="8" t="n"/>
      <c r="S269" s="8" t="n"/>
      <c r="T269" s="8" t="n"/>
      <c r="U269" s="8" t="n"/>
      <c r="V269" s="8" t="n"/>
      <c r="W269" s="8" t="n"/>
      <c r="X269" s="8" t="n"/>
      <c r="Y269" s="8" t="n"/>
      <c r="Z269" s="8" t="n"/>
      <c r="AA269" s="8" t="n"/>
      <c r="AB269" s="8">
        <f>IF(Y269="","",IFERROR(VLOOKUP(Y269,'Ingredients + Stock'!B:D,3,FALSE),""))</f>
        <v/>
      </c>
      <c r="AC269" s="8">
        <f>IF(Y269="","",IFERROR(VLOOKUP(Y269,'Ingredients + Stock'!B:G,6,FALSE),0))</f>
        <v/>
      </c>
      <c r="AD269" s="8">
        <f>IF(AA269="","",IFERROR(VLOOKUP(AA269,'Unit Conversion'!A:D,4,FALSE),1))</f>
        <v/>
      </c>
      <c r="AE269" s="8">
        <f>IF(AB269="","",IFERROR(VLOOKUP(AB269,'Unit Conversion'!A:D,4,FALSE),1))</f>
        <v/>
      </c>
      <c r="AF269" s="8">
        <f>IF(AA269="","",Z269*AD269/AE269)</f>
        <v/>
      </c>
      <c r="AG269" s="8">
        <f>AF269*AC269</f>
        <v/>
      </c>
      <c r="AH269" s="8">
        <f>IF(AA269="","",IFERROR(IF(VLOOKUP(AA269,'Unit Conversion'!A:B,2,FALSE)=VLOOKUP(AB269,'Unit Conversion'!A:B,2,FALSE),"OK","Check W/V mismatch"),"Check unit"))</f>
        <v/>
      </c>
      <c r="AI269" s="8" t="n"/>
    </row>
    <row r="270">
      <c r="A270" s="7" t="n"/>
      <c r="B270" s="7" t="n"/>
      <c r="C270" s="7" t="n"/>
      <c r="D270" s="7" t="n"/>
      <c r="E270" s="7" t="n"/>
      <c r="F270" s="7" t="n"/>
      <c r="G270" s="7" t="n"/>
      <c r="H270" s="7" t="n"/>
      <c r="I270" s="7" t="n"/>
      <c r="J270" s="7" t="n"/>
      <c r="K270" s="7" t="n"/>
      <c r="L270" s="7" t="n"/>
      <c r="M270" s="7" t="n"/>
      <c r="N270" s="7" t="n"/>
      <c r="O270" s="7" t="n"/>
      <c r="P270" s="7" t="n"/>
      <c r="Q270" s="7" t="n"/>
      <c r="R270" s="7" t="n"/>
      <c r="S270" s="7" t="n"/>
      <c r="T270" s="7" t="n"/>
      <c r="U270" s="7" t="n"/>
      <c r="V270" s="7" t="n"/>
      <c r="W270" s="7" t="n"/>
      <c r="X270" s="7" t="n"/>
      <c r="Y270" s="7" t="n"/>
      <c r="Z270" s="7" t="n"/>
      <c r="AA270" s="7" t="n"/>
      <c r="AB270" s="7">
        <f>IF(Y270="","",IFERROR(VLOOKUP(Y270,'Ingredients + Stock'!B:D,3,FALSE),""))</f>
        <v/>
      </c>
      <c r="AC270" s="7">
        <f>IF(Y270="","",IFERROR(VLOOKUP(Y270,'Ingredients + Stock'!B:G,6,FALSE),0))</f>
        <v/>
      </c>
      <c r="AD270" s="7">
        <f>IF(AA270="","",IFERROR(VLOOKUP(AA270,'Unit Conversion'!A:D,4,FALSE),1))</f>
        <v/>
      </c>
      <c r="AE270" s="7">
        <f>IF(AB270="","",IFERROR(VLOOKUP(AB270,'Unit Conversion'!A:D,4,FALSE),1))</f>
        <v/>
      </c>
      <c r="AF270" s="7">
        <f>IF(AA270="","",Z270*AD270/AE270)</f>
        <v/>
      </c>
      <c r="AG270" s="7">
        <f>AF270*AC270</f>
        <v/>
      </c>
      <c r="AH270" s="7">
        <f>IF(AA270="","",IFERROR(IF(VLOOKUP(AA270,'Unit Conversion'!A:B,2,FALSE)=VLOOKUP(AB270,'Unit Conversion'!A:B,2,FALSE),"OK","Check W/V mismatch"),"Check unit"))</f>
        <v/>
      </c>
      <c r="AI270" s="7" t="n"/>
    </row>
    <row r="271">
      <c r="A271" s="8" t="n"/>
      <c r="B271" s="8" t="n"/>
      <c r="C271" s="8" t="n"/>
      <c r="D271" s="8" t="n"/>
      <c r="E271" s="8" t="n"/>
      <c r="F271" s="8" t="n"/>
      <c r="G271" s="8" t="n"/>
      <c r="H271" s="8" t="n"/>
      <c r="I271" s="8" t="n"/>
      <c r="J271" s="8" t="n"/>
      <c r="K271" s="8" t="n"/>
      <c r="L271" s="8" t="n"/>
      <c r="M271" s="8" t="n"/>
      <c r="N271" s="8" t="n"/>
      <c r="O271" s="8" t="n"/>
      <c r="P271" s="8" t="n"/>
      <c r="Q271" s="8" t="n"/>
      <c r="R271" s="8" t="n"/>
      <c r="S271" s="8" t="n"/>
      <c r="T271" s="8" t="n"/>
      <c r="U271" s="8" t="n"/>
      <c r="V271" s="8" t="n"/>
      <c r="W271" s="8" t="n"/>
      <c r="X271" s="8" t="n"/>
      <c r="Y271" s="8" t="n"/>
      <c r="Z271" s="8" t="n"/>
      <c r="AA271" s="8" t="n"/>
      <c r="AB271" s="8">
        <f>IF(Y271="","",IFERROR(VLOOKUP(Y271,'Ingredients + Stock'!B:D,3,FALSE),""))</f>
        <v/>
      </c>
      <c r="AC271" s="8">
        <f>IF(Y271="","",IFERROR(VLOOKUP(Y271,'Ingredients + Stock'!B:G,6,FALSE),0))</f>
        <v/>
      </c>
      <c r="AD271" s="8">
        <f>IF(AA271="","",IFERROR(VLOOKUP(AA271,'Unit Conversion'!A:D,4,FALSE),1))</f>
        <v/>
      </c>
      <c r="AE271" s="8">
        <f>IF(AB271="","",IFERROR(VLOOKUP(AB271,'Unit Conversion'!A:D,4,FALSE),1))</f>
        <v/>
      </c>
      <c r="AF271" s="8">
        <f>IF(AA271="","",Z271*AD271/AE271)</f>
        <v/>
      </c>
      <c r="AG271" s="8">
        <f>AF271*AC271</f>
        <v/>
      </c>
      <c r="AH271" s="8">
        <f>IF(AA271="","",IFERROR(IF(VLOOKUP(AA271,'Unit Conversion'!A:B,2,FALSE)=VLOOKUP(AB271,'Unit Conversion'!A:B,2,FALSE),"OK","Check W/V mismatch"),"Check unit"))</f>
        <v/>
      </c>
      <c r="AI271" s="8" t="n"/>
    </row>
    <row r="272">
      <c r="A272" s="7" t="n"/>
      <c r="B272" s="7" t="n"/>
      <c r="C272" s="7" t="n"/>
      <c r="D272" s="7" t="n"/>
      <c r="E272" s="7" t="n"/>
      <c r="F272" s="7" t="n"/>
      <c r="G272" s="7" t="n"/>
      <c r="H272" s="7" t="n"/>
      <c r="I272" s="7" t="n"/>
      <c r="J272" s="7" t="n"/>
      <c r="K272" s="7" t="n"/>
      <c r="L272" s="7" t="n"/>
      <c r="M272" s="7" t="n"/>
      <c r="N272" s="7" t="n"/>
      <c r="O272" s="7" t="n"/>
      <c r="P272" s="7" t="n"/>
      <c r="Q272" s="7" t="n"/>
      <c r="R272" s="7" t="n"/>
      <c r="S272" s="7" t="n"/>
      <c r="T272" s="7" t="n"/>
      <c r="U272" s="7" t="n"/>
      <c r="V272" s="7" t="n"/>
      <c r="W272" s="7" t="n"/>
      <c r="X272" s="7" t="n"/>
      <c r="Y272" s="7" t="n"/>
      <c r="Z272" s="7" t="n"/>
      <c r="AA272" s="7" t="n"/>
      <c r="AB272" s="7">
        <f>IF(Y272="","",IFERROR(VLOOKUP(Y272,'Ingredients + Stock'!B:D,3,FALSE),""))</f>
        <v/>
      </c>
      <c r="AC272" s="7">
        <f>IF(Y272="","",IFERROR(VLOOKUP(Y272,'Ingredients + Stock'!B:G,6,FALSE),0))</f>
        <v/>
      </c>
      <c r="AD272" s="7">
        <f>IF(AA272="","",IFERROR(VLOOKUP(AA272,'Unit Conversion'!A:D,4,FALSE),1))</f>
        <v/>
      </c>
      <c r="AE272" s="7">
        <f>IF(AB272="","",IFERROR(VLOOKUP(AB272,'Unit Conversion'!A:D,4,FALSE),1))</f>
        <v/>
      </c>
      <c r="AF272" s="7">
        <f>IF(AA272="","",Z272*AD272/AE272)</f>
        <v/>
      </c>
      <c r="AG272" s="7">
        <f>AF272*AC272</f>
        <v/>
      </c>
      <c r="AH272" s="7">
        <f>IF(AA272="","",IFERROR(IF(VLOOKUP(AA272,'Unit Conversion'!A:B,2,FALSE)=VLOOKUP(AB272,'Unit Conversion'!A:B,2,FALSE),"OK","Check W/V mismatch"),"Check unit"))</f>
        <v/>
      </c>
      <c r="AI272" s="7" t="n"/>
    </row>
    <row r="273">
      <c r="A273" s="8" t="n"/>
      <c r="B273" s="8" t="n"/>
      <c r="C273" s="8" t="n"/>
      <c r="D273" s="8" t="n"/>
      <c r="E273" s="8" t="n"/>
      <c r="F273" s="8" t="n"/>
      <c r="G273" s="8" t="n"/>
      <c r="H273" s="8" t="n"/>
      <c r="I273" s="8" t="n"/>
      <c r="J273" s="8" t="n"/>
      <c r="K273" s="8" t="n"/>
      <c r="L273" s="8" t="n"/>
      <c r="M273" s="8" t="n"/>
      <c r="N273" s="8" t="n"/>
      <c r="O273" s="8" t="n"/>
      <c r="P273" s="8" t="n"/>
      <c r="Q273" s="8" t="n"/>
      <c r="R273" s="8" t="n"/>
      <c r="S273" s="8" t="n"/>
      <c r="T273" s="8" t="n"/>
      <c r="U273" s="8" t="n"/>
      <c r="V273" s="8" t="n"/>
      <c r="W273" s="8" t="n"/>
      <c r="X273" s="8" t="n"/>
      <c r="Y273" s="8" t="n"/>
      <c r="Z273" s="8" t="n"/>
      <c r="AA273" s="8" t="n"/>
      <c r="AB273" s="8">
        <f>IF(Y273="","",IFERROR(VLOOKUP(Y273,'Ingredients + Stock'!B:D,3,FALSE),""))</f>
        <v/>
      </c>
      <c r="AC273" s="8">
        <f>IF(Y273="","",IFERROR(VLOOKUP(Y273,'Ingredients + Stock'!B:G,6,FALSE),0))</f>
        <v/>
      </c>
      <c r="AD273" s="8">
        <f>IF(AA273="","",IFERROR(VLOOKUP(AA273,'Unit Conversion'!A:D,4,FALSE),1))</f>
        <v/>
      </c>
      <c r="AE273" s="8">
        <f>IF(AB273="","",IFERROR(VLOOKUP(AB273,'Unit Conversion'!A:D,4,FALSE),1))</f>
        <v/>
      </c>
      <c r="AF273" s="8">
        <f>IF(AA273="","",Z273*AD273/AE273)</f>
        <v/>
      </c>
      <c r="AG273" s="8">
        <f>AF273*AC273</f>
        <v/>
      </c>
      <c r="AH273" s="8">
        <f>IF(AA273="","",IFERROR(IF(VLOOKUP(AA273,'Unit Conversion'!A:B,2,FALSE)=VLOOKUP(AB273,'Unit Conversion'!A:B,2,FALSE),"OK","Check W/V mismatch"),"Check unit"))</f>
        <v/>
      </c>
      <c r="AI273" s="8" t="n"/>
    </row>
    <row r="274">
      <c r="A274" s="7" t="n"/>
      <c r="B274" s="7" t="n"/>
      <c r="C274" s="7" t="n"/>
      <c r="D274" s="7" t="n"/>
      <c r="E274" s="7" t="n"/>
      <c r="F274" s="7" t="n"/>
      <c r="G274" s="7" t="n"/>
      <c r="H274" s="7" t="n"/>
      <c r="I274" s="7" t="n"/>
      <c r="J274" s="7" t="n"/>
      <c r="K274" s="7" t="n"/>
      <c r="L274" s="7" t="n"/>
      <c r="M274" s="7" t="n"/>
      <c r="N274" s="7" t="n"/>
      <c r="O274" s="7" t="n"/>
      <c r="P274" s="7" t="n"/>
      <c r="Q274" s="7" t="n"/>
      <c r="R274" s="7" t="n"/>
      <c r="S274" s="7" t="n"/>
      <c r="T274" s="7" t="n"/>
      <c r="U274" s="7" t="n"/>
      <c r="V274" s="7" t="n"/>
      <c r="W274" s="7" t="n"/>
      <c r="X274" s="7" t="n"/>
      <c r="Y274" s="7" t="n"/>
      <c r="Z274" s="7" t="n"/>
      <c r="AA274" s="7" t="n"/>
      <c r="AB274" s="7">
        <f>IF(Y274="","",IFERROR(VLOOKUP(Y274,'Ingredients + Stock'!B:D,3,FALSE),""))</f>
        <v/>
      </c>
      <c r="AC274" s="7">
        <f>IF(Y274="","",IFERROR(VLOOKUP(Y274,'Ingredients + Stock'!B:G,6,FALSE),0))</f>
        <v/>
      </c>
      <c r="AD274" s="7">
        <f>IF(AA274="","",IFERROR(VLOOKUP(AA274,'Unit Conversion'!A:D,4,FALSE),1))</f>
        <v/>
      </c>
      <c r="AE274" s="7">
        <f>IF(AB274="","",IFERROR(VLOOKUP(AB274,'Unit Conversion'!A:D,4,FALSE),1))</f>
        <v/>
      </c>
      <c r="AF274" s="7">
        <f>IF(AA274="","",Z274*AD274/AE274)</f>
        <v/>
      </c>
      <c r="AG274" s="7">
        <f>AF274*AC274</f>
        <v/>
      </c>
      <c r="AH274" s="7">
        <f>IF(AA274="","",IFERROR(IF(VLOOKUP(AA274,'Unit Conversion'!A:B,2,FALSE)=VLOOKUP(AB274,'Unit Conversion'!A:B,2,FALSE),"OK","Check W/V mismatch"),"Check unit"))</f>
        <v/>
      </c>
      <c r="AI274" s="7" t="n"/>
    </row>
    <row r="275">
      <c r="A275" s="8" t="n"/>
      <c r="B275" s="8" t="n"/>
      <c r="C275" s="8" t="n"/>
      <c r="D275" s="8" t="n"/>
      <c r="E275" s="8" t="n"/>
      <c r="F275" s="8" t="n"/>
      <c r="G275" s="8" t="n"/>
      <c r="H275" s="8" t="n"/>
      <c r="I275" s="8" t="n"/>
      <c r="J275" s="8" t="n"/>
      <c r="K275" s="8" t="n"/>
      <c r="L275" s="8" t="n"/>
      <c r="M275" s="8" t="n"/>
      <c r="N275" s="8" t="n"/>
      <c r="O275" s="8" t="n"/>
      <c r="P275" s="8" t="n"/>
      <c r="Q275" s="8" t="n"/>
      <c r="R275" s="8" t="n"/>
      <c r="S275" s="8" t="n"/>
      <c r="T275" s="8" t="n"/>
      <c r="U275" s="8" t="n"/>
      <c r="V275" s="8" t="n"/>
      <c r="W275" s="8" t="n"/>
      <c r="X275" s="8" t="n"/>
      <c r="Y275" s="8" t="n"/>
      <c r="Z275" s="8" t="n"/>
      <c r="AA275" s="8" t="n"/>
      <c r="AB275" s="8">
        <f>IF(Y275="","",IFERROR(VLOOKUP(Y275,'Ingredients + Stock'!B:D,3,FALSE),""))</f>
        <v/>
      </c>
      <c r="AC275" s="8">
        <f>IF(Y275="","",IFERROR(VLOOKUP(Y275,'Ingredients + Stock'!B:G,6,FALSE),0))</f>
        <v/>
      </c>
      <c r="AD275" s="8">
        <f>IF(AA275="","",IFERROR(VLOOKUP(AA275,'Unit Conversion'!A:D,4,FALSE),1))</f>
        <v/>
      </c>
      <c r="AE275" s="8">
        <f>IF(AB275="","",IFERROR(VLOOKUP(AB275,'Unit Conversion'!A:D,4,FALSE),1))</f>
        <v/>
      </c>
      <c r="AF275" s="8">
        <f>IF(AA275="","",Z275*AD275/AE275)</f>
        <v/>
      </c>
      <c r="AG275" s="8">
        <f>AF275*AC275</f>
        <v/>
      </c>
      <c r="AH275" s="8">
        <f>IF(AA275="","",IFERROR(IF(VLOOKUP(AA275,'Unit Conversion'!A:B,2,FALSE)=VLOOKUP(AB275,'Unit Conversion'!A:B,2,FALSE),"OK","Check W/V mismatch"),"Check unit"))</f>
        <v/>
      </c>
      <c r="AI275" s="8" t="n"/>
    </row>
    <row r="276">
      <c r="A276" s="7" t="n"/>
      <c r="B276" s="7" t="n"/>
      <c r="C276" s="7" t="n"/>
      <c r="D276" s="7" t="n"/>
      <c r="E276" s="7" t="n"/>
      <c r="F276" s="7" t="n"/>
      <c r="G276" s="7" t="n"/>
      <c r="H276" s="7" t="n"/>
      <c r="I276" s="7" t="n"/>
      <c r="J276" s="7" t="n"/>
      <c r="K276" s="7" t="n"/>
      <c r="L276" s="7" t="n"/>
      <c r="M276" s="7" t="n"/>
      <c r="N276" s="7" t="n"/>
      <c r="O276" s="7" t="n"/>
      <c r="P276" s="7" t="n"/>
      <c r="Q276" s="7" t="n"/>
      <c r="R276" s="7" t="n"/>
      <c r="S276" s="7" t="n"/>
      <c r="T276" s="7" t="n"/>
      <c r="U276" s="7" t="n"/>
      <c r="V276" s="7" t="n"/>
      <c r="W276" s="7" t="n"/>
      <c r="X276" s="7" t="n"/>
      <c r="Y276" s="7" t="n"/>
      <c r="Z276" s="7" t="n"/>
      <c r="AA276" s="7" t="n"/>
      <c r="AB276" s="7">
        <f>IF(Y276="","",IFERROR(VLOOKUP(Y276,'Ingredients + Stock'!B:D,3,FALSE),""))</f>
        <v/>
      </c>
      <c r="AC276" s="7">
        <f>IF(Y276="","",IFERROR(VLOOKUP(Y276,'Ingredients + Stock'!B:G,6,FALSE),0))</f>
        <v/>
      </c>
      <c r="AD276" s="7">
        <f>IF(AA276="","",IFERROR(VLOOKUP(AA276,'Unit Conversion'!A:D,4,FALSE),1))</f>
        <v/>
      </c>
      <c r="AE276" s="7">
        <f>IF(AB276="","",IFERROR(VLOOKUP(AB276,'Unit Conversion'!A:D,4,FALSE),1))</f>
        <v/>
      </c>
      <c r="AF276" s="7">
        <f>IF(AA276="","",Z276*AD276/AE276)</f>
        <v/>
      </c>
      <c r="AG276" s="7">
        <f>AF276*AC276</f>
        <v/>
      </c>
      <c r="AH276" s="7">
        <f>IF(AA276="","",IFERROR(IF(VLOOKUP(AA276,'Unit Conversion'!A:B,2,FALSE)=VLOOKUP(AB276,'Unit Conversion'!A:B,2,FALSE),"OK","Check W/V mismatch"),"Check unit"))</f>
        <v/>
      </c>
      <c r="AI276" s="7" t="n"/>
    </row>
    <row r="277">
      <c r="A277" s="8" t="n"/>
      <c r="B277" s="8" t="n"/>
      <c r="C277" s="8" t="n"/>
      <c r="D277" s="8" t="n"/>
      <c r="E277" s="8" t="n"/>
      <c r="F277" s="8" t="n"/>
      <c r="G277" s="8" t="n"/>
      <c r="H277" s="8" t="n"/>
      <c r="I277" s="8" t="n"/>
      <c r="J277" s="8" t="n"/>
      <c r="K277" s="8" t="n"/>
      <c r="L277" s="8" t="n"/>
      <c r="M277" s="8" t="n"/>
      <c r="N277" s="8" t="n"/>
      <c r="O277" s="8" t="n"/>
      <c r="P277" s="8" t="n"/>
      <c r="Q277" s="8" t="n"/>
      <c r="R277" s="8" t="n"/>
      <c r="S277" s="8" t="n"/>
      <c r="T277" s="8" t="n"/>
      <c r="U277" s="8" t="n"/>
      <c r="V277" s="8" t="n"/>
      <c r="W277" s="8" t="n"/>
      <c r="X277" s="8" t="n"/>
      <c r="Y277" s="8" t="n"/>
      <c r="Z277" s="8" t="n"/>
      <c r="AA277" s="8" t="n"/>
      <c r="AB277" s="8">
        <f>IF(Y277="","",IFERROR(VLOOKUP(Y277,'Ingredients + Stock'!B:D,3,FALSE),""))</f>
        <v/>
      </c>
      <c r="AC277" s="8">
        <f>IF(Y277="","",IFERROR(VLOOKUP(Y277,'Ingredients + Stock'!B:G,6,FALSE),0))</f>
        <v/>
      </c>
      <c r="AD277" s="8">
        <f>IF(AA277="","",IFERROR(VLOOKUP(AA277,'Unit Conversion'!A:D,4,FALSE),1))</f>
        <v/>
      </c>
      <c r="AE277" s="8">
        <f>IF(AB277="","",IFERROR(VLOOKUP(AB277,'Unit Conversion'!A:D,4,FALSE),1))</f>
        <v/>
      </c>
      <c r="AF277" s="8">
        <f>IF(AA277="","",Z277*AD277/AE277)</f>
        <v/>
      </c>
      <c r="AG277" s="8">
        <f>AF277*AC277</f>
        <v/>
      </c>
      <c r="AH277" s="8">
        <f>IF(AA277="","",IFERROR(IF(VLOOKUP(AA277,'Unit Conversion'!A:B,2,FALSE)=VLOOKUP(AB277,'Unit Conversion'!A:B,2,FALSE),"OK","Check W/V mismatch"),"Check unit"))</f>
        <v/>
      </c>
      <c r="AI277" s="8" t="n"/>
    </row>
    <row r="278">
      <c r="A278" s="7" t="n"/>
      <c r="B278" s="7" t="n"/>
      <c r="C278" s="7" t="n"/>
      <c r="D278" s="7" t="n"/>
      <c r="E278" s="7" t="n"/>
      <c r="F278" s="7" t="n"/>
      <c r="G278" s="7" t="n"/>
      <c r="H278" s="7" t="n"/>
      <c r="I278" s="7" t="n"/>
      <c r="J278" s="7" t="n"/>
      <c r="K278" s="7" t="n"/>
      <c r="L278" s="7" t="n"/>
      <c r="M278" s="7" t="n"/>
      <c r="N278" s="7" t="n"/>
      <c r="O278" s="7" t="n"/>
      <c r="P278" s="7" t="n"/>
      <c r="Q278" s="7" t="n"/>
      <c r="R278" s="7" t="n"/>
      <c r="S278" s="7" t="n"/>
      <c r="T278" s="7" t="n"/>
      <c r="U278" s="7" t="n"/>
      <c r="V278" s="7" t="n"/>
      <c r="W278" s="7" t="n"/>
      <c r="X278" s="7" t="n"/>
      <c r="Y278" s="7" t="n"/>
      <c r="Z278" s="7" t="n"/>
      <c r="AA278" s="7" t="n"/>
      <c r="AB278" s="7">
        <f>IF(Y278="","",IFERROR(VLOOKUP(Y278,'Ingredients + Stock'!B:D,3,FALSE),""))</f>
        <v/>
      </c>
      <c r="AC278" s="7">
        <f>IF(Y278="","",IFERROR(VLOOKUP(Y278,'Ingredients + Stock'!B:G,6,FALSE),0))</f>
        <v/>
      </c>
      <c r="AD278" s="7">
        <f>IF(AA278="","",IFERROR(VLOOKUP(AA278,'Unit Conversion'!A:D,4,FALSE),1))</f>
        <v/>
      </c>
      <c r="AE278" s="7">
        <f>IF(AB278="","",IFERROR(VLOOKUP(AB278,'Unit Conversion'!A:D,4,FALSE),1))</f>
        <v/>
      </c>
      <c r="AF278" s="7">
        <f>IF(AA278="","",Z278*AD278/AE278)</f>
        <v/>
      </c>
      <c r="AG278" s="7">
        <f>AF278*AC278</f>
        <v/>
      </c>
      <c r="AH278" s="7">
        <f>IF(AA278="","",IFERROR(IF(VLOOKUP(AA278,'Unit Conversion'!A:B,2,FALSE)=VLOOKUP(AB278,'Unit Conversion'!A:B,2,FALSE),"OK","Check W/V mismatch"),"Check unit"))</f>
        <v/>
      </c>
      <c r="AI278" s="7" t="n"/>
    </row>
    <row r="279">
      <c r="A279" s="8" t="n"/>
      <c r="B279" s="8" t="n"/>
      <c r="C279" s="8" t="n"/>
      <c r="D279" s="8" t="n"/>
      <c r="E279" s="8" t="n"/>
      <c r="F279" s="8" t="n"/>
      <c r="G279" s="8" t="n"/>
      <c r="H279" s="8" t="n"/>
      <c r="I279" s="8" t="n"/>
      <c r="J279" s="8" t="n"/>
      <c r="K279" s="8" t="n"/>
      <c r="L279" s="8" t="n"/>
      <c r="M279" s="8" t="n"/>
      <c r="N279" s="8" t="n"/>
      <c r="O279" s="8" t="n"/>
      <c r="P279" s="8" t="n"/>
      <c r="Q279" s="8" t="n"/>
      <c r="R279" s="8" t="n"/>
      <c r="S279" s="8" t="n"/>
      <c r="T279" s="8" t="n"/>
      <c r="U279" s="8" t="n"/>
      <c r="V279" s="8" t="n"/>
      <c r="W279" s="8" t="n"/>
      <c r="X279" s="8" t="n"/>
      <c r="Y279" s="8" t="n"/>
      <c r="Z279" s="8" t="n"/>
      <c r="AA279" s="8" t="n"/>
      <c r="AB279" s="8">
        <f>IF(Y279="","",IFERROR(VLOOKUP(Y279,'Ingredients + Stock'!B:D,3,FALSE),""))</f>
        <v/>
      </c>
      <c r="AC279" s="8">
        <f>IF(Y279="","",IFERROR(VLOOKUP(Y279,'Ingredients + Stock'!B:G,6,FALSE),0))</f>
        <v/>
      </c>
      <c r="AD279" s="8">
        <f>IF(AA279="","",IFERROR(VLOOKUP(AA279,'Unit Conversion'!A:D,4,FALSE),1))</f>
        <v/>
      </c>
      <c r="AE279" s="8">
        <f>IF(AB279="","",IFERROR(VLOOKUP(AB279,'Unit Conversion'!A:D,4,FALSE),1))</f>
        <v/>
      </c>
      <c r="AF279" s="8">
        <f>IF(AA279="","",Z279*AD279/AE279)</f>
        <v/>
      </c>
      <c r="AG279" s="8">
        <f>AF279*AC279</f>
        <v/>
      </c>
      <c r="AH279" s="8">
        <f>IF(AA279="","",IFERROR(IF(VLOOKUP(AA279,'Unit Conversion'!A:B,2,FALSE)=VLOOKUP(AB279,'Unit Conversion'!A:B,2,FALSE),"OK","Check W/V mismatch"),"Check unit"))</f>
        <v/>
      </c>
      <c r="AI279" s="8" t="n"/>
    </row>
    <row r="280">
      <c r="A280" s="7" t="n"/>
      <c r="B280" s="7" t="n"/>
      <c r="C280" s="7" t="n"/>
      <c r="D280" s="7" t="n"/>
      <c r="E280" s="7" t="n"/>
      <c r="F280" s="7" t="n"/>
      <c r="G280" s="7" t="n"/>
      <c r="H280" s="7" t="n"/>
      <c r="I280" s="7" t="n"/>
      <c r="J280" s="7" t="n"/>
      <c r="K280" s="7" t="n"/>
      <c r="L280" s="7" t="n"/>
      <c r="M280" s="7" t="n"/>
      <c r="N280" s="7" t="n"/>
      <c r="O280" s="7" t="n"/>
      <c r="P280" s="7" t="n"/>
      <c r="Q280" s="7" t="n"/>
      <c r="R280" s="7" t="n"/>
      <c r="S280" s="7" t="n"/>
      <c r="T280" s="7" t="n"/>
      <c r="U280" s="7" t="n"/>
      <c r="V280" s="7" t="n"/>
      <c r="W280" s="7" t="n"/>
      <c r="X280" s="7" t="n"/>
      <c r="Y280" s="7" t="n"/>
      <c r="Z280" s="7" t="n"/>
      <c r="AA280" s="7" t="n"/>
      <c r="AB280" s="7">
        <f>IF(Y280="","",IFERROR(VLOOKUP(Y280,'Ingredients + Stock'!B:D,3,FALSE),""))</f>
        <v/>
      </c>
      <c r="AC280" s="7">
        <f>IF(Y280="","",IFERROR(VLOOKUP(Y280,'Ingredients + Stock'!B:G,6,FALSE),0))</f>
        <v/>
      </c>
      <c r="AD280" s="7">
        <f>IF(AA280="","",IFERROR(VLOOKUP(AA280,'Unit Conversion'!A:D,4,FALSE),1))</f>
        <v/>
      </c>
      <c r="AE280" s="7">
        <f>IF(AB280="","",IFERROR(VLOOKUP(AB280,'Unit Conversion'!A:D,4,FALSE),1))</f>
        <v/>
      </c>
      <c r="AF280" s="7">
        <f>IF(AA280="","",Z280*AD280/AE280)</f>
        <v/>
      </c>
      <c r="AG280" s="7">
        <f>AF280*AC280</f>
        <v/>
      </c>
      <c r="AH280" s="7">
        <f>IF(AA280="","",IFERROR(IF(VLOOKUP(AA280,'Unit Conversion'!A:B,2,FALSE)=VLOOKUP(AB280,'Unit Conversion'!A:B,2,FALSE),"OK","Check W/V mismatch"),"Check unit"))</f>
        <v/>
      </c>
      <c r="AI280" s="7" t="n"/>
    </row>
    <row r="281">
      <c r="A281" s="8" t="n"/>
      <c r="B281" s="8" t="n"/>
      <c r="C281" s="8" t="n"/>
      <c r="D281" s="8" t="n"/>
      <c r="E281" s="8" t="n"/>
      <c r="F281" s="8" t="n"/>
      <c r="G281" s="8" t="n"/>
      <c r="H281" s="8" t="n"/>
      <c r="I281" s="8" t="n"/>
      <c r="J281" s="8" t="n"/>
      <c r="K281" s="8" t="n"/>
      <c r="L281" s="8" t="n"/>
      <c r="M281" s="8" t="n"/>
      <c r="N281" s="8" t="n"/>
      <c r="O281" s="8" t="n"/>
      <c r="P281" s="8" t="n"/>
      <c r="Q281" s="8" t="n"/>
      <c r="R281" s="8" t="n"/>
      <c r="S281" s="8" t="n"/>
      <c r="T281" s="8" t="n"/>
      <c r="U281" s="8" t="n"/>
      <c r="V281" s="8" t="n"/>
      <c r="W281" s="8" t="n"/>
      <c r="X281" s="8" t="n"/>
      <c r="Y281" s="8" t="n"/>
      <c r="Z281" s="8" t="n"/>
      <c r="AA281" s="8" t="n"/>
      <c r="AB281" s="8">
        <f>IF(Y281="","",IFERROR(VLOOKUP(Y281,'Ingredients + Stock'!B:D,3,FALSE),""))</f>
        <v/>
      </c>
      <c r="AC281" s="8">
        <f>IF(Y281="","",IFERROR(VLOOKUP(Y281,'Ingredients + Stock'!B:G,6,FALSE),0))</f>
        <v/>
      </c>
      <c r="AD281" s="8">
        <f>IF(AA281="","",IFERROR(VLOOKUP(AA281,'Unit Conversion'!A:D,4,FALSE),1))</f>
        <v/>
      </c>
      <c r="AE281" s="8">
        <f>IF(AB281="","",IFERROR(VLOOKUP(AB281,'Unit Conversion'!A:D,4,FALSE),1))</f>
        <v/>
      </c>
      <c r="AF281" s="8">
        <f>IF(AA281="","",Z281*AD281/AE281)</f>
        <v/>
      </c>
      <c r="AG281" s="8">
        <f>AF281*AC281</f>
        <v/>
      </c>
      <c r="AH281" s="8">
        <f>IF(AA281="","",IFERROR(IF(VLOOKUP(AA281,'Unit Conversion'!A:B,2,FALSE)=VLOOKUP(AB281,'Unit Conversion'!A:B,2,FALSE),"OK","Check W/V mismatch"),"Check unit"))</f>
        <v/>
      </c>
      <c r="AI281" s="8" t="n"/>
    </row>
    <row r="282">
      <c r="A282" s="7" t="n"/>
      <c r="B282" s="7" t="n"/>
      <c r="C282" s="7" t="n"/>
      <c r="D282" s="7" t="n"/>
      <c r="E282" s="7" t="n"/>
      <c r="F282" s="7" t="n"/>
      <c r="G282" s="7" t="n"/>
      <c r="H282" s="7" t="n"/>
      <c r="I282" s="7" t="n"/>
      <c r="J282" s="7" t="n"/>
      <c r="K282" s="7" t="n"/>
      <c r="L282" s="7" t="n"/>
      <c r="M282" s="7" t="n"/>
      <c r="N282" s="7" t="n"/>
      <c r="O282" s="7" t="n"/>
      <c r="P282" s="7" t="n"/>
      <c r="Q282" s="7" t="n"/>
      <c r="R282" s="7" t="n"/>
      <c r="S282" s="7" t="n"/>
      <c r="T282" s="7" t="n"/>
      <c r="U282" s="7" t="n"/>
      <c r="V282" s="7" t="n"/>
      <c r="W282" s="7" t="n"/>
      <c r="X282" s="7" t="n"/>
      <c r="Y282" s="7" t="n"/>
      <c r="Z282" s="7" t="n"/>
      <c r="AA282" s="7" t="n"/>
      <c r="AB282" s="7">
        <f>IF(Y282="","",IFERROR(VLOOKUP(Y282,'Ingredients + Stock'!B:D,3,FALSE),""))</f>
        <v/>
      </c>
      <c r="AC282" s="7">
        <f>IF(Y282="","",IFERROR(VLOOKUP(Y282,'Ingredients + Stock'!B:G,6,FALSE),0))</f>
        <v/>
      </c>
      <c r="AD282" s="7">
        <f>IF(AA282="","",IFERROR(VLOOKUP(AA282,'Unit Conversion'!A:D,4,FALSE),1))</f>
        <v/>
      </c>
      <c r="AE282" s="7">
        <f>IF(AB282="","",IFERROR(VLOOKUP(AB282,'Unit Conversion'!A:D,4,FALSE),1))</f>
        <v/>
      </c>
      <c r="AF282" s="7">
        <f>IF(AA282="","",Z282*AD282/AE282)</f>
        <v/>
      </c>
      <c r="AG282" s="7">
        <f>AF282*AC282</f>
        <v/>
      </c>
      <c r="AH282" s="7">
        <f>IF(AA282="","",IFERROR(IF(VLOOKUP(AA282,'Unit Conversion'!A:B,2,FALSE)=VLOOKUP(AB282,'Unit Conversion'!A:B,2,FALSE),"OK","Check W/V mismatch"),"Check unit"))</f>
        <v/>
      </c>
      <c r="AI282" s="7" t="n"/>
    </row>
    <row r="283">
      <c r="A283" s="8" t="n"/>
      <c r="B283" s="8" t="n"/>
      <c r="C283" s="8" t="n"/>
      <c r="D283" s="8" t="n"/>
      <c r="E283" s="8" t="n"/>
      <c r="F283" s="8" t="n"/>
      <c r="G283" s="8" t="n"/>
      <c r="H283" s="8" t="n"/>
      <c r="I283" s="8" t="n"/>
      <c r="J283" s="8" t="n"/>
      <c r="K283" s="8" t="n"/>
      <c r="L283" s="8" t="n"/>
      <c r="M283" s="8" t="n"/>
      <c r="N283" s="8" t="n"/>
      <c r="O283" s="8" t="n"/>
      <c r="P283" s="8" t="n"/>
      <c r="Q283" s="8" t="n"/>
      <c r="R283" s="8" t="n"/>
      <c r="S283" s="8" t="n"/>
      <c r="T283" s="8" t="n"/>
      <c r="U283" s="8" t="n"/>
      <c r="V283" s="8" t="n"/>
      <c r="W283" s="8" t="n"/>
      <c r="X283" s="8" t="n"/>
      <c r="Y283" s="8" t="n"/>
      <c r="Z283" s="8" t="n"/>
      <c r="AA283" s="8" t="n"/>
      <c r="AB283" s="8">
        <f>IF(Y283="","",IFERROR(VLOOKUP(Y283,'Ingredients + Stock'!B:D,3,FALSE),""))</f>
        <v/>
      </c>
      <c r="AC283" s="8">
        <f>IF(Y283="","",IFERROR(VLOOKUP(Y283,'Ingredients + Stock'!B:G,6,FALSE),0))</f>
        <v/>
      </c>
      <c r="AD283" s="8">
        <f>IF(AA283="","",IFERROR(VLOOKUP(AA283,'Unit Conversion'!A:D,4,FALSE),1))</f>
        <v/>
      </c>
      <c r="AE283" s="8">
        <f>IF(AB283="","",IFERROR(VLOOKUP(AB283,'Unit Conversion'!A:D,4,FALSE),1))</f>
        <v/>
      </c>
      <c r="AF283" s="8">
        <f>IF(AA283="","",Z283*AD283/AE283)</f>
        <v/>
      </c>
      <c r="AG283" s="8">
        <f>AF283*AC283</f>
        <v/>
      </c>
      <c r="AH283" s="8">
        <f>IF(AA283="","",IFERROR(IF(VLOOKUP(AA283,'Unit Conversion'!A:B,2,FALSE)=VLOOKUP(AB283,'Unit Conversion'!A:B,2,FALSE),"OK","Check W/V mismatch"),"Check unit"))</f>
        <v/>
      </c>
      <c r="AI283" s="8" t="n"/>
    </row>
    <row r="284">
      <c r="A284" s="7" t="n"/>
      <c r="B284" s="7" t="n"/>
      <c r="C284" s="7" t="n"/>
      <c r="D284" s="7" t="n"/>
      <c r="E284" s="7" t="n"/>
      <c r="F284" s="7" t="n"/>
      <c r="G284" s="7" t="n"/>
      <c r="H284" s="7" t="n"/>
      <c r="I284" s="7" t="n"/>
      <c r="J284" s="7" t="n"/>
      <c r="K284" s="7" t="n"/>
      <c r="L284" s="7" t="n"/>
      <c r="M284" s="7" t="n"/>
      <c r="N284" s="7" t="n"/>
      <c r="O284" s="7" t="n"/>
      <c r="P284" s="7" t="n"/>
      <c r="Q284" s="7" t="n"/>
      <c r="R284" s="7" t="n"/>
      <c r="S284" s="7" t="n"/>
      <c r="T284" s="7" t="n"/>
      <c r="U284" s="7" t="n"/>
      <c r="V284" s="7" t="n"/>
      <c r="W284" s="7" t="n"/>
      <c r="X284" s="7" t="n"/>
      <c r="Y284" s="7" t="n"/>
      <c r="Z284" s="7" t="n"/>
      <c r="AA284" s="7" t="n"/>
      <c r="AB284" s="7">
        <f>IF(Y284="","",IFERROR(VLOOKUP(Y284,'Ingredients + Stock'!B:D,3,FALSE),""))</f>
        <v/>
      </c>
      <c r="AC284" s="7">
        <f>IF(Y284="","",IFERROR(VLOOKUP(Y284,'Ingredients + Stock'!B:G,6,FALSE),0))</f>
        <v/>
      </c>
      <c r="AD284" s="7">
        <f>IF(AA284="","",IFERROR(VLOOKUP(AA284,'Unit Conversion'!A:D,4,FALSE),1))</f>
        <v/>
      </c>
      <c r="AE284" s="7">
        <f>IF(AB284="","",IFERROR(VLOOKUP(AB284,'Unit Conversion'!A:D,4,FALSE),1))</f>
        <v/>
      </c>
      <c r="AF284" s="7">
        <f>IF(AA284="","",Z284*AD284/AE284)</f>
        <v/>
      </c>
      <c r="AG284" s="7">
        <f>AF284*AC284</f>
        <v/>
      </c>
      <c r="AH284" s="7">
        <f>IF(AA284="","",IFERROR(IF(VLOOKUP(AA284,'Unit Conversion'!A:B,2,FALSE)=VLOOKUP(AB284,'Unit Conversion'!A:B,2,FALSE),"OK","Check W/V mismatch"),"Check unit"))</f>
        <v/>
      </c>
      <c r="AI284" s="7" t="n"/>
    </row>
    <row r="285">
      <c r="A285" s="8" t="n"/>
      <c r="B285" s="8" t="n"/>
      <c r="C285" s="8" t="n"/>
      <c r="D285" s="8" t="n"/>
      <c r="E285" s="8" t="n"/>
      <c r="F285" s="8" t="n"/>
      <c r="G285" s="8" t="n"/>
      <c r="H285" s="8" t="n"/>
      <c r="I285" s="8" t="n"/>
      <c r="J285" s="8" t="n"/>
      <c r="K285" s="8" t="n"/>
      <c r="L285" s="8" t="n"/>
      <c r="M285" s="8" t="n"/>
      <c r="N285" s="8" t="n"/>
      <c r="O285" s="8" t="n"/>
      <c r="P285" s="8" t="n"/>
      <c r="Q285" s="8" t="n"/>
      <c r="R285" s="8" t="n"/>
      <c r="S285" s="8" t="n"/>
      <c r="T285" s="8" t="n"/>
      <c r="U285" s="8" t="n"/>
      <c r="V285" s="8" t="n"/>
      <c r="W285" s="8" t="n"/>
      <c r="X285" s="8" t="n"/>
      <c r="Y285" s="8" t="n"/>
      <c r="Z285" s="8" t="n"/>
      <c r="AA285" s="8" t="n"/>
      <c r="AB285" s="8">
        <f>IF(Y285="","",IFERROR(VLOOKUP(Y285,'Ingredients + Stock'!B:D,3,FALSE),""))</f>
        <v/>
      </c>
      <c r="AC285" s="8">
        <f>IF(Y285="","",IFERROR(VLOOKUP(Y285,'Ingredients + Stock'!B:G,6,FALSE),0))</f>
        <v/>
      </c>
      <c r="AD285" s="8">
        <f>IF(AA285="","",IFERROR(VLOOKUP(AA285,'Unit Conversion'!A:D,4,FALSE),1))</f>
        <v/>
      </c>
      <c r="AE285" s="8">
        <f>IF(AB285="","",IFERROR(VLOOKUP(AB285,'Unit Conversion'!A:D,4,FALSE),1))</f>
        <v/>
      </c>
      <c r="AF285" s="8">
        <f>IF(AA285="","",Z285*AD285/AE285)</f>
        <v/>
      </c>
      <c r="AG285" s="8">
        <f>AF285*AC285</f>
        <v/>
      </c>
      <c r="AH285" s="8">
        <f>IF(AA285="","",IFERROR(IF(VLOOKUP(AA285,'Unit Conversion'!A:B,2,FALSE)=VLOOKUP(AB285,'Unit Conversion'!A:B,2,FALSE),"OK","Check W/V mismatch"),"Check unit"))</f>
        <v/>
      </c>
      <c r="AI285" s="8" t="n"/>
    </row>
    <row r="286">
      <c r="A286" s="7" t="n"/>
      <c r="B286" s="7" t="n"/>
      <c r="C286" s="7" t="n"/>
      <c r="D286" s="7" t="n"/>
      <c r="E286" s="7" t="n"/>
      <c r="F286" s="7" t="n"/>
      <c r="G286" s="7" t="n"/>
      <c r="H286" s="7" t="n"/>
      <c r="I286" s="7" t="n"/>
      <c r="J286" s="7" t="n"/>
      <c r="K286" s="7" t="n"/>
      <c r="L286" s="7" t="n"/>
      <c r="M286" s="7" t="n"/>
      <c r="N286" s="7" t="n"/>
      <c r="O286" s="7" t="n"/>
      <c r="P286" s="7" t="n"/>
      <c r="Q286" s="7" t="n"/>
      <c r="R286" s="7" t="n"/>
      <c r="S286" s="7" t="n"/>
      <c r="T286" s="7" t="n"/>
      <c r="U286" s="7" t="n"/>
      <c r="V286" s="7" t="n"/>
      <c r="W286" s="7" t="n"/>
      <c r="X286" s="7" t="n"/>
      <c r="Y286" s="7" t="n"/>
      <c r="Z286" s="7" t="n"/>
      <c r="AA286" s="7" t="n"/>
      <c r="AB286" s="7">
        <f>IF(Y286="","",IFERROR(VLOOKUP(Y286,'Ingredients + Stock'!B:D,3,FALSE),""))</f>
        <v/>
      </c>
      <c r="AC286" s="7">
        <f>IF(Y286="","",IFERROR(VLOOKUP(Y286,'Ingredients + Stock'!B:G,6,FALSE),0))</f>
        <v/>
      </c>
      <c r="AD286" s="7">
        <f>IF(AA286="","",IFERROR(VLOOKUP(AA286,'Unit Conversion'!A:D,4,FALSE),1))</f>
        <v/>
      </c>
      <c r="AE286" s="7">
        <f>IF(AB286="","",IFERROR(VLOOKUP(AB286,'Unit Conversion'!A:D,4,FALSE),1))</f>
        <v/>
      </c>
      <c r="AF286" s="7">
        <f>IF(AA286="","",Z286*AD286/AE286)</f>
        <v/>
      </c>
      <c r="AG286" s="7">
        <f>AF286*AC286</f>
        <v/>
      </c>
      <c r="AH286" s="7">
        <f>IF(AA286="","",IFERROR(IF(VLOOKUP(AA286,'Unit Conversion'!A:B,2,FALSE)=VLOOKUP(AB286,'Unit Conversion'!A:B,2,FALSE),"OK","Check W/V mismatch"),"Check unit"))</f>
        <v/>
      </c>
      <c r="AI286" s="7" t="n"/>
    </row>
    <row r="287">
      <c r="A287" s="8" t="n"/>
      <c r="B287" s="8" t="n"/>
      <c r="C287" s="8" t="n"/>
      <c r="D287" s="8" t="n"/>
      <c r="E287" s="8" t="n"/>
      <c r="F287" s="8" t="n"/>
      <c r="G287" s="8" t="n"/>
      <c r="H287" s="8" t="n"/>
      <c r="I287" s="8" t="n"/>
      <c r="J287" s="8" t="n"/>
      <c r="K287" s="8" t="n"/>
      <c r="L287" s="8" t="n"/>
      <c r="M287" s="8" t="n"/>
      <c r="N287" s="8" t="n"/>
      <c r="O287" s="8" t="n"/>
      <c r="P287" s="8" t="n"/>
      <c r="Q287" s="8" t="n"/>
      <c r="R287" s="8" t="n"/>
      <c r="S287" s="8" t="n"/>
      <c r="T287" s="8" t="n"/>
      <c r="U287" s="8" t="n"/>
      <c r="V287" s="8" t="n"/>
      <c r="W287" s="8" t="n"/>
      <c r="X287" s="8" t="n"/>
      <c r="Y287" s="8" t="n"/>
      <c r="Z287" s="8" t="n"/>
      <c r="AA287" s="8" t="n"/>
      <c r="AB287" s="8">
        <f>IF(Y287="","",IFERROR(VLOOKUP(Y287,'Ingredients + Stock'!B:D,3,FALSE),""))</f>
        <v/>
      </c>
      <c r="AC287" s="8">
        <f>IF(Y287="","",IFERROR(VLOOKUP(Y287,'Ingredients + Stock'!B:G,6,FALSE),0))</f>
        <v/>
      </c>
      <c r="AD287" s="8">
        <f>IF(AA287="","",IFERROR(VLOOKUP(AA287,'Unit Conversion'!A:D,4,FALSE),1))</f>
        <v/>
      </c>
      <c r="AE287" s="8">
        <f>IF(AB287="","",IFERROR(VLOOKUP(AB287,'Unit Conversion'!A:D,4,FALSE),1))</f>
        <v/>
      </c>
      <c r="AF287" s="8">
        <f>IF(AA287="","",Z287*AD287/AE287)</f>
        <v/>
      </c>
      <c r="AG287" s="8">
        <f>AF287*AC287</f>
        <v/>
      </c>
      <c r="AH287" s="8">
        <f>IF(AA287="","",IFERROR(IF(VLOOKUP(AA287,'Unit Conversion'!A:B,2,FALSE)=VLOOKUP(AB287,'Unit Conversion'!A:B,2,FALSE),"OK","Check W/V mismatch"),"Check unit"))</f>
        <v/>
      </c>
      <c r="AI287" s="8" t="n"/>
    </row>
    <row r="288">
      <c r="A288" s="7" t="n"/>
      <c r="B288" s="7" t="n"/>
      <c r="C288" s="7" t="n"/>
      <c r="D288" s="7" t="n"/>
      <c r="E288" s="7" t="n"/>
      <c r="F288" s="7" t="n"/>
      <c r="G288" s="7" t="n"/>
      <c r="H288" s="7" t="n"/>
      <c r="I288" s="7" t="n"/>
      <c r="J288" s="7" t="n"/>
      <c r="K288" s="7" t="n"/>
      <c r="L288" s="7" t="n"/>
      <c r="M288" s="7" t="n"/>
      <c r="N288" s="7" t="n"/>
      <c r="O288" s="7" t="n"/>
      <c r="P288" s="7" t="n"/>
      <c r="Q288" s="7" t="n"/>
      <c r="R288" s="7" t="n"/>
      <c r="S288" s="7" t="n"/>
      <c r="T288" s="7" t="n"/>
      <c r="U288" s="7" t="n"/>
      <c r="V288" s="7" t="n"/>
      <c r="W288" s="7" t="n"/>
      <c r="X288" s="7" t="n"/>
      <c r="Y288" s="7" t="n"/>
      <c r="Z288" s="7" t="n"/>
      <c r="AA288" s="7" t="n"/>
      <c r="AB288" s="7">
        <f>IF(Y288="","",IFERROR(VLOOKUP(Y288,'Ingredients + Stock'!B:D,3,FALSE),""))</f>
        <v/>
      </c>
      <c r="AC288" s="7">
        <f>IF(Y288="","",IFERROR(VLOOKUP(Y288,'Ingredients + Stock'!B:G,6,FALSE),0))</f>
        <v/>
      </c>
      <c r="AD288" s="7">
        <f>IF(AA288="","",IFERROR(VLOOKUP(AA288,'Unit Conversion'!A:D,4,FALSE),1))</f>
        <v/>
      </c>
      <c r="AE288" s="7">
        <f>IF(AB288="","",IFERROR(VLOOKUP(AB288,'Unit Conversion'!A:D,4,FALSE),1))</f>
        <v/>
      </c>
      <c r="AF288" s="7">
        <f>IF(AA288="","",Z288*AD288/AE288)</f>
        <v/>
      </c>
      <c r="AG288" s="7">
        <f>AF288*AC288</f>
        <v/>
      </c>
      <c r="AH288" s="7">
        <f>IF(AA288="","",IFERROR(IF(VLOOKUP(AA288,'Unit Conversion'!A:B,2,FALSE)=VLOOKUP(AB288,'Unit Conversion'!A:B,2,FALSE),"OK","Check W/V mismatch"),"Check unit"))</f>
        <v/>
      </c>
      <c r="AI288" s="7" t="n"/>
    </row>
    <row r="289">
      <c r="A289" s="8" t="n"/>
      <c r="B289" s="8" t="n"/>
      <c r="C289" s="8" t="n"/>
      <c r="D289" s="8" t="n"/>
      <c r="E289" s="8" t="n"/>
      <c r="F289" s="8" t="n"/>
      <c r="G289" s="8" t="n"/>
      <c r="H289" s="8" t="n"/>
      <c r="I289" s="8" t="n"/>
      <c r="J289" s="8" t="n"/>
      <c r="K289" s="8" t="n"/>
      <c r="L289" s="8" t="n"/>
      <c r="M289" s="8" t="n"/>
      <c r="N289" s="8" t="n"/>
      <c r="O289" s="8" t="n"/>
      <c r="P289" s="8" t="n"/>
      <c r="Q289" s="8" t="n"/>
      <c r="R289" s="8" t="n"/>
      <c r="S289" s="8" t="n"/>
      <c r="T289" s="8" t="n"/>
      <c r="U289" s="8" t="n"/>
      <c r="V289" s="8" t="n"/>
      <c r="W289" s="8" t="n"/>
      <c r="X289" s="8" t="n"/>
      <c r="Y289" s="8" t="n"/>
      <c r="Z289" s="8" t="n"/>
      <c r="AA289" s="8" t="n"/>
      <c r="AB289" s="8">
        <f>IF(Y289="","",IFERROR(VLOOKUP(Y289,'Ingredients + Stock'!B:D,3,FALSE),""))</f>
        <v/>
      </c>
      <c r="AC289" s="8">
        <f>IF(Y289="","",IFERROR(VLOOKUP(Y289,'Ingredients + Stock'!B:G,6,FALSE),0))</f>
        <v/>
      </c>
      <c r="AD289" s="8">
        <f>IF(AA289="","",IFERROR(VLOOKUP(AA289,'Unit Conversion'!A:D,4,FALSE),1))</f>
        <v/>
      </c>
      <c r="AE289" s="8">
        <f>IF(AB289="","",IFERROR(VLOOKUP(AB289,'Unit Conversion'!A:D,4,FALSE),1))</f>
        <v/>
      </c>
      <c r="AF289" s="8">
        <f>IF(AA289="","",Z289*AD289/AE289)</f>
        <v/>
      </c>
      <c r="AG289" s="8">
        <f>AF289*AC289</f>
        <v/>
      </c>
      <c r="AH289" s="8">
        <f>IF(AA289="","",IFERROR(IF(VLOOKUP(AA289,'Unit Conversion'!A:B,2,FALSE)=VLOOKUP(AB289,'Unit Conversion'!A:B,2,FALSE),"OK","Check W/V mismatch"),"Check unit"))</f>
        <v/>
      </c>
      <c r="AI289" s="8" t="n"/>
    </row>
    <row r="290">
      <c r="A290" s="7" t="n"/>
      <c r="B290" s="7" t="n"/>
      <c r="C290" s="7" t="n"/>
      <c r="D290" s="7" t="n"/>
      <c r="E290" s="7" t="n"/>
      <c r="F290" s="7" t="n"/>
      <c r="G290" s="7" t="n"/>
      <c r="H290" s="7" t="n"/>
      <c r="I290" s="7" t="n"/>
      <c r="J290" s="7" t="n"/>
      <c r="K290" s="7" t="n"/>
      <c r="L290" s="7" t="n"/>
      <c r="M290" s="7" t="n"/>
      <c r="N290" s="7" t="n"/>
      <c r="O290" s="7" t="n"/>
      <c r="P290" s="7" t="n"/>
      <c r="Q290" s="7" t="n"/>
      <c r="R290" s="7" t="n"/>
      <c r="S290" s="7" t="n"/>
      <c r="T290" s="7" t="n"/>
      <c r="U290" s="7" t="n"/>
      <c r="V290" s="7" t="n"/>
      <c r="W290" s="7" t="n"/>
      <c r="X290" s="7" t="n"/>
      <c r="Y290" s="7" t="n"/>
      <c r="Z290" s="7" t="n"/>
      <c r="AA290" s="7" t="n"/>
      <c r="AB290" s="7">
        <f>IF(Y290="","",IFERROR(VLOOKUP(Y290,'Ingredients + Stock'!B:D,3,FALSE),""))</f>
        <v/>
      </c>
      <c r="AC290" s="7">
        <f>IF(Y290="","",IFERROR(VLOOKUP(Y290,'Ingredients + Stock'!B:G,6,FALSE),0))</f>
        <v/>
      </c>
      <c r="AD290" s="7">
        <f>IF(AA290="","",IFERROR(VLOOKUP(AA290,'Unit Conversion'!A:D,4,FALSE),1))</f>
        <v/>
      </c>
      <c r="AE290" s="7">
        <f>IF(AB290="","",IFERROR(VLOOKUP(AB290,'Unit Conversion'!A:D,4,FALSE),1))</f>
        <v/>
      </c>
      <c r="AF290" s="7">
        <f>IF(AA290="","",Z290*AD290/AE290)</f>
        <v/>
      </c>
      <c r="AG290" s="7">
        <f>AF290*AC290</f>
        <v/>
      </c>
      <c r="AH290" s="7">
        <f>IF(AA290="","",IFERROR(IF(VLOOKUP(AA290,'Unit Conversion'!A:B,2,FALSE)=VLOOKUP(AB290,'Unit Conversion'!A:B,2,FALSE),"OK","Check W/V mismatch"),"Check unit"))</f>
        <v/>
      </c>
      <c r="AI290" s="7" t="n"/>
    </row>
    <row r="291">
      <c r="A291" s="8" t="n"/>
      <c r="B291" s="8" t="n"/>
      <c r="C291" s="8" t="n"/>
      <c r="D291" s="8" t="n"/>
      <c r="E291" s="8" t="n"/>
      <c r="F291" s="8" t="n"/>
      <c r="G291" s="8" t="n"/>
      <c r="H291" s="8" t="n"/>
      <c r="I291" s="8" t="n"/>
      <c r="J291" s="8" t="n"/>
      <c r="K291" s="8" t="n"/>
      <c r="L291" s="8" t="n"/>
      <c r="M291" s="8" t="n"/>
      <c r="N291" s="8" t="n"/>
      <c r="O291" s="8" t="n"/>
      <c r="P291" s="8" t="n"/>
      <c r="Q291" s="8" t="n"/>
      <c r="R291" s="8" t="n"/>
      <c r="S291" s="8" t="n"/>
      <c r="T291" s="8" t="n"/>
      <c r="U291" s="8" t="n"/>
      <c r="V291" s="8" t="n"/>
      <c r="W291" s="8" t="n"/>
      <c r="X291" s="8" t="n"/>
      <c r="Y291" s="8" t="n"/>
      <c r="Z291" s="8" t="n"/>
      <c r="AA291" s="8" t="n"/>
      <c r="AB291" s="8">
        <f>IF(Y291="","",IFERROR(VLOOKUP(Y291,'Ingredients + Stock'!B:D,3,FALSE),""))</f>
        <v/>
      </c>
      <c r="AC291" s="8">
        <f>IF(Y291="","",IFERROR(VLOOKUP(Y291,'Ingredients + Stock'!B:G,6,FALSE),0))</f>
        <v/>
      </c>
      <c r="AD291" s="8">
        <f>IF(AA291="","",IFERROR(VLOOKUP(AA291,'Unit Conversion'!A:D,4,FALSE),1))</f>
        <v/>
      </c>
      <c r="AE291" s="8">
        <f>IF(AB291="","",IFERROR(VLOOKUP(AB291,'Unit Conversion'!A:D,4,FALSE),1))</f>
        <v/>
      </c>
      <c r="AF291" s="8">
        <f>IF(AA291="","",Z291*AD291/AE291)</f>
        <v/>
      </c>
      <c r="AG291" s="8">
        <f>AF291*AC291</f>
        <v/>
      </c>
      <c r="AH291" s="8">
        <f>IF(AA291="","",IFERROR(IF(VLOOKUP(AA291,'Unit Conversion'!A:B,2,FALSE)=VLOOKUP(AB291,'Unit Conversion'!A:B,2,FALSE),"OK","Check W/V mismatch"),"Check unit"))</f>
        <v/>
      </c>
      <c r="AI291" s="8" t="n"/>
    </row>
    <row r="292">
      <c r="A292" s="7" t="n"/>
      <c r="B292" s="7" t="n"/>
      <c r="C292" s="7" t="n"/>
      <c r="D292" s="7" t="n"/>
      <c r="E292" s="7" t="n"/>
      <c r="F292" s="7" t="n"/>
      <c r="G292" s="7" t="n"/>
      <c r="H292" s="7" t="n"/>
      <c r="I292" s="7" t="n"/>
      <c r="J292" s="7" t="n"/>
      <c r="K292" s="7" t="n"/>
      <c r="L292" s="7" t="n"/>
      <c r="M292" s="7" t="n"/>
      <c r="N292" s="7" t="n"/>
      <c r="O292" s="7" t="n"/>
      <c r="P292" s="7" t="n"/>
      <c r="Q292" s="7" t="n"/>
      <c r="R292" s="7" t="n"/>
      <c r="S292" s="7" t="n"/>
      <c r="T292" s="7" t="n"/>
      <c r="U292" s="7" t="n"/>
      <c r="V292" s="7" t="n"/>
      <c r="W292" s="7" t="n"/>
      <c r="X292" s="7" t="n"/>
      <c r="Y292" s="7" t="n"/>
      <c r="Z292" s="7" t="n"/>
      <c r="AA292" s="7" t="n"/>
      <c r="AB292" s="7">
        <f>IF(Y292="","",IFERROR(VLOOKUP(Y292,'Ingredients + Stock'!B:D,3,FALSE),""))</f>
        <v/>
      </c>
      <c r="AC292" s="7">
        <f>IF(Y292="","",IFERROR(VLOOKUP(Y292,'Ingredients + Stock'!B:G,6,FALSE),0))</f>
        <v/>
      </c>
      <c r="AD292" s="7">
        <f>IF(AA292="","",IFERROR(VLOOKUP(AA292,'Unit Conversion'!A:D,4,FALSE),1))</f>
        <v/>
      </c>
      <c r="AE292" s="7">
        <f>IF(AB292="","",IFERROR(VLOOKUP(AB292,'Unit Conversion'!A:D,4,FALSE),1))</f>
        <v/>
      </c>
      <c r="AF292" s="7">
        <f>IF(AA292="","",Z292*AD292/AE292)</f>
        <v/>
      </c>
      <c r="AG292" s="7">
        <f>AF292*AC292</f>
        <v/>
      </c>
      <c r="AH292" s="7">
        <f>IF(AA292="","",IFERROR(IF(VLOOKUP(AA292,'Unit Conversion'!A:B,2,FALSE)=VLOOKUP(AB292,'Unit Conversion'!A:B,2,FALSE),"OK","Check W/V mismatch"),"Check unit"))</f>
        <v/>
      </c>
      <c r="AI292" s="7" t="n"/>
    </row>
    <row r="293">
      <c r="A293" s="8" t="n"/>
      <c r="B293" s="8" t="n"/>
      <c r="C293" s="8" t="n"/>
      <c r="D293" s="8" t="n"/>
      <c r="E293" s="8" t="n"/>
      <c r="F293" s="8" t="n"/>
      <c r="G293" s="8" t="n"/>
      <c r="H293" s="8" t="n"/>
      <c r="I293" s="8" t="n"/>
      <c r="J293" s="8" t="n"/>
      <c r="K293" s="8" t="n"/>
      <c r="L293" s="8" t="n"/>
      <c r="M293" s="8" t="n"/>
      <c r="N293" s="8" t="n"/>
      <c r="O293" s="8" t="n"/>
      <c r="P293" s="8" t="n"/>
      <c r="Q293" s="8" t="n"/>
      <c r="R293" s="8" t="n"/>
      <c r="S293" s="8" t="n"/>
      <c r="T293" s="8" t="n"/>
      <c r="U293" s="8" t="n"/>
      <c r="V293" s="8" t="n"/>
      <c r="W293" s="8" t="n"/>
      <c r="X293" s="8" t="n"/>
      <c r="Y293" s="8" t="n"/>
      <c r="Z293" s="8" t="n"/>
      <c r="AA293" s="8" t="n"/>
      <c r="AB293" s="8">
        <f>IF(Y293="","",IFERROR(VLOOKUP(Y293,'Ingredients + Stock'!B:D,3,FALSE),""))</f>
        <v/>
      </c>
      <c r="AC293" s="8">
        <f>IF(Y293="","",IFERROR(VLOOKUP(Y293,'Ingredients + Stock'!B:G,6,FALSE),0))</f>
        <v/>
      </c>
      <c r="AD293" s="8">
        <f>IF(AA293="","",IFERROR(VLOOKUP(AA293,'Unit Conversion'!A:D,4,FALSE),1))</f>
        <v/>
      </c>
      <c r="AE293" s="8">
        <f>IF(AB293="","",IFERROR(VLOOKUP(AB293,'Unit Conversion'!A:D,4,FALSE),1))</f>
        <v/>
      </c>
      <c r="AF293" s="8">
        <f>IF(AA293="","",Z293*AD293/AE293)</f>
        <v/>
      </c>
      <c r="AG293" s="8">
        <f>AF293*AC293</f>
        <v/>
      </c>
      <c r="AH293" s="8">
        <f>IF(AA293="","",IFERROR(IF(VLOOKUP(AA293,'Unit Conversion'!A:B,2,FALSE)=VLOOKUP(AB293,'Unit Conversion'!A:B,2,FALSE),"OK","Check W/V mismatch"),"Check unit"))</f>
        <v/>
      </c>
      <c r="AI293" s="8" t="n"/>
    </row>
    <row r="294">
      <c r="A294" s="7" t="n"/>
      <c r="B294" s="7" t="n"/>
      <c r="C294" s="7" t="n"/>
      <c r="D294" s="7" t="n"/>
      <c r="E294" s="7" t="n"/>
      <c r="F294" s="7" t="n"/>
      <c r="G294" s="7" t="n"/>
      <c r="H294" s="7" t="n"/>
      <c r="I294" s="7" t="n"/>
      <c r="J294" s="7" t="n"/>
      <c r="K294" s="7" t="n"/>
      <c r="L294" s="7" t="n"/>
      <c r="M294" s="7" t="n"/>
      <c r="N294" s="7" t="n"/>
      <c r="O294" s="7" t="n"/>
      <c r="P294" s="7" t="n"/>
      <c r="Q294" s="7" t="n"/>
      <c r="R294" s="7" t="n"/>
      <c r="S294" s="7" t="n"/>
      <c r="T294" s="7" t="n"/>
      <c r="U294" s="7" t="n"/>
      <c r="V294" s="7" t="n"/>
      <c r="W294" s="7" t="n"/>
      <c r="X294" s="7" t="n"/>
      <c r="Y294" s="7" t="n"/>
      <c r="Z294" s="7" t="n"/>
      <c r="AA294" s="7" t="n"/>
      <c r="AB294" s="7">
        <f>IF(Y294="","",IFERROR(VLOOKUP(Y294,'Ingredients + Stock'!B:D,3,FALSE),""))</f>
        <v/>
      </c>
      <c r="AC294" s="7">
        <f>IF(Y294="","",IFERROR(VLOOKUP(Y294,'Ingredients + Stock'!B:G,6,FALSE),0))</f>
        <v/>
      </c>
      <c r="AD294" s="7">
        <f>IF(AA294="","",IFERROR(VLOOKUP(AA294,'Unit Conversion'!A:D,4,FALSE),1))</f>
        <v/>
      </c>
      <c r="AE294" s="7">
        <f>IF(AB294="","",IFERROR(VLOOKUP(AB294,'Unit Conversion'!A:D,4,FALSE),1))</f>
        <v/>
      </c>
      <c r="AF294" s="7">
        <f>IF(AA294="","",Z294*AD294/AE294)</f>
        <v/>
      </c>
      <c r="AG294" s="7">
        <f>AF294*AC294</f>
        <v/>
      </c>
      <c r="AH294" s="7">
        <f>IF(AA294="","",IFERROR(IF(VLOOKUP(AA294,'Unit Conversion'!A:B,2,FALSE)=VLOOKUP(AB294,'Unit Conversion'!A:B,2,FALSE),"OK","Check W/V mismatch"),"Check unit"))</f>
        <v/>
      </c>
      <c r="AI294" s="7" t="n"/>
    </row>
    <row r="295">
      <c r="A295" s="8" t="n"/>
      <c r="B295" s="8" t="n"/>
      <c r="C295" s="8" t="n"/>
      <c r="D295" s="8" t="n"/>
      <c r="E295" s="8" t="n"/>
      <c r="F295" s="8" t="n"/>
      <c r="G295" s="8" t="n"/>
      <c r="H295" s="8" t="n"/>
      <c r="I295" s="8" t="n"/>
      <c r="J295" s="8" t="n"/>
      <c r="K295" s="8" t="n"/>
      <c r="L295" s="8" t="n"/>
      <c r="M295" s="8" t="n"/>
      <c r="N295" s="8" t="n"/>
      <c r="O295" s="8" t="n"/>
      <c r="P295" s="8" t="n"/>
      <c r="Q295" s="8" t="n"/>
      <c r="R295" s="8" t="n"/>
      <c r="S295" s="8" t="n"/>
      <c r="T295" s="8" t="n"/>
      <c r="U295" s="8" t="n"/>
      <c r="V295" s="8" t="n"/>
      <c r="W295" s="8" t="n"/>
      <c r="X295" s="8" t="n"/>
      <c r="Y295" s="8" t="n"/>
      <c r="Z295" s="8" t="n"/>
      <c r="AA295" s="8" t="n"/>
      <c r="AB295" s="8">
        <f>IF(Y295="","",IFERROR(VLOOKUP(Y295,'Ingredients + Stock'!B:D,3,FALSE),""))</f>
        <v/>
      </c>
      <c r="AC295" s="8">
        <f>IF(Y295="","",IFERROR(VLOOKUP(Y295,'Ingredients + Stock'!B:G,6,FALSE),0))</f>
        <v/>
      </c>
      <c r="AD295" s="8">
        <f>IF(AA295="","",IFERROR(VLOOKUP(AA295,'Unit Conversion'!A:D,4,FALSE),1))</f>
        <v/>
      </c>
      <c r="AE295" s="8">
        <f>IF(AB295="","",IFERROR(VLOOKUP(AB295,'Unit Conversion'!A:D,4,FALSE),1))</f>
        <v/>
      </c>
      <c r="AF295" s="8">
        <f>IF(AA295="","",Z295*AD295/AE295)</f>
        <v/>
      </c>
      <c r="AG295" s="8">
        <f>AF295*AC295</f>
        <v/>
      </c>
      <c r="AH295" s="8">
        <f>IF(AA295="","",IFERROR(IF(VLOOKUP(AA295,'Unit Conversion'!A:B,2,FALSE)=VLOOKUP(AB295,'Unit Conversion'!A:B,2,FALSE),"OK","Check W/V mismatch"),"Check unit"))</f>
        <v/>
      </c>
      <c r="AI295" s="8" t="n"/>
    </row>
    <row r="296">
      <c r="A296" s="7" t="n"/>
      <c r="B296" s="7" t="n"/>
      <c r="C296" s="7" t="n"/>
      <c r="D296" s="7" t="n"/>
      <c r="E296" s="7" t="n"/>
      <c r="F296" s="7" t="n"/>
      <c r="G296" s="7" t="n"/>
      <c r="H296" s="7" t="n"/>
      <c r="I296" s="7" t="n"/>
      <c r="J296" s="7" t="n"/>
      <c r="K296" s="7" t="n"/>
      <c r="L296" s="7" t="n"/>
      <c r="M296" s="7" t="n"/>
      <c r="N296" s="7" t="n"/>
      <c r="O296" s="7" t="n"/>
      <c r="P296" s="7" t="n"/>
      <c r="Q296" s="7" t="n"/>
      <c r="R296" s="7" t="n"/>
      <c r="S296" s="7" t="n"/>
      <c r="T296" s="7" t="n"/>
      <c r="U296" s="7" t="n"/>
      <c r="V296" s="7" t="n"/>
      <c r="W296" s="7" t="n"/>
      <c r="X296" s="7" t="n"/>
      <c r="Y296" s="7" t="n"/>
      <c r="Z296" s="7" t="n"/>
      <c r="AA296" s="7" t="n"/>
      <c r="AB296" s="7">
        <f>IF(Y296="","",IFERROR(VLOOKUP(Y296,'Ingredients + Stock'!B:D,3,FALSE),""))</f>
        <v/>
      </c>
      <c r="AC296" s="7">
        <f>IF(Y296="","",IFERROR(VLOOKUP(Y296,'Ingredients + Stock'!B:G,6,FALSE),0))</f>
        <v/>
      </c>
      <c r="AD296" s="7">
        <f>IF(AA296="","",IFERROR(VLOOKUP(AA296,'Unit Conversion'!A:D,4,FALSE),1))</f>
        <v/>
      </c>
      <c r="AE296" s="7">
        <f>IF(AB296="","",IFERROR(VLOOKUP(AB296,'Unit Conversion'!A:D,4,FALSE),1))</f>
        <v/>
      </c>
      <c r="AF296" s="7">
        <f>IF(AA296="","",Z296*AD296/AE296)</f>
        <v/>
      </c>
      <c r="AG296" s="7">
        <f>AF296*AC296</f>
        <v/>
      </c>
      <c r="AH296" s="7">
        <f>IF(AA296="","",IFERROR(IF(VLOOKUP(AA296,'Unit Conversion'!A:B,2,FALSE)=VLOOKUP(AB296,'Unit Conversion'!A:B,2,FALSE),"OK","Check W/V mismatch"),"Check unit"))</f>
        <v/>
      </c>
      <c r="AI296" s="7" t="n"/>
    </row>
    <row r="297">
      <c r="A297" s="8" t="n"/>
      <c r="B297" s="8" t="n"/>
      <c r="C297" s="8" t="n"/>
      <c r="D297" s="8" t="n"/>
      <c r="E297" s="8" t="n"/>
      <c r="F297" s="8" t="n"/>
      <c r="G297" s="8" t="n"/>
      <c r="H297" s="8" t="n"/>
      <c r="I297" s="8" t="n"/>
      <c r="J297" s="8" t="n"/>
      <c r="K297" s="8" t="n"/>
      <c r="L297" s="8" t="n"/>
      <c r="M297" s="8" t="n"/>
      <c r="N297" s="8" t="n"/>
      <c r="O297" s="8" t="n"/>
      <c r="P297" s="8" t="n"/>
      <c r="Q297" s="8" t="n"/>
      <c r="R297" s="8" t="n"/>
      <c r="S297" s="8" t="n"/>
      <c r="T297" s="8" t="n"/>
      <c r="U297" s="8" t="n"/>
      <c r="V297" s="8" t="n"/>
      <c r="W297" s="8" t="n"/>
      <c r="X297" s="8" t="n"/>
      <c r="Y297" s="8" t="n"/>
      <c r="Z297" s="8" t="n"/>
      <c r="AA297" s="8" t="n"/>
      <c r="AB297" s="8">
        <f>IF(Y297="","",IFERROR(VLOOKUP(Y297,'Ingredients + Stock'!B:D,3,FALSE),""))</f>
        <v/>
      </c>
      <c r="AC297" s="8">
        <f>IF(Y297="","",IFERROR(VLOOKUP(Y297,'Ingredients + Stock'!B:G,6,FALSE),0))</f>
        <v/>
      </c>
      <c r="AD297" s="8">
        <f>IF(AA297="","",IFERROR(VLOOKUP(AA297,'Unit Conversion'!A:D,4,FALSE),1))</f>
        <v/>
      </c>
      <c r="AE297" s="8">
        <f>IF(AB297="","",IFERROR(VLOOKUP(AB297,'Unit Conversion'!A:D,4,FALSE),1))</f>
        <v/>
      </c>
      <c r="AF297" s="8">
        <f>IF(AA297="","",Z297*AD297/AE297)</f>
        <v/>
      </c>
      <c r="AG297" s="8">
        <f>AF297*AC297</f>
        <v/>
      </c>
      <c r="AH297" s="8">
        <f>IF(AA297="","",IFERROR(IF(VLOOKUP(AA297,'Unit Conversion'!A:B,2,FALSE)=VLOOKUP(AB297,'Unit Conversion'!A:B,2,FALSE),"OK","Check W/V mismatch"),"Check unit"))</f>
        <v/>
      </c>
      <c r="AI297" s="8" t="n"/>
    </row>
    <row r="298">
      <c r="A298" s="7" t="n"/>
      <c r="B298" s="7" t="n"/>
      <c r="C298" s="7" t="n"/>
      <c r="D298" s="7" t="n"/>
      <c r="E298" s="7" t="n"/>
      <c r="F298" s="7" t="n"/>
      <c r="G298" s="7" t="n"/>
      <c r="H298" s="7" t="n"/>
      <c r="I298" s="7" t="n"/>
      <c r="J298" s="7" t="n"/>
      <c r="K298" s="7" t="n"/>
      <c r="L298" s="7" t="n"/>
      <c r="M298" s="7" t="n"/>
      <c r="N298" s="7" t="n"/>
      <c r="O298" s="7" t="n"/>
      <c r="P298" s="7" t="n"/>
      <c r="Q298" s="7" t="n"/>
      <c r="R298" s="7" t="n"/>
      <c r="S298" s="7" t="n"/>
      <c r="T298" s="7" t="n"/>
      <c r="U298" s="7" t="n"/>
      <c r="V298" s="7" t="n"/>
      <c r="W298" s="7" t="n"/>
      <c r="X298" s="7" t="n"/>
      <c r="Y298" s="7" t="n"/>
      <c r="Z298" s="7" t="n"/>
      <c r="AA298" s="7" t="n"/>
      <c r="AB298" s="7">
        <f>IF(Y298="","",IFERROR(VLOOKUP(Y298,'Ingredients + Stock'!B:D,3,FALSE),""))</f>
        <v/>
      </c>
      <c r="AC298" s="7">
        <f>IF(Y298="","",IFERROR(VLOOKUP(Y298,'Ingredients + Stock'!B:G,6,FALSE),0))</f>
        <v/>
      </c>
      <c r="AD298" s="7">
        <f>IF(AA298="","",IFERROR(VLOOKUP(AA298,'Unit Conversion'!A:D,4,FALSE),1))</f>
        <v/>
      </c>
      <c r="AE298" s="7">
        <f>IF(AB298="","",IFERROR(VLOOKUP(AB298,'Unit Conversion'!A:D,4,FALSE),1))</f>
        <v/>
      </c>
      <c r="AF298" s="7">
        <f>IF(AA298="","",Z298*AD298/AE298)</f>
        <v/>
      </c>
      <c r="AG298" s="7">
        <f>AF298*AC298</f>
        <v/>
      </c>
      <c r="AH298" s="7">
        <f>IF(AA298="","",IFERROR(IF(VLOOKUP(AA298,'Unit Conversion'!A:B,2,FALSE)=VLOOKUP(AB298,'Unit Conversion'!A:B,2,FALSE),"OK","Check W/V mismatch"),"Check unit"))</f>
        <v/>
      </c>
      <c r="AI298" s="7" t="n"/>
    </row>
    <row r="299">
      <c r="A299" s="8" t="n"/>
      <c r="B299" s="8" t="n"/>
      <c r="C299" s="8" t="n"/>
      <c r="D299" s="8" t="n"/>
      <c r="E299" s="8" t="n"/>
      <c r="F299" s="8" t="n"/>
      <c r="G299" s="8" t="n"/>
      <c r="H299" s="8" t="n"/>
      <c r="I299" s="8" t="n"/>
      <c r="J299" s="8" t="n"/>
      <c r="K299" s="8" t="n"/>
      <c r="L299" s="8" t="n"/>
      <c r="M299" s="8" t="n"/>
      <c r="N299" s="8" t="n"/>
      <c r="O299" s="8" t="n"/>
      <c r="P299" s="8" t="n"/>
      <c r="Q299" s="8" t="n"/>
      <c r="R299" s="8" t="n"/>
      <c r="S299" s="8" t="n"/>
      <c r="T299" s="8" t="n"/>
      <c r="U299" s="8" t="n"/>
      <c r="V299" s="8" t="n"/>
      <c r="W299" s="8" t="n"/>
      <c r="X299" s="8" t="n"/>
      <c r="Y299" s="8" t="n"/>
      <c r="Z299" s="8" t="n"/>
      <c r="AA299" s="8" t="n"/>
      <c r="AB299" s="8">
        <f>IF(Y299="","",IFERROR(VLOOKUP(Y299,'Ingredients + Stock'!B:D,3,FALSE),""))</f>
        <v/>
      </c>
      <c r="AC299" s="8">
        <f>IF(Y299="","",IFERROR(VLOOKUP(Y299,'Ingredients + Stock'!B:G,6,FALSE),0))</f>
        <v/>
      </c>
      <c r="AD299" s="8">
        <f>IF(AA299="","",IFERROR(VLOOKUP(AA299,'Unit Conversion'!A:D,4,FALSE),1))</f>
        <v/>
      </c>
      <c r="AE299" s="8">
        <f>IF(AB299="","",IFERROR(VLOOKUP(AB299,'Unit Conversion'!A:D,4,FALSE),1))</f>
        <v/>
      </c>
      <c r="AF299" s="8">
        <f>IF(AA299="","",Z299*AD299/AE299)</f>
        <v/>
      </c>
      <c r="AG299" s="8">
        <f>AF299*AC299</f>
        <v/>
      </c>
      <c r="AH299" s="8">
        <f>IF(AA299="","",IFERROR(IF(VLOOKUP(AA299,'Unit Conversion'!A:B,2,FALSE)=VLOOKUP(AB299,'Unit Conversion'!A:B,2,FALSE),"OK","Check W/V mismatch"),"Check unit"))</f>
        <v/>
      </c>
      <c r="AI299" s="8" t="n"/>
    </row>
    <row r="300">
      <c r="A300" s="7" t="n"/>
      <c r="B300" s="7" t="n"/>
      <c r="C300" s="7" t="n"/>
      <c r="D300" s="7" t="n"/>
      <c r="E300" s="7" t="n"/>
      <c r="F300" s="7" t="n"/>
      <c r="G300" s="7" t="n"/>
      <c r="H300" s="7" t="n"/>
      <c r="I300" s="7" t="n"/>
      <c r="J300" s="7" t="n"/>
      <c r="K300" s="7" t="n"/>
      <c r="L300" s="7" t="n"/>
      <c r="M300" s="7" t="n"/>
      <c r="N300" s="7" t="n"/>
      <c r="O300" s="7" t="n"/>
      <c r="P300" s="7" t="n"/>
      <c r="Q300" s="7" t="n"/>
      <c r="R300" s="7" t="n"/>
      <c r="S300" s="7" t="n"/>
      <c r="T300" s="7" t="n"/>
      <c r="U300" s="7" t="n"/>
      <c r="V300" s="7" t="n"/>
      <c r="W300" s="7" t="n"/>
      <c r="X300" s="7" t="n"/>
      <c r="Y300" s="7" t="n"/>
      <c r="Z300" s="7" t="n"/>
      <c r="AA300" s="7" t="n"/>
      <c r="AB300" s="7">
        <f>IF(Y300="","",IFERROR(VLOOKUP(Y300,'Ingredients + Stock'!B:D,3,FALSE),""))</f>
        <v/>
      </c>
      <c r="AC300" s="7">
        <f>IF(Y300="","",IFERROR(VLOOKUP(Y300,'Ingredients + Stock'!B:G,6,FALSE),0))</f>
        <v/>
      </c>
      <c r="AD300" s="7">
        <f>IF(AA300="","",IFERROR(VLOOKUP(AA300,'Unit Conversion'!A:D,4,FALSE),1))</f>
        <v/>
      </c>
      <c r="AE300" s="7">
        <f>IF(AB300="","",IFERROR(VLOOKUP(AB300,'Unit Conversion'!A:D,4,FALSE),1))</f>
        <v/>
      </c>
      <c r="AF300" s="7">
        <f>IF(AA300="","",Z300*AD300/AE300)</f>
        <v/>
      </c>
      <c r="AG300" s="7">
        <f>AF300*AC300</f>
        <v/>
      </c>
      <c r="AH300" s="7">
        <f>IF(AA300="","",IFERROR(IF(VLOOKUP(AA300,'Unit Conversion'!A:B,2,FALSE)=VLOOKUP(AB300,'Unit Conversion'!A:B,2,FALSE),"OK","Check W/V mismatch"),"Check unit"))</f>
        <v/>
      </c>
      <c r="AI300" s="7" t="n"/>
    </row>
    <row r="301">
      <c r="A301" s="8" t="n"/>
      <c r="B301" s="8" t="n"/>
      <c r="C301" s="8" t="n"/>
      <c r="D301" s="8" t="n"/>
      <c r="E301" s="8" t="n"/>
      <c r="F301" s="8" t="n"/>
      <c r="G301" s="8" t="n"/>
      <c r="H301" s="8" t="n"/>
      <c r="I301" s="8" t="n"/>
      <c r="J301" s="8" t="n"/>
      <c r="K301" s="8" t="n"/>
      <c r="L301" s="8" t="n"/>
      <c r="M301" s="8" t="n"/>
      <c r="N301" s="8" t="n"/>
      <c r="O301" s="8" t="n"/>
      <c r="P301" s="8" t="n"/>
      <c r="Q301" s="8" t="n"/>
      <c r="R301" s="8" t="n"/>
      <c r="S301" s="8" t="n"/>
      <c r="T301" s="8" t="n"/>
      <c r="U301" s="8" t="n"/>
      <c r="V301" s="8" t="n"/>
      <c r="W301" s="8" t="n"/>
      <c r="X301" s="8" t="n"/>
      <c r="Y301" s="8" t="n"/>
      <c r="Z301" s="8" t="n"/>
      <c r="AA301" s="8" t="n"/>
      <c r="AB301" s="8">
        <f>IF(Y301="","",IFERROR(VLOOKUP(Y301,'Ingredients + Stock'!B:D,3,FALSE),""))</f>
        <v/>
      </c>
      <c r="AC301" s="8">
        <f>IF(Y301="","",IFERROR(VLOOKUP(Y301,'Ingredients + Stock'!B:G,6,FALSE),0))</f>
        <v/>
      </c>
      <c r="AD301" s="8">
        <f>IF(AA301="","",IFERROR(VLOOKUP(AA301,'Unit Conversion'!A:D,4,FALSE),1))</f>
        <v/>
      </c>
      <c r="AE301" s="8">
        <f>IF(AB301="","",IFERROR(VLOOKUP(AB301,'Unit Conversion'!A:D,4,FALSE),1))</f>
        <v/>
      </c>
      <c r="AF301" s="8">
        <f>IF(AA301="","",Z301*AD301/AE301)</f>
        <v/>
      </c>
      <c r="AG301" s="8">
        <f>AF301*AC301</f>
        <v/>
      </c>
      <c r="AH301" s="8">
        <f>IF(AA301="","",IFERROR(IF(VLOOKUP(AA301,'Unit Conversion'!A:B,2,FALSE)=VLOOKUP(AB301,'Unit Conversion'!A:B,2,FALSE),"OK","Check W/V mismatch"),"Check unit"))</f>
        <v/>
      </c>
      <c r="AI301" s="8" t="n"/>
    </row>
    <row r="302">
      <c r="A302" s="7" t="n"/>
      <c r="B302" s="7" t="n"/>
      <c r="C302" s="7" t="n"/>
      <c r="D302" s="7" t="n"/>
      <c r="E302" s="7" t="n"/>
      <c r="F302" s="7" t="n"/>
      <c r="G302" s="7" t="n"/>
      <c r="H302" s="7" t="n"/>
      <c r="I302" s="7" t="n"/>
      <c r="J302" s="7" t="n"/>
      <c r="K302" s="7" t="n"/>
      <c r="L302" s="7" t="n"/>
      <c r="M302" s="7" t="n"/>
      <c r="N302" s="7" t="n"/>
      <c r="O302" s="7" t="n"/>
      <c r="P302" s="7" t="n"/>
      <c r="Q302" s="7" t="n"/>
      <c r="R302" s="7" t="n"/>
      <c r="S302" s="7" t="n"/>
      <c r="T302" s="7" t="n"/>
      <c r="U302" s="7" t="n"/>
      <c r="V302" s="7" t="n"/>
      <c r="W302" s="7" t="n"/>
      <c r="X302" s="7" t="n"/>
      <c r="Y302" s="7" t="n"/>
      <c r="Z302" s="7" t="n"/>
      <c r="AA302" s="7" t="n"/>
      <c r="AB302" s="7">
        <f>IF(Y302="","",IFERROR(VLOOKUP(Y302,'Ingredients + Stock'!B:D,3,FALSE),""))</f>
        <v/>
      </c>
      <c r="AC302" s="7">
        <f>IF(Y302="","",IFERROR(VLOOKUP(Y302,'Ingredients + Stock'!B:G,6,FALSE),0))</f>
        <v/>
      </c>
      <c r="AD302" s="7">
        <f>IF(AA302="","",IFERROR(VLOOKUP(AA302,'Unit Conversion'!A:D,4,FALSE),1))</f>
        <v/>
      </c>
      <c r="AE302" s="7">
        <f>IF(AB302="","",IFERROR(VLOOKUP(AB302,'Unit Conversion'!A:D,4,FALSE),1))</f>
        <v/>
      </c>
      <c r="AF302" s="7">
        <f>IF(AA302="","",Z302*AD302/AE302)</f>
        <v/>
      </c>
      <c r="AG302" s="7">
        <f>AF302*AC302</f>
        <v/>
      </c>
      <c r="AH302" s="7">
        <f>IF(AA302="","",IFERROR(IF(VLOOKUP(AA302,'Unit Conversion'!A:B,2,FALSE)=VLOOKUP(AB302,'Unit Conversion'!A:B,2,FALSE),"OK","Check W/V mismatch"),"Check unit"))</f>
        <v/>
      </c>
      <c r="AI302" s="7" t="n"/>
    </row>
    <row r="303">
      <c r="A303" s="8" t="n"/>
      <c r="B303" s="8" t="n"/>
      <c r="C303" s="8" t="n"/>
      <c r="D303" s="8" t="n"/>
      <c r="E303" s="8" t="n"/>
      <c r="F303" s="8" t="n"/>
      <c r="G303" s="8" t="n"/>
      <c r="H303" s="8" t="n"/>
      <c r="I303" s="8" t="n"/>
      <c r="J303" s="8" t="n"/>
      <c r="K303" s="8" t="n"/>
      <c r="L303" s="8" t="n"/>
      <c r="M303" s="8" t="n"/>
      <c r="N303" s="8" t="n"/>
      <c r="O303" s="8" t="n"/>
      <c r="P303" s="8" t="n"/>
      <c r="Q303" s="8" t="n"/>
      <c r="R303" s="8" t="n"/>
      <c r="S303" s="8" t="n"/>
      <c r="T303" s="8" t="n"/>
      <c r="U303" s="8" t="n"/>
      <c r="V303" s="8" t="n"/>
      <c r="W303" s="8" t="n"/>
      <c r="X303" s="8" t="n"/>
      <c r="Y303" s="8" t="n"/>
      <c r="Z303" s="8" t="n"/>
      <c r="AA303" s="8" t="n"/>
      <c r="AB303" s="8">
        <f>IF(Y303="","",IFERROR(VLOOKUP(Y303,'Ingredients + Stock'!B:D,3,FALSE),""))</f>
        <v/>
      </c>
      <c r="AC303" s="8">
        <f>IF(Y303="","",IFERROR(VLOOKUP(Y303,'Ingredients + Stock'!B:G,6,FALSE),0))</f>
        <v/>
      </c>
      <c r="AD303" s="8">
        <f>IF(AA303="","",IFERROR(VLOOKUP(AA303,'Unit Conversion'!A:D,4,FALSE),1))</f>
        <v/>
      </c>
      <c r="AE303" s="8">
        <f>IF(AB303="","",IFERROR(VLOOKUP(AB303,'Unit Conversion'!A:D,4,FALSE),1))</f>
        <v/>
      </c>
      <c r="AF303" s="8">
        <f>IF(AA303="","",Z303*AD303/AE303)</f>
        <v/>
      </c>
      <c r="AG303" s="8">
        <f>AF303*AC303</f>
        <v/>
      </c>
      <c r="AH303" s="8">
        <f>IF(AA303="","",IFERROR(IF(VLOOKUP(AA303,'Unit Conversion'!A:B,2,FALSE)=VLOOKUP(AB303,'Unit Conversion'!A:B,2,FALSE),"OK","Check W/V mismatch"),"Check unit"))</f>
        <v/>
      </c>
      <c r="AI303" s="8" t="n"/>
    </row>
    <row r="304">
      <c r="A304" s="7" t="n"/>
      <c r="B304" s="7" t="n"/>
      <c r="C304" s="7" t="n"/>
      <c r="D304" s="7" t="n"/>
      <c r="E304" s="7" t="n"/>
      <c r="F304" s="7" t="n"/>
      <c r="G304" s="7" t="n"/>
      <c r="H304" s="7" t="n"/>
      <c r="I304" s="7" t="n"/>
      <c r="J304" s="7" t="n"/>
      <c r="K304" s="7" t="n"/>
      <c r="L304" s="7" t="n"/>
      <c r="M304" s="7" t="n"/>
      <c r="N304" s="7" t="n"/>
      <c r="O304" s="7" t="n"/>
      <c r="P304" s="7" t="n"/>
      <c r="Q304" s="7" t="n"/>
      <c r="R304" s="7" t="n"/>
      <c r="S304" s="7" t="n"/>
      <c r="T304" s="7" t="n"/>
      <c r="U304" s="7" t="n"/>
      <c r="V304" s="7" t="n"/>
      <c r="W304" s="7" t="n"/>
      <c r="X304" s="7" t="n"/>
      <c r="Y304" s="7" t="n"/>
      <c r="Z304" s="7" t="n"/>
      <c r="AA304" s="7" t="n"/>
      <c r="AB304" s="7">
        <f>IF(Y304="","",IFERROR(VLOOKUP(Y304,'Ingredients + Stock'!B:D,3,FALSE),""))</f>
        <v/>
      </c>
      <c r="AC304" s="7">
        <f>IF(Y304="","",IFERROR(VLOOKUP(Y304,'Ingredients + Stock'!B:G,6,FALSE),0))</f>
        <v/>
      </c>
      <c r="AD304" s="7">
        <f>IF(AA304="","",IFERROR(VLOOKUP(AA304,'Unit Conversion'!A:D,4,FALSE),1))</f>
        <v/>
      </c>
      <c r="AE304" s="7">
        <f>IF(AB304="","",IFERROR(VLOOKUP(AB304,'Unit Conversion'!A:D,4,FALSE),1))</f>
        <v/>
      </c>
      <c r="AF304" s="7">
        <f>IF(AA304="","",Z304*AD304/AE304)</f>
        <v/>
      </c>
      <c r="AG304" s="7">
        <f>AF304*AC304</f>
        <v/>
      </c>
      <c r="AH304" s="7">
        <f>IF(AA304="","",IFERROR(IF(VLOOKUP(AA304,'Unit Conversion'!A:B,2,FALSE)=VLOOKUP(AB304,'Unit Conversion'!A:B,2,FALSE),"OK","Check W/V mismatch"),"Check unit"))</f>
        <v/>
      </c>
      <c r="AI304" s="7" t="n"/>
    </row>
    <row r="305">
      <c r="A305" s="8" t="n"/>
      <c r="B305" s="8" t="n"/>
      <c r="C305" s="8" t="n"/>
      <c r="D305" s="8" t="n"/>
      <c r="E305" s="8" t="n"/>
      <c r="F305" s="8" t="n"/>
      <c r="G305" s="8" t="n"/>
      <c r="H305" s="8" t="n"/>
      <c r="I305" s="8" t="n"/>
      <c r="J305" s="8" t="n"/>
      <c r="K305" s="8" t="n"/>
      <c r="L305" s="8" t="n"/>
      <c r="M305" s="8" t="n"/>
      <c r="N305" s="8" t="n"/>
      <c r="O305" s="8" t="n"/>
      <c r="P305" s="8" t="n"/>
      <c r="Q305" s="8" t="n"/>
      <c r="R305" s="8" t="n"/>
      <c r="S305" s="8" t="n"/>
      <c r="T305" s="8" t="n"/>
      <c r="U305" s="8" t="n"/>
      <c r="V305" s="8" t="n"/>
      <c r="W305" s="8" t="n"/>
      <c r="X305" s="8" t="n"/>
      <c r="Y305" s="8" t="n"/>
      <c r="Z305" s="8" t="n"/>
      <c r="AA305" s="8" t="n"/>
      <c r="AB305" s="8">
        <f>IF(Y305="","",IFERROR(VLOOKUP(Y305,'Ingredients + Stock'!B:D,3,FALSE),""))</f>
        <v/>
      </c>
      <c r="AC305" s="8">
        <f>IF(Y305="","",IFERROR(VLOOKUP(Y305,'Ingredients + Stock'!B:G,6,FALSE),0))</f>
        <v/>
      </c>
      <c r="AD305" s="8">
        <f>IF(AA305="","",IFERROR(VLOOKUP(AA305,'Unit Conversion'!A:D,4,FALSE),1))</f>
        <v/>
      </c>
      <c r="AE305" s="8">
        <f>IF(AB305="","",IFERROR(VLOOKUP(AB305,'Unit Conversion'!A:D,4,FALSE),1))</f>
        <v/>
      </c>
      <c r="AF305" s="8">
        <f>IF(AA305="","",Z305*AD305/AE305)</f>
        <v/>
      </c>
      <c r="AG305" s="8">
        <f>AF305*AC305</f>
        <v/>
      </c>
      <c r="AH305" s="8">
        <f>IF(AA305="","",IFERROR(IF(VLOOKUP(AA305,'Unit Conversion'!A:B,2,FALSE)=VLOOKUP(AB305,'Unit Conversion'!A:B,2,FALSE),"OK","Check W/V mismatch"),"Check unit"))</f>
        <v/>
      </c>
      <c r="AI305" s="8" t="n"/>
    </row>
    <row r="306">
      <c r="A306" s="7" t="n"/>
      <c r="B306" s="7" t="n"/>
      <c r="C306" s="7" t="n"/>
      <c r="D306" s="7" t="n"/>
      <c r="E306" s="7" t="n"/>
      <c r="F306" s="7" t="n"/>
      <c r="G306" s="7" t="n"/>
      <c r="H306" s="7" t="n"/>
      <c r="I306" s="7" t="n"/>
      <c r="J306" s="7" t="n"/>
      <c r="K306" s="7" t="n"/>
      <c r="L306" s="7" t="n"/>
      <c r="M306" s="7" t="n"/>
      <c r="N306" s="7" t="n"/>
      <c r="O306" s="7" t="n"/>
      <c r="P306" s="7" t="n"/>
      <c r="Q306" s="7" t="n"/>
      <c r="R306" s="7" t="n"/>
      <c r="S306" s="7" t="n"/>
      <c r="T306" s="7" t="n"/>
      <c r="U306" s="7" t="n"/>
      <c r="V306" s="7" t="n"/>
      <c r="W306" s="7" t="n"/>
      <c r="X306" s="7" t="n"/>
      <c r="Y306" s="7" t="n"/>
      <c r="Z306" s="7" t="n"/>
      <c r="AA306" s="7" t="n"/>
      <c r="AB306" s="7">
        <f>IF(Y306="","",IFERROR(VLOOKUP(Y306,'Ingredients + Stock'!B:D,3,FALSE),""))</f>
        <v/>
      </c>
      <c r="AC306" s="7">
        <f>IF(Y306="","",IFERROR(VLOOKUP(Y306,'Ingredients + Stock'!B:G,6,FALSE),0))</f>
        <v/>
      </c>
      <c r="AD306" s="7">
        <f>IF(AA306="","",IFERROR(VLOOKUP(AA306,'Unit Conversion'!A:D,4,FALSE),1))</f>
        <v/>
      </c>
      <c r="AE306" s="7">
        <f>IF(AB306="","",IFERROR(VLOOKUP(AB306,'Unit Conversion'!A:D,4,FALSE),1))</f>
        <v/>
      </c>
      <c r="AF306" s="7">
        <f>IF(AA306="","",Z306*AD306/AE306)</f>
        <v/>
      </c>
      <c r="AG306" s="7">
        <f>AF306*AC306</f>
        <v/>
      </c>
      <c r="AH306" s="7">
        <f>IF(AA306="","",IFERROR(IF(VLOOKUP(AA306,'Unit Conversion'!A:B,2,FALSE)=VLOOKUP(AB306,'Unit Conversion'!A:B,2,FALSE),"OK","Check W/V mismatch"),"Check unit"))</f>
        <v/>
      </c>
      <c r="AI306" s="7" t="n"/>
    </row>
    <row r="307">
      <c r="A307" s="8" t="n"/>
      <c r="B307" s="8" t="n"/>
      <c r="C307" s="8" t="n"/>
      <c r="D307" s="8" t="n"/>
      <c r="E307" s="8" t="n"/>
      <c r="F307" s="8" t="n"/>
      <c r="G307" s="8" t="n"/>
      <c r="H307" s="8" t="n"/>
      <c r="I307" s="8" t="n"/>
      <c r="J307" s="8" t="n"/>
      <c r="K307" s="8" t="n"/>
      <c r="L307" s="8" t="n"/>
      <c r="M307" s="8" t="n"/>
      <c r="N307" s="8" t="n"/>
      <c r="O307" s="8" t="n"/>
      <c r="P307" s="8" t="n"/>
      <c r="Q307" s="8" t="n"/>
      <c r="R307" s="8" t="n"/>
      <c r="S307" s="8" t="n"/>
      <c r="T307" s="8" t="n"/>
      <c r="U307" s="8" t="n"/>
      <c r="V307" s="8" t="n"/>
      <c r="W307" s="8" t="n"/>
      <c r="X307" s="8" t="n"/>
      <c r="Y307" s="8" t="n"/>
      <c r="Z307" s="8" t="n"/>
      <c r="AA307" s="8" t="n"/>
      <c r="AB307" s="8">
        <f>IF(Y307="","",IFERROR(VLOOKUP(Y307,'Ingredients + Stock'!B:D,3,FALSE),""))</f>
        <v/>
      </c>
      <c r="AC307" s="8">
        <f>IF(Y307="","",IFERROR(VLOOKUP(Y307,'Ingredients + Stock'!B:G,6,FALSE),0))</f>
        <v/>
      </c>
      <c r="AD307" s="8">
        <f>IF(AA307="","",IFERROR(VLOOKUP(AA307,'Unit Conversion'!A:D,4,FALSE),1))</f>
        <v/>
      </c>
      <c r="AE307" s="8">
        <f>IF(AB307="","",IFERROR(VLOOKUP(AB307,'Unit Conversion'!A:D,4,FALSE),1))</f>
        <v/>
      </c>
      <c r="AF307" s="8">
        <f>IF(AA307="","",Z307*AD307/AE307)</f>
        <v/>
      </c>
      <c r="AG307" s="8">
        <f>AF307*AC307</f>
        <v/>
      </c>
      <c r="AH307" s="8">
        <f>IF(AA307="","",IFERROR(IF(VLOOKUP(AA307,'Unit Conversion'!A:B,2,FALSE)=VLOOKUP(AB307,'Unit Conversion'!A:B,2,FALSE),"OK","Check W/V mismatch"),"Check unit"))</f>
        <v/>
      </c>
      <c r="AI307" s="8" t="n"/>
    </row>
    <row r="308">
      <c r="A308" s="7" t="n"/>
      <c r="B308" s="7" t="n"/>
      <c r="C308" s="7" t="n"/>
      <c r="D308" s="7" t="n"/>
      <c r="E308" s="7" t="n"/>
      <c r="F308" s="7" t="n"/>
      <c r="G308" s="7" t="n"/>
      <c r="H308" s="7" t="n"/>
      <c r="I308" s="7" t="n"/>
      <c r="J308" s="7" t="n"/>
      <c r="K308" s="7" t="n"/>
      <c r="L308" s="7" t="n"/>
      <c r="M308" s="7" t="n"/>
      <c r="N308" s="7" t="n"/>
      <c r="O308" s="7" t="n"/>
      <c r="P308" s="7" t="n"/>
      <c r="Q308" s="7" t="n"/>
      <c r="R308" s="7" t="n"/>
      <c r="S308" s="7" t="n"/>
      <c r="T308" s="7" t="n"/>
      <c r="U308" s="7" t="n"/>
      <c r="V308" s="7" t="n"/>
      <c r="W308" s="7" t="n"/>
      <c r="X308" s="7" t="n"/>
      <c r="Y308" s="7" t="n"/>
      <c r="Z308" s="7" t="n"/>
      <c r="AA308" s="7" t="n"/>
      <c r="AB308" s="7">
        <f>IF(Y308="","",IFERROR(VLOOKUP(Y308,'Ingredients + Stock'!B:D,3,FALSE),""))</f>
        <v/>
      </c>
      <c r="AC308" s="7">
        <f>IF(Y308="","",IFERROR(VLOOKUP(Y308,'Ingredients + Stock'!B:G,6,FALSE),0))</f>
        <v/>
      </c>
      <c r="AD308" s="7">
        <f>IF(AA308="","",IFERROR(VLOOKUP(AA308,'Unit Conversion'!A:D,4,FALSE),1))</f>
        <v/>
      </c>
      <c r="AE308" s="7">
        <f>IF(AB308="","",IFERROR(VLOOKUP(AB308,'Unit Conversion'!A:D,4,FALSE),1))</f>
        <v/>
      </c>
      <c r="AF308" s="7">
        <f>IF(AA308="","",Z308*AD308/AE308)</f>
        <v/>
      </c>
      <c r="AG308" s="7">
        <f>AF308*AC308</f>
        <v/>
      </c>
      <c r="AH308" s="7">
        <f>IF(AA308="","",IFERROR(IF(VLOOKUP(AA308,'Unit Conversion'!A:B,2,FALSE)=VLOOKUP(AB308,'Unit Conversion'!A:B,2,FALSE),"OK","Check W/V mismatch"),"Check unit"))</f>
        <v/>
      </c>
      <c r="AI308" s="7" t="n"/>
    </row>
    <row r="309">
      <c r="A309" s="8" t="n"/>
      <c r="B309" s="8" t="n"/>
      <c r="C309" s="8" t="n"/>
      <c r="D309" s="8" t="n"/>
      <c r="E309" s="8" t="n"/>
      <c r="F309" s="8" t="n"/>
      <c r="G309" s="8" t="n"/>
      <c r="H309" s="8" t="n"/>
      <c r="I309" s="8" t="n"/>
      <c r="J309" s="8" t="n"/>
      <c r="K309" s="8" t="n"/>
      <c r="L309" s="8" t="n"/>
      <c r="M309" s="8" t="n"/>
      <c r="N309" s="8" t="n"/>
      <c r="O309" s="8" t="n"/>
      <c r="P309" s="8" t="n"/>
      <c r="Q309" s="8" t="n"/>
      <c r="R309" s="8" t="n"/>
      <c r="S309" s="8" t="n"/>
      <c r="T309" s="8" t="n"/>
      <c r="U309" s="8" t="n"/>
      <c r="V309" s="8" t="n"/>
      <c r="W309" s="8" t="n"/>
      <c r="X309" s="8" t="n"/>
      <c r="Y309" s="8" t="n"/>
      <c r="Z309" s="8" t="n"/>
      <c r="AA309" s="8" t="n"/>
      <c r="AB309" s="8">
        <f>IF(Y309="","",IFERROR(VLOOKUP(Y309,'Ingredients + Stock'!B:D,3,FALSE),""))</f>
        <v/>
      </c>
      <c r="AC309" s="8">
        <f>IF(Y309="","",IFERROR(VLOOKUP(Y309,'Ingredients + Stock'!B:G,6,FALSE),0))</f>
        <v/>
      </c>
      <c r="AD309" s="8">
        <f>IF(AA309="","",IFERROR(VLOOKUP(AA309,'Unit Conversion'!A:D,4,FALSE),1))</f>
        <v/>
      </c>
      <c r="AE309" s="8">
        <f>IF(AB309="","",IFERROR(VLOOKUP(AB309,'Unit Conversion'!A:D,4,FALSE),1))</f>
        <v/>
      </c>
      <c r="AF309" s="8">
        <f>IF(AA309="","",Z309*AD309/AE309)</f>
        <v/>
      </c>
      <c r="AG309" s="8">
        <f>AF309*AC309</f>
        <v/>
      </c>
      <c r="AH309" s="8">
        <f>IF(AA309="","",IFERROR(IF(VLOOKUP(AA309,'Unit Conversion'!A:B,2,FALSE)=VLOOKUP(AB309,'Unit Conversion'!A:B,2,FALSE),"OK","Check W/V mismatch"),"Check unit"))</f>
        <v/>
      </c>
      <c r="AI309" s="8" t="n"/>
    </row>
    <row r="310">
      <c r="A310" s="7" t="n"/>
      <c r="B310" s="7" t="n"/>
      <c r="C310" s="7" t="n"/>
      <c r="D310" s="7" t="n"/>
      <c r="E310" s="7" t="n"/>
      <c r="F310" s="7" t="n"/>
      <c r="G310" s="7" t="n"/>
      <c r="H310" s="7" t="n"/>
      <c r="I310" s="7" t="n"/>
      <c r="J310" s="7" t="n"/>
      <c r="K310" s="7" t="n"/>
      <c r="L310" s="7" t="n"/>
      <c r="M310" s="7" t="n"/>
      <c r="N310" s="7" t="n"/>
      <c r="O310" s="7" t="n"/>
      <c r="P310" s="7" t="n"/>
      <c r="Q310" s="7" t="n"/>
      <c r="R310" s="7" t="n"/>
      <c r="S310" s="7" t="n"/>
      <c r="T310" s="7" t="n"/>
      <c r="U310" s="7" t="n"/>
      <c r="V310" s="7" t="n"/>
      <c r="W310" s="7" t="n"/>
      <c r="X310" s="7" t="n"/>
      <c r="Y310" s="7" t="n"/>
      <c r="Z310" s="7" t="n"/>
      <c r="AA310" s="7" t="n"/>
      <c r="AB310" s="7">
        <f>IF(Y310="","",IFERROR(VLOOKUP(Y310,'Ingredients + Stock'!B:D,3,FALSE),""))</f>
        <v/>
      </c>
      <c r="AC310" s="7">
        <f>IF(Y310="","",IFERROR(VLOOKUP(Y310,'Ingredients + Stock'!B:G,6,FALSE),0))</f>
        <v/>
      </c>
      <c r="AD310" s="7">
        <f>IF(AA310="","",IFERROR(VLOOKUP(AA310,'Unit Conversion'!A:D,4,FALSE),1))</f>
        <v/>
      </c>
      <c r="AE310" s="7">
        <f>IF(AB310="","",IFERROR(VLOOKUP(AB310,'Unit Conversion'!A:D,4,FALSE),1))</f>
        <v/>
      </c>
      <c r="AF310" s="7">
        <f>IF(AA310="","",Z310*AD310/AE310)</f>
        <v/>
      </c>
      <c r="AG310" s="7">
        <f>AF310*AC310</f>
        <v/>
      </c>
      <c r="AH310" s="7">
        <f>IF(AA310="","",IFERROR(IF(VLOOKUP(AA310,'Unit Conversion'!A:B,2,FALSE)=VLOOKUP(AB310,'Unit Conversion'!A:B,2,FALSE),"OK","Check W/V mismatch"),"Check unit"))</f>
        <v/>
      </c>
      <c r="AI310" s="7" t="n"/>
    </row>
    <row r="311">
      <c r="A311" s="8" t="n"/>
      <c r="B311" s="8" t="n"/>
      <c r="C311" s="8" t="n"/>
      <c r="D311" s="8" t="n"/>
      <c r="E311" s="8" t="n"/>
      <c r="F311" s="8" t="n"/>
      <c r="G311" s="8" t="n"/>
      <c r="H311" s="8" t="n"/>
      <c r="I311" s="8" t="n"/>
      <c r="J311" s="8" t="n"/>
      <c r="K311" s="8" t="n"/>
      <c r="L311" s="8" t="n"/>
      <c r="M311" s="8" t="n"/>
      <c r="N311" s="8" t="n"/>
      <c r="O311" s="8" t="n"/>
      <c r="P311" s="8" t="n"/>
      <c r="Q311" s="8" t="n"/>
      <c r="R311" s="8" t="n"/>
      <c r="S311" s="8" t="n"/>
      <c r="T311" s="8" t="n"/>
      <c r="U311" s="8" t="n"/>
      <c r="V311" s="8" t="n"/>
      <c r="W311" s="8" t="n"/>
      <c r="X311" s="8" t="n"/>
      <c r="Y311" s="8" t="n"/>
      <c r="Z311" s="8" t="n"/>
      <c r="AA311" s="8" t="n"/>
      <c r="AB311" s="8">
        <f>IF(Y311="","",IFERROR(VLOOKUP(Y311,'Ingredients + Stock'!B:D,3,FALSE),""))</f>
        <v/>
      </c>
      <c r="AC311" s="8">
        <f>IF(Y311="","",IFERROR(VLOOKUP(Y311,'Ingredients + Stock'!B:G,6,FALSE),0))</f>
        <v/>
      </c>
      <c r="AD311" s="8">
        <f>IF(AA311="","",IFERROR(VLOOKUP(AA311,'Unit Conversion'!A:D,4,FALSE),1))</f>
        <v/>
      </c>
      <c r="AE311" s="8">
        <f>IF(AB311="","",IFERROR(VLOOKUP(AB311,'Unit Conversion'!A:D,4,FALSE),1))</f>
        <v/>
      </c>
      <c r="AF311" s="8">
        <f>IF(AA311="","",Z311*AD311/AE311)</f>
        <v/>
      </c>
      <c r="AG311" s="8">
        <f>AF311*AC311</f>
        <v/>
      </c>
      <c r="AH311" s="8">
        <f>IF(AA311="","",IFERROR(IF(VLOOKUP(AA311,'Unit Conversion'!A:B,2,FALSE)=VLOOKUP(AB311,'Unit Conversion'!A:B,2,FALSE),"OK","Check W/V mismatch"),"Check unit"))</f>
        <v/>
      </c>
      <c r="AI311" s="8" t="n"/>
    </row>
    <row r="312">
      <c r="A312" s="7" t="n"/>
      <c r="B312" s="7" t="n"/>
      <c r="C312" s="7" t="n"/>
      <c r="D312" s="7" t="n"/>
      <c r="E312" s="7" t="n"/>
      <c r="F312" s="7" t="n"/>
      <c r="G312" s="7" t="n"/>
      <c r="H312" s="7" t="n"/>
      <c r="I312" s="7" t="n"/>
      <c r="J312" s="7" t="n"/>
      <c r="K312" s="7" t="n"/>
      <c r="L312" s="7" t="n"/>
      <c r="M312" s="7" t="n"/>
      <c r="N312" s="7" t="n"/>
      <c r="O312" s="7" t="n"/>
      <c r="P312" s="7" t="n"/>
      <c r="Q312" s="7" t="n"/>
      <c r="R312" s="7" t="n"/>
      <c r="S312" s="7" t="n"/>
      <c r="T312" s="7" t="n"/>
      <c r="U312" s="7" t="n"/>
      <c r="V312" s="7" t="n"/>
      <c r="W312" s="7" t="n"/>
      <c r="X312" s="7" t="n"/>
      <c r="Y312" s="7" t="n"/>
      <c r="Z312" s="7" t="n"/>
      <c r="AA312" s="7" t="n"/>
      <c r="AB312" s="7">
        <f>IF(Y312="","",IFERROR(VLOOKUP(Y312,'Ingredients + Stock'!B:D,3,FALSE),""))</f>
        <v/>
      </c>
      <c r="AC312" s="7">
        <f>IF(Y312="","",IFERROR(VLOOKUP(Y312,'Ingredients + Stock'!B:G,6,FALSE),0))</f>
        <v/>
      </c>
      <c r="AD312" s="7">
        <f>IF(AA312="","",IFERROR(VLOOKUP(AA312,'Unit Conversion'!A:D,4,FALSE),1))</f>
        <v/>
      </c>
      <c r="AE312" s="7">
        <f>IF(AB312="","",IFERROR(VLOOKUP(AB312,'Unit Conversion'!A:D,4,FALSE),1))</f>
        <v/>
      </c>
      <c r="AF312" s="7">
        <f>IF(AA312="","",Z312*AD312/AE312)</f>
        <v/>
      </c>
      <c r="AG312" s="7">
        <f>AF312*AC312</f>
        <v/>
      </c>
      <c r="AH312" s="7">
        <f>IF(AA312="","",IFERROR(IF(VLOOKUP(AA312,'Unit Conversion'!A:B,2,FALSE)=VLOOKUP(AB312,'Unit Conversion'!A:B,2,FALSE),"OK","Check W/V mismatch"),"Check unit"))</f>
        <v/>
      </c>
      <c r="AI312" s="7" t="n"/>
    </row>
    <row r="313">
      <c r="A313" s="8" t="n"/>
      <c r="B313" s="8" t="n"/>
      <c r="C313" s="8" t="n"/>
      <c r="D313" s="8" t="n"/>
      <c r="E313" s="8" t="n"/>
      <c r="F313" s="8" t="n"/>
      <c r="G313" s="8" t="n"/>
      <c r="H313" s="8" t="n"/>
      <c r="I313" s="8" t="n"/>
      <c r="J313" s="8" t="n"/>
      <c r="K313" s="8" t="n"/>
      <c r="L313" s="8" t="n"/>
      <c r="M313" s="8" t="n"/>
      <c r="N313" s="8" t="n"/>
      <c r="O313" s="8" t="n"/>
      <c r="P313" s="8" t="n"/>
      <c r="Q313" s="8" t="n"/>
      <c r="R313" s="8" t="n"/>
      <c r="S313" s="8" t="n"/>
      <c r="T313" s="8" t="n"/>
      <c r="U313" s="8" t="n"/>
      <c r="V313" s="8" t="n"/>
      <c r="W313" s="8" t="n"/>
      <c r="X313" s="8" t="n"/>
      <c r="Y313" s="8" t="n"/>
      <c r="Z313" s="8" t="n"/>
      <c r="AA313" s="8" t="n"/>
      <c r="AB313" s="8">
        <f>IF(Y313="","",IFERROR(VLOOKUP(Y313,'Ingredients + Stock'!B:D,3,FALSE),""))</f>
        <v/>
      </c>
      <c r="AC313" s="8">
        <f>IF(Y313="","",IFERROR(VLOOKUP(Y313,'Ingredients + Stock'!B:G,6,FALSE),0))</f>
        <v/>
      </c>
      <c r="AD313" s="8">
        <f>IF(AA313="","",IFERROR(VLOOKUP(AA313,'Unit Conversion'!A:D,4,FALSE),1))</f>
        <v/>
      </c>
      <c r="AE313" s="8">
        <f>IF(AB313="","",IFERROR(VLOOKUP(AB313,'Unit Conversion'!A:D,4,FALSE),1))</f>
        <v/>
      </c>
      <c r="AF313" s="8">
        <f>IF(AA313="","",Z313*AD313/AE313)</f>
        <v/>
      </c>
      <c r="AG313" s="8">
        <f>AF313*AC313</f>
        <v/>
      </c>
      <c r="AH313" s="8">
        <f>IF(AA313="","",IFERROR(IF(VLOOKUP(AA313,'Unit Conversion'!A:B,2,FALSE)=VLOOKUP(AB313,'Unit Conversion'!A:B,2,FALSE),"OK","Check W/V mismatch"),"Check unit"))</f>
        <v/>
      </c>
      <c r="AI313" s="8" t="n"/>
    </row>
    <row r="314">
      <c r="A314" s="7" t="n"/>
      <c r="B314" s="7" t="n"/>
      <c r="C314" s="7" t="n"/>
      <c r="D314" s="7" t="n"/>
      <c r="E314" s="7" t="n"/>
      <c r="F314" s="7" t="n"/>
      <c r="G314" s="7" t="n"/>
      <c r="H314" s="7" t="n"/>
      <c r="I314" s="7" t="n"/>
      <c r="J314" s="7" t="n"/>
      <c r="K314" s="7" t="n"/>
      <c r="L314" s="7" t="n"/>
      <c r="M314" s="7" t="n"/>
      <c r="N314" s="7" t="n"/>
      <c r="O314" s="7" t="n"/>
      <c r="P314" s="7" t="n"/>
      <c r="Q314" s="7" t="n"/>
      <c r="R314" s="7" t="n"/>
      <c r="S314" s="7" t="n"/>
      <c r="T314" s="7" t="n"/>
      <c r="U314" s="7" t="n"/>
      <c r="V314" s="7" t="n"/>
      <c r="W314" s="7" t="n"/>
      <c r="X314" s="7" t="n"/>
      <c r="Y314" s="7" t="n"/>
      <c r="Z314" s="7" t="n"/>
      <c r="AA314" s="7" t="n"/>
      <c r="AB314" s="7">
        <f>IF(Y314="","",IFERROR(VLOOKUP(Y314,'Ingredients + Stock'!B:D,3,FALSE),""))</f>
        <v/>
      </c>
      <c r="AC314" s="7">
        <f>IF(Y314="","",IFERROR(VLOOKUP(Y314,'Ingredients + Stock'!B:G,6,FALSE),0))</f>
        <v/>
      </c>
      <c r="AD314" s="7">
        <f>IF(AA314="","",IFERROR(VLOOKUP(AA314,'Unit Conversion'!A:D,4,FALSE),1))</f>
        <v/>
      </c>
      <c r="AE314" s="7">
        <f>IF(AB314="","",IFERROR(VLOOKUP(AB314,'Unit Conversion'!A:D,4,FALSE),1))</f>
        <v/>
      </c>
      <c r="AF314" s="7">
        <f>IF(AA314="","",Z314*AD314/AE314)</f>
        <v/>
      </c>
      <c r="AG314" s="7">
        <f>AF314*AC314</f>
        <v/>
      </c>
      <c r="AH314" s="7">
        <f>IF(AA314="","",IFERROR(IF(VLOOKUP(AA314,'Unit Conversion'!A:B,2,FALSE)=VLOOKUP(AB314,'Unit Conversion'!A:B,2,FALSE),"OK","Check W/V mismatch"),"Check unit"))</f>
        <v/>
      </c>
      <c r="AI314" s="7" t="n"/>
    </row>
    <row r="315">
      <c r="A315" s="8" t="n"/>
      <c r="B315" s="8" t="n"/>
      <c r="C315" s="8" t="n"/>
      <c r="D315" s="8" t="n"/>
      <c r="E315" s="8" t="n"/>
      <c r="F315" s="8" t="n"/>
      <c r="G315" s="8" t="n"/>
      <c r="H315" s="8" t="n"/>
      <c r="I315" s="8" t="n"/>
      <c r="J315" s="8" t="n"/>
      <c r="K315" s="8" t="n"/>
      <c r="L315" s="8" t="n"/>
      <c r="M315" s="8" t="n"/>
      <c r="N315" s="8" t="n"/>
      <c r="O315" s="8" t="n"/>
      <c r="P315" s="8" t="n"/>
      <c r="Q315" s="8" t="n"/>
      <c r="R315" s="8" t="n"/>
      <c r="S315" s="8" t="n"/>
      <c r="T315" s="8" t="n"/>
      <c r="U315" s="8" t="n"/>
      <c r="V315" s="8" t="n"/>
      <c r="W315" s="8" t="n"/>
      <c r="X315" s="8" t="n"/>
      <c r="Y315" s="8" t="n"/>
      <c r="Z315" s="8" t="n"/>
      <c r="AA315" s="8" t="n"/>
      <c r="AB315" s="8">
        <f>IF(Y315="","",IFERROR(VLOOKUP(Y315,'Ingredients + Stock'!B:D,3,FALSE),""))</f>
        <v/>
      </c>
      <c r="AC315" s="8">
        <f>IF(Y315="","",IFERROR(VLOOKUP(Y315,'Ingredients + Stock'!B:G,6,FALSE),0))</f>
        <v/>
      </c>
      <c r="AD315" s="8">
        <f>IF(AA315="","",IFERROR(VLOOKUP(AA315,'Unit Conversion'!A:D,4,FALSE),1))</f>
        <v/>
      </c>
      <c r="AE315" s="8">
        <f>IF(AB315="","",IFERROR(VLOOKUP(AB315,'Unit Conversion'!A:D,4,FALSE),1))</f>
        <v/>
      </c>
      <c r="AF315" s="8">
        <f>IF(AA315="","",Z315*AD315/AE315)</f>
        <v/>
      </c>
      <c r="AG315" s="8">
        <f>AF315*AC315</f>
        <v/>
      </c>
      <c r="AH315" s="8">
        <f>IF(AA315="","",IFERROR(IF(VLOOKUP(AA315,'Unit Conversion'!A:B,2,FALSE)=VLOOKUP(AB315,'Unit Conversion'!A:B,2,FALSE),"OK","Check W/V mismatch"),"Check unit"))</f>
        <v/>
      </c>
      <c r="AI315" s="8" t="n"/>
    </row>
    <row r="316">
      <c r="A316" s="7" t="n"/>
      <c r="B316" s="7" t="n"/>
      <c r="C316" s="7" t="n"/>
      <c r="D316" s="7" t="n"/>
      <c r="E316" s="7" t="n"/>
      <c r="F316" s="7" t="n"/>
      <c r="G316" s="7" t="n"/>
      <c r="H316" s="7" t="n"/>
      <c r="I316" s="7" t="n"/>
      <c r="J316" s="7" t="n"/>
      <c r="K316" s="7" t="n"/>
      <c r="L316" s="7" t="n"/>
      <c r="M316" s="7" t="n"/>
      <c r="N316" s="7" t="n"/>
      <c r="O316" s="7" t="n"/>
      <c r="P316" s="7" t="n"/>
      <c r="Q316" s="7" t="n"/>
      <c r="R316" s="7" t="n"/>
      <c r="S316" s="7" t="n"/>
      <c r="T316" s="7" t="n"/>
      <c r="U316" s="7" t="n"/>
      <c r="V316" s="7" t="n"/>
      <c r="W316" s="7" t="n"/>
      <c r="X316" s="7" t="n"/>
      <c r="Y316" s="7" t="n"/>
      <c r="Z316" s="7" t="n"/>
      <c r="AA316" s="7" t="n"/>
      <c r="AB316" s="7">
        <f>IF(Y316="","",IFERROR(VLOOKUP(Y316,'Ingredients + Stock'!B:D,3,FALSE),""))</f>
        <v/>
      </c>
      <c r="AC316" s="7">
        <f>IF(Y316="","",IFERROR(VLOOKUP(Y316,'Ingredients + Stock'!B:G,6,FALSE),0))</f>
        <v/>
      </c>
      <c r="AD316" s="7">
        <f>IF(AA316="","",IFERROR(VLOOKUP(AA316,'Unit Conversion'!A:D,4,FALSE),1))</f>
        <v/>
      </c>
      <c r="AE316" s="7">
        <f>IF(AB316="","",IFERROR(VLOOKUP(AB316,'Unit Conversion'!A:D,4,FALSE),1))</f>
        <v/>
      </c>
      <c r="AF316" s="7">
        <f>IF(AA316="","",Z316*AD316/AE316)</f>
        <v/>
      </c>
      <c r="AG316" s="7">
        <f>AF316*AC316</f>
        <v/>
      </c>
      <c r="AH316" s="7">
        <f>IF(AA316="","",IFERROR(IF(VLOOKUP(AA316,'Unit Conversion'!A:B,2,FALSE)=VLOOKUP(AB316,'Unit Conversion'!A:B,2,FALSE),"OK","Check W/V mismatch"),"Check unit"))</f>
        <v/>
      </c>
      <c r="AI316" s="7" t="n"/>
    </row>
    <row r="317">
      <c r="A317" s="8" t="n"/>
      <c r="B317" s="8" t="n"/>
      <c r="C317" s="8" t="n"/>
      <c r="D317" s="8" t="n"/>
      <c r="E317" s="8" t="n"/>
      <c r="F317" s="8" t="n"/>
      <c r="G317" s="8" t="n"/>
      <c r="H317" s="8" t="n"/>
      <c r="I317" s="8" t="n"/>
      <c r="J317" s="8" t="n"/>
      <c r="K317" s="8" t="n"/>
      <c r="L317" s="8" t="n"/>
      <c r="M317" s="8" t="n"/>
      <c r="N317" s="8" t="n"/>
      <c r="O317" s="8" t="n"/>
      <c r="P317" s="8" t="n"/>
      <c r="Q317" s="8" t="n"/>
      <c r="R317" s="8" t="n"/>
      <c r="S317" s="8" t="n"/>
      <c r="T317" s="8" t="n"/>
      <c r="U317" s="8" t="n"/>
      <c r="V317" s="8" t="n"/>
      <c r="W317" s="8" t="n"/>
      <c r="X317" s="8" t="n"/>
      <c r="Y317" s="8" t="n"/>
      <c r="Z317" s="8" t="n"/>
      <c r="AA317" s="8" t="n"/>
      <c r="AB317" s="8">
        <f>IF(Y317="","",IFERROR(VLOOKUP(Y317,'Ingredients + Stock'!B:D,3,FALSE),""))</f>
        <v/>
      </c>
      <c r="AC317" s="8">
        <f>IF(Y317="","",IFERROR(VLOOKUP(Y317,'Ingredients + Stock'!B:G,6,FALSE),0))</f>
        <v/>
      </c>
      <c r="AD317" s="8">
        <f>IF(AA317="","",IFERROR(VLOOKUP(AA317,'Unit Conversion'!A:D,4,FALSE),1))</f>
        <v/>
      </c>
      <c r="AE317" s="8">
        <f>IF(AB317="","",IFERROR(VLOOKUP(AB317,'Unit Conversion'!A:D,4,FALSE),1))</f>
        <v/>
      </c>
      <c r="AF317" s="8">
        <f>IF(AA317="","",Z317*AD317/AE317)</f>
        <v/>
      </c>
      <c r="AG317" s="8">
        <f>AF317*AC317</f>
        <v/>
      </c>
      <c r="AH317" s="8">
        <f>IF(AA317="","",IFERROR(IF(VLOOKUP(AA317,'Unit Conversion'!A:B,2,FALSE)=VLOOKUP(AB317,'Unit Conversion'!A:B,2,FALSE),"OK","Check W/V mismatch"),"Check unit"))</f>
        <v/>
      </c>
      <c r="AI317" s="8" t="n"/>
    </row>
    <row r="318">
      <c r="A318" s="7" t="n"/>
      <c r="B318" s="7" t="n"/>
      <c r="C318" s="7" t="n"/>
      <c r="D318" s="7" t="n"/>
      <c r="E318" s="7" t="n"/>
      <c r="F318" s="7" t="n"/>
      <c r="G318" s="7" t="n"/>
      <c r="H318" s="7" t="n"/>
      <c r="I318" s="7" t="n"/>
      <c r="J318" s="7" t="n"/>
      <c r="K318" s="7" t="n"/>
      <c r="L318" s="7" t="n"/>
      <c r="M318" s="7" t="n"/>
      <c r="N318" s="7" t="n"/>
      <c r="O318" s="7" t="n"/>
      <c r="P318" s="7" t="n"/>
      <c r="Q318" s="7" t="n"/>
      <c r="R318" s="7" t="n"/>
      <c r="S318" s="7" t="n"/>
      <c r="T318" s="7" t="n"/>
      <c r="U318" s="7" t="n"/>
      <c r="V318" s="7" t="n"/>
      <c r="W318" s="7" t="n"/>
      <c r="X318" s="7" t="n"/>
      <c r="Y318" s="7" t="n"/>
      <c r="Z318" s="7" t="n"/>
      <c r="AA318" s="7" t="n"/>
      <c r="AB318" s="7">
        <f>IF(Y318="","",IFERROR(VLOOKUP(Y318,'Ingredients + Stock'!B:D,3,FALSE),""))</f>
        <v/>
      </c>
      <c r="AC318" s="7">
        <f>IF(Y318="","",IFERROR(VLOOKUP(Y318,'Ingredients + Stock'!B:G,6,FALSE),0))</f>
        <v/>
      </c>
      <c r="AD318" s="7">
        <f>IF(AA318="","",IFERROR(VLOOKUP(AA318,'Unit Conversion'!A:D,4,FALSE),1))</f>
        <v/>
      </c>
      <c r="AE318" s="7">
        <f>IF(AB318="","",IFERROR(VLOOKUP(AB318,'Unit Conversion'!A:D,4,FALSE),1))</f>
        <v/>
      </c>
      <c r="AF318" s="7">
        <f>IF(AA318="","",Z318*AD318/AE318)</f>
        <v/>
      </c>
      <c r="AG318" s="7">
        <f>AF318*AC318</f>
        <v/>
      </c>
      <c r="AH318" s="7">
        <f>IF(AA318="","",IFERROR(IF(VLOOKUP(AA318,'Unit Conversion'!A:B,2,FALSE)=VLOOKUP(AB318,'Unit Conversion'!A:B,2,FALSE),"OK","Check W/V mismatch"),"Check unit"))</f>
        <v/>
      </c>
      <c r="AI318" s="7" t="n"/>
    </row>
    <row r="319">
      <c r="A319" s="8" t="n"/>
      <c r="B319" s="8" t="n"/>
      <c r="C319" s="8" t="n"/>
      <c r="D319" s="8" t="n"/>
      <c r="E319" s="8" t="n"/>
      <c r="F319" s="8" t="n"/>
      <c r="G319" s="8" t="n"/>
      <c r="H319" s="8" t="n"/>
      <c r="I319" s="8" t="n"/>
      <c r="J319" s="8" t="n"/>
      <c r="K319" s="8" t="n"/>
      <c r="L319" s="8" t="n"/>
      <c r="M319" s="8" t="n"/>
      <c r="N319" s="8" t="n"/>
      <c r="O319" s="8" t="n"/>
      <c r="P319" s="8" t="n"/>
      <c r="Q319" s="8" t="n"/>
      <c r="R319" s="8" t="n"/>
      <c r="S319" s="8" t="n"/>
      <c r="T319" s="8" t="n"/>
      <c r="U319" s="8" t="n"/>
      <c r="V319" s="8" t="n"/>
      <c r="W319" s="8" t="n"/>
      <c r="X319" s="8" t="n"/>
      <c r="Y319" s="8" t="n"/>
      <c r="Z319" s="8" t="n"/>
      <c r="AA319" s="8" t="n"/>
      <c r="AB319" s="8">
        <f>IF(Y319="","",IFERROR(VLOOKUP(Y319,'Ingredients + Stock'!B:D,3,FALSE),""))</f>
        <v/>
      </c>
      <c r="AC319" s="8">
        <f>IF(Y319="","",IFERROR(VLOOKUP(Y319,'Ingredients + Stock'!B:G,6,FALSE),0))</f>
        <v/>
      </c>
      <c r="AD319" s="8">
        <f>IF(AA319="","",IFERROR(VLOOKUP(AA319,'Unit Conversion'!A:D,4,FALSE),1))</f>
        <v/>
      </c>
      <c r="AE319" s="8">
        <f>IF(AB319="","",IFERROR(VLOOKUP(AB319,'Unit Conversion'!A:D,4,FALSE),1))</f>
        <v/>
      </c>
      <c r="AF319" s="8">
        <f>IF(AA319="","",Z319*AD319/AE319)</f>
        <v/>
      </c>
      <c r="AG319" s="8">
        <f>AF319*AC319</f>
        <v/>
      </c>
      <c r="AH319" s="8">
        <f>IF(AA319="","",IFERROR(IF(VLOOKUP(AA319,'Unit Conversion'!A:B,2,FALSE)=VLOOKUP(AB319,'Unit Conversion'!A:B,2,FALSE),"OK","Check W/V mismatch"),"Check unit"))</f>
        <v/>
      </c>
      <c r="AI319" s="8" t="n"/>
    </row>
    <row r="320">
      <c r="A320" s="7" t="n"/>
      <c r="B320" s="7" t="n"/>
      <c r="C320" s="7" t="n"/>
      <c r="D320" s="7" t="n"/>
      <c r="E320" s="7" t="n"/>
      <c r="F320" s="7" t="n"/>
      <c r="G320" s="7" t="n"/>
      <c r="H320" s="7" t="n"/>
      <c r="I320" s="7" t="n"/>
      <c r="J320" s="7" t="n"/>
      <c r="K320" s="7" t="n"/>
      <c r="L320" s="7" t="n"/>
      <c r="M320" s="7" t="n"/>
      <c r="N320" s="7" t="n"/>
      <c r="O320" s="7" t="n"/>
      <c r="P320" s="7" t="n"/>
      <c r="Q320" s="7" t="n"/>
      <c r="R320" s="7" t="n"/>
      <c r="S320" s="7" t="n"/>
      <c r="T320" s="7" t="n"/>
      <c r="U320" s="7" t="n"/>
      <c r="V320" s="7" t="n"/>
      <c r="W320" s="7" t="n"/>
      <c r="X320" s="7" t="n"/>
      <c r="Y320" s="7" t="n"/>
      <c r="Z320" s="7" t="n"/>
      <c r="AA320" s="7" t="n"/>
      <c r="AB320" s="7">
        <f>IF(Y320="","",IFERROR(VLOOKUP(Y320,'Ingredients + Stock'!B:D,3,FALSE),""))</f>
        <v/>
      </c>
      <c r="AC320" s="7">
        <f>IF(Y320="","",IFERROR(VLOOKUP(Y320,'Ingredients + Stock'!B:G,6,FALSE),0))</f>
        <v/>
      </c>
      <c r="AD320" s="7">
        <f>IF(AA320="","",IFERROR(VLOOKUP(AA320,'Unit Conversion'!A:D,4,FALSE),1))</f>
        <v/>
      </c>
      <c r="AE320" s="7">
        <f>IF(AB320="","",IFERROR(VLOOKUP(AB320,'Unit Conversion'!A:D,4,FALSE),1))</f>
        <v/>
      </c>
      <c r="AF320" s="7">
        <f>IF(AA320="","",Z320*AD320/AE320)</f>
        <v/>
      </c>
      <c r="AG320" s="7">
        <f>AF320*AC320</f>
        <v/>
      </c>
      <c r="AH320" s="7">
        <f>IF(AA320="","",IFERROR(IF(VLOOKUP(AA320,'Unit Conversion'!A:B,2,FALSE)=VLOOKUP(AB320,'Unit Conversion'!A:B,2,FALSE),"OK","Check W/V mismatch"),"Check unit"))</f>
        <v/>
      </c>
      <c r="AI320" s="7" t="n"/>
    </row>
    <row r="321">
      <c r="A321" s="8" t="n"/>
      <c r="B321" s="8" t="n"/>
      <c r="C321" s="8" t="n"/>
      <c r="D321" s="8" t="n"/>
      <c r="E321" s="8" t="n"/>
      <c r="F321" s="8" t="n"/>
      <c r="G321" s="8" t="n"/>
      <c r="H321" s="8" t="n"/>
      <c r="I321" s="8" t="n"/>
      <c r="J321" s="8" t="n"/>
      <c r="K321" s="8" t="n"/>
      <c r="L321" s="8" t="n"/>
      <c r="M321" s="8" t="n"/>
      <c r="N321" s="8" t="n"/>
      <c r="O321" s="8" t="n"/>
      <c r="P321" s="8" t="n"/>
      <c r="Q321" s="8" t="n"/>
      <c r="R321" s="8" t="n"/>
      <c r="S321" s="8" t="n"/>
      <c r="T321" s="8" t="n"/>
      <c r="U321" s="8" t="n"/>
      <c r="V321" s="8" t="n"/>
      <c r="W321" s="8" t="n"/>
      <c r="X321" s="8" t="n"/>
      <c r="Y321" s="8" t="n"/>
      <c r="Z321" s="8" t="n"/>
      <c r="AA321" s="8" t="n"/>
      <c r="AB321" s="8">
        <f>IF(Y321="","",IFERROR(VLOOKUP(Y321,'Ingredients + Stock'!B:D,3,FALSE),""))</f>
        <v/>
      </c>
      <c r="AC321" s="8">
        <f>IF(Y321="","",IFERROR(VLOOKUP(Y321,'Ingredients + Stock'!B:G,6,FALSE),0))</f>
        <v/>
      </c>
      <c r="AD321" s="8">
        <f>IF(AA321="","",IFERROR(VLOOKUP(AA321,'Unit Conversion'!A:D,4,FALSE),1))</f>
        <v/>
      </c>
      <c r="AE321" s="8">
        <f>IF(AB321="","",IFERROR(VLOOKUP(AB321,'Unit Conversion'!A:D,4,FALSE),1))</f>
        <v/>
      </c>
      <c r="AF321" s="8">
        <f>IF(AA321="","",Z321*AD321/AE321)</f>
        <v/>
      </c>
      <c r="AG321" s="8">
        <f>AF321*AC321</f>
        <v/>
      </c>
      <c r="AH321" s="8">
        <f>IF(AA321="","",IFERROR(IF(VLOOKUP(AA321,'Unit Conversion'!A:B,2,FALSE)=VLOOKUP(AB321,'Unit Conversion'!A:B,2,FALSE),"OK","Check W/V mismatch"),"Check unit"))</f>
        <v/>
      </c>
      <c r="AI321" s="8" t="n"/>
    </row>
    <row r="322">
      <c r="A322" s="7" t="n"/>
      <c r="B322" s="7" t="n"/>
      <c r="C322" s="7" t="n"/>
      <c r="D322" s="7" t="n"/>
      <c r="E322" s="7" t="n"/>
      <c r="F322" s="7" t="n"/>
      <c r="G322" s="7" t="n"/>
      <c r="H322" s="7" t="n"/>
      <c r="I322" s="7" t="n"/>
      <c r="J322" s="7" t="n"/>
      <c r="K322" s="7" t="n"/>
      <c r="L322" s="7" t="n"/>
      <c r="M322" s="7" t="n"/>
      <c r="N322" s="7" t="n"/>
      <c r="O322" s="7" t="n"/>
      <c r="P322" s="7" t="n"/>
      <c r="Q322" s="7" t="n"/>
      <c r="R322" s="7" t="n"/>
      <c r="S322" s="7" t="n"/>
      <c r="T322" s="7" t="n"/>
      <c r="U322" s="7" t="n"/>
      <c r="V322" s="7" t="n"/>
      <c r="W322" s="7" t="n"/>
      <c r="X322" s="7" t="n"/>
      <c r="Y322" s="7" t="n"/>
      <c r="Z322" s="7" t="n"/>
      <c r="AA322" s="7" t="n"/>
      <c r="AB322" s="7">
        <f>IF(Y322="","",IFERROR(VLOOKUP(Y322,'Ingredients + Stock'!B:D,3,FALSE),""))</f>
        <v/>
      </c>
      <c r="AC322" s="7">
        <f>IF(Y322="","",IFERROR(VLOOKUP(Y322,'Ingredients + Stock'!B:G,6,FALSE),0))</f>
        <v/>
      </c>
      <c r="AD322" s="7">
        <f>IF(AA322="","",IFERROR(VLOOKUP(AA322,'Unit Conversion'!A:D,4,FALSE),1))</f>
        <v/>
      </c>
      <c r="AE322" s="7">
        <f>IF(AB322="","",IFERROR(VLOOKUP(AB322,'Unit Conversion'!A:D,4,FALSE),1))</f>
        <v/>
      </c>
      <c r="AF322" s="7">
        <f>IF(AA322="","",Z322*AD322/AE322)</f>
        <v/>
      </c>
      <c r="AG322" s="7">
        <f>AF322*AC322</f>
        <v/>
      </c>
      <c r="AH322" s="7">
        <f>IF(AA322="","",IFERROR(IF(VLOOKUP(AA322,'Unit Conversion'!A:B,2,FALSE)=VLOOKUP(AB322,'Unit Conversion'!A:B,2,FALSE),"OK","Check W/V mismatch"),"Check unit"))</f>
        <v/>
      </c>
      <c r="AI322" s="7" t="n"/>
    </row>
    <row r="323">
      <c r="A323" s="8" t="n"/>
      <c r="B323" s="8" t="n"/>
      <c r="C323" s="8" t="n"/>
      <c r="D323" s="8" t="n"/>
      <c r="E323" s="8" t="n"/>
      <c r="F323" s="8" t="n"/>
      <c r="G323" s="8" t="n"/>
      <c r="H323" s="8" t="n"/>
      <c r="I323" s="8" t="n"/>
      <c r="J323" s="8" t="n"/>
      <c r="K323" s="8" t="n"/>
      <c r="L323" s="8" t="n"/>
      <c r="M323" s="8" t="n"/>
      <c r="N323" s="8" t="n"/>
      <c r="O323" s="8" t="n"/>
      <c r="P323" s="8" t="n"/>
      <c r="Q323" s="8" t="n"/>
      <c r="R323" s="8" t="n"/>
      <c r="S323" s="8" t="n"/>
      <c r="T323" s="8" t="n"/>
      <c r="U323" s="8" t="n"/>
      <c r="V323" s="8" t="n"/>
      <c r="W323" s="8" t="n"/>
      <c r="X323" s="8" t="n"/>
      <c r="Y323" s="8" t="n"/>
      <c r="Z323" s="8" t="n"/>
      <c r="AA323" s="8" t="n"/>
      <c r="AB323" s="8">
        <f>IF(Y323="","",IFERROR(VLOOKUP(Y323,'Ingredients + Stock'!B:D,3,FALSE),""))</f>
        <v/>
      </c>
      <c r="AC323" s="8">
        <f>IF(Y323="","",IFERROR(VLOOKUP(Y323,'Ingredients + Stock'!B:G,6,FALSE),0))</f>
        <v/>
      </c>
      <c r="AD323" s="8">
        <f>IF(AA323="","",IFERROR(VLOOKUP(AA323,'Unit Conversion'!A:D,4,FALSE),1))</f>
        <v/>
      </c>
      <c r="AE323" s="8">
        <f>IF(AB323="","",IFERROR(VLOOKUP(AB323,'Unit Conversion'!A:D,4,FALSE),1))</f>
        <v/>
      </c>
      <c r="AF323" s="8">
        <f>IF(AA323="","",Z323*AD323/AE323)</f>
        <v/>
      </c>
      <c r="AG323" s="8">
        <f>AF323*AC323</f>
        <v/>
      </c>
      <c r="AH323" s="8">
        <f>IF(AA323="","",IFERROR(IF(VLOOKUP(AA323,'Unit Conversion'!A:B,2,FALSE)=VLOOKUP(AB323,'Unit Conversion'!A:B,2,FALSE),"OK","Check W/V mismatch"),"Check unit"))</f>
        <v/>
      </c>
      <c r="AI323" s="8" t="n"/>
    </row>
    <row r="324">
      <c r="A324" s="7" t="n"/>
      <c r="B324" s="7" t="n"/>
      <c r="C324" s="7" t="n"/>
      <c r="D324" s="7" t="n"/>
      <c r="E324" s="7" t="n"/>
      <c r="F324" s="7" t="n"/>
      <c r="G324" s="7" t="n"/>
      <c r="H324" s="7" t="n"/>
      <c r="I324" s="7" t="n"/>
      <c r="J324" s="7" t="n"/>
      <c r="K324" s="7" t="n"/>
      <c r="L324" s="7" t="n"/>
      <c r="M324" s="7" t="n"/>
      <c r="N324" s="7" t="n"/>
      <c r="O324" s="7" t="n"/>
      <c r="P324" s="7" t="n"/>
      <c r="Q324" s="7" t="n"/>
      <c r="R324" s="7" t="n"/>
      <c r="S324" s="7" t="n"/>
      <c r="T324" s="7" t="n"/>
      <c r="U324" s="7" t="n"/>
      <c r="V324" s="7" t="n"/>
      <c r="W324" s="7" t="n"/>
      <c r="X324" s="7" t="n"/>
      <c r="Y324" s="7" t="n"/>
      <c r="Z324" s="7" t="n"/>
      <c r="AA324" s="7" t="n"/>
      <c r="AB324" s="7">
        <f>IF(Y324="","",IFERROR(VLOOKUP(Y324,'Ingredients + Stock'!B:D,3,FALSE),""))</f>
        <v/>
      </c>
      <c r="AC324" s="7">
        <f>IF(Y324="","",IFERROR(VLOOKUP(Y324,'Ingredients + Stock'!B:G,6,FALSE),0))</f>
        <v/>
      </c>
      <c r="AD324" s="7">
        <f>IF(AA324="","",IFERROR(VLOOKUP(AA324,'Unit Conversion'!A:D,4,FALSE),1))</f>
        <v/>
      </c>
      <c r="AE324" s="7">
        <f>IF(AB324="","",IFERROR(VLOOKUP(AB324,'Unit Conversion'!A:D,4,FALSE),1))</f>
        <v/>
      </c>
      <c r="AF324" s="7">
        <f>IF(AA324="","",Z324*AD324/AE324)</f>
        <v/>
      </c>
      <c r="AG324" s="7">
        <f>AF324*AC324</f>
        <v/>
      </c>
      <c r="AH324" s="7">
        <f>IF(AA324="","",IFERROR(IF(VLOOKUP(AA324,'Unit Conversion'!A:B,2,FALSE)=VLOOKUP(AB324,'Unit Conversion'!A:B,2,FALSE),"OK","Check W/V mismatch"),"Check unit"))</f>
        <v/>
      </c>
      <c r="AI324" s="7" t="n"/>
    </row>
    <row r="325">
      <c r="A325" s="8" t="n"/>
      <c r="B325" s="8" t="n"/>
      <c r="C325" s="8" t="n"/>
      <c r="D325" s="8" t="n"/>
      <c r="E325" s="8" t="n"/>
      <c r="F325" s="8" t="n"/>
      <c r="G325" s="8" t="n"/>
      <c r="H325" s="8" t="n"/>
      <c r="I325" s="8" t="n"/>
      <c r="J325" s="8" t="n"/>
      <c r="K325" s="8" t="n"/>
      <c r="L325" s="8" t="n"/>
      <c r="M325" s="8" t="n"/>
      <c r="N325" s="8" t="n"/>
      <c r="O325" s="8" t="n"/>
      <c r="P325" s="8" t="n"/>
      <c r="Q325" s="8" t="n"/>
      <c r="R325" s="8" t="n"/>
      <c r="S325" s="8" t="n"/>
      <c r="T325" s="8" t="n"/>
      <c r="U325" s="8" t="n"/>
      <c r="V325" s="8" t="n"/>
      <c r="W325" s="8" t="n"/>
      <c r="X325" s="8" t="n"/>
      <c r="Y325" s="8" t="n"/>
      <c r="Z325" s="8" t="n"/>
      <c r="AA325" s="8" t="n"/>
      <c r="AB325" s="8">
        <f>IF(Y325="","",IFERROR(VLOOKUP(Y325,'Ingredients + Stock'!B:D,3,FALSE),""))</f>
        <v/>
      </c>
      <c r="AC325" s="8">
        <f>IF(Y325="","",IFERROR(VLOOKUP(Y325,'Ingredients + Stock'!B:G,6,FALSE),0))</f>
        <v/>
      </c>
      <c r="AD325" s="8">
        <f>IF(AA325="","",IFERROR(VLOOKUP(AA325,'Unit Conversion'!A:D,4,FALSE),1))</f>
        <v/>
      </c>
      <c r="AE325" s="8">
        <f>IF(AB325="","",IFERROR(VLOOKUP(AB325,'Unit Conversion'!A:D,4,FALSE),1))</f>
        <v/>
      </c>
      <c r="AF325" s="8">
        <f>IF(AA325="","",Z325*AD325/AE325)</f>
        <v/>
      </c>
      <c r="AG325" s="8">
        <f>AF325*AC325</f>
        <v/>
      </c>
      <c r="AH325" s="8">
        <f>IF(AA325="","",IFERROR(IF(VLOOKUP(AA325,'Unit Conversion'!A:B,2,FALSE)=VLOOKUP(AB325,'Unit Conversion'!A:B,2,FALSE),"OK","Check W/V mismatch"),"Check unit"))</f>
        <v/>
      </c>
      <c r="AI325" s="8" t="n"/>
    </row>
    <row r="326">
      <c r="A326" s="7" t="n"/>
      <c r="B326" s="7" t="n"/>
      <c r="C326" s="7" t="n"/>
      <c r="D326" s="7" t="n"/>
      <c r="E326" s="7" t="n"/>
      <c r="F326" s="7" t="n"/>
      <c r="G326" s="7" t="n"/>
      <c r="H326" s="7" t="n"/>
      <c r="I326" s="7" t="n"/>
      <c r="J326" s="7" t="n"/>
      <c r="K326" s="7" t="n"/>
      <c r="L326" s="7" t="n"/>
      <c r="M326" s="7" t="n"/>
      <c r="N326" s="7" t="n"/>
      <c r="O326" s="7" t="n"/>
      <c r="P326" s="7" t="n"/>
      <c r="Q326" s="7" t="n"/>
      <c r="R326" s="7" t="n"/>
      <c r="S326" s="7" t="n"/>
      <c r="T326" s="7" t="n"/>
      <c r="U326" s="7" t="n"/>
      <c r="V326" s="7" t="n"/>
      <c r="W326" s="7" t="n"/>
      <c r="X326" s="7" t="n"/>
      <c r="Y326" s="7" t="n"/>
      <c r="Z326" s="7" t="n"/>
      <c r="AA326" s="7" t="n"/>
      <c r="AB326" s="7">
        <f>IF(Y326="","",IFERROR(VLOOKUP(Y326,'Ingredients + Stock'!B:D,3,FALSE),""))</f>
        <v/>
      </c>
      <c r="AC326" s="7">
        <f>IF(Y326="","",IFERROR(VLOOKUP(Y326,'Ingredients + Stock'!B:G,6,FALSE),0))</f>
        <v/>
      </c>
      <c r="AD326" s="7">
        <f>IF(AA326="","",IFERROR(VLOOKUP(AA326,'Unit Conversion'!A:D,4,FALSE),1))</f>
        <v/>
      </c>
      <c r="AE326" s="7">
        <f>IF(AB326="","",IFERROR(VLOOKUP(AB326,'Unit Conversion'!A:D,4,FALSE),1))</f>
        <v/>
      </c>
      <c r="AF326" s="7">
        <f>IF(AA326="","",Z326*AD326/AE326)</f>
        <v/>
      </c>
      <c r="AG326" s="7">
        <f>AF326*AC326</f>
        <v/>
      </c>
      <c r="AH326" s="7">
        <f>IF(AA326="","",IFERROR(IF(VLOOKUP(AA326,'Unit Conversion'!A:B,2,FALSE)=VLOOKUP(AB326,'Unit Conversion'!A:B,2,FALSE),"OK","Check W/V mismatch"),"Check unit"))</f>
        <v/>
      </c>
      <c r="AI326" s="7" t="n"/>
    </row>
    <row r="327">
      <c r="A327" s="8" t="n"/>
      <c r="B327" s="8" t="n"/>
      <c r="C327" s="8" t="n"/>
      <c r="D327" s="8" t="n"/>
      <c r="E327" s="8" t="n"/>
      <c r="F327" s="8" t="n"/>
      <c r="G327" s="8" t="n"/>
      <c r="H327" s="8" t="n"/>
      <c r="I327" s="8" t="n"/>
      <c r="J327" s="8" t="n"/>
      <c r="K327" s="8" t="n"/>
      <c r="L327" s="8" t="n"/>
      <c r="M327" s="8" t="n"/>
      <c r="N327" s="8" t="n"/>
      <c r="O327" s="8" t="n"/>
      <c r="P327" s="8" t="n"/>
      <c r="Q327" s="8" t="n"/>
      <c r="R327" s="8" t="n"/>
      <c r="S327" s="8" t="n"/>
      <c r="T327" s="8" t="n"/>
      <c r="U327" s="8" t="n"/>
      <c r="V327" s="8" t="n"/>
      <c r="W327" s="8" t="n"/>
      <c r="X327" s="8" t="n"/>
      <c r="Y327" s="8" t="n"/>
      <c r="Z327" s="8" t="n"/>
      <c r="AA327" s="8" t="n"/>
      <c r="AB327" s="8">
        <f>IF(Y327="","",IFERROR(VLOOKUP(Y327,'Ingredients + Stock'!B:D,3,FALSE),""))</f>
        <v/>
      </c>
      <c r="AC327" s="8">
        <f>IF(Y327="","",IFERROR(VLOOKUP(Y327,'Ingredients + Stock'!B:G,6,FALSE),0))</f>
        <v/>
      </c>
      <c r="AD327" s="8">
        <f>IF(AA327="","",IFERROR(VLOOKUP(AA327,'Unit Conversion'!A:D,4,FALSE),1))</f>
        <v/>
      </c>
      <c r="AE327" s="8">
        <f>IF(AB327="","",IFERROR(VLOOKUP(AB327,'Unit Conversion'!A:D,4,FALSE),1))</f>
        <v/>
      </c>
      <c r="AF327" s="8">
        <f>IF(AA327="","",Z327*AD327/AE327)</f>
        <v/>
      </c>
      <c r="AG327" s="8">
        <f>AF327*AC327</f>
        <v/>
      </c>
      <c r="AH327" s="8">
        <f>IF(AA327="","",IFERROR(IF(VLOOKUP(AA327,'Unit Conversion'!A:B,2,FALSE)=VLOOKUP(AB327,'Unit Conversion'!A:B,2,FALSE),"OK","Check W/V mismatch"),"Check unit"))</f>
        <v/>
      </c>
      <c r="AI327" s="8" t="n"/>
    </row>
    <row r="328">
      <c r="A328" s="7" t="n"/>
      <c r="B328" s="7" t="n"/>
      <c r="C328" s="7" t="n"/>
      <c r="D328" s="7" t="n"/>
      <c r="E328" s="7" t="n"/>
      <c r="F328" s="7" t="n"/>
      <c r="G328" s="7" t="n"/>
      <c r="H328" s="7" t="n"/>
      <c r="I328" s="7" t="n"/>
      <c r="J328" s="7" t="n"/>
      <c r="K328" s="7" t="n"/>
      <c r="L328" s="7" t="n"/>
      <c r="M328" s="7" t="n"/>
      <c r="N328" s="7" t="n"/>
      <c r="O328" s="7" t="n"/>
      <c r="P328" s="7" t="n"/>
      <c r="Q328" s="7" t="n"/>
      <c r="R328" s="7" t="n"/>
      <c r="S328" s="7" t="n"/>
      <c r="T328" s="7" t="n"/>
      <c r="U328" s="7" t="n"/>
      <c r="V328" s="7" t="n"/>
      <c r="W328" s="7" t="n"/>
      <c r="X328" s="7" t="n"/>
      <c r="Y328" s="7" t="n"/>
      <c r="Z328" s="7" t="n"/>
      <c r="AA328" s="7" t="n"/>
      <c r="AB328" s="7">
        <f>IF(Y328="","",IFERROR(VLOOKUP(Y328,'Ingredients + Stock'!B:D,3,FALSE),""))</f>
        <v/>
      </c>
      <c r="AC328" s="7">
        <f>IF(Y328="","",IFERROR(VLOOKUP(Y328,'Ingredients + Stock'!B:G,6,FALSE),0))</f>
        <v/>
      </c>
      <c r="AD328" s="7">
        <f>IF(AA328="","",IFERROR(VLOOKUP(AA328,'Unit Conversion'!A:D,4,FALSE),1))</f>
        <v/>
      </c>
      <c r="AE328" s="7">
        <f>IF(AB328="","",IFERROR(VLOOKUP(AB328,'Unit Conversion'!A:D,4,FALSE),1))</f>
        <v/>
      </c>
      <c r="AF328" s="7">
        <f>IF(AA328="","",Z328*AD328/AE328)</f>
        <v/>
      </c>
      <c r="AG328" s="7">
        <f>AF328*AC328</f>
        <v/>
      </c>
      <c r="AH328" s="7">
        <f>IF(AA328="","",IFERROR(IF(VLOOKUP(AA328,'Unit Conversion'!A:B,2,FALSE)=VLOOKUP(AB328,'Unit Conversion'!A:B,2,FALSE),"OK","Check W/V mismatch"),"Check unit"))</f>
        <v/>
      </c>
      <c r="AI328" s="7" t="n"/>
    </row>
    <row r="329">
      <c r="A329" s="8" t="n"/>
      <c r="B329" s="8" t="n"/>
      <c r="C329" s="8" t="n"/>
      <c r="D329" s="8" t="n"/>
      <c r="E329" s="8" t="n"/>
      <c r="F329" s="8" t="n"/>
      <c r="G329" s="8" t="n"/>
      <c r="H329" s="8" t="n"/>
      <c r="I329" s="8" t="n"/>
      <c r="J329" s="8" t="n"/>
      <c r="K329" s="8" t="n"/>
      <c r="L329" s="8" t="n"/>
      <c r="M329" s="8" t="n"/>
      <c r="N329" s="8" t="n"/>
      <c r="O329" s="8" t="n"/>
      <c r="P329" s="8" t="n"/>
      <c r="Q329" s="8" t="n"/>
      <c r="R329" s="8" t="n"/>
      <c r="S329" s="8" t="n"/>
      <c r="T329" s="8" t="n"/>
      <c r="U329" s="8" t="n"/>
      <c r="V329" s="8" t="n"/>
      <c r="W329" s="8" t="n"/>
      <c r="X329" s="8" t="n"/>
      <c r="Y329" s="8" t="n"/>
      <c r="Z329" s="8" t="n"/>
      <c r="AA329" s="8" t="n"/>
      <c r="AB329" s="8">
        <f>IF(Y329="","",IFERROR(VLOOKUP(Y329,'Ingredients + Stock'!B:D,3,FALSE),""))</f>
        <v/>
      </c>
      <c r="AC329" s="8">
        <f>IF(Y329="","",IFERROR(VLOOKUP(Y329,'Ingredients + Stock'!B:G,6,FALSE),0))</f>
        <v/>
      </c>
      <c r="AD329" s="8">
        <f>IF(AA329="","",IFERROR(VLOOKUP(AA329,'Unit Conversion'!A:D,4,FALSE),1))</f>
        <v/>
      </c>
      <c r="AE329" s="8">
        <f>IF(AB329="","",IFERROR(VLOOKUP(AB329,'Unit Conversion'!A:D,4,FALSE),1))</f>
        <v/>
      </c>
      <c r="AF329" s="8">
        <f>IF(AA329="","",Z329*AD329/AE329)</f>
        <v/>
      </c>
      <c r="AG329" s="8">
        <f>AF329*AC329</f>
        <v/>
      </c>
      <c r="AH329" s="8">
        <f>IF(AA329="","",IFERROR(IF(VLOOKUP(AA329,'Unit Conversion'!A:B,2,FALSE)=VLOOKUP(AB329,'Unit Conversion'!A:B,2,FALSE),"OK","Check W/V mismatch"),"Check unit"))</f>
        <v/>
      </c>
      <c r="AI329" s="8" t="n"/>
    </row>
    <row r="330">
      <c r="A330" s="7" t="n"/>
      <c r="B330" s="7" t="n"/>
      <c r="C330" s="7" t="n"/>
      <c r="D330" s="7" t="n"/>
      <c r="E330" s="7" t="n"/>
      <c r="F330" s="7" t="n"/>
      <c r="G330" s="7" t="n"/>
      <c r="H330" s="7" t="n"/>
      <c r="I330" s="7" t="n"/>
      <c r="J330" s="7" t="n"/>
      <c r="K330" s="7" t="n"/>
      <c r="L330" s="7" t="n"/>
      <c r="M330" s="7" t="n"/>
      <c r="N330" s="7" t="n"/>
      <c r="O330" s="7" t="n"/>
      <c r="P330" s="7" t="n"/>
      <c r="Q330" s="7" t="n"/>
      <c r="R330" s="7" t="n"/>
      <c r="S330" s="7" t="n"/>
      <c r="T330" s="7" t="n"/>
      <c r="U330" s="7" t="n"/>
      <c r="V330" s="7" t="n"/>
      <c r="W330" s="7" t="n"/>
      <c r="X330" s="7" t="n"/>
      <c r="Y330" s="7" t="n"/>
      <c r="Z330" s="7" t="n"/>
      <c r="AA330" s="7" t="n"/>
      <c r="AB330" s="7">
        <f>IF(Y330="","",IFERROR(VLOOKUP(Y330,'Ingredients + Stock'!B:D,3,FALSE),""))</f>
        <v/>
      </c>
      <c r="AC330" s="7">
        <f>IF(Y330="","",IFERROR(VLOOKUP(Y330,'Ingredients + Stock'!B:G,6,FALSE),0))</f>
        <v/>
      </c>
      <c r="AD330" s="7">
        <f>IF(AA330="","",IFERROR(VLOOKUP(AA330,'Unit Conversion'!A:D,4,FALSE),1))</f>
        <v/>
      </c>
      <c r="AE330" s="7">
        <f>IF(AB330="","",IFERROR(VLOOKUP(AB330,'Unit Conversion'!A:D,4,FALSE),1))</f>
        <v/>
      </c>
      <c r="AF330" s="7">
        <f>IF(AA330="","",Z330*AD330/AE330)</f>
        <v/>
      </c>
      <c r="AG330" s="7">
        <f>AF330*AC330</f>
        <v/>
      </c>
      <c r="AH330" s="7">
        <f>IF(AA330="","",IFERROR(IF(VLOOKUP(AA330,'Unit Conversion'!A:B,2,FALSE)=VLOOKUP(AB330,'Unit Conversion'!A:B,2,FALSE),"OK","Check W/V mismatch"),"Check unit"))</f>
        <v/>
      </c>
      <c r="AI330" s="7" t="n"/>
    </row>
    <row r="331">
      <c r="A331" s="8" t="n"/>
      <c r="B331" s="8" t="n"/>
      <c r="C331" s="8" t="n"/>
      <c r="D331" s="8" t="n"/>
      <c r="E331" s="8" t="n"/>
      <c r="F331" s="8" t="n"/>
      <c r="G331" s="8" t="n"/>
      <c r="H331" s="8" t="n"/>
      <c r="I331" s="8" t="n"/>
      <c r="J331" s="8" t="n"/>
      <c r="K331" s="8" t="n"/>
      <c r="L331" s="8" t="n"/>
      <c r="M331" s="8" t="n"/>
      <c r="N331" s="8" t="n"/>
      <c r="O331" s="8" t="n"/>
      <c r="P331" s="8" t="n"/>
      <c r="Q331" s="8" t="n"/>
      <c r="R331" s="8" t="n"/>
      <c r="S331" s="8" t="n"/>
      <c r="T331" s="8" t="n"/>
      <c r="U331" s="8" t="n"/>
      <c r="V331" s="8" t="n"/>
      <c r="W331" s="8" t="n"/>
      <c r="X331" s="8" t="n"/>
      <c r="Y331" s="8" t="n"/>
      <c r="Z331" s="8" t="n"/>
      <c r="AA331" s="8" t="n"/>
      <c r="AB331" s="8">
        <f>IF(Y331="","",IFERROR(VLOOKUP(Y331,'Ingredients + Stock'!B:D,3,FALSE),""))</f>
        <v/>
      </c>
      <c r="AC331" s="8">
        <f>IF(Y331="","",IFERROR(VLOOKUP(Y331,'Ingredients + Stock'!B:G,6,FALSE),0))</f>
        <v/>
      </c>
      <c r="AD331" s="8">
        <f>IF(AA331="","",IFERROR(VLOOKUP(AA331,'Unit Conversion'!A:D,4,FALSE),1))</f>
        <v/>
      </c>
      <c r="AE331" s="8">
        <f>IF(AB331="","",IFERROR(VLOOKUP(AB331,'Unit Conversion'!A:D,4,FALSE),1))</f>
        <v/>
      </c>
      <c r="AF331" s="8">
        <f>IF(AA331="","",Z331*AD331/AE331)</f>
        <v/>
      </c>
      <c r="AG331" s="8">
        <f>AF331*AC331</f>
        <v/>
      </c>
      <c r="AH331" s="8">
        <f>IF(AA331="","",IFERROR(IF(VLOOKUP(AA331,'Unit Conversion'!A:B,2,FALSE)=VLOOKUP(AB331,'Unit Conversion'!A:B,2,FALSE),"OK","Check W/V mismatch"),"Check unit"))</f>
        <v/>
      </c>
      <c r="AI331" s="8" t="n"/>
    </row>
    <row r="332">
      <c r="A332" s="7" t="n"/>
      <c r="B332" s="7" t="n"/>
      <c r="C332" s="7" t="n"/>
      <c r="D332" s="7" t="n"/>
      <c r="E332" s="7" t="n"/>
      <c r="F332" s="7" t="n"/>
      <c r="G332" s="7" t="n"/>
      <c r="H332" s="7" t="n"/>
      <c r="I332" s="7" t="n"/>
      <c r="J332" s="7" t="n"/>
      <c r="K332" s="7" t="n"/>
      <c r="L332" s="7" t="n"/>
      <c r="M332" s="7" t="n"/>
      <c r="N332" s="7" t="n"/>
      <c r="O332" s="7" t="n"/>
      <c r="P332" s="7" t="n"/>
      <c r="Q332" s="7" t="n"/>
      <c r="R332" s="7" t="n"/>
      <c r="S332" s="7" t="n"/>
      <c r="T332" s="7" t="n"/>
      <c r="U332" s="7" t="n"/>
      <c r="V332" s="7" t="n"/>
      <c r="W332" s="7" t="n"/>
      <c r="X332" s="7" t="n"/>
      <c r="Y332" s="7" t="n"/>
      <c r="Z332" s="7" t="n"/>
      <c r="AA332" s="7" t="n"/>
      <c r="AB332" s="7">
        <f>IF(Y332="","",IFERROR(VLOOKUP(Y332,'Ingredients + Stock'!B:D,3,FALSE),""))</f>
        <v/>
      </c>
      <c r="AC332" s="7">
        <f>IF(Y332="","",IFERROR(VLOOKUP(Y332,'Ingredients + Stock'!B:G,6,FALSE),0))</f>
        <v/>
      </c>
      <c r="AD332" s="7">
        <f>IF(AA332="","",IFERROR(VLOOKUP(AA332,'Unit Conversion'!A:D,4,FALSE),1))</f>
        <v/>
      </c>
      <c r="AE332" s="7">
        <f>IF(AB332="","",IFERROR(VLOOKUP(AB332,'Unit Conversion'!A:D,4,FALSE),1))</f>
        <v/>
      </c>
      <c r="AF332" s="7">
        <f>IF(AA332="","",Z332*AD332/AE332)</f>
        <v/>
      </c>
      <c r="AG332" s="7">
        <f>AF332*AC332</f>
        <v/>
      </c>
      <c r="AH332" s="7">
        <f>IF(AA332="","",IFERROR(IF(VLOOKUP(AA332,'Unit Conversion'!A:B,2,FALSE)=VLOOKUP(AB332,'Unit Conversion'!A:B,2,FALSE),"OK","Check W/V mismatch"),"Check unit"))</f>
        <v/>
      </c>
      <c r="AI332" s="7" t="n"/>
    </row>
    <row r="333">
      <c r="A333" s="8" t="n"/>
      <c r="B333" s="8" t="n"/>
      <c r="C333" s="8" t="n"/>
      <c r="D333" s="8" t="n"/>
      <c r="E333" s="8" t="n"/>
      <c r="F333" s="8" t="n"/>
      <c r="G333" s="8" t="n"/>
      <c r="H333" s="8" t="n"/>
      <c r="I333" s="8" t="n"/>
      <c r="J333" s="8" t="n"/>
      <c r="K333" s="8" t="n"/>
      <c r="L333" s="8" t="n"/>
      <c r="M333" s="8" t="n"/>
      <c r="N333" s="8" t="n"/>
      <c r="O333" s="8" t="n"/>
      <c r="P333" s="8" t="n"/>
      <c r="Q333" s="8" t="n"/>
      <c r="R333" s="8" t="n"/>
      <c r="S333" s="8" t="n"/>
      <c r="T333" s="8" t="n"/>
      <c r="U333" s="8" t="n"/>
      <c r="V333" s="8" t="n"/>
      <c r="W333" s="8" t="n"/>
      <c r="X333" s="8" t="n"/>
      <c r="Y333" s="8" t="n"/>
      <c r="Z333" s="8" t="n"/>
      <c r="AA333" s="8" t="n"/>
      <c r="AB333" s="8">
        <f>IF(Y333="","",IFERROR(VLOOKUP(Y333,'Ingredients + Stock'!B:D,3,FALSE),""))</f>
        <v/>
      </c>
      <c r="AC333" s="8">
        <f>IF(Y333="","",IFERROR(VLOOKUP(Y333,'Ingredients + Stock'!B:G,6,FALSE),0))</f>
        <v/>
      </c>
      <c r="AD333" s="8">
        <f>IF(AA333="","",IFERROR(VLOOKUP(AA333,'Unit Conversion'!A:D,4,FALSE),1))</f>
        <v/>
      </c>
      <c r="AE333" s="8">
        <f>IF(AB333="","",IFERROR(VLOOKUP(AB333,'Unit Conversion'!A:D,4,FALSE),1))</f>
        <v/>
      </c>
      <c r="AF333" s="8">
        <f>IF(AA333="","",Z333*AD333/AE333)</f>
        <v/>
      </c>
      <c r="AG333" s="8">
        <f>AF333*AC333</f>
        <v/>
      </c>
      <c r="AH333" s="8">
        <f>IF(AA333="","",IFERROR(IF(VLOOKUP(AA333,'Unit Conversion'!A:B,2,FALSE)=VLOOKUP(AB333,'Unit Conversion'!A:B,2,FALSE),"OK","Check W/V mismatch"),"Check unit"))</f>
        <v/>
      </c>
      <c r="AI333" s="8" t="n"/>
    </row>
    <row r="334">
      <c r="A334" s="7" t="n"/>
      <c r="B334" s="7" t="n"/>
      <c r="C334" s="7" t="n"/>
      <c r="D334" s="7" t="n"/>
      <c r="E334" s="7" t="n"/>
      <c r="F334" s="7" t="n"/>
      <c r="G334" s="7" t="n"/>
      <c r="H334" s="7" t="n"/>
      <c r="I334" s="7" t="n"/>
      <c r="J334" s="7" t="n"/>
      <c r="K334" s="7" t="n"/>
      <c r="L334" s="7" t="n"/>
      <c r="M334" s="7" t="n"/>
      <c r="N334" s="7" t="n"/>
      <c r="O334" s="7" t="n"/>
      <c r="P334" s="7" t="n"/>
      <c r="Q334" s="7" t="n"/>
      <c r="R334" s="7" t="n"/>
      <c r="S334" s="7" t="n"/>
      <c r="T334" s="7" t="n"/>
      <c r="U334" s="7" t="n"/>
      <c r="V334" s="7" t="n"/>
      <c r="W334" s="7" t="n"/>
      <c r="X334" s="7" t="n"/>
      <c r="Y334" s="7" t="n"/>
      <c r="Z334" s="7" t="n"/>
      <c r="AA334" s="7" t="n"/>
      <c r="AB334" s="7">
        <f>IF(Y334="","",IFERROR(VLOOKUP(Y334,'Ingredients + Stock'!B:D,3,FALSE),""))</f>
        <v/>
      </c>
      <c r="AC334" s="7">
        <f>IF(Y334="","",IFERROR(VLOOKUP(Y334,'Ingredients + Stock'!B:G,6,FALSE),0))</f>
        <v/>
      </c>
      <c r="AD334" s="7">
        <f>IF(AA334="","",IFERROR(VLOOKUP(AA334,'Unit Conversion'!A:D,4,FALSE),1))</f>
        <v/>
      </c>
      <c r="AE334" s="7">
        <f>IF(AB334="","",IFERROR(VLOOKUP(AB334,'Unit Conversion'!A:D,4,FALSE),1))</f>
        <v/>
      </c>
      <c r="AF334" s="7">
        <f>IF(AA334="","",Z334*AD334/AE334)</f>
        <v/>
      </c>
      <c r="AG334" s="7">
        <f>AF334*AC334</f>
        <v/>
      </c>
      <c r="AH334" s="7">
        <f>IF(AA334="","",IFERROR(IF(VLOOKUP(AA334,'Unit Conversion'!A:B,2,FALSE)=VLOOKUP(AB334,'Unit Conversion'!A:B,2,FALSE),"OK","Check W/V mismatch"),"Check unit"))</f>
        <v/>
      </c>
      <c r="AI334" s="7" t="n"/>
    </row>
    <row r="335">
      <c r="A335" s="8" t="n"/>
      <c r="B335" s="8" t="n"/>
      <c r="C335" s="8" t="n"/>
      <c r="D335" s="8" t="n"/>
      <c r="E335" s="8" t="n"/>
      <c r="F335" s="8" t="n"/>
      <c r="G335" s="8" t="n"/>
      <c r="H335" s="8" t="n"/>
      <c r="I335" s="8" t="n"/>
      <c r="J335" s="8" t="n"/>
      <c r="K335" s="8" t="n"/>
      <c r="L335" s="8" t="n"/>
      <c r="M335" s="8" t="n"/>
      <c r="N335" s="8" t="n"/>
      <c r="O335" s="8" t="n"/>
      <c r="P335" s="8" t="n"/>
      <c r="Q335" s="8" t="n"/>
      <c r="R335" s="8" t="n"/>
      <c r="S335" s="8" t="n"/>
      <c r="T335" s="8" t="n"/>
      <c r="U335" s="8" t="n"/>
      <c r="V335" s="8" t="n"/>
      <c r="W335" s="8" t="n"/>
      <c r="X335" s="8" t="n"/>
      <c r="Y335" s="8" t="n"/>
      <c r="Z335" s="8" t="n"/>
      <c r="AA335" s="8" t="n"/>
      <c r="AB335" s="8">
        <f>IF(Y335="","",IFERROR(VLOOKUP(Y335,'Ingredients + Stock'!B:D,3,FALSE),""))</f>
        <v/>
      </c>
      <c r="AC335" s="8">
        <f>IF(Y335="","",IFERROR(VLOOKUP(Y335,'Ingredients + Stock'!B:G,6,FALSE),0))</f>
        <v/>
      </c>
      <c r="AD335" s="8">
        <f>IF(AA335="","",IFERROR(VLOOKUP(AA335,'Unit Conversion'!A:D,4,FALSE),1))</f>
        <v/>
      </c>
      <c r="AE335" s="8">
        <f>IF(AB335="","",IFERROR(VLOOKUP(AB335,'Unit Conversion'!A:D,4,FALSE),1))</f>
        <v/>
      </c>
      <c r="AF335" s="8">
        <f>IF(AA335="","",Z335*AD335/AE335)</f>
        <v/>
      </c>
      <c r="AG335" s="8">
        <f>AF335*AC335</f>
        <v/>
      </c>
      <c r="AH335" s="8">
        <f>IF(AA335="","",IFERROR(IF(VLOOKUP(AA335,'Unit Conversion'!A:B,2,FALSE)=VLOOKUP(AB335,'Unit Conversion'!A:B,2,FALSE),"OK","Check W/V mismatch"),"Check unit"))</f>
        <v/>
      </c>
      <c r="AI335" s="8" t="n"/>
    </row>
    <row r="336">
      <c r="A336" s="7" t="n"/>
      <c r="B336" s="7" t="n"/>
      <c r="C336" s="7" t="n"/>
      <c r="D336" s="7" t="n"/>
      <c r="E336" s="7" t="n"/>
      <c r="F336" s="7" t="n"/>
      <c r="G336" s="7" t="n"/>
      <c r="H336" s="7" t="n"/>
      <c r="I336" s="7" t="n"/>
      <c r="J336" s="7" t="n"/>
      <c r="K336" s="7" t="n"/>
      <c r="L336" s="7" t="n"/>
      <c r="M336" s="7" t="n"/>
      <c r="N336" s="7" t="n"/>
      <c r="O336" s="7" t="n"/>
      <c r="P336" s="7" t="n"/>
      <c r="Q336" s="7" t="n"/>
      <c r="R336" s="7" t="n"/>
      <c r="S336" s="7" t="n"/>
      <c r="T336" s="7" t="n"/>
      <c r="U336" s="7" t="n"/>
      <c r="V336" s="7" t="n"/>
      <c r="W336" s="7" t="n"/>
      <c r="X336" s="7" t="n"/>
      <c r="Y336" s="7" t="n"/>
      <c r="Z336" s="7" t="n"/>
      <c r="AA336" s="7" t="n"/>
      <c r="AB336" s="7">
        <f>IF(Y336="","",IFERROR(VLOOKUP(Y336,'Ingredients + Stock'!B:D,3,FALSE),""))</f>
        <v/>
      </c>
      <c r="AC336" s="7">
        <f>IF(Y336="","",IFERROR(VLOOKUP(Y336,'Ingredients + Stock'!B:G,6,FALSE),0))</f>
        <v/>
      </c>
      <c r="AD336" s="7">
        <f>IF(AA336="","",IFERROR(VLOOKUP(AA336,'Unit Conversion'!A:D,4,FALSE),1))</f>
        <v/>
      </c>
      <c r="AE336" s="7">
        <f>IF(AB336="","",IFERROR(VLOOKUP(AB336,'Unit Conversion'!A:D,4,FALSE),1))</f>
        <v/>
      </c>
      <c r="AF336" s="7">
        <f>IF(AA336="","",Z336*AD336/AE336)</f>
        <v/>
      </c>
      <c r="AG336" s="7">
        <f>AF336*AC336</f>
        <v/>
      </c>
      <c r="AH336" s="7">
        <f>IF(AA336="","",IFERROR(IF(VLOOKUP(AA336,'Unit Conversion'!A:B,2,FALSE)=VLOOKUP(AB336,'Unit Conversion'!A:B,2,FALSE),"OK","Check W/V mismatch"),"Check unit"))</f>
        <v/>
      </c>
      <c r="AI336" s="7" t="n"/>
    </row>
    <row r="337">
      <c r="A337" s="8" t="n"/>
      <c r="B337" s="8" t="n"/>
      <c r="C337" s="8" t="n"/>
      <c r="D337" s="8" t="n"/>
      <c r="E337" s="8" t="n"/>
      <c r="F337" s="8" t="n"/>
      <c r="G337" s="8" t="n"/>
      <c r="H337" s="8" t="n"/>
      <c r="I337" s="8" t="n"/>
      <c r="J337" s="8" t="n"/>
      <c r="K337" s="8" t="n"/>
      <c r="L337" s="8" t="n"/>
      <c r="M337" s="8" t="n"/>
      <c r="N337" s="8" t="n"/>
      <c r="O337" s="8" t="n"/>
      <c r="P337" s="8" t="n"/>
      <c r="Q337" s="8" t="n"/>
      <c r="R337" s="8" t="n"/>
      <c r="S337" s="8" t="n"/>
      <c r="T337" s="8" t="n"/>
      <c r="U337" s="8" t="n"/>
      <c r="V337" s="8" t="n"/>
      <c r="W337" s="8" t="n"/>
      <c r="X337" s="8" t="n"/>
      <c r="Y337" s="8" t="n"/>
      <c r="Z337" s="8" t="n"/>
      <c r="AA337" s="8" t="n"/>
      <c r="AB337" s="8">
        <f>IF(Y337="","",IFERROR(VLOOKUP(Y337,'Ingredients + Stock'!B:D,3,FALSE),""))</f>
        <v/>
      </c>
      <c r="AC337" s="8">
        <f>IF(Y337="","",IFERROR(VLOOKUP(Y337,'Ingredients + Stock'!B:G,6,FALSE),0))</f>
        <v/>
      </c>
      <c r="AD337" s="8">
        <f>IF(AA337="","",IFERROR(VLOOKUP(AA337,'Unit Conversion'!A:D,4,FALSE),1))</f>
        <v/>
      </c>
      <c r="AE337" s="8">
        <f>IF(AB337="","",IFERROR(VLOOKUP(AB337,'Unit Conversion'!A:D,4,FALSE),1))</f>
        <v/>
      </c>
      <c r="AF337" s="8">
        <f>IF(AA337="","",Z337*AD337/AE337)</f>
        <v/>
      </c>
      <c r="AG337" s="8">
        <f>AF337*AC337</f>
        <v/>
      </c>
      <c r="AH337" s="8">
        <f>IF(AA337="","",IFERROR(IF(VLOOKUP(AA337,'Unit Conversion'!A:B,2,FALSE)=VLOOKUP(AB337,'Unit Conversion'!A:B,2,FALSE),"OK","Check W/V mismatch"),"Check unit"))</f>
        <v/>
      </c>
      <c r="AI337" s="8" t="n"/>
    </row>
    <row r="338">
      <c r="A338" s="7" t="n"/>
      <c r="B338" s="7" t="n"/>
      <c r="C338" s="7" t="n"/>
      <c r="D338" s="7" t="n"/>
      <c r="E338" s="7" t="n"/>
      <c r="F338" s="7" t="n"/>
      <c r="G338" s="7" t="n"/>
      <c r="H338" s="7" t="n"/>
      <c r="I338" s="7" t="n"/>
      <c r="J338" s="7" t="n"/>
      <c r="K338" s="7" t="n"/>
      <c r="L338" s="7" t="n"/>
      <c r="M338" s="7" t="n"/>
      <c r="N338" s="7" t="n"/>
      <c r="O338" s="7" t="n"/>
      <c r="P338" s="7" t="n"/>
      <c r="Q338" s="7" t="n"/>
      <c r="R338" s="7" t="n"/>
      <c r="S338" s="7" t="n"/>
      <c r="T338" s="7" t="n"/>
      <c r="U338" s="7" t="n"/>
      <c r="V338" s="7" t="n"/>
      <c r="W338" s="7" t="n"/>
      <c r="X338" s="7" t="n"/>
      <c r="Y338" s="7" t="n"/>
      <c r="Z338" s="7" t="n"/>
      <c r="AA338" s="7" t="n"/>
      <c r="AB338" s="7">
        <f>IF(Y338="","",IFERROR(VLOOKUP(Y338,'Ingredients + Stock'!B:D,3,FALSE),""))</f>
        <v/>
      </c>
      <c r="AC338" s="7">
        <f>IF(Y338="","",IFERROR(VLOOKUP(Y338,'Ingredients + Stock'!B:G,6,FALSE),0))</f>
        <v/>
      </c>
      <c r="AD338" s="7">
        <f>IF(AA338="","",IFERROR(VLOOKUP(AA338,'Unit Conversion'!A:D,4,FALSE),1))</f>
        <v/>
      </c>
      <c r="AE338" s="7">
        <f>IF(AB338="","",IFERROR(VLOOKUP(AB338,'Unit Conversion'!A:D,4,FALSE),1))</f>
        <v/>
      </c>
      <c r="AF338" s="7">
        <f>IF(AA338="","",Z338*AD338/AE338)</f>
        <v/>
      </c>
      <c r="AG338" s="7">
        <f>AF338*AC338</f>
        <v/>
      </c>
      <c r="AH338" s="7">
        <f>IF(AA338="","",IFERROR(IF(VLOOKUP(AA338,'Unit Conversion'!A:B,2,FALSE)=VLOOKUP(AB338,'Unit Conversion'!A:B,2,FALSE),"OK","Check W/V mismatch"),"Check unit"))</f>
        <v/>
      </c>
      <c r="AI338" s="7" t="n"/>
    </row>
    <row r="339">
      <c r="A339" s="8" t="n"/>
      <c r="B339" s="8" t="n"/>
      <c r="C339" s="8" t="n"/>
      <c r="D339" s="8" t="n"/>
      <c r="E339" s="8" t="n"/>
      <c r="F339" s="8" t="n"/>
      <c r="G339" s="8" t="n"/>
      <c r="H339" s="8" t="n"/>
      <c r="I339" s="8" t="n"/>
      <c r="J339" s="8" t="n"/>
      <c r="K339" s="8" t="n"/>
      <c r="L339" s="8" t="n"/>
      <c r="M339" s="8" t="n"/>
      <c r="N339" s="8" t="n"/>
      <c r="O339" s="8" t="n"/>
      <c r="P339" s="8" t="n"/>
      <c r="Q339" s="8" t="n"/>
      <c r="R339" s="8" t="n"/>
      <c r="S339" s="8" t="n"/>
      <c r="T339" s="8" t="n"/>
      <c r="U339" s="8" t="n"/>
      <c r="V339" s="8" t="n"/>
      <c r="W339" s="8" t="n"/>
      <c r="X339" s="8" t="n"/>
      <c r="Y339" s="8" t="n"/>
      <c r="Z339" s="8" t="n"/>
      <c r="AA339" s="8" t="n"/>
      <c r="AB339" s="8">
        <f>IF(Y339="","",IFERROR(VLOOKUP(Y339,'Ingredients + Stock'!B:D,3,FALSE),""))</f>
        <v/>
      </c>
      <c r="AC339" s="8">
        <f>IF(Y339="","",IFERROR(VLOOKUP(Y339,'Ingredients + Stock'!B:G,6,FALSE),0))</f>
        <v/>
      </c>
      <c r="AD339" s="8">
        <f>IF(AA339="","",IFERROR(VLOOKUP(AA339,'Unit Conversion'!A:D,4,FALSE),1))</f>
        <v/>
      </c>
      <c r="AE339" s="8">
        <f>IF(AB339="","",IFERROR(VLOOKUP(AB339,'Unit Conversion'!A:D,4,FALSE),1))</f>
        <v/>
      </c>
      <c r="AF339" s="8">
        <f>IF(AA339="","",Z339*AD339/AE339)</f>
        <v/>
      </c>
      <c r="AG339" s="8">
        <f>AF339*AC339</f>
        <v/>
      </c>
      <c r="AH339" s="8">
        <f>IF(AA339="","",IFERROR(IF(VLOOKUP(AA339,'Unit Conversion'!A:B,2,FALSE)=VLOOKUP(AB339,'Unit Conversion'!A:B,2,FALSE),"OK","Check W/V mismatch"),"Check unit"))</f>
        <v/>
      </c>
      <c r="AI339" s="8" t="n"/>
    </row>
    <row r="340">
      <c r="A340" s="7" t="n"/>
      <c r="B340" s="7" t="n"/>
      <c r="C340" s="7" t="n"/>
      <c r="D340" s="7" t="n"/>
      <c r="E340" s="7" t="n"/>
      <c r="F340" s="7" t="n"/>
      <c r="G340" s="7" t="n"/>
      <c r="H340" s="7" t="n"/>
      <c r="I340" s="7" t="n"/>
      <c r="J340" s="7" t="n"/>
      <c r="K340" s="7" t="n"/>
      <c r="L340" s="7" t="n"/>
      <c r="M340" s="7" t="n"/>
      <c r="N340" s="7" t="n"/>
      <c r="O340" s="7" t="n"/>
      <c r="P340" s="7" t="n"/>
      <c r="Q340" s="7" t="n"/>
      <c r="R340" s="7" t="n"/>
      <c r="S340" s="7" t="n"/>
      <c r="T340" s="7" t="n"/>
      <c r="U340" s="7" t="n"/>
      <c r="V340" s="7" t="n"/>
      <c r="W340" s="7" t="n"/>
      <c r="X340" s="7" t="n"/>
      <c r="Y340" s="7" t="n"/>
      <c r="Z340" s="7" t="n"/>
      <c r="AA340" s="7" t="n"/>
      <c r="AB340" s="7">
        <f>IF(Y340="","",IFERROR(VLOOKUP(Y340,'Ingredients + Stock'!B:D,3,FALSE),""))</f>
        <v/>
      </c>
      <c r="AC340" s="7">
        <f>IF(Y340="","",IFERROR(VLOOKUP(Y340,'Ingredients + Stock'!B:G,6,FALSE),0))</f>
        <v/>
      </c>
      <c r="AD340" s="7">
        <f>IF(AA340="","",IFERROR(VLOOKUP(AA340,'Unit Conversion'!A:D,4,FALSE),1))</f>
        <v/>
      </c>
      <c r="AE340" s="7">
        <f>IF(AB340="","",IFERROR(VLOOKUP(AB340,'Unit Conversion'!A:D,4,FALSE),1))</f>
        <v/>
      </c>
      <c r="AF340" s="7">
        <f>IF(AA340="","",Z340*AD340/AE340)</f>
        <v/>
      </c>
      <c r="AG340" s="7">
        <f>AF340*AC340</f>
        <v/>
      </c>
      <c r="AH340" s="7">
        <f>IF(AA340="","",IFERROR(IF(VLOOKUP(AA340,'Unit Conversion'!A:B,2,FALSE)=VLOOKUP(AB340,'Unit Conversion'!A:B,2,FALSE),"OK","Check W/V mismatch"),"Check unit"))</f>
        <v/>
      </c>
      <c r="AI340" s="7" t="n"/>
    </row>
    <row r="341">
      <c r="A341" s="8" t="n"/>
      <c r="B341" s="8" t="n"/>
      <c r="C341" s="8" t="n"/>
      <c r="D341" s="8" t="n"/>
      <c r="E341" s="8" t="n"/>
      <c r="F341" s="8" t="n"/>
      <c r="G341" s="8" t="n"/>
      <c r="H341" s="8" t="n"/>
      <c r="I341" s="8" t="n"/>
      <c r="J341" s="8" t="n"/>
      <c r="K341" s="8" t="n"/>
      <c r="L341" s="8" t="n"/>
      <c r="M341" s="8" t="n"/>
      <c r="N341" s="8" t="n"/>
      <c r="O341" s="8" t="n"/>
      <c r="P341" s="8" t="n"/>
      <c r="Q341" s="8" t="n"/>
      <c r="R341" s="8" t="n"/>
      <c r="S341" s="8" t="n"/>
      <c r="T341" s="8" t="n"/>
      <c r="U341" s="8" t="n"/>
      <c r="V341" s="8" t="n"/>
      <c r="W341" s="8" t="n"/>
      <c r="X341" s="8" t="n"/>
      <c r="Y341" s="8" t="n"/>
      <c r="Z341" s="8" t="n"/>
      <c r="AA341" s="8" t="n"/>
      <c r="AB341" s="8">
        <f>IF(Y341="","",IFERROR(VLOOKUP(Y341,'Ingredients + Stock'!B:D,3,FALSE),""))</f>
        <v/>
      </c>
      <c r="AC341" s="8">
        <f>IF(Y341="","",IFERROR(VLOOKUP(Y341,'Ingredients + Stock'!B:G,6,FALSE),0))</f>
        <v/>
      </c>
      <c r="AD341" s="8">
        <f>IF(AA341="","",IFERROR(VLOOKUP(AA341,'Unit Conversion'!A:D,4,FALSE),1))</f>
        <v/>
      </c>
      <c r="AE341" s="8">
        <f>IF(AB341="","",IFERROR(VLOOKUP(AB341,'Unit Conversion'!A:D,4,FALSE),1))</f>
        <v/>
      </c>
      <c r="AF341" s="8">
        <f>IF(AA341="","",Z341*AD341/AE341)</f>
        <v/>
      </c>
      <c r="AG341" s="8">
        <f>AF341*AC341</f>
        <v/>
      </c>
      <c r="AH341" s="8">
        <f>IF(AA341="","",IFERROR(IF(VLOOKUP(AA341,'Unit Conversion'!A:B,2,FALSE)=VLOOKUP(AB341,'Unit Conversion'!A:B,2,FALSE),"OK","Check W/V mismatch"),"Check unit"))</f>
        <v/>
      </c>
      <c r="AI341" s="8" t="n"/>
    </row>
    <row r="342">
      <c r="A342" s="7" t="n"/>
      <c r="B342" s="7" t="n"/>
      <c r="C342" s="7" t="n"/>
      <c r="D342" s="7" t="n"/>
      <c r="E342" s="7" t="n"/>
      <c r="F342" s="7" t="n"/>
      <c r="G342" s="7" t="n"/>
      <c r="H342" s="7" t="n"/>
      <c r="I342" s="7" t="n"/>
      <c r="J342" s="7" t="n"/>
      <c r="K342" s="7" t="n"/>
      <c r="L342" s="7" t="n"/>
      <c r="M342" s="7" t="n"/>
      <c r="N342" s="7" t="n"/>
      <c r="O342" s="7" t="n"/>
      <c r="P342" s="7" t="n"/>
      <c r="Q342" s="7" t="n"/>
      <c r="R342" s="7" t="n"/>
      <c r="S342" s="7" t="n"/>
      <c r="T342" s="7" t="n"/>
      <c r="U342" s="7" t="n"/>
      <c r="V342" s="7" t="n"/>
      <c r="W342" s="7" t="n"/>
      <c r="X342" s="7" t="n"/>
      <c r="Y342" s="7" t="n"/>
      <c r="Z342" s="7" t="n"/>
      <c r="AA342" s="7" t="n"/>
      <c r="AB342" s="7">
        <f>IF(Y342="","",IFERROR(VLOOKUP(Y342,'Ingredients + Stock'!B:D,3,FALSE),""))</f>
        <v/>
      </c>
      <c r="AC342" s="7">
        <f>IF(Y342="","",IFERROR(VLOOKUP(Y342,'Ingredients + Stock'!B:G,6,FALSE),0))</f>
        <v/>
      </c>
      <c r="AD342" s="7">
        <f>IF(AA342="","",IFERROR(VLOOKUP(AA342,'Unit Conversion'!A:D,4,FALSE),1))</f>
        <v/>
      </c>
      <c r="AE342" s="7">
        <f>IF(AB342="","",IFERROR(VLOOKUP(AB342,'Unit Conversion'!A:D,4,FALSE),1))</f>
        <v/>
      </c>
      <c r="AF342" s="7">
        <f>IF(AA342="","",Z342*AD342/AE342)</f>
        <v/>
      </c>
      <c r="AG342" s="7">
        <f>AF342*AC342</f>
        <v/>
      </c>
      <c r="AH342" s="7">
        <f>IF(AA342="","",IFERROR(IF(VLOOKUP(AA342,'Unit Conversion'!A:B,2,FALSE)=VLOOKUP(AB342,'Unit Conversion'!A:B,2,FALSE),"OK","Check W/V mismatch"),"Check unit"))</f>
        <v/>
      </c>
      <c r="AI342" s="7" t="n"/>
    </row>
    <row r="343">
      <c r="A343" s="8" t="n"/>
      <c r="B343" s="8" t="n"/>
      <c r="C343" s="8" t="n"/>
      <c r="D343" s="8" t="n"/>
      <c r="E343" s="8" t="n"/>
      <c r="F343" s="8" t="n"/>
      <c r="G343" s="8" t="n"/>
      <c r="H343" s="8" t="n"/>
      <c r="I343" s="8" t="n"/>
      <c r="J343" s="8" t="n"/>
      <c r="K343" s="8" t="n"/>
      <c r="L343" s="8" t="n"/>
      <c r="M343" s="8" t="n"/>
      <c r="N343" s="8" t="n"/>
      <c r="O343" s="8" t="n"/>
      <c r="P343" s="8" t="n"/>
      <c r="Q343" s="8" t="n"/>
      <c r="R343" s="8" t="n"/>
      <c r="S343" s="8" t="n"/>
      <c r="T343" s="8" t="n"/>
      <c r="U343" s="8" t="n"/>
      <c r="V343" s="8" t="n"/>
      <c r="W343" s="8" t="n"/>
      <c r="X343" s="8" t="n"/>
      <c r="Y343" s="8" t="n"/>
      <c r="Z343" s="8" t="n"/>
      <c r="AA343" s="8" t="n"/>
      <c r="AB343" s="8">
        <f>IF(Y343="","",IFERROR(VLOOKUP(Y343,'Ingredients + Stock'!B:D,3,FALSE),""))</f>
        <v/>
      </c>
      <c r="AC343" s="8">
        <f>IF(Y343="","",IFERROR(VLOOKUP(Y343,'Ingredients + Stock'!B:G,6,FALSE),0))</f>
        <v/>
      </c>
      <c r="AD343" s="8">
        <f>IF(AA343="","",IFERROR(VLOOKUP(AA343,'Unit Conversion'!A:D,4,FALSE),1))</f>
        <v/>
      </c>
      <c r="AE343" s="8">
        <f>IF(AB343="","",IFERROR(VLOOKUP(AB343,'Unit Conversion'!A:D,4,FALSE),1))</f>
        <v/>
      </c>
      <c r="AF343" s="8">
        <f>IF(AA343="","",Z343*AD343/AE343)</f>
        <v/>
      </c>
      <c r="AG343" s="8">
        <f>AF343*AC343</f>
        <v/>
      </c>
      <c r="AH343" s="8">
        <f>IF(AA343="","",IFERROR(IF(VLOOKUP(AA343,'Unit Conversion'!A:B,2,FALSE)=VLOOKUP(AB343,'Unit Conversion'!A:B,2,FALSE),"OK","Check W/V mismatch"),"Check unit"))</f>
        <v/>
      </c>
      <c r="AI343" s="8" t="n"/>
    </row>
    <row r="344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7" t="n"/>
      <c r="J344" s="7" t="n"/>
      <c r="K344" s="7" t="n"/>
      <c r="L344" s="7" t="n"/>
      <c r="M344" s="7" t="n"/>
      <c r="N344" s="7" t="n"/>
      <c r="O344" s="7" t="n"/>
      <c r="P344" s="7" t="n"/>
      <c r="Q344" s="7" t="n"/>
      <c r="R344" s="7" t="n"/>
      <c r="S344" s="7" t="n"/>
      <c r="T344" s="7" t="n"/>
      <c r="U344" s="7" t="n"/>
      <c r="V344" s="7" t="n"/>
      <c r="W344" s="7" t="n"/>
      <c r="X344" s="7" t="n"/>
      <c r="Y344" s="7" t="n"/>
      <c r="Z344" s="7" t="n"/>
      <c r="AA344" s="7" t="n"/>
      <c r="AB344" s="7">
        <f>IF(Y344="","",IFERROR(VLOOKUP(Y344,'Ingredients + Stock'!B:D,3,FALSE),""))</f>
        <v/>
      </c>
      <c r="AC344" s="7">
        <f>IF(Y344="","",IFERROR(VLOOKUP(Y344,'Ingredients + Stock'!B:G,6,FALSE),0))</f>
        <v/>
      </c>
      <c r="AD344" s="7">
        <f>IF(AA344="","",IFERROR(VLOOKUP(AA344,'Unit Conversion'!A:D,4,FALSE),1))</f>
        <v/>
      </c>
      <c r="AE344" s="7">
        <f>IF(AB344="","",IFERROR(VLOOKUP(AB344,'Unit Conversion'!A:D,4,FALSE),1))</f>
        <v/>
      </c>
      <c r="AF344" s="7">
        <f>IF(AA344="","",Z344*AD344/AE344)</f>
        <v/>
      </c>
      <c r="AG344" s="7">
        <f>AF344*AC344</f>
        <v/>
      </c>
      <c r="AH344" s="7">
        <f>IF(AA344="","",IFERROR(IF(VLOOKUP(AA344,'Unit Conversion'!A:B,2,FALSE)=VLOOKUP(AB344,'Unit Conversion'!A:B,2,FALSE),"OK","Check W/V mismatch"),"Check unit"))</f>
        <v/>
      </c>
      <c r="AI344" s="7" t="n"/>
    </row>
    <row r="345">
      <c r="A345" s="8" t="n"/>
      <c r="B345" s="8" t="n"/>
      <c r="C345" s="8" t="n"/>
      <c r="D345" s="8" t="n"/>
      <c r="E345" s="8" t="n"/>
      <c r="F345" s="8" t="n"/>
      <c r="G345" s="8" t="n"/>
      <c r="H345" s="8" t="n"/>
      <c r="I345" s="8" t="n"/>
      <c r="J345" s="8" t="n"/>
      <c r="K345" s="8" t="n"/>
      <c r="L345" s="8" t="n"/>
      <c r="M345" s="8" t="n"/>
      <c r="N345" s="8" t="n"/>
      <c r="O345" s="8" t="n"/>
      <c r="P345" s="8" t="n"/>
      <c r="Q345" s="8" t="n"/>
      <c r="R345" s="8" t="n"/>
      <c r="S345" s="8" t="n"/>
      <c r="T345" s="8" t="n"/>
      <c r="U345" s="8" t="n"/>
      <c r="V345" s="8" t="n"/>
      <c r="W345" s="8" t="n"/>
      <c r="X345" s="8" t="n"/>
      <c r="Y345" s="8" t="n"/>
      <c r="Z345" s="8" t="n"/>
      <c r="AA345" s="8" t="n"/>
      <c r="AB345" s="8">
        <f>IF(Y345="","",IFERROR(VLOOKUP(Y345,'Ingredients + Stock'!B:D,3,FALSE),""))</f>
        <v/>
      </c>
      <c r="AC345" s="8">
        <f>IF(Y345="","",IFERROR(VLOOKUP(Y345,'Ingredients + Stock'!B:G,6,FALSE),0))</f>
        <v/>
      </c>
      <c r="AD345" s="8">
        <f>IF(AA345="","",IFERROR(VLOOKUP(AA345,'Unit Conversion'!A:D,4,FALSE),1))</f>
        <v/>
      </c>
      <c r="AE345" s="8">
        <f>IF(AB345="","",IFERROR(VLOOKUP(AB345,'Unit Conversion'!A:D,4,FALSE),1))</f>
        <v/>
      </c>
      <c r="AF345" s="8">
        <f>IF(AA345="","",Z345*AD345/AE345)</f>
        <v/>
      </c>
      <c r="AG345" s="8">
        <f>AF345*AC345</f>
        <v/>
      </c>
      <c r="AH345" s="8">
        <f>IF(AA345="","",IFERROR(IF(VLOOKUP(AA345,'Unit Conversion'!A:B,2,FALSE)=VLOOKUP(AB345,'Unit Conversion'!A:B,2,FALSE),"OK","Check W/V mismatch"),"Check unit"))</f>
        <v/>
      </c>
      <c r="AI345" s="8" t="n"/>
    </row>
    <row r="346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7" t="n"/>
      <c r="J346" s="7" t="n"/>
      <c r="K346" s="7" t="n"/>
      <c r="L346" s="7" t="n"/>
      <c r="M346" s="7" t="n"/>
      <c r="N346" s="7" t="n"/>
      <c r="O346" s="7" t="n"/>
      <c r="P346" s="7" t="n"/>
      <c r="Q346" s="7" t="n"/>
      <c r="R346" s="7" t="n"/>
      <c r="S346" s="7" t="n"/>
      <c r="T346" s="7" t="n"/>
      <c r="U346" s="7" t="n"/>
      <c r="V346" s="7" t="n"/>
      <c r="W346" s="7" t="n"/>
      <c r="X346" s="7" t="n"/>
      <c r="Y346" s="7" t="n"/>
      <c r="Z346" s="7" t="n"/>
      <c r="AA346" s="7" t="n"/>
      <c r="AB346" s="7">
        <f>IF(Y346="","",IFERROR(VLOOKUP(Y346,'Ingredients + Stock'!B:D,3,FALSE),""))</f>
        <v/>
      </c>
      <c r="AC346" s="7">
        <f>IF(Y346="","",IFERROR(VLOOKUP(Y346,'Ingredients + Stock'!B:G,6,FALSE),0))</f>
        <v/>
      </c>
      <c r="AD346" s="7">
        <f>IF(AA346="","",IFERROR(VLOOKUP(AA346,'Unit Conversion'!A:D,4,FALSE),1))</f>
        <v/>
      </c>
      <c r="AE346" s="7">
        <f>IF(AB346="","",IFERROR(VLOOKUP(AB346,'Unit Conversion'!A:D,4,FALSE),1))</f>
        <v/>
      </c>
      <c r="AF346" s="7">
        <f>IF(AA346="","",Z346*AD346/AE346)</f>
        <v/>
      </c>
      <c r="AG346" s="7">
        <f>AF346*AC346</f>
        <v/>
      </c>
      <c r="AH346" s="7">
        <f>IF(AA346="","",IFERROR(IF(VLOOKUP(AA346,'Unit Conversion'!A:B,2,FALSE)=VLOOKUP(AB346,'Unit Conversion'!A:B,2,FALSE),"OK","Check W/V mismatch"),"Check unit"))</f>
        <v/>
      </c>
      <c r="AI346" s="7" t="n"/>
    </row>
    <row r="347">
      <c r="A347" s="8" t="n"/>
      <c r="B347" s="8" t="n"/>
      <c r="C347" s="8" t="n"/>
      <c r="D347" s="8" t="n"/>
      <c r="E347" s="8" t="n"/>
      <c r="F347" s="8" t="n"/>
      <c r="G347" s="8" t="n"/>
      <c r="H347" s="8" t="n"/>
      <c r="I347" s="8" t="n"/>
      <c r="J347" s="8" t="n"/>
      <c r="K347" s="8" t="n"/>
      <c r="L347" s="8" t="n"/>
      <c r="M347" s="8" t="n"/>
      <c r="N347" s="8" t="n"/>
      <c r="O347" s="8" t="n"/>
      <c r="P347" s="8" t="n"/>
      <c r="Q347" s="8" t="n"/>
      <c r="R347" s="8" t="n"/>
      <c r="S347" s="8" t="n"/>
      <c r="T347" s="8" t="n"/>
      <c r="U347" s="8" t="n"/>
      <c r="V347" s="8" t="n"/>
      <c r="W347" s="8" t="n"/>
      <c r="X347" s="8" t="n"/>
      <c r="Y347" s="8" t="n"/>
      <c r="Z347" s="8" t="n"/>
      <c r="AA347" s="8" t="n"/>
      <c r="AB347" s="8">
        <f>IF(Y347="","",IFERROR(VLOOKUP(Y347,'Ingredients + Stock'!B:D,3,FALSE),""))</f>
        <v/>
      </c>
      <c r="AC347" s="8">
        <f>IF(Y347="","",IFERROR(VLOOKUP(Y347,'Ingredients + Stock'!B:G,6,FALSE),0))</f>
        <v/>
      </c>
      <c r="AD347" s="8">
        <f>IF(AA347="","",IFERROR(VLOOKUP(AA347,'Unit Conversion'!A:D,4,FALSE),1))</f>
        <v/>
      </c>
      <c r="AE347" s="8">
        <f>IF(AB347="","",IFERROR(VLOOKUP(AB347,'Unit Conversion'!A:D,4,FALSE),1))</f>
        <v/>
      </c>
      <c r="AF347" s="8">
        <f>IF(AA347="","",Z347*AD347/AE347)</f>
        <v/>
      </c>
      <c r="AG347" s="8">
        <f>AF347*AC347</f>
        <v/>
      </c>
      <c r="AH347" s="8">
        <f>IF(AA347="","",IFERROR(IF(VLOOKUP(AA347,'Unit Conversion'!A:B,2,FALSE)=VLOOKUP(AB347,'Unit Conversion'!A:B,2,FALSE),"OK","Check W/V mismatch"),"Check unit"))</f>
        <v/>
      </c>
      <c r="AI347" s="8" t="n"/>
    </row>
    <row r="348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7" t="n"/>
      <c r="J348" s="7" t="n"/>
      <c r="K348" s="7" t="n"/>
      <c r="L348" s="7" t="n"/>
      <c r="M348" s="7" t="n"/>
      <c r="N348" s="7" t="n"/>
      <c r="O348" s="7" t="n"/>
      <c r="P348" s="7" t="n"/>
      <c r="Q348" s="7" t="n"/>
      <c r="R348" s="7" t="n"/>
      <c r="S348" s="7" t="n"/>
      <c r="T348" s="7" t="n"/>
      <c r="U348" s="7" t="n"/>
      <c r="V348" s="7" t="n"/>
      <c r="W348" s="7" t="n"/>
      <c r="X348" s="7" t="n"/>
      <c r="Y348" s="7" t="n"/>
      <c r="Z348" s="7" t="n"/>
      <c r="AA348" s="7" t="n"/>
      <c r="AB348" s="7">
        <f>IF(Y348="","",IFERROR(VLOOKUP(Y348,'Ingredients + Stock'!B:D,3,FALSE),""))</f>
        <v/>
      </c>
      <c r="AC348" s="7">
        <f>IF(Y348="","",IFERROR(VLOOKUP(Y348,'Ingredients + Stock'!B:G,6,FALSE),0))</f>
        <v/>
      </c>
      <c r="AD348" s="7">
        <f>IF(AA348="","",IFERROR(VLOOKUP(AA348,'Unit Conversion'!A:D,4,FALSE),1))</f>
        <v/>
      </c>
      <c r="AE348" s="7">
        <f>IF(AB348="","",IFERROR(VLOOKUP(AB348,'Unit Conversion'!A:D,4,FALSE),1))</f>
        <v/>
      </c>
      <c r="AF348" s="7">
        <f>IF(AA348="","",Z348*AD348/AE348)</f>
        <v/>
      </c>
      <c r="AG348" s="7">
        <f>AF348*AC348</f>
        <v/>
      </c>
      <c r="AH348" s="7">
        <f>IF(AA348="","",IFERROR(IF(VLOOKUP(AA348,'Unit Conversion'!A:B,2,FALSE)=VLOOKUP(AB348,'Unit Conversion'!A:B,2,FALSE),"OK","Check W/V mismatch"),"Check unit"))</f>
        <v/>
      </c>
      <c r="AI348" s="7" t="n"/>
    </row>
    <row r="349">
      <c r="A349" s="8" t="n"/>
      <c r="B349" s="8" t="n"/>
      <c r="C349" s="8" t="n"/>
      <c r="D349" s="8" t="n"/>
      <c r="E349" s="8" t="n"/>
      <c r="F349" s="8" t="n"/>
      <c r="G349" s="8" t="n"/>
      <c r="H349" s="8" t="n"/>
      <c r="I349" s="8" t="n"/>
      <c r="J349" s="8" t="n"/>
      <c r="K349" s="8" t="n"/>
      <c r="L349" s="8" t="n"/>
      <c r="M349" s="8" t="n"/>
      <c r="N349" s="8" t="n"/>
      <c r="O349" s="8" t="n"/>
      <c r="P349" s="8" t="n"/>
      <c r="Q349" s="8" t="n"/>
      <c r="R349" s="8" t="n"/>
      <c r="S349" s="8" t="n"/>
      <c r="T349" s="8" t="n"/>
      <c r="U349" s="8" t="n"/>
      <c r="V349" s="8" t="n"/>
      <c r="W349" s="8" t="n"/>
      <c r="X349" s="8" t="n"/>
      <c r="Y349" s="8" t="n"/>
      <c r="Z349" s="8" t="n"/>
      <c r="AA349" s="8" t="n"/>
      <c r="AB349" s="8">
        <f>IF(Y349="","",IFERROR(VLOOKUP(Y349,'Ingredients + Stock'!B:D,3,FALSE),""))</f>
        <v/>
      </c>
      <c r="AC349" s="8">
        <f>IF(Y349="","",IFERROR(VLOOKUP(Y349,'Ingredients + Stock'!B:G,6,FALSE),0))</f>
        <v/>
      </c>
      <c r="AD349" s="8">
        <f>IF(AA349="","",IFERROR(VLOOKUP(AA349,'Unit Conversion'!A:D,4,FALSE),1))</f>
        <v/>
      </c>
      <c r="AE349" s="8">
        <f>IF(AB349="","",IFERROR(VLOOKUP(AB349,'Unit Conversion'!A:D,4,FALSE),1))</f>
        <v/>
      </c>
      <c r="AF349" s="8">
        <f>IF(AA349="","",Z349*AD349/AE349)</f>
        <v/>
      </c>
      <c r="AG349" s="8">
        <f>AF349*AC349</f>
        <v/>
      </c>
      <c r="AH349" s="8">
        <f>IF(AA349="","",IFERROR(IF(VLOOKUP(AA349,'Unit Conversion'!A:B,2,FALSE)=VLOOKUP(AB349,'Unit Conversion'!A:B,2,FALSE),"OK","Check W/V mismatch"),"Check unit"))</f>
        <v/>
      </c>
      <c r="AI349" s="8" t="n"/>
    </row>
    <row r="350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7" t="n"/>
      <c r="J350" s="7" t="n"/>
      <c r="K350" s="7" t="n"/>
      <c r="L350" s="7" t="n"/>
      <c r="M350" s="7" t="n"/>
      <c r="N350" s="7" t="n"/>
      <c r="O350" s="7" t="n"/>
      <c r="P350" s="7" t="n"/>
      <c r="Q350" s="7" t="n"/>
      <c r="R350" s="7" t="n"/>
      <c r="S350" s="7" t="n"/>
      <c r="T350" s="7" t="n"/>
      <c r="U350" s="7" t="n"/>
      <c r="V350" s="7" t="n"/>
      <c r="W350" s="7" t="n"/>
      <c r="X350" s="7" t="n"/>
      <c r="Y350" s="7" t="n"/>
      <c r="Z350" s="7" t="n"/>
      <c r="AA350" s="7" t="n"/>
      <c r="AB350" s="7">
        <f>IF(Y350="","",IFERROR(VLOOKUP(Y350,'Ingredients + Stock'!B:D,3,FALSE),""))</f>
        <v/>
      </c>
      <c r="AC350" s="7">
        <f>IF(Y350="","",IFERROR(VLOOKUP(Y350,'Ingredients + Stock'!B:G,6,FALSE),0))</f>
        <v/>
      </c>
      <c r="AD350" s="7">
        <f>IF(AA350="","",IFERROR(VLOOKUP(AA350,'Unit Conversion'!A:D,4,FALSE),1))</f>
        <v/>
      </c>
      <c r="AE350" s="7">
        <f>IF(AB350="","",IFERROR(VLOOKUP(AB350,'Unit Conversion'!A:D,4,FALSE),1))</f>
        <v/>
      </c>
      <c r="AF350" s="7">
        <f>IF(AA350="","",Z350*AD350/AE350)</f>
        <v/>
      </c>
      <c r="AG350" s="7">
        <f>AF350*AC350</f>
        <v/>
      </c>
      <c r="AH350" s="7">
        <f>IF(AA350="","",IFERROR(IF(VLOOKUP(AA350,'Unit Conversion'!A:B,2,FALSE)=VLOOKUP(AB350,'Unit Conversion'!A:B,2,FALSE),"OK","Check W/V mismatch"),"Check unit"))</f>
        <v/>
      </c>
      <c r="AI350" s="7" t="n"/>
    </row>
    <row r="351">
      <c r="A351" s="8" t="n"/>
      <c r="B351" s="8" t="n"/>
      <c r="C351" s="8" t="n"/>
      <c r="D351" s="8" t="n"/>
      <c r="E351" s="8" t="n"/>
      <c r="F351" s="8" t="n"/>
      <c r="G351" s="8" t="n"/>
      <c r="H351" s="8" t="n"/>
      <c r="I351" s="8" t="n"/>
      <c r="J351" s="8" t="n"/>
      <c r="K351" s="8" t="n"/>
      <c r="L351" s="8" t="n"/>
      <c r="M351" s="8" t="n"/>
      <c r="N351" s="8" t="n"/>
      <c r="O351" s="8" t="n"/>
      <c r="P351" s="8" t="n"/>
      <c r="Q351" s="8" t="n"/>
      <c r="R351" s="8" t="n"/>
      <c r="S351" s="8" t="n"/>
      <c r="T351" s="8" t="n"/>
      <c r="U351" s="8" t="n"/>
      <c r="V351" s="8" t="n"/>
      <c r="W351" s="8" t="n"/>
      <c r="X351" s="8" t="n"/>
      <c r="Y351" s="8" t="n"/>
      <c r="Z351" s="8" t="n"/>
      <c r="AA351" s="8" t="n"/>
      <c r="AB351" s="8">
        <f>IF(Y351="","",IFERROR(VLOOKUP(Y351,'Ingredients + Stock'!B:D,3,FALSE),""))</f>
        <v/>
      </c>
      <c r="AC351" s="8">
        <f>IF(Y351="","",IFERROR(VLOOKUP(Y351,'Ingredients + Stock'!B:G,6,FALSE),0))</f>
        <v/>
      </c>
      <c r="AD351" s="8">
        <f>IF(AA351="","",IFERROR(VLOOKUP(AA351,'Unit Conversion'!A:D,4,FALSE),1))</f>
        <v/>
      </c>
      <c r="AE351" s="8">
        <f>IF(AB351="","",IFERROR(VLOOKUP(AB351,'Unit Conversion'!A:D,4,FALSE),1))</f>
        <v/>
      </c>
      <c r="AF351" s="8">
        <f>IF(AA351="","",Z351*AD351/AE351)</f>
        <v/>
      </c>
      <c r="AG351" s="8">
        <f>AF351*AC351</f>
        <v/>
      </c>
      <c r="AH351" s="8">
        <f>IF(AA351="","",IFERROR(IF(VLOOKUP(AA351,'Unit Conversion'!A:B,2,FALSE)=VLOOKUP(AB351,'Unit Conversion'!A:B,2,FALSE),"OK","Check W/V mismatch"),"Check unit"))</f>
        <v/>
      </c>
      <c r="AI351" s="8" t="n"/>
    </row>
    <row r="352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7" t="n"/>
      <c r="J352" s="7" t="n"/>
      <c r="K352" s="7" t="n"/>
      <c r="L352" s="7" t="n"/>
      <c r="M352" s="7" t="n"/>
      <c r="N352" s="7" t="n"/>
      <c r="O352" s="7" t="n"/>
      <c r="P352" s="7" t="n"/>
      <c r="Q352" s="7" t="n"/>
      <c r="R352" s="7" t="n"/>
      <c r="S352" s="7" t="n"/>
      <c r="T352" s="7" t="n"/>
      <c r="U352" s="7" t="n"/>
      <c r="V352" s="7" t="n"/>
      <c r="W352" s="7" t="n"/>
      <c r="X352" s="7" t="n"/>
      <c r="Y352" s="7" t="n"/>
      <c r="Z352" s="7" t="n"/>
      <c r="AA352" s="7" t="n"/>
      <c r="AB352" s="7">
        <f>IF(Y352="","",IFERROR(VLOOKUP(Y352,'Ingredients + Stock'!B:D,3,FALSE),""))</f>
        <v/>
      </c>
      <c r="AC352" s="7">
        <f>IF(Y352="","",IFERROR(VLOOKUP(Y352,'Ingredients + Stock'!B:G,6,FALSE),0))</f>
        <v/>
      </c>
      <c r="AD352" s="7">
        <f>IF(AA352="","",IFERROR(VLOOKUP(AA352,'Unit Conversion'!A:D,4,FALSE),1))</f>
        <v/>
      </c>
      <c r="AE352" s="7">
        <f>IF(AB352="","",IFERROR(VLOOKUP(AB352,'Unit Conversion'!A:D,4,FALSE),1))</f>
        <v/>
      </c>
      <c r="AF352" s="7">
        <f>IF(AA352="","",Z352*AD352/AE352)</f>
        <v/>
      </c>
      <c r="AG352" s="7">
        <f>AF352*AC352</f>
        <v/>
      </c>
      <c r="AH352" s="7">
        <f>IF(AA352="","",IFERROR(IF(VLOOKUP(AA352,'Unit Conversion'!A:B,2,FALSE)=VLOOKUP(AB352,'Unit Conversion'!A:B,2,FALSE),"OK","Check W/V mismatch"),"Check unit"))</f>
        <v/>
      </c>
      <c r="AI352" s="7" t="n"/>
    </row>
    <row r="353">
      <c r="A353" s="8" t="n"/>
      <c r="B353" s="8" t="n"/>
      <c r="C353" s="8" t="n"/>
      <c r="D353" s="8" t="n"/>
      <c r="E353" s="8" t="n"/>
      <c r="F353" s="8" t="n"/>
      <c r="G353" s="8" t="n"/>
      <c r="H353" s="8" t="n"/>
      <c r="I353" s="8" t="n"/>
      <c r="J353" s="8" t="n"/>
      <c r="K353" s="8" t="n"/>
      <c r="L353" s="8" t="n"/>
      <c r="M353" s="8" t="n"/>
      <c r="N353" s="8" t="n"/>
      <c r="O353" s="8" t="n"/>
      <c r="P353" s="8" t="n"/>
      <c r="Q353" s="8" t="n"/>
      <c r="R353" s="8" t="n"/>
      <c r="S353" s="8" t="n"/>
      <c r="T353" s="8" t="n"/>
      <c r="U353" s="8" t="n"/>
      <c r="V353" s="8" t="n"/>
      <c r="W353" s="8" t="n"/>
      <c r="X353" s="8" t="n"/>
      <c r="Y353" s="8" t="n"/>
      <c r="Z353" s="8" t="n"/>
      <c r="AA353" s="8" t="n"/>
      <c r="AB353" s="8">
        <f>IF(Y353="","",IFERROR(VLOOKUP(Y353,'Ingredients + Stock'!B:D,3,FALSE),""))</f>
        <v/>
      </c>
      <c r="AC353" s="8">
        <f>IF(Y353="","",IFERROR(VLOOKUP(Y353,'Ingredients + Stock'!B:G,6,FALSE),0))</f>
        <v/>
      </c>
      <c r="AD353" s="8">
        <f>IF(AA353="","",IFERROR(VLOOKUP(AA353,'Unit Conversion'!A:D,4,FALSE),1))</f>
        <v/>
      </c>
      <c r="AE353" s="8">
        <f>IF(AB353="","",IFERROR(VLOOKUP(AB353,'Unit Conversion'!A:D,4,FALSE),1))</f>
        <v/>
      </c>
      <c r="AF353" s="8">
        <f>IF(AA353="","",Z353*AD353/AE353)</f>
        <v/>
      </c>
      <c r="AG353" s="8">
        <f>AF353*AC353</f>
        <v/>
      </c>
      <c r="AH353" s="8">
        <f>IF(AA353="","",IFERROR(IF(VLOOKUP(AA353,'Unit Conversion'!A:B,2,FALSE)=VLOOKUP(AB353,'Unit Conversion'!A:B,2,FALSE),"OK","Check W/V mismatch"),"Check unit"))</f>
        <v/>
      </c>
      <c r="AI353" s="8" t="n"/>
    </row>
    <row r="354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L354" s="7" t="n"/>
      <c r="M354" s="7" t="n"/>
      <c r="N354" s="7" t="n"/>
      <c r="O354" s="7" t="n"/>
      <c r="P354" s="7" t="n"/>
      <c r="Q354" s="7" t="n"/>
      <c r="R354" s="7" t="n"/>
      <c r="S354" s="7" t="n"/>
      <c r="T354" s="7" t="n"/>
      <c r="U354" s="7" t="n"/>
      <c r="V354" s="7" t="n"/>
      <c r="W354" s="7" t="n"/>
      <c r="X354" s="7" t="n"/>
      <c r="Y354" s="7" t="n"/>
      <c r="Z354" s="7" t="n"/>
      <c r="AA354" s="7" t="n"/>
      <c r="AB354" s="7">
        <f>IF(Y354="","",IFERROR(VLOOKUP(Y354,'Ingredients + Stock'!B:D,3,FALSE),""))</f>
        <v/>
      </c>
      <c r="AC354" s="7">
        <f>IF(Y354="","",IFERROR(VLOOKUP(Y354,'Ingredients + Stock'!B:G,6,FALSE),0))</f>
        <v/>
      </c>
      <c r="AD354" s="7">
        <f>IF(AA354="","",IFERROR(VLOOKUP(AA354,'Unit Conversion'!A:D,4,FALSE),1))</f>
        <v/>
      </c>
      <c r="AE354" s="7">
        <f>IF(AB354="","",IFERROR(VLOOKUP(AB354,'Unit Conversion'!A:D,4,FALSE),1))</f>
        <v/>
      </c>
      <c r="AF354" s="7">
        <f>IF(AA354="","",Z354*AD354/AE354)</f>
        <v/>
      </c>
      <c r="AG354" s="7">
        <f>AF354*AC354</f>
        <v/>
      </c>
      <c r="AH354" s="7">
        <f>IF(AA354="","",IFERROR(IF(VLOOKUP(AA354,'Unit Conversion'!A:B,2,FALSE)=VLOOKUP(AB354,'Unit Conversion'!A:B,2,FALSE),"OK","Check W/V mismatch"),"Check unit"))</f>
        <v/>
      </c>
      <c r="AI354" s="7" t="n"/>
    </row>
    <row r="355">
      <c r="A355" s="8" t="n"/>
      <c r="B355" s="8" t="n"/>
      <c r="C355" s="8" t="n"/>
      <c r="D355" s="8" t="n"/>
      <c r="E355" s="8" t="n"/>
      <c r="F355" s="8" t="n"/>
      <c r="G355" s="8" t="n"/>
      <c r="H355" s="8" t="n"/>
      <c r="I355" s="8" t="n"/>
      <c r="J355" s="8" t="n"/>
      <c r="K355" s="8" t="n"/>
      <c r="L355" s="8" t="n"/>
      <c r="M355" s="8" t="n"/>
      <c r="N355" s="8" t="n"/>
      <c r="O355" s="8" t="n"/>
      <c r="P355" s="8" t="n"/>
      <c r="Q355" s="8" t="n"/>
      <c r="R355" s="8" t="n"/>
      <c r="S355" s="8" t="n"/>
      <c r="T355" s="8" t="n"/>
      <c r="U355" s="8" t="n"/>
      <c r="V355" s="8" t="n"/>
      <c r="W355" s="8" t="n"/>
      <c r="X355" s="8" t="n"/>
      <c r="Y355" s="8" t="n"/>
      <c r="Z355" s="8" t="n"/>
      <c r="AA355" s="8" t="n"/>
      <c r="AB355" s="8">
        <f>IF(Y355="","",IFERROR(VLOOKUP(Y355,'Ingredients + Stock'!B:D,3,FALSE),""))</f>
        <v/>
      </c>
      <c r="AC355" s="8">
        <f>IF(Y355="","",IFERROR(VLOOKUP(Y355,'Ingredients + Stock'!B:G,6,FALSE),0))</f>
        <v/>
      </c>
      <c r="AD355" s="8">
        <f>IF(AA355="","",IFERROR(VLOOKUP(AA355,'Unit Conversion'!A:D,4,FALSE),1))</f>
        <v/>
      </c>
      <c r="AE355" s="8">
        <f>IF(AB355="","",IFERROR(VLOOKUP(AB355,'Unit Conversion'!A:D,4,FALSE),1))</f>
        <v/>
      </c>
      <c r="AF355" s="8">
        <f>IF(AA355="","",Z355*AD355/AE355)</f>
        <v/>
      </c>
      <c r="AG355" s="8">
        <f>AF355*AC355</f>
        <v/>
      </c>
      <c r="AH355" s="8">
        <f>IF(AA355="","",IFERROR(IF(VLOOKUP(AA355,'Unit Conversion'!A:B,2,FALSE)=VLOOKUP(AB355,'Unit Conversion'!A:B,2,FALSE),"OK","Check W/V mismatch"),"Check unit"))</f>
        <v/>
      </c>
      <c r="AI355" s="8" t="n"/>
    </row>
    <row r="356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L356" s="7" t="n"/>
      <c r="M356" s="7" t="n"/>
      <c r="N356" s="7" t="n"/>
      <c r="O356" s="7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  <c r="Z356" s="7" t="n"/>
      <c r="AA356" s="7" t="n"/>
      <c r="AB356" s="7">
        <f>IF(Y356="","",IFERROR(VLOOKUP(Y356,'Ingredients + Stock'!B:D,3,FALSE),""))</f>
        <v/>
      </c>
      <c r="AC356" s="7">
        <f>IF(Y356="","",IFERROR(VLOOKUP(Y356,'Ingredients + Stock'!B:G,6,FALSE),0))</f>
        <v/>
      </c>
      <c r="AD356" s="7">
        <f>IF(AA356="","",IFERROR(VLOOKUP(AA356,'Unit Conversion'!A:D,4,FALSE),1))</f>
        <v/>
      </c>
      <c r="AE356" s="7">
        <f>IF(AB356="","",IFERROR(VLOOKUP(AB356,'Unit Conversion'!A:D,4,FALSE),1))</f>
        <v/>
      </c>
      <c r="AF356" s="7">
        <f>IF(AA356="","",Z356*AD356/AE356)</f>
        <v/>
      </c>
      <c r="AG356" s="7">
        <f>AF356*AC356</f>
        <v/>
      </c>
      <c r="AH356" s="7">
        <f>IF(AA356="","",IFERROR(IF(VLOOKUP(AA356,'Unit Conversion'!A:B,2,FALSE)=VLOOKUP(AB356,'Unit Conversion'!A:B,2,FALSE),"OK","Check W/V mismatch"),"Check unit"))</f>
        <v/>
      </c>
      <c r="AI356" s="7" t="n"/>
    </row>
    <row r="357">
      <c r="A357" s="8" t="n"/>
      <c r="B357" s="8" t="n"/>
      <c r="C357" s="8" t="n"/>
      <c r="D357" s="8" t="n"/>
      <c r="E357" s="8" t="n"/>
      <c r="F357" s="8" t="n"/>
      <c r="G357" s="8" t="n"/>
      <c r="H357" s="8" t="n"/>
      <c r="I357" s="8" t="n"/>
      <c r="J357" s="8" t="n"/>
      <c r="K357" s="8" t="n"/>
      <c r="L357" s="8" t="n"/>
      <c r="M357" s="8" t="n"/>
      <c r="N357" s="8" t="n"/>
      <c r="O357" s="8" t="n"/>
      <c r="P357" s="8" t="n"/>
      <c r="Q357" s="8" t="n"/>
      <c r="R357" s="8" t="n"/>
      <c r="S357" s="8" t="n"/>
      <c r="T357" s="8" t="n"/>
      <c r="U357" s="8" t="n"/>
      <c r="V357" s="8" t="n"/>
      <c r="W357" s="8" t="n"/>
      <c r="X357" s="8" t="n"/>
      <c r="Y357" s="8" t="n"/>
      <c r="Z357" s="8" t="n"/>
      <c r="AA357" s="8" t="n"/>
      <c r="AB357" s="8">
        <f>IF(Y357="","",IFERROR(VLOOKUP(Y357,'Ingredients + Stock'!B:D,3,FALSE),""))</f>
        <v/>
      </c>
      <c r="AC357" s="8">
        <f>IF(Y357="","",IFERROR(VLOOKUP(Y357,'Ingredients + Stock'!B:G,6,FALSE),0))</f>
        <v/>
      </c>
      <c r="AD357" s="8">
        <f>IF(AA357="","",IFERROR(VLOOKUP(AA357,'Unit Conversion'!A:D,4,FALSE),1))</f>
        <v/>
      </c>
      <c r="AE357" s="8">
        <f>IF(AB357="","",IFERROR(VLOOKUP(AB357,'Unit Conversion'!A:D,4,FALSE),1))</f>
        <v/>
      </c>
      <c r="AF357" s="8">
        <f>IF(AA357="","",Z357*AD357/AE357)</f>
        <v/>
      </c>
      <c r="AG357" s="8">
        <f>AF357*AC357</f>
        <v/>
      </c>
      <c r="AH357" s="8">
        <f>IF(AA357="","",IFERROR(IF(VLOOKUP(AA357,'Unit Conversion'!A:B,2,FALSE)=VLOOKUP(AB357,'Unit Conversion'!A:B,2,FALSE),"OK","Check W/V mismatch"),"Check unit"))</f>
        <v/>
      </c>
      <c r="AI357" s="8" t="n"/>
    </row>
    <row r="358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L358" s="7" t="n"/>
      <c r="M358" s="7" t="n"/>
      <c r="N358" s="7" t="n"/>
      <c r="O358" s="7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  <c r="Z358" s="7" t="n"/>
      <c r="AA358" s="7" t="n"/>
      <c r="AB358" s="7">
        <f>IF(Y358="","",IFERROR(VLOOKUP(Y358,'Ingredients + Stock'!B:D,3,FALSE),""))</f>
        <v/>
      </c>
      <c r="AC358" s="7">
        <f>IF(Y358="","",IFERROR(VLOOKUP(Y358,'Ingredients + Stock'!B:G,6,FALSE),0))</f>
        <v/>
      </c>
      <c r="AD358" s="7">
        <f>IF(AA358="","",IFERROR(VLOOKUP(AA358,'Unit Conversion'!A:D,4,FALSE),1))</f>
        <v/>
      </c>
      <c r="AE358" s="7">
        <f>IF(AB358="","",IFERROR(VLOOKUP(AB358,'Unit Conversion'!A:D,4,FALSE),1))</f>
        <v/>
      </c>
      <c r="AF358" s="7">
        <f>IF(AA358="","",Z358*AD358/AE358)</f>
        <v/>
      </c>
      <c r="AG358" s="7">
        <f>AF358*AC358</f>
        <v/>
      </c>
      <c r="AH358" s="7">
        <f>IF(AA358="","",IFERROR(IF(VLOOKUP(AA358,'Unit Conversion'!A:B,2,FALSE)=VLOOKUP(AB358,'Unit Conversion'!A:B,2,FALSE),"OK","Check W/V mismatch"),"Check unit"))</f>
        <v/>
      </c>
      <c r="AI358" s="7" t="n"/>
    </row>
    <row r="359">
      <c r="A359" s="8" t="n"/>
      <c r="B359" s="8" t="n"/>
      <c r="C359" s="8" t="n"/>
      <c r="D359" s="8" t="n"/>
      <c r="E359" s="8" t="n"/>
      <c r="F359" s="8" t="n"/>
      <c r="G359" s="8" t="n"/>
      <c r="H359" s="8" t="n"/>
      <c r="I359" s="8" t="n"/>
      <c r="J359" s="8" t="n"/>
      <c r="K359" s="8" t="n"/>
      <c r="L359" s="8" t="n"/>
      <c r="M359" s="8" t="n"/>
      <c r="N359" s="8" t="n"/>
      <c r="O359" s="8" t="n"/>
      <c r="P359" s="8" t="n"/>
      <c r="Q359" s="8" t="n"/>
      <c r="R359" s="8" t="n"/>
      <c r="S359" s="8" t="n"/>
      <c r="T359" s="8" t="n"/>
      <c r="U359" s="8" t="n"/>
      <c r="V359" s="8" t="n"/>
      <c r="W359" s="8" t="n"/>
      <c r="X359" s="8" t="n"/>
      <c r="Y359" s="8" t="n"/>
      <c r="Z359" s="8" t="n"/>
      <c r="AA359" s="8" t="n"/>
      <c r="AB359" s="8">
        <f>IF(Y359="","",IFERROR(VLOOKUP(Y359,'Ingredients + Stock'!B:D,3,FALSE),""))</f>
        <v/>
      </c>
      <c r="AC359" s="8">
        <f>IF(Y359="","",IFERROR(VLOOKUP(Y359,'Ingredients + Stock'!B:G,6,FALSE),0))</f>
        <v/>
      </c>
      <c r="AD359" s="8">
        <f>IF(AA359="","",IFERROR(VLOOKUP(AA359,'Unit Conversion'!A:D,4,FALSE),1))</f>
        <v/>
      </c>
      <c r="AE359" s="8">
        <f>IF(AB359="","",IFERROR(VLOOKUP(AB359,'Unit Conversion'!A:D,4,FALSE),1))</f>
        <v/>
      </c>
      <c r="AF359" s="8">
        <f>IF(AA359="","",Z359*AD359/AE359)</f>
        <v/>
      </c>
      <c r="AG359" s="8">
        <f>AF359*AC359</f>
        <v/>
      </c>
      <c r="AH359" s="8">
        <f>IF(AA359="","",IFERROR(IF(VLOOKUP(AA359,'Unit Conversion'!A:B,2,FALSE)=VLOOKUP(AB359,'Unit Conversion'!A:B,2,FALSE),"OK","Check W/V mismatch"),"Check unit"))</f>
        <v/>
      </c>
      <c r="AI359" s="8" t="n"/>
    </row>
    <row r="360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  <c r="AA360" s="7" t="n"/>
      <c r="AB360" s="7">
        <f>IF(Y360="","",IFERROR(VLOOKUP(Y360,'Ingredients + Stock'!B:D,3,FALSE),""))</f>
        <v/>
      </c>
      <c r="AC360" s="7">
        <f>IF(Y360="","",IFERROR(VLOOKUP(Y360,'Ingredients + Stock'!B:G,6,FALSE),0))</f>
        <v/>
      </c>
      <c r="AD360" s="7">
        <f>IF(AA360="","",IFERROR(VLOOKUP(AA360,'Unit Conversion'!A:D,4,FALSE),1))</f>
        <v/>
      </c>
      <c r="AE360" s="7">
        <f>IF(AB360="","",IFERROR(VLOOKUP(AB360,'Unit Conversion'!A:D,4,FALSE),1))</f>
        <v/>
      </c>
      <c r="AF360" s="7">
        <f>IF(AA360="","",Z360*AD360/AE360)</f>
        <v/>
      </c>
      <c r="AG360" s="7">
        <f>AF360*AC360</f>
        <v/>
      </c>
      <c r="AH360" s="7">
        <f>IF(AA360="","",IFERROR(IF(VLOOKUP(AA360,'Unit Conversion'!A:B,2,FALSE)=VLOOKUP(AB360,'Unit Conversion'!A:B,2,FALSE),"OK","Check W/V mismatch"),"Check unit"))</f>
        <v/>
      </c>
      <c r="AI360" s="7" t="n"/>
    </row>
    <row r="361">
      <c r="A361" s="8" t="n"/>
      <c r="B361" s="8" t="n"/>
      <c r="C361" s="8" t="n"/>
      <c r="D361" s="8" t="n"/>
      <c r="E361" s="8" t="n"/>
      <c r="F361" s="8" t="n"/>
      <c r="G361" s="8" t="n"/>
      <c r="H361" s="8" t="n"/>
      <c r="I361" s="8" t="n"/>
      <c r="J361" s="8" t="n"/>
      <c r="K361" s="8" t="n"/>
      <c r="L361" s="8" t="n"/>
      <c r="M361" s="8" t="n"/>
      <c r="N361" s="8" t="n"/>
      <c r="O361" s="8" t="n"/>
      <c r="P361" s="8" t="n"/>
      <c r="Q361" s="8" t="n"/>
      <c r="R361" s="8" t="n"/>
      <c r="S361" s="8" t="n"/>
      <c r="T361" s="8" t="n"/>
      <c r="U361" s="8" t="n"/>
      <c r="V361" s="8" t="n"/>
      <c r="W361" s="8" t="n"/>
      <c r="X361" s="8" t="n"/>
      <c r="Y361" s="8" t="n"/>
      <c r="Z361" s="8" t="n"/>
      <c r="AA361" s="8" t="n"/>
      <c r="AB361" s="8">
        <f>IF(Y361="","",IFERROR(VLOOKUP(Y361,'Ingredients + Stock'!B:D,3,FALSE),""))</f>
        <v/>
      </c>
      <c r="AC361" s="8">
        <f>IF(Y361="","",IFERROR(VLOOKUP(Y361,'Ingredients + Stock'!B:G,6,FALSE),0))</f>
        <v/>
      </c>
      <c r="AD361" s="8">
        <f>IF(AA361="","",IFERROR(VLOOKUP(AA361,'Unit Conversion'!A:D,4,FALSE),1))</f>
        <v/>
      </c>
      <c r="AE361" s="8">
        <f>IF(AB361="","",IFERROR(VLOOKUP(AB361,'Unit Conversion'!A:D,4,FALSE),1))</f>
        <v/>
      </c>
      <c r="AF361" s="8">
        <f>IF(AA361="","",Z361*AD361/AE361)</f>
        <v/>
      </c>
      <c r="AG361" s="8">
        <f>AF361*AC361</f>
        <v/>
      </c>
      <c r="AH361" s="8">
        <f>IF(AA361="","",IFERROR(IF(VLOOKUP(AA361,'Unit Conversion'!A:B,2,FALSE)=VLOOKUP(AB361,'Unit Conversion'!A:B,2,FALSE),"OK","Check W/V mismatch"),"Check unit"))</f>
        <v/>
      </c>
      <c r="AI361" s="8" t="n"/>
    </row>
    <row r="362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  <c r="AA362" s="7" t="n"/>
      <c r="AB362" s="7">
        <f>IF(Y362="","",IFERROR(VLOOKUP(Y362,'Ingredients + Stock'!B:D,3,FALSE),""))</f>
        <v/>
      </c>
      <c r="AC362" s="7">
        <f>IF(Y362="","",IFERROR(VLOOKUP(Y362,'Ingredients + Stock'!B:G,6,FALSE),0))</f>
        <v/>
      </c>
      <c r="AD362" s="7">
        <f>IF(AA362="","",IFERROR(VLOOKUP(AA362,'Unit Conversion'!A:D,4,FALSE),1))</f>
        <v/>
      </c>
      <c r="AE362" s="7">
        <f>IF(AB362="","",IFERROR(VLOOKUP(AB362,'Unit Conversion'!A:D,4,FALSE),1))</f>
        <v/>
      </c>
      <c r="AF362" s="7">
        <f>IF(AA362="","",Z362*AD362/AE362)</f>
        <v/>
      </c>
      <c r="AG362" s="7">
        <f>AF362*AC362</f>
        <v/>
      </c>
      <c r="AH362" s="7">
        <f>IF(AA362="","",IFERROR(IF(VLOOKUP(AA362,'Unit Conversion'!A:B,2,FALSE)=VLOOKUP(AB362,'Unit Conversion'!A:B,2,FALSE),"OK","Check W/V mismatch"),"Check unit"))</f>
        <v/>
      </c>
      <c r="AI362" s="7" t="n"/>
    </row>
    <row r="363">
      <c r="A363" s="8" t="n"/>
      <c r="B363" s="8" t="n"/>
      <c r="C363" s="8" t="n"/>
      <c r="D363" s="8" t="n"/>
      <c r="E363" s="8" t="n"/>
      <c r="F363" s="8" t="n"/>
      <c r="G363" s="8" t="n"/>
      <c r="H363" s="8" t="n"/>
      <c r="I363" s="8" t="n"/>
      <c r="J363" s="8" t="n"/>
      <c r="K363" s="8" t="n"/>
      <c r="L363" s="8" t="n"/>
      <c r="M363" s="8" t="n"/>
      <c r="N363" s="8" t="n"/>
      <c r="O363" s="8" t="n"/>
      <c r="P363" s="8" t="n"/>
      <c r="Q363" s="8" t="n"/>
      <c r="R363" s="8" t="n"/>
      <c r="S363" s="8" t="n"/>
      <c r="T363" s="8" t="n"/>
      <c r="U363" s="8" t="n"/>
      <c r="V363" s="8" t="n"/>
      <c r="W363" s="8" t="n"/>
      <c r="X363" s="8" t="n"/>
      <c r="Y363" s="8" t="n"/>
      <c r="Z363" s="8" t="n"/>
      <c r="AA363" s="8" t="n"/>
      <c r="AB363" s="8">
        <f>IF(Y363="","",IFERROR(VLOOKUP(Y363,'Ingredients + Stock'!B:D,3,FALSE),""))</f>
        <v/>
      </c>
      <c r="AC363" s="8">
        <f>IF(Y363="","",IFERROR(VLOOKUP(Y363,'Ingredients + Stock'!B:G,6,FALSE),0))</f>
        <v/>
      </c>
      <c r="AD363" s="8">
        <f>IF(AA363="","",IFERROR(VLOOKUP(AA363,'Unit Conversion'!A:D,4,FALSE),1))</f>
        <v/>
      </c>
      <c r="AE363" s="8">
        <f>IF(AB363="","",IFERROR(VLOOKUP(AB363,'Unit Conversion'!A:D,4,FALSE),1))</f>
        <v/>
      </c>
      <c r="AF363" s="8">
        <f>IF(AA363="","",Z363*AD363/AE363)</f>
        <v/>
      </c>
      <c r="AG363" s="8">
        <f>AF363*AC363</f>
        <v/>
      </c>
      <c r="AH363" s="8">
        <f>IF(AA363="","",IFERROR(IF(VLOOKUP(AA363,'Unit Conversion'!A:B,2,FALSE)=VLOOKUP(AB363,'Unit Conversion'!A:B,2,FALSE),"OK","Check W/V mismatch"),"Check unit"))</f>
        <v/>
      </c>
      <c r="AI363" s="8" t="n"/>
    </row>
    <row r="364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  <c r="AA364" s="7" t="n"/>
      <c r="AB364" s="7">
        <f>IF(Y364="","",IFERROR(VLOOKUP(Y364,'Ingredients + Stock'!B:D,3,FALSE),""))</f>
        <v/>
      </c>
      <c r="AC364" s="7">
        <f>IF(Y364="","",IFERROR(VLOOKUP(Y364,'Ingredients + Stock'!B:G,6,FALSE),0))</f>
        <v/>
      </c>
      <c r="AD364" s="7">
        <f>IF(AA364="","",IFERROR(VLOOKUP(AA364,'Unit Conversion'!A:D,4,FALSE),1))</f>
        <v/>
      </c>
      <c r="AE364" s="7">
        <f>IF(AB364="","",IFERROR(VLOOKUP(AB364,'Unit Conversion'!A:D,4,FALSE),1))</f>
        <v/>
      </c>
      <c r="AF364" s="7">
        <f>IF(AA364="","",Z364*AD364/AE364)</f>
        <v/>
      </c>
      <c r="AG364" s="7">
        <f>AF364*AC364</f>
        <v/>
      </c>
      <c r="AH364" s="7">
        <f>IF(AA364="","",IFERROR(IF(VLOOKUP(AA364,'Unit Conversion'!A:B,2,FALSE)=VLOOKUP(AB364,'Unit Conversion'!A:B,2,FALSE),"OK","Check W/V mismatch"),"Check unit"))</f>
        <v/>
      </c>
      <c r="AI364" s="7" t="n"/>
    </row>
  </sheetData>
  <mergeCells count="3">
    <mergeCell ref="A1:F1"/>
    <mergeCell ref="A3:P3"/>
    <mergeCell ref="A63:AD6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F9E4B7"/>
    <outlinePr summaryBelow="1" summaryRight="1"/>
    <pageSetUpPr/>
  </sheetPr>
  <dimension ref="A1:P10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0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5" customWidth="1" min="10" max="10"/>
  </cols>
  <sheetData>
    <row r="1">
      <c r="A1" s="18" t="inlineStr">
        <is>
          <t>Recipe Calculator v4 - Multi-Recipe + Unit Conversion (Fixed missing formulas per review)</t>
        </is>
      </c>
    </row>
    <row r="2"/>
    <row r="3">
      <c r="A3" s="9" t="inlineStr">
        <is>
          <t>RECIPE 1</t>
        </is>
      </c>
    </row>
    <row r="4">
      <c r="A4" t="inlineStr">
        <is>
          <t>Recipe Name:</t>
        </is>
      </c>
      <c r="B4" s="30" t="inlineStr">
        <is>
          <t>Sourdough Loaf</t>
        </is>
      </c>
      <c r="D4" t="inlineStr">
        <is>
          <t>Select from Library:</t>
        </is>
      </c>
      <c r="E4" s="31" t="inlineStr">
        <is>
          <t>REC-001</t>
        </is>
      </c>
    </row>
    <row r="5">
      <c r="A5" t="inlineStr">
        <is>
          <t>Batch Yield:</t>
        </is>
      </c>
      <c r="B5" s="31" t="n">
        <v>2</v>
      </c>
    </row>
    <row r="6">
      <c r="A6" t="inlineStr">
        <is>
          <t>Portion Size:</t>
        </is>
      </c>
      <c r="B6" t="inlineStr">
        <is>
          <t>900g loaf</t>
        </is>
      </c>
    </row>
    <row r="7"/>
    <row r="8">
      <c r="A8" s="6" t="inlineStr">
        <is>
          <t>Ingredient</t>
        </is>
      </c>
      <c r="B8" s="6" t="inlineStr">
        <is>
          <t>Qty</t>
        </is>
      </c>
      <c r="C8" s="6" t="inlineStr">
        <is>
          <t>Unit (Recipe)</t>
        </is>
      </c>
      <c r="D8" s="6" t="inlineStr">
        <is>
          <t>Stock Unit</t>
        </is>
      </c>
      <c r="E8" s="6" t="inlineStr">
        <is>
          <t>Cost/Stock Unit $</t>
        </is>
      </c>
      <c r="F8" s="6" t="inlineStr">
        <is>
          <t>Recipe Factor</t>
        </is>
      </c>
      <c r="G8" s="6" t="inlineStr">
        <is>
          <t>Stock Factor</t>
        </is>
      </c>
      <c r="H8" s="6" t="inlineStr">
        <is>
          <t>Converted Qty</t>
        </is>
      </c>
      <c r="I8" s="6" t="inlineStr">
        <is>
          <t>Line Cost $</t>
        </is>
      </c>
      <c r="J8" s="6" t="inlineStr">
        <is>
          <t>Type Match</t>
        </is>
      </c>
    </row>
    <row r="9">
      <c r="A9" s="31" t="inlineStr">
        <is>
          <t>Bread Flour</t>
        </is>
      </c>
      <c r="B9" s="31" t="n">
        <v>1000</v>
      </c>
      <c r="C9" s="31" t="inlineStr">
        <is>
          <t>g</t>
        </is>
      </c>
      <c r="D9">
        <f>IF(A9="","",IFERROR(VLOOKUP(A9,'Ingredients + Stock'!B:D,3,FALSE),""))</f>
        <v/>
      </c>
      <c r="E9" s="32">
        <f>IF(A9="","",IFERROR(VLOOKUP(A9,'Ingredients + Stock'!B:G,6,FALSE),0))</f>
        <v/>
      </c>
      <c r="F9">
        <f>IF(C9="","",IFERROR(VLOOKUP(C9,'Unit Conversion'!A:D,4,FALSE),1))</f>
        <v/>
      </c>
      <c r="G9">
        <f>IF(D9="","",IFERROR(VLOOKUP(D9,'Unit Conversion'!A:D,4,FALSE),1))</f>
        <v/>
      </c>
      <c r="H9">
        <f>IF(C9="","",B9*F9/G9)</f>
        <v/>
      </c>
      <c r="I9" s="33">
        <f>H9*E9</f>
        <v/>
      </c>
      <c r="J9">
        <f>IF(C9="","",IFERROR(IF(VLOOKUP(C9,'Unit Conversion'!A:B,2,FALSE)=VLOOKUP(D9,'Unit Conversion'!A:B,2,FALSE),"OK","Check W/V"),"Check"))</f>
        <v/>
      </c>
    </row>
    <row r="10">
      <c r="A10" s="31" t="inlineStr">
        <is>
          <t>Water</t>
        </is>
      </c>
      <c r="B10" s="31" t="n">
        <v>700</v>
      </c>
      <c r="C10" s="31" t="inlineStr">
        <is>
          <t>ml</t>
        </is>
      </c>
      <c r="D10">
        <f>IF(A10="","",IFERROR(VLOOKUP(A10,'Ingredients + Stock'!B:D,3,FALSE),""))</f>
        <v/>
      </c>
      <c r="E10" s="32">
        <f>IF(A10="","",IFERROR(VLOOKUP(A10,'Ingredients + Stock'!B:G,6,FALSE),0))</f>
        <v/>
      </c>
      <c r="F10">
        <f>IF(C10="","",IFERROR(VLOOKUP(C10,'Unit Conversion'!A:D,4,FALSE),1))</f>
        <v/>
      </c>
      <c r="G10">
        <f>IF(D10="","",IFERROR(VLOOKUP(D10,'Unit Conversion'!A:D,4,FALSE),1))</f>
        <v/>
      </c>
      <c r="H10">
        <f>IF(C10="","",B10*F10/G10)</f>
        <v/>
      </c>
      <c r="I10" s="33">
        <f>H10*E10</f>
        <v/>
      </c>
      <c r="J10">
        <f>IF(C10="","",IFERROR(IF(VLOOKUP(C10,'Unit Conversion'!A:B,2,FALSE)=VLOOKUP(D10,'Unit Conversion'!A:B,2,FALSE),"OK","Check W/V"),"Check"))</f>
        <v/>
      </c>
    </row>
    <row r="11">
      <c r="A11" s="31" t="inlineStr">
        <is>
          <t>Sourdough Starter</t>
        </is>
      </c>
      <c r="B11" s="31" t="n">
        <v>200</v>
      </c>
      <c r="C11" s="31" t="inlineStr">
        <is>
          <t>g</t>
        </is>
      </c>
      <c r="D11">
        <f>IF(A11="","",IFERROR(VLOOKUP(A11,'Ingredients + Stock'!B:D,3,FALSE),""))</f>
        <v/>
      </c>
      <c r="E11" s="32">
        <f>IF(A11="","",IFERROR(VLOOKUP(A11,'Ingredients + Stock'!B:G,6,FALSE),0))</f>
        <v/>
      </c>
      <c r="F11">
        <f>IF(C11="","",IFERROR(VLOOKUP(C11,'Unit Conversion'!A:D,4,FALSE),1))</f>
        <v/>
      </c>
      <c r="G11">
        <f>IF(D11="","",IFERROR(VLOOKUP(D11,'Unit Conversion'!A:D,4,FALSE),1))</f>
        <v/>
      </c>
      <c r="H11">
        <f>IF(C11="","",B11*F11/G11)</f>
        <v/>
      </c>
      <c r="I11" s="33">
        <f>H11*E11</f>
        <v/>
      </c>
      <c r="J11">
        <f>IF(C11="","",IFERROR(IF(VLOOKUP(C11,'Unit Conversion'!A:B,2,FALSE)=VLOOKUP(D11,'Unit Conversion'!A:B,2,FALSE),"OK","Check W/V"),"Check"))</f>
        <v/>
      </c>
    </row>
    <row r="12">
      <c r="A12" s="31" t="inlineStr">
        <is>
          <t>Salt</t>
        </is>
      </c>
      <c r="B12" s="31" t="n">
        <v>20</v>
      </c>
      <c r="C12" s="31" t="inlineStr">
        <is>
          <t>g</t>
        </is>
      </c>
      <c r="D12">
        <f>IF(A12="","",IFERROR(VLOOKUP(A12,'Ingredients + Stock'!B:D,3,FALSE),""))</f>
        <v/>
      </c>
      <c r="E12" s="32">
        <f>IF(A12="","",IFERROR(VLOOKUP(A12,'Ingredients + Stock'!B:G,6,FALSE),0))</f>
        <v/>
      </c>
      <c r="F12">
        <f>IF(C12="","",IFERROR(VLOOKUP(C12,'Unit Conversion'!A:D,4,FALSE),1))</f>
        <v/>
      </c>
      <c r="G12">
        <f>IF(D12="","",IFERROR(VLOOKUP(D12,'Unit Conversion'!A:D,4,FALSE),1))</f>
        <v/>
      </c>
      <c r="H12">
        <f>IF(C12="","",B12*F12/G12)</f>
        <v/>
      </c>
      <c r="I12" s="33">
        <f>H12*E12</f>
        <v/>
      </c>
      <c r="J12">
        <f>IF(C12="","",IFERROR(IF(VLOOKUP(C12,'Unit Conversion'!A:B,2,FALSE)=VLOOKUP(D12,'Unit Conversion'!A:B,2,FALSE),"OK","Check W/V"),"Check"))</f>
        <v/>
      </c>
    </row>
    <row r="13">
      <c r="A13" s="31" t="inlineStr">
        <is>
          <t>Olive Oil</t>
        </is>
      </c>
      <c r="B13" s="31" t="n">
        <v>2</v>
      </c>
      <c r="C13" s="31" t="inlineStr">
        <is>
          <t>tbsp</t>
        </is>
      </c>
      <c r="D13">
        <f>IF(A13="","",IFERROR(VLOOKUP(A13,'Ingredients + Stock'!B:D,3,FALSE),""))</f>
        <v/>
      </c>
      <c r="E13" s="32">
        <f>IF(A13="","",IFERROR(VLOOKUP(A13,'Ingredients + Stock'!B:G,6,FALSE),0))</f>
        <v/>
      </c>
      <c r="F13">
        <f>IF(C13="","",IFERROR(VLOOKUP(C13,'Unit Conversion'!A:D,4,FALSE),1))</f>
        <v/>
      </c>
      <c r="G13">
        <f>IF(D13="","",IFERROR(VLOOKUP(D13,'Unit Conversion'!A:D,4,FALSE),1))</f>
        <v/>
      </c>
      <c r="H13">
        <f>IF(C13="","",B13*F13/G13)</f>
        <v/>
      </c>
      <c r="I13" s="33">
        <f>H13*E13</f>
        <v/>
      </c>
      <c r="J13">
        <f>IF(C13="","",IFERROR(IF(VLOOKUP(C13,'Unit Conversion'!A:B,2,FALSE)=VLOOKUP(D13,'Unit Conversion'!A:B,2,FALSE),"OK","Check W/V"),"Check"))</f>
        <v/>
      </c>
    </row>
    <row r="14">
      <c r="A14" s="31" t="n"/>
      <c r="B14" s="31" t="n"/>
      <c r="C14" s="31" t="n"/>
      <c r="D14">
        <f>IF(A14="","",IFERROR(VLOOKUP(A14,'Ingredients + Stock'!B:D,3,FALSE),""))</f>
        <v/>
      </c>
      <c r="E14" s="32">
        <f>IF(A14="","",IFERROR(VLOOKUP(A14,'Ingredients + Stock'!B:G,6,FALSE),0))</f>
        <v/>
      </c>
      <c r="F14">
        <f>IF(C14="","",IFERROR(VLOOKUP(C14,'Unit Conversion'!A:D,4,FALSE),1))</f>
        <v/>
      </c>
      <c r="G14">
        <f>IF(D14="","",IFERROR(VLOOKUP(D14,'Unit Conversion'!A:D,4,FALSE),1))</f>
        <v/>
      </c>
      <c r="H14">
        <f>IF(C14="","",B14*F14/G14)</f>
        <v/>
      </c>
      <c r="I14" s="33">
        <f>H14*E14</f>
        <v/>
      </c>
      <c r="J14">
        <f>IF(C14="","",IFERROR(IF(VLOOKUP(C14,'Unit Conversion'!A:B,2,FALSE)=VLOOKUP(D14,'Unit Conversion'!A:B,2,FALSE),"OK","Check W/V"),"Check"))</f>
        <v/>
      </c>
    </row>
    <row r="15">
      <c r="A15" s="31" t="n"/>
      <c r="B15" s="31" t="n"/>
      <c r="C15" s="31" t="n"/>
      <c r="D15">
        <f>IF(A15="","",IFERROR(VLOOKUP(A15,'Ingredients + Stock'!B:D,3,FALSE),""))</f>
        <v/>
      </c>
      <c r="E15" s="32">
        <f>IF(A15="","",IFERROR(VLOOKUP(A15,'Ingredients + Stock'!B:G,6,FALSE),0))</f>
        <v/>
      </c>
      <c r="F15">
        <f>IF(C15="","",IFERROR(VLOOKUP(C15,'Unit Conversion'!A:D,4,FALSE),1))</f>
        <v/>
      </c>
      <c r="G15">
        <f>IF(D15="","",IFERROR(VLOOKUP(D15,'Unit Conversion'!A:D,4,FALSE),1))</f>
        <v/>
      </c>
      <c r="H15">
        <f>IF(C15="","",B15*F15/G15)</f>
        <v/>
      </c>
      <c r="I15" s="33">
        <f>H15*E15</f>
        <v/>
      </c>
      <c r="J15">
        <f>IF(C15="","",IFERROR(IF(VLOOKUP(C15,'Unit Conversion'!A:B,2,FALSE)=VLOOKUP(D15,'Unit Conversion'!A:B,2,FALSE),"OK","Check W/V"),"Check"))</f>
        <v/>
      </c>
    </row>
    <row r="16">
      <c r="A16" s="31" t="n"/>
      <c r="B16" s="31" t="n"/>
      <c r="C16" s="31" t="n"/>
      <c r="D16">
        <f>IF(A16="","",IFERROR(VLOOKUP(A16,'Ingredients + Stock'!B:D,3,FALSE),""))</f>
        <v/>
      </c>
      <c r="E16" s="32">
        <f>IF(A16="","",IFERROR(VLOOKUP(A16,'Ingredients + Stock'!B:G,6,FALSE),0))</f>
        <v/>
      </c>
      <c r="F16">
        <f>IF(C16="","",IFERROR(VLOOKUP(C16,'Unit Conversion'!A:D,4,FALSE),1))</f>
        <v/>
      </c>
      <c r="G16">
        <f>IF(D16="","",IFERROR(VLOOKUP(D16,'Unit Conversion'!A:D,4,FALSE),1))</f>
        <v/>
      </c>
      <c r="H16">
        <f>IF(C16="","",B16*F16/G16)</f>
        <v/>
      </c>
      <c r="I16" s="33">
        <f>H16*E16</f>
        <v/>
      </c>
      <c r="J16">
        <f>IF(C16="","",IFERROR(IF(VLOOKUP(C16,'Unit Conversion'!A:B,2,FALSE)=VLOOKUP(D16,'Unit Conversion'!A:B,2,FALSE),"OK","Check W/V"),"Check"))</f>
        <v/>
      </c>
    </row>
    <row r="17">
      <c r="A17" s="31" t="n"/>
      <c r="B17" s="31" t="n"/>
      <c r="C17" s="31" t="n"/>
      <c r="D17">
        <f>IF(A17="","",IFERROR(VLOOKUP(A17,'Ingredients + Stock'!B:D,3,FALSE),""))</f>
        <v/>
      </c>
      <c r="E17" s="32">
        <f>IF(A17="","",IFERROR(VLOOKUP(A17,'Ingredients + Stock'!B:G,6,FALSE),0))</f>
        <v/>
      </c>
      <c r="F17">
        <f>IF(C17="","",IFERROR(VLOOKUP(C17,'Unit Conversion'!A:D,4,FALSE),1))</f>
        <v/>
      </c>
      <c r="G17">
        <f>IF(D17="","",IFERROR(VLOOKUP(D17,'Unit Conversion'!A:D,4,FALSE),1))</f>
        <v/>
      </c>
      <c r="H17">
        <f>IF(C17="","",B17*F17/G17)</f>
        <v/>
      </c>
      <c r="I17" s="33">
        <f>H17*E17</f>
        <v/>
      </c>
      <c r="J17">
        <f>IF(C17="","",IFERROR(IF(VLOOKUP(C17,'Unit Conversion'!A:B,2,FALSE)=VLOOKUP(D17,'Unit Conversion'!A:B,2,FALSE),"OK","Check W/V"),"Check"))</f>
        <v/>
      </c>
    </row>
    <row r="18">
      <c r="A18" s="31" t="n"/>
      <c r="B18" s="31" t="n"/>
      <c r="C18" s="31" t="n"/>
      <c r="D18">
        <f>IF(A18="","",IFERROR(VLOOKUP(A18,'Ingredients + Stock'!B:D,3,FALSE),""))</f>
        <v/>
      </c>
      <c r="E18" s="32">
        <f>IF(A18="","",IFERROR(VLOOKUP(A18,'Ingredients + Stock'!B:G,6,FALSE),0))</f>
        <v/>
      </c>
      <c r="F18">
        <f>IF(C18="","",IFERROR(VLOOKUP(C18,'Unit Conversion'!A:D,4,FALSE),1))</f>
        <v/>
      </c>
      <c r="G18">
        <f>IF(D18="","",IFERROR(VLOOKUP(D18,'Unit Conversion'!A:D,4,FALSE),1))</f>
        <v/>
      </c>
      <c r="H18">
        <f>IF(C18="","",B18*F18/G18)</f>
        <v/>
      </c>
      <c r="I18" s="33">
        <f>H18*E18</f>
        <v/>
      </c>
      <c r="J18">
        <f>IF(C18="","",IFERROR(IF(VLOOKUP(C18,'Unit Conversion'!A:B,2,FALSE)=VLOOKUP(D18,'Unit Conversion'!A:B,2,FALSE),"OK","Check W/V"),"Check"))</f>
        <v/>
      </c>
    </row>
    <row r="19">
      <c r="A19" s="31" t="n"/>
      <c r="B19" s="31" t="n"/>
      <c r="C19" s="31" t="n"/>
      <c r="D19">
        <f>IF(A19="","",IFERROR(VLOOKUP(A19,'Ingredients + Stock'!B:D,3,FALSE),""))</f>
        <v/>
      </c>
      <c r="E19" s="32">
        <f>IF(A19="","",IFERROR(VLOOKUP(A19,'Ingredients + Stock'!B:G,6,FALSE),0))</f>
        <v/>
      </c>
      <c r="F19">
        <f>IF(C19="","",IFERROR(VLOOKUP(C19,'Unit Conversion'!A:D,4,FALSE),1))</f>
        <v/>
      </c>
      <c r="G19">
        <f>IF(D19="","",IFERROR(VLOOKUP(D19,'Unit Conversion'!A:D,4,FALSE),1))</f>
        <v/>
      </c>
      <c r="H19">
        <f>IF(C19="","",B19*F19/G19)</f>
        <v/>
      </c>
      <c r="I19" s="33">
        <f>H19*E19</f>
        <v/>
      </c>
      <c r="J19">
        <f>IF(C19="","",IFERROR(IF(VLOOKUP(C19,'Unit Conversion'!A:B,2,FALSE)=VLOOKUP(D19,'Unit Conversion'!A:B,2,FALSE),"OK","Check W/V"),"Check"))</f>
        <v/>
      </c>
    </row>
    <row r="20">
      <c r="A20" s="31" t="n"/>
      <c r="B20" s="31" t="n"/>
      <c r="C20" s="31" t="n"/>
      <c r="D20">
        <f>IF(A20="","",IFERROR(VLOOKUP(A20,'Ingredients + Stock'!B:D,3,FALSE),""))</f>
        <v/>
      </c>
      <c r="E20" s="32">
        <f>IF(A20="","",IFERROR(VLOOKUP(A20,'Ingredients + Stock'!B:G,6,FALSE),0))</f>
        <v/>
      </c>
      <c r="F20">
        <f>IF(C20="","",IFERROR(VLOOKUP(C20,'Unit Conversion'!A:D,4,FALSE),1))</f>
        <v/>
      </c>
      <c r="G20">
        <f>IF(D20="","",IFERROR(VLOOKUP(D20,'Unit Conversion'!A:D,4,FALSE),1))</f>
        <v/>
      </c>
      <c r="H20">
        <f>IF(C20="","",B20*F20/G20)</f>
        <v/>
      </c>
      <c r="I20" s="33">
        <f>H20*E20</f>
        <v/>
      </c>
      <c r="J20">
        <f>IF(C20="","",IFERROR(IF(VLOOKUP(C20,'Unit Conversion'!A:B,2,FALSE)=VLOOKUP(D20,'Unit Conversion'!A:B,2,FALSE),"OK","Check W/V"),"Check"))</f>
        <v/>
      </c>
    </row>
    <row r="21"/>
    <row r="22">
      <c r="A22" s="10" t="inlineStr">
        <is>
          <t>Total Ingredient Cost</t>
        </is>
      </c>
      <c r="I22" s="34">
        <f>SUM(I9:I20)</f>
        <v/>
      </c>
    </row>
    <row r="23"/>
    <row r="24">
      <c r="A24" t="inlineStr">
        <is>
          <t>Labor Hours</t>
        </is>
      </c>
      <c r="B24" s="31" t="n">
        <v>1.5</v>
      </c>
      <c r="D24" t="inlineStr">
        <is>
          <t>Rate</t>
        </is>
      </c>
      <c r="E24" s="33">
        <f>'Instructions + Setup'!B22</f>
        <v/>
      </c>
      <c r="F24" t="inlineStr">
        <is>
          <t>Labor Total</t>
        </is>
      </c>
      <c r="G24" s="33">
        <f>B24*E24</f>
        <v/>
      </c>
    </row>
    <row r="25">
      <c r="A25" t="inlineStr">
        <is>
          <t>Packaging per unit</t>
        </is>
      </c>
      <c r="B25" s="35">
        <f>'Instructions + Setup'!B25</f>
        <v/>
      </c>
      <c r="D25" t="inlineStr">
        <is>
          <t>Packaging Total (batch)</t>
        </is>
      </c>
      <c r="E25" s="33">
        <f>B25*B5</f>
        <v/>
      </c>
    </row>
    <row r="26">
      <c r="A26" t="inlineStr">
        <is>
          <t>Overhead %</t>
        </is>
      </c>
      <c r="B26" s="36">
        <f>'Instructions + Setup'!B23/100</f>
        <v/>
      </c>
      <c r="D26" t="inlineStr">
        <is>
          <t>Overhead $</t>
        </is>
      </c>
      <c r="E26" s="33">
        <f>I22*B26</f>
        <v/>
      </c>
    </row>
    <row r="27">
      <c r="A27" t="inlineStr">
        <is>
          <t>Waste %</t>
        </is>
      </c>
      <c r="B27" s="36">
        <f>'Instructions + Setup'!B24/100</f>
        <v/>
      </c>
      <c r="D27" t="inlineStr">
        <is>
          <t>Waste $</t>
        </is>
      </c>
      <c r="E27" s="33">
        <f>(I22+G24+E25+E26)*B27</f>
        <v/>
      </c>
    </row>
    <row r="28">
      <c r="A28" t="inlineStr">
        <is>
          <t>Other $</t>
        </is>
      </c>
      <c r="B28" s="31" t="n">
        <v>0</v>
      </c>
    </row>
    <row r="29"/>
    <row r="30">
      <c r="A30" s="14" t="inlineStr">
        <is>
          <t>TOTAL BATCH COST</t>
        </is>
      </c>
      <c r="G30" s="37">
        <f>I22+G24+E25+E26+E27+B28</f>
        <v/>
      </c>
    </row>
    <row r="31">
      <c r="A31" s="38" t="inlineStr">
        <is>
          <t>COST PER UNIT</t>
        </is>
      </c>
      <c r="G31" s="39">
        <f>IF(B5=0,0,G30/B5)</f>
        <v/>
      </c>
    </row>
    <row r="32"/>
    <row r="33">
      <c r="A33" s="27" t="inlineStr">
        <is>
          <t>Suggested Pricing</t>
        </is>
      </c>
    </row>
    <row r="34">
      <c r="A34" s="6" t="inlineStr">
        <is>
          <t>Method</t>
        </is>
      </c>
      <c r="B34" s="6" t="inlineStr">
        <is>
          <t>Multiplier</t>
        </is>
      </c>
      <c r="C34" s="6" t="inlineStr">
        <is>
          <t>Price</t>
        </is>
      </c>
      <c r="D34" s="6" t="inlineStr">
        <is>
          <t>Profit</t>
        </is>
      </c>
      <c r="E34" s="6" t="inlineStr">
        <is>
          <t>Margin %</t>
        </is>
      </c>
    </row>
    <row r="35">
      <c r="A35" s="8" t="inlineStr">
        <is>
          <t>2x Wholesale</t>
        </is>
      </c>
      <c r="B35" s="8" t="n">
        <v>2</v>
      </c>
      <c r="C35" s="23">
        <f>G31*B35</f>
        <v/>
      </c>
      <c r="D35" s="23">
        <f>C35-G31</f>
        <v/>
      </c>
      <c r="E35" s="40">
        <f>D35/C35</f>
        <v/>
      </c>
    </row>
    <row r="36">
      <c r="A36" s="7" t="inlineStr">
        <is>
          <t>2.5x Standard</t>
        </is>
      </c>
      <c r="B36" s="7" t="n">
        <v>2.5</v>
      </c>
      <c r="C36" s="20">
        <f>G31*B36</f>
        <v/>
      </c>
      <c r="D36" s="20">
        <f>C36-G31</f>
        <v/>
      </c>
      <c r="E36" s="41">
        <f>D36/C36</f>
        <v/>
      </c>
    </row>
    <row r="37">
      <c r="A37" s="8" t="inlineStr">
        <is>
          <t>3x Premium</t>
        </is>
      </c>
      <c r="B37" s="8" t="n">
        <v>3</v>
      </c>
      <c r="C37" s="23">
        <f>G31*B37</f>
        <v/>
      </c>
      <c r="D37" s="23">
        <f>C37-G31</f>
        <v/>
      </c>
      <c r="E37" s="40">
        <f>D37/C37</f>
        <v/>
      </c>
    </row>
    <row r="38">
      <c r="A38" s="7" t="inlineStr">
        <is>
          <t>65% Margin Recommended</t>
        </is>
      </c>
      <c r="B38" s="7" t="n">
        <v>0.65</v>
      </c>
      <c r="C38" s="20">
        <f>G31/(1-0.65)</f>
        <v/>
      </c>
      <c r="D38" s="20">
        <f>C38-G31</f>
        <v/>
      </c>
      <c r="E38" s="41">
        <f>D38/C38</f>
        <v/>
      </c>
    </row>
    <row r="39"/>
    <row r="40">
      <c r="A40" s="42" t="inlineStr">
        <is>
          <t>RECIPE 2 - Second recipe space (addresses review: room for more than 1 recipe)</t>
        </is>
      </c>
    </row>
    <row r="41">
      <c r="A41" t="inlineStr">
        <is>
          <t>Recipe Name:</t>
        </is>
      </c>
      <c r="B41" s="31" t="inlineStr">
        <is>
          <t>Chocolate Chip Cookies</t>
        </is>
      </c>
    </row>
    <row r="42">
      <c r="A42" t="inlineStr">
        <is>
          <t>Batch Yield:</t>
        </is>
      </c>
      <c r="B42" s="31" t="n">
        <v>12</v>
      </c>
    </row>
    <row r="43"/>
    <row r="44">
      <c r="A44" s="6" t="inlineStr">
        <is>
          <t>Ingredient</t>
        </is>
      </c>
      <c r="B44" s="6" t="inlineStr">
        <is>
          <t>Qty</t>
        </is>
      </c>
      <c r="C44" s="6" t="inlineStr">
        <is>
          <t>Unit (Recipe)</t>
        </is>
      </c>
      <c r="D44" s="6" t="inlineStr">
        <is>
          <t>Stock Unit</t>
        </is>
      </c>
      <c r="E44" s="6" t="inlineStr">
        <is>
          <t>Cost/Stock Unit $</t>
        </is>
      </c>
      <c r="F44" s="6" t="inlineStr">
        <is>
          <t>Recipe Factor</t>
        </is>
      </c>
      <c r="G44" s="6" t="inlineStr">
        <is>
          <t>Stock Factor</t>
        </is>
      </c>
      <c r="H44" s="6" t="inlineStr">
        <is>
          <t>Converted Qty</t>
        </is>
      </c>
      <c r="I44" s="6" t="inlineStr">
        <is>
          <t>Line Cost $</t>
        </is>
      </c>
      <c r="J44" s="6" t="inlineStr">
        <is>
          <t>Type Match</t>
        </is>
      </c>
    </row>
    <row r="45">
      <c r="A45" s="31" t="inlineStr">
        <is>
          <t>All-Purpose Flour</t>
        </is>
      </c>
      <c r="B45" s="31" t="n">
        <v>360</v>
      </c>
      <c r="C45" s="31" t="inlineStr">
        <is>
          <t>g</t>
        </is>
      </c>
      <c r="D45">
        <f>IF(A45="","",IFERROR(VLOOKUP(A45,'Ingredients + Stock'!B:D,3,FALSE),""))</f>
        <v/>
      </c>
      <c r="E45" s="32">
        <f>IF(A45="","",IFERROR(VLOOKUP(A45,'Ingredients + Stock'!B:G,6,FALSE),0))</f>
        <v/>
      </c>
      <c r="F45">
        <f>IF(C45="","",IFERROR(VLOOKUP(C45,'Unit Conversion'!A:D,4,FALSE),1))</f>
        <v/>
      </c>
      <c r="G45">
        <f>IF(D45="","",IFERROR(VLOOKUP(D45,'Unit Conversion'!A:D,4,FALSE),1))</f>
        <v/>
      </c>
      <c r="H45">
        <f>IF(C45="","",B45*F45/G45)</f>
        <v/>
      </c>
      <c r="I45" s="33">
        <f>H45*E45</f>
        <v/>
      </c>
      <c r="J45">
        <f>IF(C45="","",IFERROR(IF(VLOOKUP(C45,'Unit Conversion'!A:B,2,FALSE)=VLOOKUP(D45,'Unit Conversion'!A:B,2,FALSE),"OK","Check W/V"),"Check"))</f>
        <v/>
      </c>
    </row>
    <row r="46">
      <c r="A46" s="31" t="inlineStr">
        <is>
          <t>Sugar</t>
        </is>
      </c>
      <c r="B46" s="31" t="n">
        <v>200</v>
      </c>
      <c r="C46" s="31" t="inlineStr">
        <is>
          <t>g</t>
        </is>
      </c>
      <c r="D46">
        <f>IF(A46="","",IFERROR(VLOOKUP(A46,'Ingredients + Stock'!B:D,3,FALSE),""))</f>
        <v/>
      </c>
      <c r="E46" s="32">
        <f>IF(A46="","",IFERROR(VLOOKUP(A46,'Ingredients + Stock'!B:G,6,FALSE),0))</f>
        <v/>
      </c>
      <c r="F46">
        <f>IF(C46="","",IFERROR(VLOOKUP(C46,'Unit Conversion'!A:D,4,FALSE),1))</f>
        <v/>
      </c>
      <c r="G46">
        <f>IF(D46="","",IFERROR(VLOOKUP(D46,'Unit Conversion'!A:D,4,FALSE),1))</f>
        <v/>
      </c>
      <c r="H46">
        <f>IF(C46="","",B46*F46/G46)</f>
        <v/>
      </c>
      <c r="I46" s="33">
        <f>H46*E46</f>
        <v/>
      </c>
      <c r="J46">
        <f>IF(C46="","",IFERROR(IF(VLOOKUP(C46,'Unit Conversion'!A:B,2,FALSE)=VLOOKUP(D46,'Unit Conversion'!A:B,2,FALSE),"OK","Check W/V"),"Check"))</f>
        <v/>
      </c>
    </row>
    <row r="47">
      <c r="A47" s="31" t="inlineStr">
        <is>
          <t>Butter</t>
        </is>
      </c>
      <c r="B47" s="31" t="n">
        <v>225</v>
      </c>
      <c r="C47" s="31" t="inlineStr">
        <is>
          <t>g</t>
        </is>
      </c>
      <c r="D47">
        <f>IF(A47="","",IFERROR(VLOOKUP(A47,'Ingredients + Stock'!B:D,3,FALSE),""))</f>
        <v/>
      </c>
      <c r="E47" s="32">
        <f>IF(A47="","",IFERROR(VLOOKUP(A47,'Ingredients + Stock'!B:G,6,FALSE),0))</f>
        <v/>
      </c>
      <c r="F47">
        <f>IF(C47="","",IFERROR(VLOOKUP(C47,'Unit Conversion'!A:D,4,FALSE),1))</f>
        <v/>
      </c>
      <c r="G47">
        <f>IF(D47="","",IFERROR(VLOOKUP(D47,'Unit Conversion'!A:D,4,FALSE),1))</f>
        <v/>
      </c>
      <c r="H47">
        <f>IF(C47="","",B47*F47/G47)</f>
        <v/>
      </c>
      <c r="I47" s="33">
        <f>H47*E47</f>
        <v/>
      </c>
      <c r="J47">
        <f>IF(C47="","",IFERROR(IF(VLOOKUP(C47,'Unit Conversion'!A:B,2,FALSE)=VLOOKUP(D47,'Unit Conversion'!A:B,2,FALSE),"OK","Check W/V"),"Check"))</f>
        <v/>
      </c>
    </row>
    <row r="48">
      <c r="A48" s="31" t="inlineStr">
        <is>
          <t>Vanilla Extract</t>
        </is>
      </c>
      <c r="B48" s="31" t="n">
        <v>2</v>
      </c>
      <c r="C48" s="31" t="inlineStr">
        <is>
          <t>tsp</t>
        </is>
      </c>
      <c r="D48">
        <f>IF(A48="","",IFERROR(VLOOKUP(A48,'Ingredients + Stock'!B:D,3,FALSE),""))</f>
        <v/>
      </c>
      <c r="E48" s="32">
        <f>IF(A48="","",IFERROR(VLOOKUP(A48,'Ingredients + Stock'!B:G,6,FALSE),0))</f>
        <v/>
      </c>
      <c r="F48">
        <f>IF(C48="","",IFERROR(VLOOKUP(C48,'Unit Conversion'!A:D,4,FALSE),1))</f>
        <v/>
      </c>
      <c r="G48">
        <f>IF(D48="","",IFERROR(VLOOKUP(D48,'Unit Conversion'!A:D,4,FALSE),1))</f>
        <v/>
      </c>
      <c r="H48">
        <f>IF(C48="","",B48*F48/G48)</f>
        <v/>
      </c>
      <c r="I48" s="33">
        <f>H48*E48</f>
        <v/>
      </c>
      <c r="J48">
        <f>IF(C48="","",IFERROR(IF(VLOOKUP(C48,'Unit Conversion'!A:B,2,FALSE)=VLOOKUP(D48,'Unit Conversion'!A:B,2,FALSE),"OK","Check W/V"),"Check"))</f>
        <v/>
      </c>
    </row>
    <row r="49">
      <c r="A49" s="31" t="inlineStr">
        <is>
          <t>Chocolate Chips</t>
        </is>
      </c>
      <c r="B49" s="31" t="n">
        <v>340</v>
      </c>
      <c r="C49" s="31" t="inlineStr">
        <is>
          <t>g</t>
        </is>
      </c>
      <c r="D49">
        <f>IF(A49="","",IFERROR(VLOOKUP(A49,'Ingredients + Stock'!B:D,3,FALSE),""))</f>
        <v/>
      </c>
      <c r="E49" s="32">
        <f>IF(A49="","",IFERROR(VLOOKUP(A49,'Ingredients + Stock'!B:G,6,FALSE),0))</f>
        <v/>
      </c>
      <c r="F49">
        <f>IF(C49="","",IFERROR(VLOOKUP(C49,'Unit Conversion'!A:D,4,FALSE),1))</f>
        <v/>
      </c>
      <c r="G49">
        <f>IF(D49="","",IFERROR(VLOOKUP(D49,'Unit Conversion'!A:D,4,FALSE),1))</f>
        <v/>
      </c>
      <c r="H49">
        <f>IF(C49="","",B49*F49/G49)</f>
        <v/>
      </c>
      <c r="I49" s="33">
        <f>H49*E49</f>
        <v/>
      </c>
      <c r="J49">
        <f>IF(C49="","",IFERROR(IF(VLOOKUP(C49,'Unit Conversion'!A:B,2,FALSE)=VLOOKUP(D49,'Unit Conversion'!A:B,2,FALSE),"OK","Check W/V"),"Check"))</f>
        <v/>
      </c>
    </row>
    <row r="50">
      <c r="A50" s="31" t="inlineStr">
        <is>
          <t>Eggs</t>
        </is>
      </c>
      <c r="B50" s="31" t="n">
        <v>2</v>
      </c>
      <c r="C50" s="31" t="inlineStr">
        <is>
          <t>pcs</t>
        </is>
      </c>
      <c r="D50">
        <f>IF(A50="","",IFERROR(VLOOKUP(A50,'Ingredients + Stock'!B:D,3,FALSE),""))</f>
        <v/>
      </c>
      <c r="E50" s="32">
        <f>IF(A50="","",IFERROR(VLOOKUP(A50,'Ingredients + Stock'!B:G,6,FALSE),0))</f>
        <v/>
      </c>
      <c r="F50">
        <f>IF(C50="","",IFERROR(VLOOKUP(C50,'Unit Conversion'!A:D,4,FALSE),1))</f>
        <v/>
      </c>
      <c r="G50">
        <f>IF(D50="","",IFERROR(VLOOKUP(D50,'Unit Conversion'!A:D,4,FALSE),1))</f>
        <v/>
      </c>
      <c r="H50">
        <f>IF(C50="","",B50*F50/G50)</f>
        <v/>
      </c>
      <c r="I50" s="33">
        <f>H50*E50</f>
        <v/>
      </c>
      <c r="J50">
        <f>IF(C50="","",IFERROR(IF(VLOOKUP(C50,'Unit Conversion'!A:B,2,FALSE)=VLOOKUP(D50,'Unit Conversion'!A:B,2,FALSE),"OK","Check W/V"),"Check"))</f>
        <v/>
      </c>
    </row>
    <row r="51">
      <c r="A51" s="31" t="n"/>
      <c r="B51" s="31" t="n"/>
      <c r="C51" s="31" t="n"/>
      <c r="D51">
        <f>IF(A51="","",IFERROR(VLOOKUP(A51,'Ingredients + Stock'!B:D,3,FALSE),""))</f>
        <v/>
      </c>
      <c r="E51" s="32">
        <f>IF(A51="","",IFERROR(VLOOKUP(A51,'Ingredients + Stock'!B:G,6,FALSE),0))</f>
        <v/>
      </c>
      <c r="F51">
        <f>IF(C51="","",IFERROR(VLOOKUP(C51,'Unit Conversion'!A:D,4,FALSE),1))</f>
        <v/>
      </c>
      <c r="G51">
        <f>IF(D51="","",IFERROR(VLOOKUP(D51,'Unit Conversion'!A:D,4,FALSE),1))</f>
        <v/>
      </c>
      <c r="H51">
        <f>IF(C51="","",B51*F51/G51)</f>
        <v/>
      </c>
      <c r="I51" s="33">
        <f>H51*E51</f>
        <v/>
      </c>
      <c r="J51">
        <f>IF(C51="","",IFERROR(IF(VLOOKUP(C51,'Unit Conversion'!A:B,2,FALSE)=VLOOKUP(D51,'Unit Conversion'!A:B,2,FALSE),"OK","Check W/V"),"Check"))</f>
        <v/>
      </c>
    </row>
    <row r="52">
      <c r="A52" s="31" t="n"/>
      <c r="B52" s="31" t="n"/>
      <c r="C52" s="31" t="n"/>
      <c r="D52">
        <f>IF(A52="","",IFERROR(VLOOKUP(A52,'Ingredients + Stock'!B:D,3,FALSE),""))</f>
        <v/>
      </c>
      <c r="E52" s="32">
        <f>IF(A52="","",IFERROR(VLOOKUP(A52,'Ingredients + Stock'!B:G,6,FALSE),0))</f>
        <v/>
      </c>
      <c r="F52">
        <f>IF(C52="","",IFERROR(VLOOKUP(C52,'Unit Conversion'!A:D,4,FALSE),1))</f>
        <v/>
      </c>
      <c r="G52">
        <f>IF(D52="","",IFERROR(VLOOKUP(D52,'Unit Conversion'!A:D,4,FALSE),1))</f>
        <v/>
      </c>
      <c r="H52">
        <f>IF(C52="","",B52*F52/G52)</f>
        <v/>
      </c>
      <c r="I52" s="33">
        <f>H52*E52</f>
        <v/>
      </c>
      <c r="J52">
        <f>IF(C52="","",IFERROR(IF(VLOOKUP(C52,'Unit Conversion'!A:B,2,FALSE)=VLOOKUP(D52,'Unit Conversion'!A:B,2,FALSE),"OK","Check W/V"),"Check"))</f>
        <v/>
      </c>
    </row>
    <row r="53">
      <c r="A53" s="31" t="n"/>
      <c r="B53" s="31" t="n"/>
      <c r="C53" s="31" t="n"/>
      <c r="D53">
        <f>IF(A53="","",IFERROR(VLOOKUP(A53,'Ingredients + Stock'!B:D,3,FALSE),""))</f>
        <v/>
      </c>
      <c r="E53" s="32">
        <f>IF(A53="","",IFERROR(VLOOKUP(A53,'Ingredients + Stock'!B:G,6,FALSE),0))</f>
        <v/>
      </c>
      <c r="F53">
        <f>IF(C53="","",IFERROR(VLOOKUP(C53,'Unit Conversion'!A:D,4,FALSE),1))</f>
        <v/>
      </c>
      <c r="G53">
        <f>IF(D53="","",IFERROR(VLOOKUP(D53,'Unit Conversion'!A:D,4,FALSE),1))</f>
        <v/>
      </c>
      <c r="H53">
        <f>IF(C53="","",B53*F53/G53)</f>
        <v/>
      </c>
      <c r="I53" s="33">
        <f>H53*E53</f>
        <v/>
      </c>
      <c r="J53">
        <f>IF(C53="","",IFERROR(IF(VLOOKUP(C53,'Unit Conversion'!A:B,2,FALSE)=VLOOKUP(D53,'Unit Conversion'!A:B,2,FALSE),"OK","Check W/V"),"Check"))</f>
        <v/>
      </c>
    </row>
    <row r="54">
      <c r="A54" s="31" t="n"/>
      <c r="B54" s="31" t="n"/>
      <c r="C54" s="31" t="n"/>
      <c r="D54">
        <f>IF(A54="","",IFERROR(VLOOKUP(A54,'Ingredients + Stock'!B:D,3,FALSE),""))</f>
        <v/>
      </c>
      <c r="E54" s="32">
        <f>IF(A54="","",IFERROR(VLOOKUP(A54,'Ingredients + Stock'!B:G,6,FALSE),0))</f>
        <v/>
      </c>
      <c r="F54">
        <f>IF(C54="","",IFERROR(VLOOKUP(C54,'Unit Conversion'!A:D,4,FALSE),1))</f>
        <v/>
      </c>
      <c r="G54">
        <f>IF(D54="","",IFERROR(VLOOKUP(D54,'Unit Conversion'!A:D,4,FALSE),1))</f>
        <v/>
      </c>
      <c r="H54">
        <f>IF(C54="","",B54*F54/G54)</f>
        <v/>
      </c>
      <c r="I54" s="33">
        <f>H54*E54</f>
        <v/>
      </c>
      <c r="J54">
        <f>IF(C54="","",IFERROR(IF(VLOOKUP(C54,'Unit Conversion'!A:B,2,FALSE)=VLOOKUP(D54,'Unit Conversion'!A:B,2,FALSE),"OK","Check W/V"),"Check"))</f>
        <v/>
      </c>
    </row>
    <row r="55">
      <c r="A55" s="31" t="n"/>
      <c r="B55" s="31" t="n"/>
      <c r="C55" s="31" t="n"/>
      <c r="D55">
        <f>IF(A55="","",IFERROR(VLOOKUP(A55,'Ingredients + Stock'!B:D,3,FALSE),""))</f>
        <v/>
      </c>
      <c r="E55" s="32">
        <f>IF(A55="","",IFERROR(VLOOKUP(A55,'Ingredients + Stock'!B:G,6,FALSE),0))</f>
        <v/>
      </c>
      <c r="F55">
        <f>IF(C55="","",IFERROR(VLOOKUP(C55,'Unit Conversion'!A:D,4,FALSE),1))</f>
        <v/>
      </c>
      <c r="G55">
        <f>IF(D55="","",IFERROR(VLOOKUP(D55,'Unit Conversion'!A:D,4,FALSE),1))</f>
        <v/>
      </c>
      <c r="H55">
        <f>IF(C55="","",B55*F55/G55)</f>
        <v/>
      </c>
      <c r="I55" s="33">
        <f>H55*E55</f>
        <v/>
      </c>
      <c r="J55">
        <f>IF(C55="","",IFERROR(IF(VLOOKUP(C55,'Unit Conversion'!A:B,2,FALSE)=VLOOKUP(D55,'Unit Conversion'!A:B,2,FALSE),"OK","Check W/V"),"Check"))</f>
        <v/>
      </c>
    </row>
    <row r="56">
      <c r="A56" s="31" t="n"/>
      <c r="B56" s="31" t="n"/>
      <c r="C56" s="31" t="n"/>
      <c r="D56">
        <f>IF(A56="","",IFERROR(VLOOKUP(A56,'Ingredients + Stock'!B:D,3,FALSE),""))</f>
        <v/>
      </c>
      <c r="E56" s="32">
        <f>IF(A56="","",IFERROR(VLOOKUP(A56,'Ingredients + Stock'!B:G,6,FALSE),0))</f>
        <v/>
      </c>
      <c r="F56">
        <f>IF(C56="","",IFERROR(VLOOKUP(C56,'Unit Conversion'!A:D,4,FALSE),1))</f>
        <v/>
      </c>
      <c r="G56">
        <f>IF(D56="","",IFERROR(VLOOKUP(D56,'Unit Conversion'!A:D,4,FALSE),1))</f>
        <v/>
      </c>
      <c r="H56">
        <f>IF(C56="","",B56*F56/G56)</f>
        <v/>
      </c>
      <c r="I56" s="33">
        <f>H56*E56</f>
        <v/>
      </c>
      <c r="J56">
        <f>IF(C56="","",IFERROR(IF(VLOOKUP(C56,'Unit Conversion'!A:B,2,FALSE)=VLOOKUP(D56,'Unit Conversion'!A:B,2,FALSE),"OK","Check W/V"),"Check"))</f>
        <v/>
      </c>
    </row>
    <row r="57"/>
    <row r="58">
      <c r="A58" t="inlineStr">
        <is>
          <t>Total Ingredient Cost R2</t>
        </is>
      </c>
      <c r="I58" s="26">
        <f>SUM(I45:I56)</f>
        <v/>
      </c>
    </row>
    <row r="59"/>
    <row r="60">
      <c r="A60" t="inlineStr">
        <is>
          <t>TOTAL BATCH COST R2</t>
        </is>
      </c>
      <c r="G60" s="26">
        <f>I58+20</f>
        <v/>
      </c>
    </row>
    <row r="61">
      <c r="A61" t="inlineStr">
        <is>
          <t>COST PER UNIT R2</t>
        </is>
      </c>
      <c r="G61" s="43">
        <f>IF(B42=0,0,G60/B42)</f>
        <v/>
      </c>
    </row>
    <row r="62"/>
    <row r="63">
      <c r="A63" s="5" t="inlineStr">
        <is>
          <t>RECIPE 3 - Third recipe space</t>
        </is>
      </c>
    </row>
    <row r="64">
      <c r="A64" t="inlineStr">
        <is>
          <t>Recipe Name:</t>
        </is>
      </c>
      <c r="B64" s="31" t="inlineStr">
        <is>
          <t>Cinnamon Rolls</t>
        </is>
      </c>
    </row>
    <row r="65">
      <c r="A65" t="inlineStr">
        <is>
          <t>Batch Yield:</t>
        </is>
      </c>
      <c r="B65" s="31" t="n">
        <v>6</v>
      </c>
    </row>
    <row r="66"/>
    <row r="67">
      <c r="A67" s="6" t="inlineStr">
        <is>
          <t>Ingredient</t>
        </is>
      </c>
      <c r="B67" s="6" t="inlineStr">
        <is>
          <t>Qty</t>
        </is>
      </c>
      <c r="C67" s="6" t="inlineStr">
        <is>
          <t>Unit (Recipe)</t>
        </is>
      </c>
      <c r="D67" s="6" t="inlineStr">
        <is>
          <t>Stock Unit</t>
        </is>
      </c>
      <c r="E67" s="6" t="inlineStr">
        <is>
          <t>Cost/Stock Unit</t>
        </is>
      </c>
      <c r="F67" s="6" t="n"/>
      <c r="G67" s="6" t="n"/>
      <c r="H67" s="6" t="inlineStr">
        <is>
          <t>Converted Qty</t>
        </is>
      </c>
      <c r="I67" s="6" t="inlineStr">
        <is>
          <t>Line Cost</t>
        </is>
      </c>
      <c r="J67" s="6" t="n"/>
    </row>
    <row r="68">
      <c r="A68" s="31" t="n"/>
      <c r="B68" s="31" t="n"/>
      <c r="C68" s="31" t="n"/>
      <c r="D68">
        <f>IF(A68="","",IFERROR(VLOOKUP(A68,'Ingredients + Stock'!B:D,3,FALSE),""))</f>
        <v/>
      </c>
      <c r="E68">
        <f>IF(A68="","",IFERROR(VLOOKUP(A68,'Ingredients + Stock'!B:G,6,FALSE),0))</f>
        <v/>
      </c>
      <c r="H68">
        <f>IF(C68="","",B68*IFERROR(VLOOKUP(C68,'Unit Conversion'!A:D,4,FALSE),1)/IFERROR(VLOOKUP(D68,'Unit Conversion'!A:D,4,FALSE),1))</f>
        <v/>
      </c>
      <c r="I68" s="33">
        <f>H68*E68</f>
        <v/>
      </c>
    </row>
    <row r="69">
      <c r="A69" s="31" t="n"/>
      <c r="B69" s="31" t="n"/>
      <c r="C69" s="31" t="n"/>
      <c r="D69">
        <f>IF(A69="","",IFERROR(VLOOKUP(A69,'Ingredients + Stock'!B:D,3,FALSE),""))</f>
        <v/>
      </c>
      <c r="E69">
        <f>IF(A69="","",IFERROR(VLOOKUP(A69,'Ingredients + Stock'!B:G,6,FALSE),0))</f>
        <v/>
      </c>
      <c r="H69">
        <f>IF(C69="","",B69*IFERROR(VLOOKUP(C69,'Unit Conversion'!A:D,4,FALSE),1)/IFERROR(VLOOKUP(D69,'Unit Conversion'!A:D,4,FALSE),1))</f>
        <v/>
      </c>
      <c r="I69" s="33">
        <f>H69*E69</f>
        <v/>
      </c>
    </row>
    <row r="70">
      <c r="A70" s="31" t="n"/>
      <c r="B70" s="31" t="n"/>
      <c r="C70" s="31" t="n"/>
      <c r="D70">
        <f>IF(A70="","",IFERROR(VLOOKUP(A70,'Ingredients + Stock'!B:D,3,FALSE),""))</f>
        <v/>
      </c>
      <c r="E70">
        <f>IF(A70="","",IFERROR(VLOOKUP(A70,'Ingredients + Stock'!B:G,6,FALSE),0))</f>
        <v/>
      </c>
      <c r="H70">
        <f>IF(C70="","",B70*IFERROR(VLOOKUP(C70,'Unit Conversion'!A:D,4,FALSE),1)/IFERROR(VLOOKUP(D70,'Unit Conversion'!A:D,4,FALSE),1))</f>
        <v/>
      </c>
      <c r="I70" s="33">
        <f>H70*E70</f>
        <v/>
      </c>
    </row>
    <row r="71">
      <c r="A71" s="31" t="n"/>
      <c r="B71" s="31" t="n"/>
      <c r="C71" s="31" t="n"/>
      <c r="D71">
        <f>IF(A71="","",IFERROR(VLOOKUP(A71,'Ingredients + Stock'!B:D,3,FALSE),""))</f>
        <v/>
      </c>
      <c r="E71">
        <f>IF(A71="","",IFERROR(VLOOKUP(A71,'Ingredients + Stock'!B:G,6,FALSE),0))</f>
        <v/>
      </c>
      <c r="H71">
        <f>IF(C71="","",B71*IFERROR(VLOOKUP(C71,'Unit Conversion'!A:D,4,FALSE),1)/IFERROR(VLOOKUP(D71,'Unit Conversion'!A:D,4,FALSE),1))</f>
        <v/>
      </c>
      <c r="I71" s="33">
        <f>H71*E71</f>
        <v/>
      </c>
    </row>
    <row r="72">
      <c r="A72" s="31" t="n"/>
      <c r="B72" s="31" t="n"/>
      <c r="C72" s="31" t="n"/>
      <c r="D72">
        <f>IF(A72="","",IFERROR(VLOOKUP(A72,'Ingredients + Stock'!B:D,3,FALSE),""))</f>
        <v/>
      </c>
      <c r="E72">
        <f>IF(A72="","",IFERROR(VLOOKUP(A72,'Ingredients + Stock'!B:G,6,FALSE),0))</f>
        <v/>
      </c>
      <c r="H72">
        <f>IF(C72="","",B72*IFERROR(VLOOKUP(C72,'Unit Conversion'!A:D,4,FALSE),1)/IFERROR(VLOOKUP(D72,'Unit Conversion'!A:D,4,FALSE),1))</f>
        <v/>
      </c>
      <c r="I72" s="33">
        <f>H72*E72</f>
        <v/>
      </c>
    </row>
    <row r="73">
      <c r="A73" s="31" t="n"/>
      <c r="B73" s="31" t="n"/>
      <c r="C73" s="31" t="n"/>
      <c r="D73">
        <f>IF(A73="","",IFERROR(VLOOKUP(A73,'Ingredients + Stock'!B:D,3,FALSE),""))</f>
        <v/>
      </c>
      <c r="E73">
        <f>IF(A73="","",IFERROR(VLOOKUP(A73,'Ingredients + Stock'!B:G,6,FALSE),0))</f>
        <v/>
      </c>
      <c r="H73">
        <f>IF(C73="","",B73*IFERROR(VLOOKUP(C73,'Unit Conversion'!A:D,4,FALSE),1)/IFERROR(VLOOKUP(D73,'Unit Conversion'!A:D,4,FALSE),1))</f>
        <v/>
      </c>
      <c r="I73" s="33">
        <f>H73*E73</f>
        <v/>
      </c>
    </row>
    <row r="74">
      <c r="A74" s="31" t="n"/>
      <c r="B74" s="31" t="n"/>
      <c r="C74" s="31" t="n"/>
      <c r="D74">
        <f>IF(A74="","",IFERROR(VLOOKUP(A74,'Ingredients + Stock'!B:D,3,FALSE),""))</f>
        <v/>
      </c>
      <c r="E74">
        <f>IF(A74="","",IFERROR(VLOOKUP(A74,'Ingredients + Stock'!B:G,6,FALSE),0))</f>
        <v/>
      </c>
      <c r="H74">
        <f>IF(C74="","",B74*IFERROR(VLOOKUP(C74,'Unit Conversion'!A:D,4,FALSE),1)/IFERROR(VLOOKUP(D74,'Unit Conversion'!A:D,4,FALSE),1))</f>
        <v/>
      </c>
      <c r="I74" s="33">
        <f>H74*E74</f>
        <v/>
      </c>
    </row>
    <row r="75">
      <c r="A75" s="31" t="n"/>
      <c r="B75" s="31" t="n"/>
      <c r="C75" s="31" t="n"/>
      <c r="D75">
        <f>IF(A75="","",IFERROR(VLOOKUP(A75,'Ingredients + Stock'!B:D,3,FALSE),""))</f>
        <v/>
      </c>
      <c r="E75">
        <f>IF(A75="","",IFERROR(VLOOKUP(A75,'Ingredients + Stock'!B:G,6,FALSE),0))</f>
        <v/>
      </c>
      <c r="H75">
        <f>IF(C75="","",B75*IFERROR(VLOOKUP(C75,'Unit Conversion'!A:D,4,FALSE),1)/IFERROR(VLOOKUP(D75,'Unit Conversion'!A:D,4,FALSE),1))</f>
        <v/>
      </c>
      <c r="I75" s="33">
        <f>H75*E75</f>
        <v/>
      </c>
    </row>
    <row r="76">
      <c r="A76" s="31" t="n"/>
      <c r="B76" s="31" t="n"/>
      <c r="C76" s="31" t="n"/>
      <c r="D76">
        <f>IF(A76="","",IFERROR(VLOOKUP(A76,'Ingredients + Stock'!B:D,3,FALSE),""))</f>
        <v/>
      </c>
      <c r="E76">
        <f>IF(A76="","",IFERROR(VLOOKUP(A76,'Ingredients + Stock'!B:G,6,FALSE),0))</f>
        <v/>
      </c>
      <c r="H76">
        <f>IF(C76="","",B76*IFERROR(VLOOKUP(C76,'Unit Conversion'!A:D,4,FALSE),1)/IFERROR(VLOOKUP(D76,'Unit Conversion'!A:D,4,FALSE),1))</f>
        <v/>
      </c>
      <c r="I76" s="33">
        <f>H76*E76</f>
        <v/>
      </c>
    </row>
    <row r="77">
      <c r="A77" s="31" t="n"/>
      <c r="B77" s="31" t="n"/>
      <c r="C77" s="31" t="n"/>
      <c r="D77">
        <f>IF(A77="","",IFERROR(VLOOKUP(A77,'Ingredients + Stock'!B:D,3,FALSE),""))</f>
        <v/>
      </c>
      <c r="E77">
        <f>IF(A77="","",IFERROR(VLOOKUP(A77,'Ingredients + Stock'!B:G,6,FALSE),0))</f>
        <v/>
      </c>
      <c r="H77">
        <f>IF(C77="","",B77*IFERROR(VLOOKUP(C77,'Unit Conversion'!A:D,4,FALSE),1)/IFERROR(VLOOKUP(D77,'Unit Conversion'!A:D,4,FALSE),1))</f>
        <v/>
      </c>
      <c r="I77" s="33">
        <f>H77*E77</f>
        <v/>
      </c>
    </row>
    <row r="78">
      <c r="A78" s="31" t="n"/>
      <c r="B78" s="31" t="n"/>
      <c r="C78" s="31" t="n"/>
      <c r="D78">
        <f>IF(A78="","",IFERROR(VLOOKUP(A78,'Ingredients + Stock'!B:D,3,FALSE),""))</f>
        <v/>
      </c>
      <c r="E78">
        <f>IF(A78="","",IFERROR(VLOOKUP(A78,'Ingredients + Stock'!B:G,6,FALSE),0))</f>
        <v/>
      </c>
      <c r="H78">
        <f>IF(C78="","",B78*IFERROR(VLOOKUP(C78,'Unit Conversion'!A:D,4,FALSE),1)/IFERROR(VLOOKUP(D78,'Unit Conversion'!A:D,4,FALSE),1))</f>
        <v/>
      </c>
      <c r="I78" s="33">
        <f>H78*E78</f>
        <v/>
      </c>
    </row>
    <row r="79">
      <c r="A79" s="31" t="n"/>
      <c r="B79" s="31" t="n"/>
      <c r="C79" s="31" t="n"/>
      <c r="D79">
        <f>IF(A79="","",IFERROR(VLOOKUP(A79,'Ingredients + Stock'!B:D,3,FALSE),""))</f>
        <v/>
      </c>
      <c r="E79">
        <f>IF(A79="","",IFERROR(VLOOKUP(A79,'Ingredients + Stock'!B:G,6,FALSE),0))</f>
        <v/>
      </c>
      <c r="H79">
        <f>IF(C79="","",B79*IFERROR(VLOOKUP(C79,'Unit Conversion'!A:D,4,FALSE),1)/IFERROR(VLOOKUP(D79,'Unit Conversion'!A:D,4,FALSE),1))</f>
        <v/>
      </c>
      <c r="I79" s="33">
        <f>H79*E79</f>
        <v/>
      </c>
    </row>
    <row r="80"/>
    <row r="81">
      <c r="A81" t="inlineStr">
        <is>
          <t>Total Ingredient Cost R3</t>
        </is>
      </c>
      <c r="I81" s="26">
        <f>SUM(I68:I79)</f>
        <v/>
      </c>
    </row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</sheetData>
  <mergeCells count="5">
    <mergeCell ref="A1:J1"/>
    <mergeCell ref="A40:J40"/>
    <mergeCell ref="A3:J3"/>
    <mergeCell ref="A33:J33"/>
    <mergeCell ref="A63:J6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FADCD9"/>
    <outlinePr summaryBelow="1" summaryRight="1"/>
    <pageSetUpPr/>
  </sheetPr>
  <dimension ref="A1:T1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0" customWidth="1" min="2" max="2"/>
    <col width="12" customWidth="1" min="3" max="3"/>
    <col width="10" customWidth="1" min="4" max="4"/>
    <col width="10" customWidth="1" min="5" max="5"/>
    <col width="18" customWidth="1" min="6" max="6"/>
    <col width="12" customWidth="1" min="7" max="7"/>
    <col width="12" customWidth="1" min="8" max="8"/>
    <col width="12" customWidth="1" min="9" max="9"/>
    <col width="12" customWidth="1" min="10" max="10"/>
    <col width="10" customWidth="1" min="11" max="11"/>
    <col width="10" customWidth="1" min="12" max="12"/>
    <col width="10" customWidth="1" min="13" max="13"/>
    <col width="11" customWidth="1" min="14" max="14"/>
    <col width="11" customWidth="1" min="15" max="15"/>
    <col width="11" customWidth="1" min="16" max="16"/>
    <col width="12" customWidth="1" min="17" max="17"/>
    <col width="10" customWidth="1" min="18" max="18"/>
    <col width="10" customWidth="1" min="19" max="19"/>
    <col width="12" customWidth="1" min="20" max="20"/>
  </cols>
  <sheetData>
    <row r="1">
      <c r="A1" s="6" t="inlineStr">
        <is>
          <t>ID</t>
        </is>
      </c>
      <c r="B1" s="6" t="inlineStr">
        <is>
          <t>Product Name</t>
        </is>
      </c>
      <c r="C1" s="6" t="inlineStr">
        <is>
          <t>Category</t>
        </is>
      </c>
      <c r="D1" s="6" t="inlineStr">
        <is>
          <t>SKU</t>
        </is>
      </c>
      <c r="E1" s="6" t="inlineStr">
        <is>
          <t>Batch Yield</t>
        </is>
      </c>
      <c r="F1" s="6" t="inlineStr">
        <is>
          <t>Recipe Link (from Library)</t>
        </is>
      </c>
      <c r="G1" s="6" t="inlineStr">
        <is>
          <t>Batch Cost $ (from Library)</t>
        </is>
      </c>
      <c r="H1" s="6" t="inlineStr">
        <is>
          <t>Cost/Unit $</t>
        </is>
      </c>
      <c r="I1" s="6" t="inlineStr">
        <is>
          <t>Selling Price $</t>
        </is>
      </c>
      <c r="J1" s="6" t="inlineStr">
        <is>
          <t>Profit/Unit $</t>
        </is>
      </c>
      <c r="K1" s="6" t="inlineStr">
        <is>
          <t>Margin %</t>
        </is>
      </c>
      <c r="L1" s="6" t="inlineStr">
        <is>
          <t>Status</t>
        </is>
      </c>
      <c r="M1" s="6" t="inlineStr">
        <is>
          <t>Units Sold</t>
        </is>
      </c>
      <c r="N1" s="6" t="inlineStr">
        <is>
          <t>Revenue $</t>
        </is>
      </c>
      <c r="O1" s="6" t="inlineStr">
        <is>
          <t>Total Cost $</t>
        </is>
      </c>
      <c r="P1" s="6" t="inlineStr">
        <is>
          <t>Total Profit $</t>
        </is>
      </c>
      <c r="Q1" s="6" t="inlineStr">
        <is>
          <t>Allergens</t>
        </is>
      </c>
      <c r="R1" s="6" t="inlineStr">
        <is>
          <t>Prep Time</t>
        </is>
      </c>
      <c r="S1" s="6" t="inlineStr">
        <is>
          <t>Shelf Life</t>
        </is>
      </c>
      <c r="T1" s="6" t="inlineStr">
        <is>
          <t>Notes</t>
        </is>
      </c>
    </row>
    <row r="2">
      <c r="A2" s="7" t="n">
        <v>1</v>
      </c>
      <c r="B2" s="7" t="inlineStr">
        <is>
          <t>Sourdough Loaf</t>
        </is>
      </c>
      <c r="C2" s="7" t="inlineStr">
        <is>
          <t>Bread</t>
        </is>
      </c>
      <c r="D2" s="7" t="inlineStr">
        <is>
          <t>BRD-001</t>
        </is>
      </c>
      <c r="E2" s="7" t="n">
        <v>2</v>
      </c>
      <c r="F2" s="7" t="inlineStr">
        <is>
          <t>REC-001</t>
        </is>
      </c>
      <c r="G2" s="20">
        <f>IFERROR(VLOOKUP(F2,'Recipe Library'!B:Q,16,FALSE),0)</f>
        <v/>
      </c>
      <c r="H2" s="20">
        <f>IF(E2=0,0,G2/E2)</f>
        <v/>
      </c>
      <c r="I2" s="7" t="n">
        <v>12</v>
      </c>
      <c r="J2" s="20">
        <f>I2-H2</f>
        <v/>
      </c>
      <c r="K2" s="41">
        <f>IF(I2=0,0,J2/I2)</f>
        <v/>
      </c>
      <c r="L2" s="7" t="inlineStr">
        <is>
          <t>Active</t>
        </is>
      </c>
      <c r="M2" s="7">
        <f>SUMIF(Orders!D:D,B2,Orders!E:E)</f>
        <v/>
      </c>
      <c r="N2" s="20">
        <f>M2*I2</f>
        <v/>
      </c>
      <c r="O2" s="20">
        <f>M2*H2</f>
        <v/>
      </c>
      <c r="P2" s="20">
        <f>N2-O2</f>
        <v/>
      </c>
      <c r="Q2" s="7" t="inlineStr">
        <is>
          <t>Gluten</t>
        </is>
      </c>
      <c r="R2" s="7" t="n">
        <v>1440</v>
      </c>
      <c r="S2" s="7" t="n">
        <v>3</v>
      </c>
      <c r="T2" s="7" t="inlineStr">
        <is>
          <t>Best seller</t>
        </is>
      </c>
    </row>
    <row r="3">
      <c r="A3" s="8" t="n">
        <v>2</v>
      </c>
      <c r="B3" s="8" t="inlineStr">
        <is>
          <t>Chocolate Chip Cookies dozen</t>
        </is>
      </c>
      <c r="C3" s="8" t="inlineStr">
        <is>
          <t>Cookies</t>
        </is>
      </c>
      <c r="D3" s="8" t="inlineStr">
        <is>
          <t>CK-002</t>
        </is>
      </c>
      <c r="E3" s="8" t="n">
        <v>12</v>
      </c>
      <c r="F3" s="8" t="inlineStr">
        <is>
          <t>REC-002</t>
        </is>
      </c>
      <c r="G3" s="23">
        <f>IFERROR(VLOOKUP(F3,'Recipe Library'!B:Q,16,FALSE),0)</f>
        <v/>
      </c>
      <c r="H3" s="23">
        <f>IF(E3=0,0,G3/E3)</f>
        <v/>
      </c>
      <c r="I3" s="8" t="n">
        <v>18</v>
      </c>
      <c r="J3" s="23">
        <f>I3-H3</f>
        <v/>
      </c>
      <c r="K3" s="40">
        <f>IF(I3=0,0,J3/I3)</f>
        <v/>
      </c>
      <c r="L3" s="8" t="inlineStr">
        <is>
          <t>Active</t>
        </is>
      </c>
      <c r="M3" s="8">
        <f>SUMIF(Orders!D:D,B3,Orders!E:E)</f>
        <v/>
      </c>
      <c r="N3" s="23">
        <f>M3*I3</f>
        <v/>
      </c>
      <c r="O3" s="23">
        <f>M3*H3</f>
        <v/>
      </c>
      <c r="P3" s="23">
        <f>N3-O3</f>
        <v/>
      </c>
      <c r="Q3" s="8" t="inlineStr">
        <is>
          <t>Gluten Dairy Eggs</t>
        </is>
      </c>
      <c r="R3" s="8" t="n">
        <v>45</v>
      </c>
      <c r="S3" s="8" t="n">
        <v>5</v>
      </c>
      <c r="T3" s="8" t="inlineStr"/>
    </row>
    <row r="4">
      <c r="A4" s="7" t="n">
        <v>3</v>
      </c>
      <c r="B4" s="7" t="inlineStr">
        <is>
          <t>Cinnamon Roll 6-pack</t>
        </is>
      </c>
      <c r="C4" s="7" t="inlineStr">
        <is>
          <t>Pastry</t>
        </is>
      </c>
      <c r="D4" s="7" t="inlineStr">
        <is>
          <t>PAS-003</t>
        </is>
      </c>
      <c r="E4" s="7" t="n">
        <v>6</v>
      </c>
      <c r="F4" s="7" t="inlineStr">
        <is>
          <t>REC-003</t>
        </is>
      </c>
      <c r="G4" s="20">
        <f>IFERROR(VLOOKUP(F4,'Recipe Library'!B:Q,16,FALSE),0)</f>
        <v/>
      </c>
      <c r="H4" s="20">
        <f>IF(E4=0,0,G4/E4)</f>
        <v/>
      </c>
      <c r="I4" s="7" t="n">
        <v>22</v>
      </c>
      <c r="J4" s="20">
        <f>I4-H4</f>
        <v/>
      </c>
      <c r="K4" s="41">
        <f>IF(I4=0,0,J4/I4)</f>
        <v/>
      </c>
      <c r="L4" s="7" t="inlineStr">
        <is>
          <t>Active</t>
        </is>
      </c>
      <c r="M4" s="7">
        <f>SUMIF(Orders!D:D,B4,Orders!E:E)</f>
        <v/>
      </c>
      <c r="N4" s="20">
        <f>M4*I4</f>
        <v/>
      </c>
      <c r="O4" s="20">
        <f>M4*H4</f>
        <v/>
      </c>
      <c r="P4" s="20">
        <f>N4-O4</f>
        <v/>
      </c>
      <c r="Q4" s="7" t="inlineStr">
        <is>
          <t>Gluten Dairy</t>
        </is>
      </c>
      <c r="R4" s="7" t="n">
        <v>90</v>
      </c>
      <c r="S4" s="7" t="n">
        <v>2</v>
      </c>
      <c r="T4" s="7" t="inlineStr">
        <is>
          <t>Weekend</t>
        </is>
      </c>
    </row>
    <row r="5"/>
    <row r="6"/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F4A261"/>
    <outlinePr summaryBelow="1" summaryRight="1"/>
    <pageSetUpPr/>
  </sheetPr>
  <dimension ref="A1:P10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4" customWidth="1" min="2" max="2"/>
    <col width="12" customWidth="1" min="3" max="3"/>
    <col width="12" customWidth="1" min="4" max="4"/>
    <col width="12" customWidth="1" min="5" max="5"/>
    <col width="12" customWidth="1" min="6" max="6"/>
    <col width="14" customWidth="1" min="7" max="7"/>
    <col width="20" customWidth="1" min="8" max="8"/>
  </cols>
  <sheetData>
    <row r="1">
      <c r="A1" s="18" t="inlineStr">
        <is>
          <t>Overhead Monthly Expenses - Calculate True Overhead Rate (NEW per customer review)</t>
        </is>
      </c>
    </row>
    <row r="2"/>
    <row r="3">
      <c r="A3" s="14" t="inlineStr">
        <is>
          <t>Fixed Monthly Overhead - Costs you pay even if you don't bake</t>
        </is>
      </c>
    </row>
    <row r="4">
      <c r="A4" s="6" t="inlineStr">
        <is>
          <t>Category</t>
        </is>
      </c>
      <c r="B4" s="6" t="inlineStr">
        <is>
          <t>Item</t>
        </is>
      </c>
      <c r="C4" s="6" t="inlineStr">
        <is>
          <t>Monthly Cost $</t>
        </is>
      </c>
      <c r="D4" s="6" t="inlineStr">
        <is>
          <t>Annual Cost $</t>
        </is>
      </c>
      <c r="E4" s="6" t="inlineStr">
        <is>
          <t>Type</t>
        </is>
      </c>
      <c r="F4" s="6" t="inlineStr">
        <is>
          <t>Notes</t>
        </is>
      </c>
    </row>
    <row r="5">
      <c r="A5" s="31" t="inlineStr">
        <is>
          <t>Rent</t>
        </is>
      </c>
      <c r="B5" s="31" t="inlineStr">
        <is>
          <t>Shared commercial kitchen / home kitchen allocation</t>
        </is>
      </c>
      <c r="C5" s="35" t="n">
        <v>350</v>
      </c>
      <c r="D5" s="33">
        <f>C5*12</f>
        <v/>
      </c>
      <c r="E5" s="31" t="inlineStr">
        <is>
          <t>Fixed</t>
        </is>
      </c>
      <c r="F5" s="31" t="inlineStr"/>
    </row>
    <row r="6">
      <c r="A6" s="31" t="inlineStr">
        <is>
          <t>Utilities</t>
        </is>
      </c>
      <c r="B6" s="31" t="inlineStr">
        <is>
          <t>Electricity + gas</t>
        </is>
      </c>
      <c r="C6" s="35" t="n">
        <v>95</v>
      </c>
      <c r="D6" s="33">
        <f>C6*12</f>
        <v/>
      </c>
      <c r="E6" s="31" t="inlineStr">
        <is>
          <t>Fixed</t>
        </is>
      </c>
      <c r="F6" s="31" t="inlineStr"/>
    </row>
    <row r="7">
      <c r="A7" s="31" t="inlineStr">
        <is>
          <t>Insurance</t>
        </is>
      </c>
      <c r="B7" s="31" t="inlineStr">
        <is>
          <t>Cottage food liability + business policy</t>
        </is>
      </c>
      <c r="C7" s="35" t="n">
        <v>35</v>
      </c>
      <c r="D7" s="33">
        <f>C7*12</f>
        <v/>
      </c>
      <c r="E7" s="31" t="inlineStr">
        <is>
          <t>Fixed</t>
        </is>
      </c>
      <c r="F7" s="31" t="inlineStr"/>
    </row>
    <row r="8">
      <c r="A8" s="31" t="inlineStr">
        <is>
          <t>Licenses</t>
        </is>
      </c>
      <c r="B8" s="31" t="inlineStr">
        <is>
          <t>State cottage food permit + business license</t>
        </is>
      </c>
      <c r="C8" s="35" t="n">
        <v>15</v>
      </c>
      <c r="D8" s="33">
        <f>C8*12</f>
        <v/>
      </c>
      <c r="E8" s="31" t="inlineStr">
        <is>
          <t>Fixed</t>
        </is>
      </c>
      <c r="F8" s="31" t="inlineStr">
        <is>
          <t>~$180/year</t>
        </is>
      </c>
    </row>
    <row r="9">
      <c r="A9" s="31" t="inlineStr">
        <is>
          <t>Internet/Phone</t>
        </is>
      </c>
      <c r="B9" s="31" t="inlineStr">
        <is>
          <t>Website + phone line</t>
        </is>
      </c>
      <c r="C9" s="35" t="n">
        <v>40</v>
      </c>
      <c r="D9" s="33">
        <f>C9*12</f>
        <v/>
      </c>
      <c r="E9" s="31" t="inlineStr">
        <is>
          <t>Fixed</t>
        </is>
      </c>
      <c r="F9" s="31" t="inlineStr"/>
    </row>
    <row r="10">
      <c r="A10" s="31" t="inlineStr">
        <is>
          <t>Software</t>
        </is>
      </c>
      <c r="B10" s="31" t="inlineStr">
        <is>
          <t>Accounting + Google Workspace + Canva</t>
        </is>
      </c>
      <c r="C10" s="35" t="n">
        <v>25</v>
      </c>
      <c r="D10" s="33">
        <f>C10*12</f>
        <v/>
      </c>
      <c r="E10" s="31" t="inlineStr">
        <is>
          <t>Fixed</t>
        </is>
      </c>
      <c r="F10" s="31" t="inlineStr"/>
    </row>
    <row r="11">
      <c r="A11" s="31" t="inlineStr">
        <is>
          <t>Marketing</t>
        </is>
      </c>
      <c r="B11" s="31" t="inlineStr">
        <is>
          <t>Instagram/Facebook ads + flyers</t>
        </is>
      </c>
      <c r="C11" s="35" t="n">
        <v>60</v>
      </c>
      <c r="D11" s="33">
        <f>C11*12</f>
        <v/>
      </c>
      <c r="E11" s="31" t="inlineStr">
        <is>
          <t>Variable</t>
        </is>
      </c>
      <c r="F11" s="31" t="inlineStr"/>
    </row>
    <row r="12">
      <c r="A12" s="31" t="inlineStr">
        <is>
          <t>Transportation</t>
        </is>
      </c>
      <c r="B12" s="31" t="inlineStr">
        <is>
          <t>Farmers market gas + delivery</t>
        </is>
      </c>
      <c r="C12" s="35" t="n">
        <v>75</v>
      </c>
      <c r="D12" s="33">
        <f>C12*12</f>
        <v/>
      </c>
      <c r="E12" s="31" t="inlineStr">
        <is>
          <t>Variable</t>
        </is>
      </c>
      <c r="F12" s="31" t="inlineStr"/>
    </row>
    <row r="13">
      <c r="A13" s="31" t="inlineStr">
        <is>
          <t>Packaging Storage</t>
        </is>
      </c>
      <c r="B13" s="31" t="inlineStr">
        <is>
          <t>Bins, shelves, labels</t>
        </is>
      </c>
      <c r="C13" s="35" t="n">
        <v>12</v>
      </c>
      <c r="D13" s="33">
        <f>C13*12</f>
        <v/>
      </c>
      <c r="E13" s="31" t="inlineStr">
        <is>
          <t>Fixed</t>
        </is>
      </c>
      <c r="F13" s="31" t="inlineStr"/>
    </row>
    <row r="14">
      <c r="A14" s="31" t="inlineStr">
        <is>
          <t>Cleaning</t>
        </is>
      </c>
      <c r="B14" s="31" t="inlineStr">
        <is>
          <t>Sanitizer + cleaning supplies</t>
        </is>
      </c>
      <c r="C14" s="35" t="n">
        <v>18</v>
      </c>
      <c r="D14" s="33">
        <f>C14*12</f>
        <v/>
      </c>
      <c r="E14" s="31" t="inlineStr">
        <is>
          <t>Fixed</t>
        </is>
      </c>
      <c r="F14" s="31" t="inlineStr"/>
    </row>
    <row r="15">
      <c r="A15" s="31" t="inlineStr">
        <is>
          <t>Accounting</t>
        </is>
      </c>
      <c r="B15" s="31" t="inlineStr">
        <is>
          <t>CPA + bookkeeping</t>
        </is>
      </c>
      <c r="C15" s="35" t="n">
        <v>30</v>
      </c>
      <c r="D15" s="33">
        <f>C15*12</f>
        <v/>
      </c>
      <c r="E15" s="31" t="inlineStr">
        <is>
          <t>Fixed</t>
        </is>
      </c>
      <c r="F15" s="31" t="inlineStr"/>
    </row>
    <row r="16">
      <c r="A16" s="31" t="inlineStr">
        <is>
          <t>Other</t>
        </is>
      </c>
      <c r="B16" s="31" t="inlineStr">
        <is>
          <t>Miscellaneous</t>
        </is>
      </c>
      <c r="C16" s="35" t="n">
        <v>25</v>
      </c>
      <c r="D16" s="33">
        <f>C16*12</f>
        <v/>
      </c>
      <c r="E16" s="31" t="inlineStr">
        <is>
          <t>Variable</t>
        </is>
      </c>
      <c r="F16" s="31" t="inlineStr"/>
    </row>
    <row r="17"/>
    <row r="18">
      <c r="A18" s="44" t="inlineStr">
        <is>
          <t>TOTAL MONTHLY OVERHEAD</t>
        </is>
      </c>
      <c r="C18" s="45">
        <f>SUM(C5:C16)</f>
        <v/>
      </c>
      <c r="D18" s="26">
        <f>SUM(D5:D16)</f>
        <v/>
      </c>
    </row>
    <row r="19"/>
    <row r="20">
      <c r="A20" s="27" t="inlineStr">
        <is>
          <t>Overhead Rate Calculations</t>
        </is>
      </c>
    </row>
    <row r="21">
      <c r="A21" s="6" t="inlineStr">
        <is>
          <t>Metric</t>
        </is>
      </c>
      <c r="B21" s="6" t="inlineStr">
        <is>
          <t>Value</t>
        </is>
      </c>
      <c r="C21" s="6" t="inlineStr">
        <is>
          <t>Formula</t>
        </is>
      </c>
      <c r="D21" s="6" t="inlineStr">
        <is>
          <t>How Used</t>
        </is>
      </c>
    </row>
    <row r="22">
      <c r="A22" s="46" t="inlineStr">
        <is>
          <t>Total Monthly Overhead</t>
        </is>
      </c>
      <c r="B22" s="47">
        <f>C18</f>
        <v/>
      </c>
      <c r="C22" s="48" t="inlineStr">
        <is>
          <t>SUM of Monthly column</t>
        </is>
      </c>
      <c r="D22" s="48" t="inlineStr">
        <is>
          <t>Used for % calc</t>
        </is>
      </c>
    </row>
    <row r="23">
      <c r="A23" s="17" t="inlineStr">
        <is>
          <t>Total Annual Overhead</t>
        </is>
      </c>
      <c r="B23" s="49">
        <f>D18</f>
        <v/>
      </c>
      <c r="C23" s="50" t="inlineStr">
        <is>
          <t>Monthly x 12</t>
        </is>
      </c>
      <c r="D23" s="50" t="inlineStr">
        <is>
          <t>Yearly</t>
        </is>
      </c>
    </row>
    <row r="24">
      <c r="A24" s="46" t="inlineStr">
        <is>
          <t>Daily Overhead (30 days)</t>
        </is>
      </c>
      <c r="B24" s="47">
        <f>C18/30</f>
        <v/>
      </c>
      <c r="C24" s="48" t="inlineStr">
        <is>
          <t>Monthly / 30</t>
        </is>
      </c>
      <c r="D24" s="48" t="inlineStr">
        <is>
          <t>Per day cost</t>
        </is>
      </c>
    </row>
    <row r="25">
      <c r="A25" s="17" t="inlineStr">
        <is>
          <t>Hourly Overhead (80 hrs/month from Setup)</t>
        </is>
      </c>
      <c r="B25" s="49">
        <f>IF('Instructions + Setup'!B29=0,0,C18/'Instructions + Setup'!B29)</f>
        <v/>
      </c>
      <c r="C25" s="50" t="inlineStr">
        <is>
          <t>Monthly / Working Hours</t>
        </is>
      </c>
      <c r="D25" s="50" t="inlineStr">
        <is>
          <t>Use in Recipe labor overhead</t>
        </is>
      </c>
    </row>
    <row r="26">
      <c r="A26" s="46" t="inlineStr">
        <is>
          <t>Overhead per Order (100 orders/month)</t>
        </is>
      </c>
      <c r="B26" s="47">
        <f>IF('Instructions + Setup'!B30=0,0,C18/'Instructions + Setup'!B30)</f>
        <v/>
      </c>
      <c r="C26" s="48" t="inlineStr">
        <is>
          <t>Monthly / Expected Orders</t>
        </is>
      </c>
      <c r="D26" s="48" t="inlineStr">
        <is>
          <t>Per order overhead</t>
        </is>
      </c>
    </row>
    <row r="27">
      <c r="A27" s="17" t="inlineStr">
        <is>
          <t>Expected Monthly Revenue (enter)</t>
        </is>
      </c>
      <c r="B27" s="51" t="n">
        <v>2000</v>
      </c>
      <c r="C27" s="50" t="inlineStr"/>
      <c r="D27" s="50" t="inlineStr">
        <is>
          <t>Enter your expected revenue</t>
        </is>
      </c>
    </row>
    <row r="28">
      <c r="A28" s="46" t="inlineStr">
        <is>
          <t>Overhead % = Overhead / Revenue</t>
        </is>
      </c>
      <c r="B28" s="52">
        <f>IF(B27=0,0,B22/B27)</f>
        <v/>
      </c>
      <c r="C28" s="48" t="inlineStr">
        <is>
          <t>Monthly Overhead / Expected Revenue</t>
        </is>
      </c>
      <c r="D28" s="48" t="inlineStr">
        <is>
          <t>Use this % in Recipe Calculator Overhead %</t>
        </is>
      </c>
    </row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</sheetData>
  <mergeCells count="3">
    <mergeCell ref="A20:H20"/>
    <mergeCell ref="A3:H3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264653"/>
    <outlinePr summaryBelow="1" summaryRight="1"/>
    <pageSetUpPr/>
  </sheetPr>
  <dimension ref="A1:P10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4" customWidth="1" min="2" max="2"/>
    <col width="12" customWidth="1" min="3" max="3"/>
    <col width="12" customWidth="1" min="4" max="4"/>
    <col width="14" customWidth="1" min="5" max="5"/>
    <col width="10" customWidth="1" min="6" max="6"/>
    <col width="12" customWidth="1" min="7" max="7"/>
    <col width="16" customWidth="1" min="8" max="8"/>
    <col width="20" customWidth="1" min="9" max="9"/>
  </cols>
  <sheetData>
    <row r="1">
      <c r="A1" s="18" t="inlineStr">
        <is>
          <t>Startup Costs + Break-Even Analysis - How Much Profit to Recover Investment (NEW per customer review)</t>
        </is>
      </c>
    </row>
    <row r="2"/>
    <row r="3">
      <c r="A3" s="14" t="inlineStr">
        <is>
          <t>One-Time Startup Investment</t>
        </is>
      </c>
    </row>
    <row r="4">
      <c r="A4" s="6" t="inlineStr">
        <is>
          <t>Category</t>
        </is>
      </c>
      <c r="B4" s="6" t="inlineStr">
        <is>
          <t>Item</t>
        </is>
      </c>
      <c r="C4" s="6" t="inlineStr">
        <is>
          <t>Cost $</t>
        </is>
      </c>
      <c r="D4" s="6" t="inlineStr">
        <is>
          <t>Date Purchased</t>
        </is>
      </c>
      <c r="E4" s="6" t="inlineStr">
        <is>
          <t>Vendor</t>
        </is>
      </c>
      <c r="F4" s="6" t="inlineStr">
        <is>
          <t>Useful Life (months)</t>
        </is>
      </c>
      <c r="G4" s="6" t="inlineStr">
        <is>
          <t>Monthly Depreciation $</t>
        </is>
      </c>
      <c r="H4" s="6" t="inlineStr">
        <is>
          <t>Notes</t>
        </is>
      </c>
    </row>
    <row r="5">
      <c r="A5" s="31" t="inlineStr">
        <is>
          <t>Equipment</t>
        </is>
      </c>
      <c r="B5" s="31" t="inlineStr">
        <is>
          <t>KitchenAid 6 qt stand mixer</t>
        </is>
      </c>
      <c r="C5" s="35" t="n">
        <v>449.99</v>
      </c>
      <c r="D5" s="53" t="n">
        <v>46032</v>
      </c>
      <c r="E5" s="31" t="inlineStr">
        <is>
          <t>Amazon</t>
        </is>
      </c>
      <c r="F5" s="31" t="n">
        <v>60</v>
      </c>
      <c r="G5" s="33">
        <f>IF(F5=0,0,C5/F5)</f>
        <v/>
      </c>
      <c r="H5" s="31" t="inlineStr"/>
    </row>
    <row r="6">
      <c r="A6" s="31" t="inlineStr">
        <is>
          <t>Equipment</t>
        </is>
      </c>
      <c r="B6" s="31" t="inlineStr">
        <is>
          <t>Dutch oven / oven upgrade</t>
        </is>
      </c>
      <c r="C6" s="35" t="n">
        <v>349</v>
      </c>
      <c r="D6" s="53" t="n">
        <v>46034</v>
      </c>
      <c r="E6" s="31" t="inlineStr">
        <is>
          <t>Sur La Table</t>
        </is>
      </c>
      <c r="F6" s="31" t="n">
        <v>60</v>
      </c>
      <c r="G6" s="33">
        <f>IF(F6=0,0,C6/F6)</f>
        <v/>
      </c>
      <c r="H6" s="31" t="inlineStr"/>
    </row>
    <row r="7">
      <c r="A7" s="31" t="inlineStr">
        <is>
          <t>Equipment</t>
        </is>
      </c>
      <c r="B7" s="31" t="inlineStr">
        <is>
          <t>Extra refrigerator</t>
        </is>
      </c>
      <c r="C7" s="35" t="n">
        <v>649</v>
      </c>
      <c r="D7" s="53" t="n">
        <v>46037</v>
      </c>
      <c r="E7" s="31" t="inlineStr">
        <is>
          <t>Home Depot</t>
        </is>
      </c>
      <c r="F7" s="31" t="n">
        <v>60</v>
      </c>
      <c r="G7" s="33">
        <f>IF(F7=0,0,C7/F7)</f>
        <v/>
      </c>
      <c r="H7" s="31" t="inlineStr"/>
    </row>
    <row r="8">
      <c r="A8" s="31" t="inlineStr">
        <is>
          <t>Equipment</t>
        </is>
      </c>
      <c r="B8" s="31" t="inlineStr">
        <is>
          <t>Baking sheets, pans, mixing bowls</t>
        </is>
      </c>
      <c r="C8" s="35" t="n">
        <v>175</v>
      </c>
      <c r="D8" s="53" t="n">
        <v>46030</v>
      </c>
      <c r="E8" s="31" t="inlineStr">
        <is>
          <t>Restaurant Depot</t>
        </is>
      </c>
      <c r="F8" s="31" t="n">
        <v>36</v>
      </c>
      <c r="G8" s="33">
        <f>IF(F8=0,0,C8/F8)</f>
        <v/>
      </c>
      <c r="H8" s="31" t="inlineStr"/>
    </row>
    <row r="9">
      <c r="A9" s="31" t="inlineStr">
        <is>
          <t>Equipment</t>
        </is>
      </c>
      <c r="B9" s="31" t="inlineStr">
        <is>
          <t>Digital scale + packaging sealer</t>
        </is>
      </c>
      <c r="C9" s="35" t="n">
        <v>85</v>
      </c>
      <c r="D9" s="53" t="n">
        <v>46031</v>
      </c>
      <c r="E9" s="31" t="inlineStr">
        <is>
          <t>Amazon</t>
        </is>
      </c>
      <c r="F9" s="31" t="n">
        <v>36</v>
      </c>
      <c r="G9" s="33">
        <f>IF(F9=0,0,C9/F9)</f>
        <v/>
      </c>
      <c r="H9" s="31" t="inlineStr"/>
    </row>
    <row r="10">
      <c r="A10" s="31" t="inlineStr">
        <is>
          <t>Initial Inventory</t>
        </is>
      </c>
      <c r="B10" s="31" t="inlineStr">
        <is>
          <t>Flour, sugar, butter, eggs opening stock</t>
        </is>
      </c>
      <c r="C10" s="35" t="n">
        <v>250</v>
      </c>
      <c r="D10" s="53" t="n">
        <v>46037</v>
      </c>
      <c r="E10" s="31" t="inlineStr">
        <is>
          <t>Costco</t>
        </is>
      </c>
      <c r="F10" s="31" t="n">
        <v>1</v>
      </c>
      <c r="G10" s="33">
        <f>IF(F10=0,0,C10/F10)</f>
        <v/>
      </c>
      <c r="H10" s="31" t="inlineStr">
        <is>
          <t>One-time</t>
        </is>
      </c>
    </row>
    <row r="11">
      <c r="A11" s="31" t="inlineStr">
        <is>
          <t>Packaging</t>
        </is>
      </c>
      <c r="B11" s="31" t="inlineStr">
        <is>
          <t>Boxes, bags, labels, stickers</t>
        </is>
      </c>
      <c r="C11" s="35" t="n">
        <v>150</v>
      </c>
      <c r="D11" s="53" t="n">
        <v>46038</v>
      </c>
      <c r="E11" s="31" t="inlineStr">
        <is>
          <t>WebstaurantStore</t>
        </is>
      </c>
      <c r="F11" s="31" t="n">
        <v>1</v>
      </c>
      <c r="G11" s="33">
        <f>IF(F11=0,0,C11/F11)</f>
        <v/>
      </c>
      <c r="H11" s="31" t="inlineStr"/>
    </row>
    <row r="12">
      <c r="A12" s="31" t="inlineStr">
        <is>
          <t>Licenses</t>
        </is>
      </c>
      <c r="B12" s="31" t="inlineStr">
        <is>
          <t>Cottage food permit + business license</t>
        </is>
      </c>
      <c r="C12" s="35" t="n">
        <v>200</v>
      </c>
      <c r="D12" s="53" t="n">
        <v>46027</v>
      </c>
      <c r="E12" s="31" t="inlineStr">
        <is>
          <t>State / City</t>
        </is>
      </c>
      <c r="F12" s="31" t="n">
        <v>12</v>
      </c>
      <c r="G12" s="33">
        <f>IF(F12=0,0,C12/F12)</f>
        <v/>
      </c>
      <c r="H12" s="31" t="inlineStr">
        <is>
          <t>First year</t>
        </is>
      </c>
    </row>
    <row r="13">
      <c r="A13" s="31" t="inlineStr">
        <is>
          <t>Branding</t>
        </is>
      </c>
      <c r="B13" s="31" t="inlineStr">
        <is>
          <t>Logo + website + domain</t>
        </is>
      </c>
      <c r="C13" s="35" t="n">
        <v>250</v>
      </c>
      <c r="D13" s="53" t="n">
        <v>46028</v>
      </c>
      <c r="E13" s="31" t="inlineStr">
        <is>
          <t>Fiverr + Squarespace</t>
        </is>
      </c>
      <c r="F13" s="31" t="n">
        <v>24</v>
      </c>
      <c r="G13" s="33">
        <f>IF(F13=0,0,C13/F13)</f>
        <v/>
      </c>
      <c r="H13" s="31" t="inlineStr"/>
    </row>
    <row r="14">
      <c r="A14" s="31" t="inlineStr">
        <is>
          <t>Marketing</t>
        </is>
      </c>
      <c r="B14" s="31" t="inlineStr">
        <is>
          <t>Flyers, banners, samples</t>
        </is>
      </c>
      <c r="C14" s="35" t="n">
        <v>120</v>
      </c>
      <c r="D14" s="53" t="n">
        <v>46042</v>
      </c>
      <c r="E14" s="31" t="inlineStr">
        <is>
          <t>Local print shop</t>
        </is>
      </c>
      <c r="F14" s="31" t="n">
        <v>1</v>
      </c>
      <c r="G14" s="33">
        <f>IF(F14=0,0,C14/F14)</f>
        <v/>
      </c>
      <c r="H14" s="31" t="inlineStr"/>
    </row>
    <row r="15">
      <c r="A15" s="31" t="inlineStr">
        <is>
          <t>Training</t>
        </is>
      </c>
      <c r="B15" s="31" t="inlineStr">
        <is>
          <t>ServSafe Food Manager certification</t>
        </is>
      </c>
      <c r="C15" s="35" t="n">
        <v>150</v>
      </c>
      <c r="D15" s="53" t="n">
        <v>46025</v>
      </c>
      <c r="E15" s="31" t="inlineStr">
        <is>
          <t>ServSafe</t>
        </is>
      </c>
      <c r="F15" s="31" t="n">
        <v>60</v>
      </c>
      <c r="G15" s="33">
        <f>IF(F15=0,0,C15/F15)</f>
        <v/>
      </c>
      <c r="H15" s="31" t="inlineStr"/>
    </row>
    <row r="16">
      <c r="A16" s="31" t="inlineStr">
        <is>
          <t>Other</t>
        </is>
      </c>
      <c r="B16" s="31" t="inlineStr">
        <is>
          <t>Miscellaneous initial supplies</t>
        </is>
      </c>
      <c r="C16" s="35" t="n">
        <v>100</v>
      </c>
      <c r="D16" s="53" t="n">
        <v>46047</v>
      </c>
      <c r="E16" s="31" t="inlineStr"/>
      <c r="F16" s="31" t="n">
        <v>1</v>
      </c>
      <c r="G16" s="33">
        <f>IF(F16=0,0,C16/F16)</f>
        <v/>
      </c>
      <c r="H16" s="31" t="inlineStr"/>
    </row>
    <row r="17"/>
    <row r="18">
      <c r="A18" s="44" t="inlineStr">
        <is>
          <t>TOTAL STARTUP INVESTMENT</t>
        </is>
      </c>
      <c r="C18" s="54">
        <f>SUM(C5:C16)</f>
        <v/>
      </c>
      <c r="G18" s="26">
        <f>SUM(G5:G16)</f>
        <v/>
      </c>
    </row>
    <row r="19"/>
    <row r="20">
      <c r="A20" s="27" t="inlineStr">
        <is>
          <t>Break-Even Analysis - Graphic</t>
        </is>
      </c>
    </row>
    <row r="21">
      <c r="A21" s="6" t="inlineStr">
        <is>
          <t>Metric</t>
        </is>
      </c>
      <c r="B21" s="6" t="inlineStr">
        <is>
          <t>Value</t>
        </is>
      </c>
      <c r="C21" s="6" t="inlineStr">
        <is>
          <t>Formula / Input</t>
        </is>
      </c>
    </row>
    <row r="22">
      <c r="A22" s="7" t="inlineStr">
        <is>
          <t>Total Startup (from above)</t>
        </is>
      </c>
      <c r="B22" s="47">
        <f>C18</f>
        <v/>
      </c>
      <c r="C22" s="7" t="n"/>
    </row>
    <row r="23">
      <c r="A23" s="8" t="inlineStr">
        <is>
          <t>Average Monthly Profit (from Bookkeeping or enter)</t>
        </is>
      </c>
      <c r="B23" s="55" t="n">
        <v>500</v>
      </c>
      <c r="C23" s="8" t="inlineStr">
        <is>
          <t>Enter your avg monthly net profit (Dashboard or Bookkeeping H102/12) or use Bookkeeping!H102/6 etc</t>
        </is>
      </c>
    </row>
    <row r="24">
      <c r="A24" s="7" t="inlineStr">
        <is>
          <t>Months to Break-Even</t>
        </is>
      </c>
      <c r="B24" s="56">
        <f>IF(B23=0,0,B22/B23)</f>
        <v/>
      </c>
      <c r="C24" s="7" t="n"/>
    </row>
    <row r="25">
      <c r="A25" s="8" t="inlineStr">
        <is>
          <t>Break-Even Date (from today)</t>
        </is>
      </c>
      <c r="B25" s="57">
        <f>TODAY()+B24*30</f>
        <v/>
      </c>
      <c r="C25" s="8" t="n"/>
    </row>
    <row r="26">
      <c r="A26" s="7" t="inlineStr">
        <is>
          <t>Profit Needed per Day to Recover in 12 months</t>
        </is>
      </c>
      <c r="B26" s="20">
        <f>IF(B23=0,0,B22/12/30)</f>
        <v/>
      </c>
      <c r="C26" s="7" t="n"/>
    </row>
    <row r="27">
      <c r="A27" s="8" t="inlineStr">
        <is>
          <t>Orders Needed to Recover (if avg order $25 profit)</t>
        </is>
      </c>
      <c r="B27" s="58">
        <f>IF(25=0,0,B22/25)</f>
        <v/>
      </c>
      <c r="C27" s="8" t="n"/>
    </row>
    <row r="28"/>
    <row r="29">
      <c r="A29" s="6" t="inlineStr">
        <is>
          <t>Month</t>
        </is>
      </c>
      <c r="B29" s="6" t="inlineStr">
        <is>
          <t>Monthly Profit $</t>
        </is>
      </c>
      <c r="C29" s="6" t="inlineStr">
        <is>
          <t>Cumulative Profit $</t>
        </is>
      </c>
      <c r="D29" s="6" t="inlineStr">
        <is>
          <t>Remaining to Recover $</t>
        </is>
      </c>
      <c r="E29" s="6" t="inlineStr">
        <is>
          <t>Recovered? %</t>
        </is>
      </c>
      <c r="F29" s="6" t="inlineStr">
        <is>
          <t>Startup Investment Line $</t>
        </is>
      </c>
    </row>
    <row r="30">
      <c r="A30" s="7" t="n">
        <v>1</v>
      </c>
      <c r="B30" s="20">
        <f>$B$23</f>
        <v/>
      </c>
      <c r="C30" s="20">
        <f>B30*A30</f>
        <v/>
      </c>
      <c r="D30" s="20">
        <f>$B$22-C30</f>
        <v/>
      </c>
      <c r="E30" s="41">
        <f>IF($B$22=0,0,C30/$B$22)</f>
        <v/>
      </c>
      <c r="F30" s="20">
        <f>$B$22</f>
        <v/>
      </c>
    </row>
    <row r="31">
      <c r="A31" s="8" t="n">
        <v>2</v>
      </c>
      <c r="B31" s="23">
        <f>$B$23</f>
        <v/>
      </c>
      <c r="C31" s="23">
        <f>B31*A31</f>
        <v/>
      </c>
      <c r="D31" s="23">
        <f>$B$22-C31</f>
        <v/>
      </c>
      <c r="E31" s="40">
        <f>IF($B$22=0,0,C31/$B$22)</f>
        <v/>
      </c>
      <c r="F31" s="23">
        <f>$B$22</f>
        <v/>
      </c>
    </row>
    <row r="32">
      <c r="A32" s="7" t="n">
        <v>3</v>
      </c>
      <c r="B32" s="20">
        <f>$B$23</f>
        <v/>
      </c>
      <c r="C32" s="20">
        <f>B32*A32</f>
        <v/>
      </c>
      <c r="D32" s="20">
        <f>$B$22-C32</f>
        <v/>
      </c>
      <c r="E32" s="41">
        <f>IF($B$22=0,0,C32/$B$22)</f>
        <v/>
      </c>
      <c r="F32" s="20">
        <f>$B$22</f>
        <v/>
      </c>
    </row>
    <row r="33">
      <c r="A33" s="8" t="n">
        <v>4</v>
      </c>
      <c r="B33" s="23">
        <f>$B$23</f>
        <v/>
      </c>
      <c r="C33" s="23">
        <f>B33*A33</f>
        <v/>
      </c>
      <c r="D33" s="23">
        <f>$B$22-C33</f>
        <v/>
      </c>
      <c r="E33" s="40">
        <f>IF($B$22=0,0,C33/$B$22)</f>
        <v/>
      </c>
      <c r="F33" s="23">
        <f>$B$22</f>
        <v/>
      </c>
    </row>
    <row r="34">
      <c r="A34" s="7" t="n">
        <v>5</v>
      </c>
      <c r="B34" s="20">
        <f>$B$23</f>
        <v/>
      </c>
      <c r="C34" s="20">
        <f>B34*A34</f>
        <v/>
      </c>
      <c r="D34" s="20">
        <f>$B$22-C34</f>
        <v/>
      </c>
      <c r="E34" s="41">
        <f>IF($B$22=0,0,C34/$B$22)</f>
        <v/>
      </c>
      <c r="F34" s="20">
        <f>$B$22</f>
        <v/>
      </c>
    </row>
    <row r="35">
      <c r="A35" s="8" t="n">
        <v>6</v>
      </c>
      <c r="B35" s="23">
        <f>$B$23</f>
        <v/>
      </c>
      <c r="C35" s="23">
        <f>B35*A35</f>
        <v/>
      </c>
      <c r="D35" s="23">
        <f>$B$22-C35</f>
        <v/>
      </c>
      <c r="E35" s="40">
        <f>IF($B$22=0,0,C35/$B$22)</f>
        <v/>
      </c>
      <c r="F35" s="23">
        <f>$B$22</f>
        <v/>
      </c>
    </row>
    <row r="36">
      <c r="A36" s="7" t="n">
        <v>7</v>
      </c>
      <c r="B36" s="20">
        <f>$B$23</f>
        <v/>
      </c>
      <c r="C36" s="20">
        <f>B36*A36</f>
        <v/>
      </c>
      <c r="D36" s="20">
        <f>$B$22-C36</f>
        <v/>
      </c>
      <c r="E36" s="41">
        <f>IF($B$22=0,0,C36/$B$22)</f>
        <v/>
      </c>
      <c r="F36" s="20">
        <f>$B$22</f>
        <v/>
      </c>
    </row>
    <row r="37">
      <c r="A37" s="8" t="n">
        <v>8</v>
      </c>
      <c r="B37" s="23">
        <f>$B$23</f>
        <v/>
      </c>
      <c r="C37" s="23">
        <f>B37*A37</f>
        <v/>
      </c>
      <c r="D37" s="23">
        <f>$B$22-C37</f>
        <v/>
      </c>
      <c r="E37" s="40">
        <f>IF($B$22=0,0,C37/$B$22)</f>
        <v/>
      </c>
      <c r="F37" s="23">
        <f>$B$22</f>
        <v/>
      </c>
    </row>
    <row r="38">
      <c r="A38" s="7" t="n">
        <v>9</v>
      </c>
      <c r="B38" s="20">
        <f>$B$23</f>
        <v/>
      </c>
      <c r="C38" s="20">
        <f>B38*A38</f>
        <v/>
      </c>
      <c r="D38" s="20">
        <f>$B$22-C38</f>
        <v/>
      </c>
      <c r="E38" s="41">
        <f>IF($B$22=0,0,C38/$B$22)</f>
        <v/>
      </c>
      <c r="F38" s="20">
        <f>$B$22</f>
        <v/>
      </c>
    </row>
    <row r="39">
      <c r="A39" s="8" t="n">
        <v>10</v>
      </c>
      <c r="B39" s="23">
        <f>$B$23</f>
        <v/>
      </c>
      <c r="C39" s="23">
        <f>B39*A39</f>
        <v/>
      </c>
      <c r="D39" s="23">
        <f>$B$22-C39</f>
        <v/>
      </c>
      <c r="E39" s="40">
        <f>IF($B$22=0,0,C39/$B$22)</f>
        <v/>
      </c>
      <c r="F39" s="23">
        <f>$B$22</f>
        <v/>
      </c>
    </row>
    <row r="40">
      <c r="A40" s="7" t="n">
        <v>11</v>
      </c>
      <c r="B40" s="20">
        <f>$B$23</f>
        <v/>
      </c>
      <c r="C40" s="20">
        <f>B40*A40</f>
        <v/>
      </c>
      <c r="D40" s="20">
        <f>$B$22-C40</f>
        <v/>
      </c>
      <c r="E40" s="41">
        <f>IF($B$22=0,0,C40/$B$22)</f>
        <v/>
      </c>
      <c r="F40" s="20">
        <f>$B$22</f>
        <v/>
      </c>
    </row>
    <row r="41">
      <c r="A41" s="8" t="n">
        <v>12</v>
      </c>
      <c r="B41" s="23">
        <f>$B$23</f>
        <v/>
      </c>
      <c r="C41" s="23">
        <f>B41*A41</f>
        <v/>
      </c>
      <c r="D41" s="23">
        <f>$B$22-C41</f>
        <v/>
      </c>
      <c r="E41" s="40">
        <f>IF($B$22=0,0,C41/$B$22)</f>
        <v/>
      </c>
      <c r="F41" s="23">
        <f>$B$22</f>
        <v/>
      </c>
    </row>
    <row r="42">
      <c r="A42" s="7" t="n">
        <v>13</v>
      </c>
      <c r="B42" s="20">
        <f>$B$23</f>
        <v/>
      </c>
      <c r="C42" s="20">
        <f>B42*A42</f>
        <v/>
      </c>
      <c r="D42" s="20">
        <f>$B$22-C42</f>
        <v/>
      </c>
      <c r="E42" s="41">
        <f>IF($B$22=0,0,C42/$B$22)</f>
        <v/>
      </c>
      <c r="F42" s="20">
        <f>$B$22</f>
        <v/>
      </c>
    </row>
    <row r="43">
      <c r="A43" s="8" t="n">
        <v>14</v>
      </c>
      <c r="B43" s="23">
        <f>$B$23</f>
        <v/>
      </c>
      <c r="C43" s="23">
        <f>B43*A43</f>
        <v/>
      </c>
      <c r="D43" s="23">
        <f>$B$22-C43</f>
        <v/>
      </c>
      <c r="E43" s="40">
        <f>IF($B$22=0,0,C43/$B$22)</f>
        <v/>
      </c>
      <c r="F43" s="23">
        <f>$B$22</f>
        <v/>
      </c>
    </row>
    <row r="44">
      <c r="A44" s="7" t="n">
        <v>15</v>
      </c>
      <c r="B44" s="20">
        <f>$B$23</f>
        <v/>
      </c>
      <c r="C44" s="20">
        <f>B44*A44</f>
        <v/>
      </c>
      <c r="D44" s="20">
        <f>$B$22-C44</f>
        <v/>
      </c>
      <c r="E44" s="41">
        <f>IF($B$22=0,0,C44/$B$22)</f>
        <v/>
      </c>
      <c r="F44" s="20">
        <f>$B$22</f>
        <v/>
      </c>
    </row>
    <row r="45">
      <c r="A45" s="8" t="n">
        <v>16</v>
      </c>
      <c r="B45" s="23">
        <f>$B$23</f>
        <v/>
      </c>
      <c r="C45" s="23">
        <f>B45*A45</f>
        <v/>
      </c>
      <c r="D45" s="23">
        <f>$B$22-C45</f>
        <v/>
      </c>
      <c r="E45" s="40">
        <f>IF($B$22=0,0,C45/$B$22)</f>
        <v/>
      </c>
      <c r="F45" s="23">
        <f>$B$22</f>
        <v/>
      </c>
    </row>
    <row r="46">
      <c r="A46" s="7" t="n">
        <v>17</v>
      </c>
      <c r="B46" s="20">
        <f>$B$23</f>
        <v/>
      </c>
      <c r="C46" s="20">
        <f>B46*A46</f>
        <v/>
      </c>
      <c r="D46" s="20">
        <f>$B$22-C46</f>
        <v/>
      </c>
      <c r="E46" s="41">
        <f>IF($B$22=0,0,C46/$B$22)</f>
        <v/>
      </c>
      <c r="F46" s="20">
        <f>$B$22</f>
        <v/>
      </c>
    </row>
    <row r="47">
      <c r="A47" s="8" t="n">
        <v>18</v>
      </c>
      <c r="B47" s="23">
        <f>$B$23</f>
        <v/>
      </c>
      <c r="C47" s="23">
        <f>B47*A47</f>
        <v/>
      </c>
      <c r="D47" s="23">
        <f>$B$22-C47</f>
        <v/>
      </c>
      <c r="E47" s="40">
        <f>IF($B$22=0,0,C47/$B$22)</f>
        <v/>
      </c>
      <c r="F47" s="23">
        <f>$B$22</f>
        <v/>
      </c>
    </row>
    <row r="48">
      <c r="A48" s="7" t="n">
        <v>19</v>
      </c>
      <c r="B48" s="20">
        <f>$B$23</f>
        <v/>
      </c>
      <c r="C48" s="20">
        <f>B48*A48</f>
        <v/>
      </c>
      <c r="D48" s="20">
        <f>$B$22-C48</f>
        <v/>
      </c>
      <c r="E48" s="41">
        <f>IF($B$22=0,0,C48/$B$22)</f>
        <v/>
      </c>
      <c r="F48" s="20">
        <f>$B$22</f>
        <v/>
      </c>
    </row>
    <row r="49">
      <c r="A49" s="8" t="n">
        <v>20</v>
      </c>
      <c r="B49" s="23">
        <f>$B$23</f>
        <v/>
      </c>
      <c r="C49" s="23">
        <f>B49*A49</f>
        <v/>
      </c>
      <c r="D49" s="23">
        <f>$B$22-C49</f>
        <v/>
      </c>
      <c r="E49" s="40">
        <f>IF($B$22=0,0,C49/$B$22)</f>
        <v/>
      </c>
      <c r="F49" s="23">
        <f>$B$22</f>
        <v/>
      </c>
    </row>
    <row r="50">
      <c r="A50" s="7" t="n">
        <v>21</v>
      </c>
      <c r="B50" s="20">
        <f>$B$23</f>
        <v/>
      </c>
      <c r="C50" s="20">
        <f>B50*A50</f>
        <v/>
      </c>
      <c r="D50" s="20">
        <f>$B$22-C50</f>
        <v/>
      </c>
      <c r="E50" s="41">
        <f>IF($B$22=0,0,C50/$B$22)</f>
        <v/>
      </c>
      <c r="F50" s="20">
        <f>$B$22</f>
        <v/>
      </c>
    </row>
    <row r="51">
      <c r="A51" s="8" t="n">
        <v>22</v>
      </c>
      <c r="B51" s="23">
        <f>$B$23</f>
        <v/>
      </c>
      <c r="C51" s="23">
        <f>B51*A51</f>
        <v/>
      </c>
      <c r="D51" s="23">
        <f>$B$22-C51</f>
        <v/>
      </c>
      <c r="E51" s="40">
        <f>IF($B$22=0,0,C51/$B$22)</f>
        <v/>
      </c>
      <c r="F51" s="23">
        <f>$B$22</f>
        <v/>
      </c>
    </row>
    <row r="52">
      <c r="A52" s="7" t="n">
        <v>23</v>
      </c>
      <c r="B52" s="20">
        <f>$B$23</f>
        <v/>
      </c>
      <c r="C52" s="20">
        <f>B52*A52</f>
        <v/>
      </c>
      <c r="D52" s="20">
        <f>$B$22-C52</f>
        <v/>
      </c>
      <c r="E52" s="41">
        <f>IF($B$22=0,0,C52/$B$22)</f>
        <v/>
      </c>
      <c r="F52" s="20">
        <f>$B$22</f>
        <v/>
      </c>
    </row>
    <row r="53">
      <c r="A53" s="8" t="n">
        <v>24</v>
      </c>
      <c r="B53" s="23">
        <f>$B$23</f>
        <v/>
      </c>
      <c r="C53" s="23">
        <f>B53*A53</f>
        <v/>
      </c>
      <c r="D53" s="23">
        <f>$B$22-C53</f>
        <v/>
      </c>
      <c r="E53" s="40">
        <f>IF($B$22=0,0,C53/$B$22)</f>
        <v/>
      </c>
      <c r="F53" s="23">
        <f>$B$22</f>
        <v/>
      </c>
    </row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</sheetData>
  <mergeCells count="3">
    <mergeCell ref="A1:I1"/>
    <mergeCell ref="A20:I20"/>
    <mergeCell ref="A3:I3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00A46A5A"/>
    <outlinePr summaryBelow="1" summaryRight="1"/>
    <pageSetUpPr/>
  </sheetPr>
  <dimension ref="A1:P100"/>
  <sheetViews>
    <sheetView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18" customWidth="1" min="3" max="3"/>
    <col width="14" customWidth="1" min="4" max="4"/>
  </cols>
  <sheetData>
    <row r="1">
      <c r="A1" s="1" t="inlineStr">
        <is>
          <t>Dashboard v4 - Enhanced</t>
        </is>
      </c>
    </row>
    <row r="2">
      <c r="A2" s="3" t="inlineStr">
        <is>
          <t>Includes overhead hourly rate and break-even progress</t>
        </is>
      </c>
    </row>
    <row r="3"/>
    <row r="4">
      <c r="A4" s="6" t="inlineStr">
        <is>
          <t>KPI</t>
        </is>
      </c>
      <c r="B4" s="6" t="inlineStr">
        <is>
          <t>Value</t>
        </is>
      </c>
      <c r="C4" s="6" t="inlineStr">
        <is>
          <t>Source</t>
        </is>
      </c>
    </row>
    <row r="5">
      <c r="A5" s="17" t="inlineStr">
        <is>
          <t>Total Revenue YTD</t>
        </is>
      </c>
      <c r="B5" s="59">
        <f>Bookkeeping!F102</f>
        <v/>
      </c>
      <c r="C5" s="50" t="inlineStr"/>
    </row>
    <row r="6">
      <c r="A6" s="46" t="inlineStr">
        <is>
          <t>Total Expenses YTD</t>
        </is>
      </c>
      <c r="B6" s="59">
        <f>Bookkeeping!G102</f>
        <v/>
      </c>
      <c r="C6" s="48" t="inlineStr"/>
    </row>
    <row r="7">
      <c r="A7" s="17" t="inlineStr">
        <is>
          <t>Net Profit YTD</t>
        </is>
      </c>
      <c r="B7" s="59">
        <f>Bookkeeping!H102</f>
        <v/>
      </c>
      <c r="C7" s="50" t="inlineStr"/>
    </row>
    <row r="8">
      <c r="A8" s="46" t="inlineStr">
        <is>
          <t>Total Startup Investment</t>
        </is>
      </c>
      <c r="B8" s="59">
        <f>'Startup Costs'!C18</f>
        <v/>
      </c>
      <c r="C8" s="48" t="inlineStr"/>
    </row>
    <row r="9">
      <c r="A9" s="17" t="inlineStr">
        <is>
          <t>Months to Break-Even</t>
        </is>
      </c>
      <c r="B9" s="60">
        <f>'Startup Costs'!B24</f>
        <v/>
      </c>
      <c r="C9" s="50" t="inlineStr"/>
    </row>
    <row r="10">
      <c r="A10" s="46" t="inlineStr">
        <is>
          <t>Monthly Overhead</t>
        </is>
      </c>
      <c r="B10" s="59">
        <f>'Overhead Expenses'!C18</f>
        <v/>
      </c>
      <c r="C10" s="48" t="inlineStr"/>
    </row>
    <row r="11">
      <c r="A11" s="17" t="inlineStr">
        <is>
          <t>Hourly Overhead</t>
        </is>
      </c>
      <c r="B11" s="59">
        <f>'Overhead Expenses'!B25</f>
        <v/>
      </c>
      <c r="C11" s="50" t="inlineStr"/>
    </row>
    <row r="12">
      <c r="A12" s="46" t="inlineStr">
        <is>
          <t>Overhead % Auto</t>
        </is>
      </c>
      <c r="B12" s="61">
        <f>'Overhead Expenses'!B28</f>
        <v/>
      </c>
      <c r="C12" s="48" t="inlineStr"/>
    </row>
    <row r="13">
      <c r="A13" s="17" t="inlineStr">
        <is>
          <t>Active Recipes</t>
        </is>
      </c>
      <c r="B13" s="62">
        <f>COUNTA('Recipe Library'!B5:B54)</f>
        <v/>
      </c>
      <c r="C13" s="50" t="inlineStr"/>
    </row>
    <row r="14">
      <c r="A14" s="46" t="inlineStr">
        <is>
          <t>Total Stock Value</t>
        </is>
      </c>
      <c r="B14" s="59">
        <f>'Ingredients + Stock'!K52</f>
        <v/>
      </c>
      <c r="C14" s="48" t="inlineStr"/>
    </row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A46A5A"/>
    <outlinePr summaryBelow="1" summaryRight="1"/>
    <pageSetUpPr/>
  </sheetPr>
  <dimension ref="A1:S1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6" customWidth="1" min="3" max="3"/>
    <col width="18" customWidth="1" min="4" max="4"/>
    <col width="8" customWidth="1" min="5" max="5"/>
    <col width="10" customWidth="1" min="6" max="6"/>
    <col width="10" customWidth="1" min="7" max="7"/>
    <col width="8" customWidth="1" min="8" max="8"/>
    <col width="10" customWidth="1" min="9" max="9"/>
    <col width="10" customWidth="1" min="10" max="10"/>
    <col width="10" customWidth="1" min="11" max="11"/>
    <col width="10" customWidth="1" min="12" max="12"/>
    <col width="8" customWidth="1" min="13" max="13"/>
    <col width="10" customWidth="1" min="14" max="14"/>
    <col width="10" customWidth="1" min="15" max="15"/>
    <col width="16" customWidth="1" min="16" max="16"/>
    <col width="10" customWidth="1" min="17" max="17"/>
    <col width="8" customWidth="1" min="18" max="18"/>
    <col width="12" customWidth="1" min="19" max="19"/>
  </cols>
  <sheetData>
    <row r="1">
      <c r="A1" s="6" t="inlineStr">
        <is>
          <t>Order ID</t>
        </is>
      </c>
      <c r="B1" s="6" t="inlineStr">
        <is>
          <t>Order Date</t>
        </is>
      </c>
      <c r="C1" s="6" t="inlineStr">
        <is>
          <t>Customer Name</t>
        </is>
      </c>
      <c r="D1" s="6" t="inlineStr">
        <is>
          <t>Product</t>
        </is>
      </c>
      <c r="E1" s="6" t="inlineStr">
        <is>
          <t>Quantity</t>
        </is>
      </c>
      <c r="F1" s="6" t="inlineStr">
        <is>
          <t>Unit Price $</t>
        </is>
      </c>
      <c r="G1" s="6" t="inlineStr">
        <is>
          <t>Subtotal $</t>
        </is>
      </c>
      <c r="H1" s="6" t="inlineStr">
        <is>
          <t>Discount $</t>
        </is>
      </c>
      <c r="I1" s="6" t="inlineStr">
        <is>
          <t>Total $</t>
        </is>
      </c>
      <c r="J1" s="6" t="inlineStr">
        <is>
          <t>Due Date</t>
        </is>
      </c>
      <c r="K1" s="6" t="inlineStr">
        <is>
          <t>Status</t>
        </is>
      </c>
      <c r="L1" s="6" t="inlineStr">
        <is>
          <t>Payment Status</t>
        </is>
      </c>
      <c r="M1" s="6" t="inlineStr">
        <is>
          <t>Deposit $</t>
        </is>
      </c>
      <c r="N1" s="6" t="inlineStr">
        <is>
          <t>Balance Due $</t>
        </is>
      </c>
      <c r="O1" s="6" t="inlineStr">
        <is>
          <t>Fulfillment</t>
        </is>
      </c>
      <c r="P1" s="6" t="inlineStr">
        <is>
          <t>Delivery Address</t>
        </is>
      </c>
      <c r="Q1" s="6" t="inlineStr">
        <is>
          <t>Delivery Fee $</t>
        </is>
      </c>
      <c r="R1" s="6" t="inlineStr">
        <is>
          <t>Profit $</t>
        </is>
      </c>
      <c r="S1" s="6" t="inlineStr">
        <is>
          <t>Notes</t>
        </is>
      </c>
    </row>
    <row r="2">
      <c r="A2" s="7" t="inlineStr">
        <is>
          <t>ORD-1002</t>
        </is>
      </c>
      <c r="B2" s="63" t="n">
        <v>46259</v>
      </c>
      <c r="C2" s="64" t="inlineStr">
        <is>
          <t>Emma Johnson</t>
        </is>
      </c>
      <c r="D2" s="64" t="inlineStr">
        <is>
          <t>Sourdough Loaf</t>
        </is>
      </c>
      <c r="E2" s="64" t="n">
        <v>1</v>
      </c>
      <c r="F2" s="20" t="n">
        <v>12</v>
      </c>
      <c r="G2" s="7">
        <f>E2*F2</f>
        <v/>
      </c>
      <c r="H2" s="7" t="n"/>
      <c r="I2" s="7">
        <f>G2-H2</f>
        <v/>
      </c>
      <c r="J2" s="7" t="n"/>
      <c r="K2" s="64" t="inlineStr">
        <is>
          <t>Pending</t>
        </is>
      </c>
      <c r="L2" s="64" t="inlineStr">
        <is>
          <t>Unpaid</t>
        </is>
      </c>
      <c r="M2" s="7" t="n"/>
      <c r="N2" s="7">
        <f>I2-M2</f>
        <v/>
      </c>
      <c r="O2" s="7" t="n"/>
      <c r="P2" s="7" t="n"/>
      <c r="Q2" s="7" t="n"/>
      <c r="R2" s="7" t="n"/>
      <c r="S2" s="7" t="n"/>
    </row>
    <row r="3">
      <c r="A3" s="8" t="inlineStr">
        <is>
          <t>ORD-1003</t>
        </is>
      </c>
      <c r="B3" s="63" t="n">
        <v>46261</v>
      </c>
      <c r="C3" s="64" t="inlineStr">
        <is>
          <t>Emma Johnson</t>
        </is>
      </c>
      <c r="D3" s="64" t="inlineStr">
        <is>
          <t>Sourdough Loaf</t>
        </is>
      </c>
      <c r="E3" s="64" t="n">
        <v>1</v>
      </c>
      <c r="F3" s="23" t="n">
        <v>12</v>
      </c>
      <c r="G3" s="8">
        <f>E3*F3</f>
        <v/>
      </c>
      <c r="H3" s="8" t="n"/>
      <c r="I3" s="8">
        <f>G3-H3</f>
        <v/>
      </c>
      <c r="J3" s="8" t="n"/>
      <c r="K3" s="64" t="inlineStr">
        <is>
          <t>Pending</t>
        </is>
      </c>
      <c r="L3" s="64" t="inlineStr">
        <is>
          <t>Unpaid</t>
        </is>
      </c>
      <c r="M3" s="8" t="n"/>
      <c r="N3" s="8">
        <f>I3-M3</f>
        <v/>
      </c>
      <c r="O3" s="8" t="n"/>
      <c r="P3" s="8" t="n"/>
      <c r="Q3" s="8" t="n"/>
      <c r="R3" s="8" t="n"/>
      <c r="S3" s="8" t="n"/>
    </row>
    <row r="4">
      <c r="A4" s="7" t="inlineStr">
        <is>
          <t>ORD-1004</t>
        </is>
      </c>
      <c r="B4" s="63" t="n">
        <v>46237</v>
      </c>
      <c r="C4" s="64" t="inlineStr">
        <is>
          <t>Liam Smith</t>
        </is>
      </c>
      <c r="D4" s="64" t="inlineStr">
        <is>
          <t>Sourdough Loaf</t>
        </is>
      </c>
      <c r="E4" s="64" t="n">
        <v>1</v>
      </c>
      <c r="F4" s="20" t="n">
        <v>12</v>
      </c>
      <c r="G4" s="7">
        <f>E4*F4</f>
        <v/>
      </c>
      <c r="H4" s="7" t="n"/>
      <c r="I4" s="7">
        <f>G4-H4</f>
        <v/>
      </c>
      <c r="J4" s="7" t="n"/>
      <c r="K4" s="64" t="inlineStr">
        <is>
          <t>Pending</t>
        </is>
      </c>
      <c r="L4" s="64" t="inlineStr">
        <is>
          <t>Unpaid</t>
        </is>
      </c>
      <c r="M4" s="7" t="n"/>
      <c r="N4" s="7">
        <f>I4-M4</f>
        <v/>
      </c>
      <c r="O4" s="7" t="n"/>
      <c r="P4" s="7" t="n"/>
      <c r="Q4" s="7" t="n"/>
      <c r="R4" s="7" t="n"/>
      <c r="S4" s="7" t="n"/>
    </row>
    <row r="5">
      <c r="A5" s="8" t="inlineStr">
        <is>
          <t>ORD-1005</t>
        </is>
      </c>
      <c r="B5" s="63" t="n">
        <v>46236</v>
      </c>
      <c r="C5" s="64" t="inlineStr">
        <is>
          <t>Emma Johnson</t>
        </is>
      </c>
      <c r="D5" s="64" t="inlineStr">
        <is>
          <t>Sourdough Loaf</t>
        </is>
      </c>
      <c r="E5" s="64" t="n">
        <v>1</v>
      </c>
      <c r="F5" s="23" t="n">
        <v>12</v>
      </c>
      <c r="G5" s="8">
        <f>E5*F5</f>
        <v/>
      </c>
      <c r="H5" s="8" t="n"/>
      <c r="I5" s="8">
        <f>G5-H5</f>
        <v/>
      </c>
      <c r="J5" s="8" t="n"/>
      <c r="K5" s="64" t="inlineStr">
        <is>
          <t>Pending</t>
        </is>
      </c>
      <c r="L5" s="64" t="inlineStr">
        <is>
          <t>Unpaid</t>
        </is>
      </c>
      <c r="M5" s="8" t="n"/>
      <c r="N5" s="8">
        <f>I5-M5</f>
        <v/>
      </c>
      <c r="O5" s="8" t="n"/>
      <c r="P5" s="8" t="n"/>
      <c r="Q5" s="8" t="n"/>
      <c r="R5" s="8" t="n"/>
      <c r="S5" s="8" t="n"/>
    </row>
    <row r="6">
      <c r="A6" s="7" t="inlineStr">
        <is>
          <t>ORD-1006</t>
        </is>
      </c>
      <c r="B6" s="63" t="n">
        <v>46238</v>
      </c>
      <c r="C6" s="64" t="inlineStr">
        <is>
          <t>Liam Smith</t>
        </is>
      </c>
      <c r="D6" s="64" t="inlineStr">
        <is>
          <t>Sourdough Loaf</t>
        </is>
      </c>
      <c r="E6" s="64" t="n">
        <v>1</v>
      </c>
      <c r="F6" s="20" t="n">
        <v>12</v>
      </c>
      <c r="G6" s="7">
        <f>E6*F6</f>
        <v/>
      </c>
      <c r="H6" s="7" t="n"/>
      <c r="I6" s="7">
        <f>G6-H6</f>
        <v/>
      </c>
      <c r="J6" s="7" t="n"/>
      <c r="K6" s="64" t="inlineStr">
        <is>
          <t>Pending</t>
        </is>
      </c>
      <c r="L6" s="64" t="inlineStr">
        <is>
          <t>Unpaid</t>
        </is>
      </c>
      <c r="M6" s="7" t="n"/>
      <c r="N6" s="7">
        <f>I6-M6</f>
        <v/>
      </c>
      <c r="O6" s="7" t="n"/>
      <c r="P6" s="7" t="n"/>
      <c r="Q6" s="7" t="n"/>
      <c r="R6" s="7" t="n"/>
      <c r="S6" s="7" t="n"/>
    </row>
    <row r="7">
      <c r="A7" s="8" t="inlineStr">
        <is>
          <t>ORD-1007</t>
        </is>
      </c>
      <c r="B7" s="63" t="n">
        <v>46245</v>
      </c>
      <c r="C7" s="64" t="inlineStr">
        <is>
          <t>Emma Johnson</t>
        </is>
      </c>
      <c r="D7" s="64" t="inlineStr">
        <is>
          <t>Sourdough Loaf</t>
        </is>
      </c>
      <c r="E7" s="64" t="n">
        <v>1</v>
      </c>
      <c r="F7" s="23" t="n">
        <v>12</v>
      </c>
      <c r="G7" s="8">
        <f>E7*F7</f>
        <v/>
      </c>
      <c r="H7" s="8" t="n"/>
      <c r="I7" s="8">
        <f>G7-H7</f>
        <v/>
      </c>
      <c r="J7" s="8" t="n"/>
      <c r="K7" s="64" t="inlineStr">
        <is>
          <t>Pending</t>
        </is>
      </c>
      <c r="L7" s="64" t="inlineStr">
        <is>
          <t>Unpaid</t>
        </is>
      </c>
      <c r="M7" s="8" t="n"/>
      <c r="N7" s="8">
        <f>I7-M7</f>
        <v/>
      </c>
      <c r="O7" s="8" t="n"/>
      <c r="P7" s="8" t="n"/>
      <c r="Q7" s="8" t="n"/>
      <c r="R7" s="8" t="n"/>
      <c r="S7" s="8" t="n"/>
    </row>
    <row r="8">
      <c r="A8" s="7" t="inlineStr">
        <is>
          <t>ORD-1008</t>
        </is>
      </c>
      <c r="B8" s="63" t="n">
        <v>46262</v>
      </c>
      <c r="C8" s="64" t="inlineStr">
        <is>
          <t>Emma Johnson</t>
        </is>
      </c>
      <c r="D8" s="64" t="inlineStr">
        <is>
          <t>Sourdough Loaf</t>
        </is>
      </c>
      <c r="E8" s="64" t="n">
        <v>1</v>
      </c>
      <c r="F8" s="20" t="n">
        <v>12</v>
      </c>
      <c r="G8" s="7">
        <f>E8*F8</f>
        <v/>
      </c>
      <c r="H8" s="7" t="n"/>
      <c r="I8" s="7">
        <f>G8-H8</f>
        <v/>
      </c>
      <c r="J8" s="7" t="n"/>
      <c r="K8" s="64" t="inlineStr">
        <is>
          <t>Pending</t>
        </is>
      </c>
      <c r="L8" s="64" t="inlineStr">
        <is>
          <t>Unpaid</t>
        </is>
      </c>
      <c r="M8" s="7" t="n"/>
      <c r="N8" s="7">
        <f>I8-M8</f>
        <v/>
      </c>
      <c r="O8" s="7" t="n"/>
      <c r="P8" s="7" t="n"/>
      <c r="Q8" s="7" t="n"/>
      <c r="R8" s="7" t="n"/>
      <c r="S8" s="7" t="n"/>
    </row>
    <row r="9">
      <c r="A9" s="8" t="inlineStr">
        <is>
          <t>ORD-1009</t>
        </is>
      </c>
      <c r="B9" s="63" t="n">
        <v>46235</v>
      </c>
      <c r="C9" s="64" t="inlineStr">
        <is>
          <t>Emma Johnson</t>
        </is>
      </c>
      <c r="D9" s="64" t="inlineStr">
        <is>
          <t>Sourdough Loaf</t>
        </is>
      </c>
      <c r="E9" s="64" t="n">
        <v>1</v>
      </c>
      <c r="F9" s="23" t="n">
        <v>12</v>
      </c>
      <c r="G9" s="8">
        <f>E9*F9</f>
        <v/>
      </c>
      <c r="H9" s="8" t="n"/>
      <c r="I9" s="8">
        <f>G9-H9</f>
        <v/>
      </c>
      <c r="J9" s="8" t="n"/>
      <c r="K9" s="64" t="inlineStr">
        <is>
          <t>Pending</t>
        </is>
      </c>
      <c r="L9" s="64" t="inlineStr">
        <is>
          <t>Unpaid</t>
        </is>
      </c>
      <c r="M9" s="8" t="n"/>
      <c r="N9" s="8">
        <f>I9-M9</f>
        <v/>
      </c>
      <c r="O9" s="8" t="n"/>
      <c r="P9" s="8" t="n"/>
      <c r="Q9" s="8" t="n"/>
      <c r="R9" s="8" t="n"/>
      <c r="S9" s="8" t="n"/>
    </row>
    <row r="10">
      <c r="A10" s="7" t="inlineStr">
        <is>
          <t>ORD-1010</t>
        </is>
      </c>
      <c r="B10" s="63" t="n">
        <v>46253</v>
      </c>
      <c r="C10" s="64" t="inlineStr">
        <is>
          <t>Emma Johnson</t>
        </is>
      </c>
      <c r="D10" s="64" t="inlineStr">
        <is>
          <t>Sourdough Loaf</t>
        </is>
      </c>
      <c r="E10" s="64" t="n">
        <v>1</v>
      </c>
      <c r="F10" s="20" t="n">
        <v>12</v>
      </c>
      <c r="G10" s="7">
        <f>E10*F10</f>
        <v/>
      </c>
      <c r="H10" s="7" t="n"/>
      <c r="I10" s="7">
        <f>G10-H10</f>
        <v/>
      </c>
      <c r="J10" s="7" t="n"/>
      <c r="K10" s="64" t="inlineStr">
        <is>
          <t>Pending</t>
        </is>
      </c>
      <c r="L10" s="64" t="inlineStr">
        <is>
          <t>Unpaid</t>
        </is>
      </c>
      <c r="M10" s="7" t="n"/>
      <c r="N10" s="7">
        <f>I10-M10</f>
        <v/>
      </c>
      <c r="O10" s="7" t="n"/>
      <c r="P10" s="7" t="n"/>
      <c r="Q10" s="7" t="n"/>
      <c r="R10" s="7" t="n"/>
      <c r="S10" s="7" t="n"/>
    </row>
    <row r="11">
      <c r="A11" s="8" t="inlineStr">
        <is>
          <t>ORD-1011</t>
        </is>
      </c>
      <c r="B11" s="63" t="n">
        <v>46247</v>
      </c>
      <c r="C11" s="64" t="inlineStr">
        <is>
          <t>Liam Smith</t>
        </is>
      </c>
      <c r="D11" s="64" t="inlineStr">
        <is>
          <t>Sourdough Loaf</t>
        </is>
      </c>
      <c r="E11" s="64" t="n">
        <v>1</v>
      </c>
      <c r="F11" s="23" t="n">
        <v>12</v>
      </c>
      <c r="G11" s="8">
        <f>E11*F11</f>
        <v/>
      </c>
      <c r="H11" s="8" t="n"/>
      <c r="I11" s="8">
        <f>G11-H11</f>
        <v/>
      </c>
      <c r="J11" s="8" t="n"/>
      <c r="K11" s="64" t="inlineStr">
        <is>
          <t>Pending</t>
        </is>
      </c>
      <c r="L11" s="64" t="inlineStr">
        <is>
          <t>Unpaid</t>
        </is>
      </c>
      <c r="M11" s="8" t="n"/>
      <c r="N11" s="8">
        <f>I11-M11</f>
        <v/>
      </c>
      <c r="O11" s="8" t="n"/>
      <c r="P11" s="8" t="n"/>
      <c r="Q11" s="8" t="n"/>
      <c r="R11" s="8" t="n"/>
      <c r="S11" s="8" t="n"/>
    </row>
    <row r="12">
      <c r="A12" s="7" t="inlineStr">
        <is>
          <t>ORD-1012</t>
        </is>
      </c>
      <c r="B12" s="63" t="n">
        <v>46240</v>
      </c>
      <c r="C12" s="64" t="inlineStr">
        <is>
          <t>Liam Smith</t>
        </is>
      </c>
      <c r="D12" s="64" t="inlineStr">
        <is>
          <t>Sourdough Loaf</t>
        </is>
      </c>
      <c r="E12" s="64" t="n">
        <v>1</v>
      </c>
      <c r="F12" s="20" t="n">
        <v>12</v>
      </c>
      <c r="G12" s="7">
        <f>E12*F12</f>
        <v/>
      </c>
      <c r="H12" s="7" t="n"/>
      <c r="I12" s="7">
        <f>G12-H12</f>
        <v/>
      </c>
      <c r="J12" s="7" t="n"/>
      <c r="K12" s="64" t="inlineStr">
        <is>
          <t>Pending</t>
        </is>
      </c>
      <c r="L12" s="64" t="inlineStr">
        <is>
          <t>Unpaid</t>
        </is>
      </c>
      <c r="M12" s="7" t="n"/>
      <c r="N12" s="7">
        <f>I12-M12</f>
        <v/>
      </c>
      <c r="O12" s="7" t="n"/>
      <c r="P12" s="7" t="n"/>
      <c r="Q12" s="7" t="n"/>
      <c r="R12" s="7" t="n"/>
      <c r="S12" s="7" t="n"/>
    </row>
    <row r="13">
      <c r="A13" s="8" t="inlineStr">
        <is>
          <t>ORD-1013</t>
        </is>
      </c>
      <c r="B13" s="63" t="n">
        <v>46256</v>
      </c>
      <c r="C13" s="64" t="inlineStr">
        <is>
          <t>Liam Smith</t>
        </is>
      </c>
      <c r="D13" s="64" t="inlineStr">
        <is>
          <t>Sourdough Loaf</t>
        </is>
      </c>
      <c r="E13" s="64" t="n">
        <v>1</v>
      </c>
      <c r="F13" s="23" t="n">
        <v>12</v>
      </c>
      <c r="G13" s="8">
        <f>E13*F13</f>
        <v/>
      </c>
      <c r="H13" s="8" t="n"/>
      <c r="I13" s="8">
        <f>G13-H13</f>
        <v/>
      </c>
      <c r="J13" s="8" t="n"/>
      <c r="K13" s="64" t="inlineStr">
        <is>
          <t>Pending</t>
        </is>
      </c>
      <c r="L13" s="64" t="inlineStr">
        <is>
          <t>Unpaid</t>
        </is>
      </c>
      <c r="M13" s="8" t="n"/>
      <c r="N13" s="8">
        <f>I13-M13</f>
        <v/>
      </c>
      <c r="O13" s="8" t="n"/>
      <c r="P13" s="8" t="n"/>
      <c r="Q13" s="8" t="n"/>
      <c r="R13" s="8" t="n"/>
      <c r="S13" s="8" t="n"/>
    </row>
    <row r="14">
      <c r="A14" s="7" t="inlineStr">
        <is>
          <t>ORD-1014</t>
        </is>
      </c>
      <c r="B14" s="63" t="n">
        <v>46241</v>
      </c>
      <c r="C14" s="64" t="inlineStr">
        <is>
          <t>Liam Smith</t>
        </is>
      </c>
      <c r="D14" s="64" t="inlineStr">
        <is>
          <t>Sourdough Loaf</t>
        </is>
      </c>
      <c r="E14" s="64" t="n">
        <v>1</v>
      </c>
      <c r="F14" s="20" t="n">
        <v>12</v>
      </c>
      <c r="G14" s="7">
        <f>E14*F14</f>
        <v/>
      </c>
      <c r="H14" s="7" t="n"/>
      <c r="I14" s="7">
        <f>G14-H14</f>
        <v/>
      </c>
      <c r="J14" s="7" t="n"/>
      <c r="K14" s="64" t="inlineStr">
        <is>
          <t>Pending</t>
        </is>
      </c>
      <c r="L14" s="64" t="inlineStr">
        <is>
          <t>Unpaid</t>
        </is>
      </c>
      <c r="M14" s="7" t="n"/>
      <c r="N14" s="7">
        <f>I14-M14</f>
        <v/>
      </c>
      <c r="O14" s="7" t="n"/>
      <c r="P14" s="7" t="n"/>
      <c r="Q14" s="7" t="n"/>
      <c r="R14" s="7" t="n"/>
      <c r="S14" s="7" t="n"/>
    </row>
    <row r="15">
      <c r="A15" s="8" t="inlineStr">
        <is>
          <t>ORD-1015</t>
        </is>
      </c>
      <c r="B15" s="63" t="n">
        <v>46241</v>
      </c>
      <c r="C15" s="64" t="inlineStr">
        <is>
          <t>Liam Smith</t>
        </is>
      </c>
      <c r="D15" s="64" t="inlineStr">
        <is>
          <t>Sourdough Loaf</t>
        </is>
      </c>
      <c r="E15" s="64" t="n">
        <v>1</v>
      </c>
      <c r="F15" s="23" t="n">
        <v>12</v>
      </c>
      <c r="G15" s="8">
        <f>E15*F15</f>
        <v/>
      </c>
      <c r="H15" s="8" t="n"/>
      <c r="I15" s="8">
        <f>G15-H15</f>
        <v/>
      </c>
      <c r="J15" s="8" t="n"/>
      <c r="K15" s="64" t="inlineStr">
        <is>
          <t>Pending</t>
        </is>
      </c>
      <c r="L15" s="64" t="inlineStr">
        <is>
          <t>Unpaid</t>
        </is>
      </c>
      <c r="M15" s="8" t="n"/>
      <c r="N15" s="8">
        <f>I15-M15</f>
        <v/>
      </c>
      <c r="O15" s="8" t="n"/>
      <c r="P15" s="8" t="n"/>
      <c r="Q15" s="8" t="n"/>
      <c r="R15" s="8" t="n"/>
      <c r="S15" s="8" t="n"/>
    </row>
    <row r="16">
      <c r="A16" s="7" t="inlineStr">
        <is>
          <t>ORD-1016</t>
        </is>
      </c>
      <c r="B16" s="63" t="n">
        <v>46262</v>
      </c>
      <c r="C16" s="64" t="inlineStr">
        <is>
          <t>Liam Smith</t>
        </is>
      </c>
      <c r="D16" s="64" t="inlineStr">
        <is>
          <t>Sourdough Loaf</t>
        </is>
      </c>
      <c r="E16" s="64" t="n">
        <v>1</v>
      </c>
      <c r="F16" s="20" t="n">
        <v>12</v>
      </c>
      <c r="G16" s="7">
        <f>E16*F16</f>
        <v/>
      </c>
      <c r="H16" s="7" t="n"/>
      <c r="I16" s="7">
        <f>G16-H16</f>
        <v/>
      </c>
      <c r="J16" s="7" t="n"/>
      <c r="K16" s="64" t="inlineStr">
        <is>
          <t>Pending</t>
        </is>
      </c>
      <c r="L16" s="64" t="inlineStr">
        <is>
          <t>Unpaid</t>
        </is>
      </c>
      <c r="M16" s="7" t="n"/>
      <c r="N16" s="7">
        <f>I16-M16</f>
        <v/>
      </c>
      <c r="O16" s="7" t="n"/>
      <c r="P16" s="7" t="n"/>
      <c r="Q16" s="7" t="n"/>
      <c r="R16" s="7" t="n"/>
      <c r="S16" s="7" t="n"/>
    </row>
    <row r="17">
      <c r="A17" s="8" t="inlineStr">
        <is>
          <t>ORD-1017</t>
        </is>
      </c>
      <c r="B17" s="63" t="n">
        <v>46252</v>
      </c>
      <c r="C17" s="64" t="inlineStr">
        <is>
          <t>Emma Johnson</t>
        </is>
      </c>
      <c r="D17" s="64" t="inlineStr">
        <is>
          <t>Sourdough Loaf</t>
        </is>
      </c>
      <c r="E17" s="64" t="n">
        <v>1</v>
      </c>
      <c r="F17" s="23" t="n">
        <v>12</v>
      </c>
      <c r="G17" s="8">
        <f>E17*F17</f>
        <v/>
      </c>
      <c r="H17" s="8" t="n"/>
      <c r="I17" s="8">
        <f>G17-H17</f>
        <v/>
      </c>
      <c r="J17" s="8" t="n"/>
      <c r="K17" s="64" t="inlineStr">
        <is>
          <t>Pending</t>
        </is>
      </c>
      <c r="L17" s="64" t="inlineStr">
        <is>
          <t>Unpaid</t>
        </is>
      </c>
      <c r="M17" s="8" t="n"/>
      <c r="N17" s="8">
        <f>I17-M17</f>
        <v/>
      </c>
      <c r="O17" s="8" t="n"/>
      <c r="P17" s="8" t="n"/>
      <c r="Q17" s="8" t="n"/>
      <c r="R17" s="8" t="n"/>
      <c r="S17" s="8" t="n"/>
    </row>
    <row r="18">
      <c r="A18" s="7" t="inlineStr">
        <is>
          <t>ORD-1018</t>
        </is>
      </c>
      <c r="B18" s="63" t="n">
        <v>46253</v>
      </c>
      <c r="C18" s="64" t="inlineStr">
        <is>
          <t>Emma Johnson</t>
        </is>
      </c>
      <c r="D18" s="64" t="inlineStr">
        <is>
          <t>Sourdough Loaf</t>
        </is>
      </c>
      <c r="E18" s="64" t="n">
        <v>1</v>
      </c>
      <c r="F18" s="20" t="n">
        <v>12</v>
      </c>
      <c r="G18" s="7">
        <f>E18*F18</f>
        <v/>
      </c>
      <c r="H18" s="7" t="n"/>
      <c r="I18" s="7">
        <f>G18-H18</f>
        <v/>
      </c>
      <c r="J18" s="7" t="n"/>
      <c r="K18" s="64" t="inlineStr">
        <is>
          <t>Pending</t>
        </is>
      </c>
      <c r="L18" s="64" t="inlineStr">
        <is>
          <t>Unpaid</t>
        </is>
      </c>
      <c r="M18" s="7" t="n"/>
      <c r="N18" s="7">
        <f>I18-M18</f>
        <v/>
      </c>
      <c r="O18" s="7" t="n"/>
      <c r="P18" s="7" t="n"/>
      <c r="Q18" s="7" t="n"/>
      <c r="R18" s="7" t="n"/>
      <c r="S18" s="7" t="n"/>
    </row>
    <row r="19">
      <c r="A19" s="8" t="inlineStr">
        <is>
          <t>ORD-1019</t>
        </is>
      </c>
      <c r="B19" s="63" t="n">
        <v>46237</v>
      </c>
      <c r="C19" s="64" t="inlineStr">
        <is>
          <t>Emma Johnson</t>
        </is>
      </c>
      <c r="D19" s="64" t="inlineStr">
        <is>
          <t>Sourdough Loaf</t>
        </is>
      </c>
      <c r="E19" s="64" t="n">
        <v>1</v>
      </c>
      <c r="F19" s="23" t="n">
        <v>12</v>
      </c>
      <c r="G19" s="8">
        <f>E19*F19</f>
        <v/>
      </c>
      <c r="H19" s="8" t="n"/>
      <c r="I19" s="8">
        <f>G19-H19</f>
        <v/>
      </c>
      <c r="J19" s="8" t="n"/>
      <c r="K19" s="64" t="inlineStr">
        <is>
          <t>Pending</t>
        </is>
      </c>
      <c r="L19" s="64" t="inlineStr">
        <is>
          <t>Unpaid</t>
        </is>
      </c>
      <c r="M19" s="8" t="n"/>
      <c r="N19" s="8">
        <f>I19-M19</f>
        <v/>
      </c>
      <c r="O19" s="8" t="n"/>
      <c r="P19" s="8" t="n"/>
      <c r="Q19" s="8" t="n"/>
      <c r="R19" s="8" t="n"/>
      <c r="S19" s="8" t="n"/>
    </row>
    <row r="20">
      <c r="A20" s="7" t="inlineStr">
        <is>
          <t>ORD-1020</t>
        </is>
      </c>
      <c r="B20" s="63" t="n">
        <v>46254</v>
      </c>
      <c r="C20" s="64" t="inlineStr">
        <is>
          <t>Emma Johnson</t>
        </is>
      </c>
      <c r="D20" s="64" t="inlineStr">
        <is>
          <t>Sourdough Loaf</t>
        </is>
      </c>
      <c r="E20" s="64" t="n">
        <v>1</v>
      </c>
      <c r="F20" s="20" t="n">
        <v>12</v>
      </c>
      <c r="G20" s="7">
        <f>E20*F20</f>
        <v/>
      </c>
      <c r="H20" s="7" t="n"/>
      <c r="I20" s="7">
        <f>G20-H20</f>
        <v/>
      </c>
      <c r="J20" s="7" t="n"/>
      <c r="K20" s="64" t="inlineStr">
        <is>
          <t>Pending</t>
        </is>
      </c>
      <c r="L20" s="64" t="inlineStr">
        <is>
          <t>Unpaid</t>
        </is>
      </c>
      <c r="M20" s="7" t="n"/>
      <c r="N20" s="7">
        <f>I20-M20</f>
        <v/>
      </c>
      <c r="O20" s="7" t="n"/>
      <c r="P20" s="7" t="n"/>
      <c r="Q20" s="7" t="n"/>
      <c r="R20" s="7" t="n"/>
      <c r="S20" s="7" t="n"/>
    </row>
    <row r="21">
      <c r="A21" s="8" t="inlineStr">
        <is>
          <t>ORD-1021</t>
        </is>
      </c>
      <c r="B21" s="63" t="n">
        <v>46253</v>
      </c>
      <c r="C21" s="64" t="inlineStr">
        <is>
          <t>Emma Johnson</t>
        </is>
      </c>
      <c r="D21" s="64" t="inlineStr">
        <is>
          <t>Sourdough Loaf</t>
        </is>
      </c>
      <c r="E21" s="64" t="n">
        <v>1</v>
      </c>
      <c r="F21" s="23" t="n">
        <v>12</v>
      </c>
      <c r="G21" s="8">
        <f>E21*F21</f>
        <v/>
      </c>
      <c r="H21" s="8" t="n"/>
      <c r="I21" s="8">
        <f>G21-H21</f>
        <v/>
      </c>
      <c r="J21" s="8" t="n"/>
      <c r="K21" s="64" t="inlineStr">
        <is>
          <t>Pending</t>
        </is>
      </c>
      <c r="L21" s="64" t="inlineStr">
        <is>
          <t>Unpaid</t>
        </is>
      </c>
      <c r="M21" s="8" t="n"/>
      <c r="N21" s="8">
        <f>I21-M21</f>
        <v/>
      </c>
      <c r="O21" s="8" t="n"/>
      <c r="P21" s="8" t="n"/>
      <c r="Q21" s="8" t="n"/>
      <c r="R21" s="8" t="n"/>
      <c r="S21" s="8" t="n"/>
    </row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7A9E7E"/>
    <outlinePr summaryBelow="1" summaryRight="1"/>
    <pageSetUpPr/>
  </sheetPr>
  <dimension ref="A1:P1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1" customWidth="1" min="2" max="2"/>
    <col width="9" customWidth="1" min="3" max="3"/>
    <col width="12" customWidth="1" min="4" max="4"/>
    <col width="18" customWidth="1" min="5" max="5"/>
    <col width="10" customWidth="1" min="6" max="6"/>
    <col width="10" customWidth="1" min="7" max="7"/>
    <col width="10" customWidth="1" min="8" max="8"/>
    <col width="8" customWidth="1" min="9" max="9"/>
    <col width="12" customWidth="1" min="10" max="10"/>
    <col width="10" customWidth="1" min="11" max="11"/>
    <col width="12" customWidth="1" min="12" max="12"/>
    <col width="12" customWidth="1" min="13" max="13"/>
  </cols>
  <sheetData>
    <row r="1">
      <c r="A1" s="6" t="inlineStr">
        <is>
          <t>ID</t>
        </is>
      </c>
      <c r="B1" s="6" t="inlineStr">
        <is>
          <t>Date</t>
        </is>
      </c>
      <c r="C1" s="6" t="inlineStr">
        <is>
          <t>Type</t>
        </is>
      </c>
      <c r="D1" s="6" t="inlineStr">
        <is>
          <t>Category</t>
        </is>
      </c>
      <c r="E1" s="6" t="inlineStr">
        <is>
          <t>Description</t>
        </is>
      </c>
      <c r="F1" s="6" t="inlineStr">
        <is>
          <t>Income $</t>
        </is>
      </c>
      <c r="G1" s="6" t="inlineStr">
        <is>
          <t>Expense $</t>
        </is>
      </c>
      <c r="H1" s="6" t="inlineStr">
        <is>
          <t>Net $</t>
        </is>
      </c>
      <c r="I1" s="6" t="inlineStr">
        <is>
          <t>Month</t>
        </is>
      </c>
      <c r="J1" s="6" t="inlineStr">
        <is>
          <t>Payment Method</t>
        </is>
      </c>
      <c r="K1" s="6" t="inlineStr">
        <is>
          <t>Tax Deductible</t>
        </is>
      </c>
      <c r="L1" s="6" t="inlineStr">
        <is>
          <t>Vendor</t>
        </is>
      </c>
      <c r="M1" s="6" t="inlineStr">
        <is>
          <t>Running Balance $</t>
        </is>
      </c>
    </row>
    <row r="2">
      <c r="A2" t="n">
        <v>1</v>
      </c>
      <c r="B2" s="53" t="n">
        <v>46236</v>
      </c>
      <c r="C2" s="31" t="inlineStr">
        <is>
          <t>Expense</t>
        </is>
      </c>
      <c r="D2" s="31" t="inlineStr">
        <is>
          <t>Sales</t>
        </is>
      </c>
      <c r="F2" s="33" t="n">
        <v>100</v>
      </c>
      <c r="G2" s="33" t="n">
        <v>0</v>
      </c>
      <c r="H2">
        <f>F2-G2</f>
        <v/>
      </c>
      <c r="I2">
        <f>TEXT(B2,"YYYY-MM")</f>
        <v/>
      </c>
      <c r="M2">
        <f>IF(ROW()=2,H2,M1+H2)</f>
        <v/>
      </c>
    </row>
    <row r="3">
      <c r="A3" t="n">
        <v>2</v>
      </c>
      <c r="B3" s="53" t="n">
        <v>46237</v>
      </c>
      <c r="C3" s="31" t="inlineStr">
        <is>
          <t>Expense</t>
        </is>
      </c>
      <c r="D3" s="31" t="inlineStr">
        <is>
          <t>Sales</t>
        </is>
      </c>
      <c r="F3" s="33" t="n">
        <v>0</v>
      </c>
      <c r="G3" s="33" t="n">
        <v>50</v>
      </c>
      <c r="H3">
        <f>F3-G3</f>
        <v/>
      </c>
      <c r="I3">
        <f>TEXT(B3,"YYYY-MM")</f>
        <v/>
      </c>
      <c r="M3">
        <f>IF(ROW()=2,H2,M2+H3)</f>
        <v/>
      </c>
    </row>
    <row r="4">
      <c r="A4" t="n">
        <v>3</v>
      </c>
      <c r="B4" s="53" t="n">
        <v>46238</v>
      </c>
      <c r="C4" s="31" t="inlineStr">
        <is>
          <t>Income</t>
        </is>
      </c>
      <c r="D4" s="31" t="inlineStr">
        <is>
          <t>Sales</t>
        </is>
      </c>
      <c r="F4" s="33" t="n">
        <v>100</v>
      </c>
      <c r="G4" s="33" t="n">
        <v>0</v>
      </c>
      <c r="H4">
        <f>F4-G4</f>
        <v/>
      </c>
      <c r="I4">
        <f>TEXT(B4,"YYYY-MM")</f>
        <v/>
      </c>
      <c r="M4">
        <f>IF(ROW()=2,H2,M3+H4)</f>
        <v/>
      </c>
    </row>
    <row r="5">
      <c r="A5" t="n">
        <v>4</v>
      </c>
      <c r="B5" s="53" t="n">
        <v>46239</v>
      </c>
      <c r="C5" s="31" t="inlineStr">
        <is>
          <t>Expense</t>
        </is>
      </c>
      <c r="D5" s="31" t="inlineStr">
        <is>
          <t>Sales</t>
        </is>
      </c>
      <c r="F5" s="33" t="n">
        <v>0</v>
      </c>
      <c r="G5" s="33" t="n">
        <v>50</v>
      </c>
      <c r="H5">
        <f>F5-G5</f>
        <v/>
      </c>
      <c r="I5">
        <f>TEXT(B5,"YYYY-MM")</f>
        <v/>
      </c>
      <c r="M5">
        <f>IF(ROW()=2,H2,M4+H5)</f>
        <v/>
      </c>
    </row>
    <row r="6">
      <c r="A6" t="n">
        <v>5</v>
      </c>
      <c r="B6" s="53" t="n">
        <v>46240</v>
      </c>
      <c r="C6" s="31" t="inlineStr">
        <is>
          <t>Expense</t>
        </is>
      </c>
      <c r="D6" s="31" t="inlineStr">
        <is>
          <t>Sales</t>
        </is>
      </c>
      <c r="F6" s="33" t="n">
        <v>100</v>
      </c>
      <c r="G6" s="33" t="n">
        <v>0</v>
      </c>
      <c r="H6">
        <f>F6-G6</f>
        <v/>
      </c>
      <c r="I6">
        <f>TEXT(B6,"YYYY-MM")</f>
        <v/>
      </c>
      <c r="M6">
        <f>IF(ROW()=2,H2,M5+H6)</f>
        <v/>
      </c>
    </row>
    <row r="7">
      <c r="A7" t="n">
        <v>6</v>
      </c>
      <c r="B7" s="53" t="n">
        <v>46241</v>
      </c>
      <c r="C7" s="31" t="inlineStr">
        <is>
          <t>Expense</t>
        </is>
      </c>
      <c r="D7" s="31" t="inlineStr">
        <is>
          <t>Sales</t>
        </is>
      </c>
      <c r="F7" s="33" t="n">
        <v>0</v>
      </c>
      <c r="G7" s="33" t="n">
        <v>50</v>
      </c>
      <c r="H7">
        <f>F7-G7</f>
        <v/>
      </c>
      <c r="I7">
        <f>TEXT(B7,"YYYY-MM")</f>
        <v/>
      </c>
      <c r="M7">
        <f>IF(ROW()=2,H2,M6+H7)</f>
        <v/>
      </c>
    </row>
    <row r="8">
      <c r="A8" t="n">
        <v>7</v>
      </c>
      <c r="B8" s="53" t="n">
        <v>46242</v>
      </c>
      <c r="C8" s="31" t="inlineStr">
        <is>
          <t>Income</t>
        </is>
      </c>
      <c r="D8" s="31" t="inlineStr">
        <is>
          <t>Sales</t>
        </is>
      </c>
      <c r="F8" s="33" t="n">
        <v>100</v>
      </c>
      <c r="G8" s="33" t="n">
        <v>0</v>
      </c>
      <c r="H8">
        <f>F8-G8</f>
        <v/>
      </c>
      <c r="I8">
        <f>TEXT(B8,"YYYY-MM")</f>
        <v/>
      </c>
      <c r="M8">
        <f>IF(ROW()=2,H2,M7+H8)</f>
        <v/>
      </c>
    </row>
    <row r="9">
      <c r="A9" t="n">
        <v>8</v>
      </c>
      <c r="B9" s="53" t="n">
        <v>46243</v>
      </c>
      <c r="C9" s="31" t="inlineStr">
        <is>
          <t>Expense</t>
        </is>
      </c>
      <c r="D9" s="31" t="inlineStr">
        <is>
          <t>Sales</t>
        </is>
      </c>
      <c r="F9" s="33" t="n">
        <v>0</v>
      </c>
      <c r="G9" s="33" t="n">
        <v>50</v>
      </c>
      <c r="H9">
        <f>F9-G9</f>
        <v/>
      </c>
      <c r="I9">
        <f>TEXT(B9,"YYYY-MM")</f>
        <v/>
      </c>
      <c r="M9">
        <f>IF(ROW()=2,H2,M8+H9)</f>
        <v/>
      </c>
    </row>
    <row r="10">
      <c r="A10" t="n">
        <v>9</v>
      </c>
      <c r="B10" s="53" t="n">
        <v>46244</v>
      </c>
      <c r="C10" s="31" t="inlineStr">
        <is>
          <t>Expense</t>
        </is>
      </c>
      <c r="D10" s="31" t="inlineStr">
        <is>
          <t>Sales</t>
        </is>
      </c>
      <c r="F10" s="33" t="n">
        <v>100</v>
      </c>
      <c r="G10" s="33" t="n">
        <v>0</v>
      </c>
      <c r="H10">
        <f>F10-G10</f>
        <v/>
      </c>
      <c r="I10">
        <f>TEXT(B10,"YYYY-MM")</f>
        <v/>
      </c>
      <c r="M10">
        <f>IF(ROW()=2,H2,M9+H10)</f>
        <v/>
      </c>
    </row>
    <row r="11">
      <c r="A11" t="n">
        <v>10</v>
      </c>
      <c r="B11" s="53" t="n">
        <v>46245</v>
      </c>
      <c r="C11" s="31" t="inlineStr">
        <is>
          <t>Expense</t>
        </is>
      </c>
      <c r="D11" s="31" t="inlineStr">
        <is>
          <t>Sales</t>
        </is>
      </c>
      <c r="F11" s="33" t="n">
        <v>0</v>
      </c>
      <c r="G11" s="33" t="n">
        <v>50</v>
      </c>
      <c r="H11">
        <f>F11-G11</f>
        <v/>
      </c>
      <c r="I11">
        <f>TEXT(B11,"YYYY-MM")</f>
        <v/>
      </c>
      <c r="M11">
        <f>IF(ROW()=2,H2,M10+H11)</f>
        <v/>
      </c>
    </row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>
      <c r="F102" s="26">
        <f>SUM(F2:F101)</f>
        <v/>
      </c>
      <c r="G102" s="26">
        <f>SUM(G2:G101)</f>
        <v/>
      </c>
      <c r="H102" s="26">
        <f>F102-G102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F9E4B7"/>
    <outlinePr summaryBelow="1" summaryRight="1"/>
    <pageSetUpPr/>
  </sheetPr>
  <dimension ref="A1:P1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8" customWidth="1" min="8" max="8"/>
    <col width="8" customWidth="1" min="9" max="9"/>
    <col width="10" customWidth="1" min="10" max="10"/>
    <col width="10" customWidth="1" min="11" max="11"/>
    <col width="8" customWidth="1" min="12" max="12"/>
  </cols>
  <sheetData>
    <row r="1">
      <c r="A1" s="6" t="inlineStr">
        <is>
          <t>Date</t>
        </is>
      </c>
      <c r="B1" s="6" t="inlineStr">
        <is>
          <t>Event Name</t>
        </is>
      </c>
      <c r="C1" s="6" t="inlineStr">
        <is>
          <t>Revenue $</t>
        </is>
      </c>
      <c r="D1" s="6" t="inlineStr">
        <is>
          <t>Booth Fee $</t>
        </is>
      </c>
      <c r="E1" s="6" t="inlineStr">
        <is>
          <t>Other Costs $</t>
        </is>
      </c>
      <c r="F1" s="6" t="inlineStr">
        <is>
          <t>Total Costs $</t>
        </is>
      </c>
      <c r="G1" s="6" t="inlineStr">
        <is>
          <t>Net Profit $</t>
        </is>
      </c>
      <c r="H1" s="6" t="inlineStr">
        <is>
          <t>ROI %</t>
        </is>
      </c>
      <c r="I1" s="6" t="inlineStr">
        <is>
          <t>Hours</t>
        </is>
      </c>
      <c r="J1" s="6" t="inlineStr">
        <is>
          <t>Net/Hour $</t>
        </is>
      </c>
      <c r="K1" s="6" t="inlineStr">
        <is>
          <t>Units Sold</t>
        </is>
      </c>
      <c r="L1" s="6" t="inlineStr">
        <is>
          <t>Worth It?</t>
        </is>
      </c>
    </row>
    <row r="2">
      <c r="A2" s="53" t="n">
        <v>46236</v>
      </c>
      <c r="B2" s="31" t="inlineStr">
        <is>
          <t>Farmers Market</t>
        </is>
      </c>
      <c r="C2" s="31" t="n">
        <v>400</v>
      </c>
      <c r="D2" s="31" t="n">
        <v>50</v>
      </c>
      <c r="F2">
        <f>D2+E2</f>
        <v/>
      </c>
      <c r="G2">
        <f>C2-F2</f>
        <v/>
      </c>
      <c r="H2" s="65">
        <f>IF(F2=0,0,G2/F2)</f>
        <v/>
      </c>
    </row>
    <row r="3">
      <c r="A3" s="53" t="n">
        <v>46237</v>
      </c>
      <c r="B3" s="31" t="inlineStr">
        <is>
          <t>Farmers Market</t>
        </is>
      </c>
      <c r="C3" s="31" t="n">
        <v>400</v>
      </c>
      <c r="D3" s="31" t="n">
        <v>50</v>
      </c>
      <c r="F3">
        <f>D3+E3</f>
        <v/>
      </c>
      <c r="G3">
        <f>C3-F3</f>
        <v/>
      </c>
      <c r="H3" s="65">
        <f>IF(F3=0,0,G3/F3)</f>
        <v/>
      </c>
    </row>
    <row r="4">
      <c r="A4" s="53" t="n">
        <v>46238</v>
      </c>
      <c r="B4" s="31" t="inlineStr">
        <is>
          <t>Farmers Market</t>
        </is>
      </c>
      <c r="C4" s="31" t="n">
        <v>400</v>
      </c>
      <c r="D4" s="31" t="n">
        <v>50</v>
      </c>
      <c r="F4">
        <f>D4+E4</f>
        <v/>
      </c>
      <c r="G4">
        <f>C4-F4</f>
        <v/>
      </c>
      <c r="H4" s="65">
        <f>IF(F4=0,0,G4/F4)</f>
        <v/>
      </c>
    </row>
    <row r="5">
      <c r="A5" s="53" t="n">
        <v>46239</v>
      </c>
      <c r="B5" s="31" t="inlineStr">
        <is>
          <t>Farmers Market</t>
        </is>
      </c>
      <c r="C5" s="31" t="n">
        <v>400</v>
      </c>
      <c r="D5" s="31" t="n">
        <v>50</v>
      </c>
      <c r="F5">
        <f>D5+E5</f>
        <v/>
      </c>
      <c r="G5">
        <f>C5-F5</f>
        <v/>
      </c>
      <c r="H5" s="65">
        <f>IF(F5=0,0,G5/F5)</f>
        <v/>
      </c>
    </row>
    <row r="6">
      <c r="A6" s="53" t="n">
        <v>46240</v>
      </c>
      <c r="B6" s="31" t="inlineStr">
        <is>
          <t>Farmers Market</t>
        </is>
      </c>
      <c r="C6" s="31" t="n">
        <v>400</v>
      </c>
      <c r="D6" s="31" t="n">
        <v>50</v>
      </c>
      <c r="F6">
        <f>D6+E6</f>
        <v/>
      </c>
      <c r="G6">
        <f>C6-F6</f>
        <v/>
      </c>
      <c r="H6" s="65">
        <f>IF(F6=0,0,G6/F6)</f>
        <v/>
      </c>
    </row>
    <row r="7">
      <c r="A7" s="53" t="n">
        <v>46241</v>
      </c>
      <c r="B7" s="31" t="inlineStr">
        <is>
          <t>Farmers Market</t>
        </is>
      </c>
      <c r="C7" s="31" t="n">
        <v>400</v>
      </c>
      <c r="D7" s="31" t="n">
        <v>50</v>
      </c>
      <c r="F7">
        <f>D7+E7</f>
        <v/>
      </c>
      <c r="G7">
        <f>C7-F7</f>
        <v/>
      </c>
      <c r="H7" s="65">
        <f>IF(F7=0,0,G7/F7)</f>
        <v/>
      </c>
    </row>
    <row r="8">
      <c r="A8" s="53" t="n">
        <v>46242</v>
      </c>
      <c r="B8" s="31" t="inlineStr">
        <is>
          <t>Farmers Market</t>
        </is>
      </c>
      <c r="C8" s="31" t="n">
        <v>400</v>
      </c>
      <c r="D8" s="31" t="n">
        <v>50</v>
      </c>
      <c r="F8">
        <f>D8+E8</f>
        <v/>
      </c>
      <c r="G8">
        <f>C8-F8</f>
        <v/>
      </c>
      <c r="H8" s="65">
        <f>IF(F8=0,0,G8/F8)</f>
        <v/>
      </c>
    </row>
    <row r="9">
      <c r="A9" s="53" t="n">
        <v>46243</v>
      </c>
      <c r="B9" s="31" t="inlineStr">
        <is>
          <t>Farmers Market</t>
        </is>
      </c>
      <c r="C9" s="31" t="n">
        <v>400</v>
      </c>
      <c r="D9" s="31" t="n">
        <v>50</v>
      </c>
      <c r="F9">
        <f>D9+E9</f>
        <v/>
      </c>
      <c r="G9">
        <f>C9-F9</f>
        <v/>
      </c>
      <c r="H9" s="65">
        <f>IF(F9=0,0,G9/F9)</f>
        <v/>
      </c>
    </row>
    <row r="10">
      <c r="A10" s="53" t="n">
        <v>46244</v>
      </c>
      <c r="B10" s="31" t="inlineStr">
        <is>
          <t>Farmers Market</t>
        </is>
      </c>
      <c r="C10" s="31" t="n">
        <v>400</v>
      </c>
      <c r="D10" s="31" t="n">
        <v>50</v>
      </c>
      <c r="F10">
        <f>D10+E10</f>
        <v/>
      </c>
      <c r="G10">
        <f>C10-F10</f>
        <v/>
      </c>
      <c r="H10" s="65">
        <f>IF(F10=0,0,G10/F10)</f>
        <v/>
      </c>
    </row>
    <row r="11">
      <c r="A11" s="53" t="n">
        <v>46245</v>
      </c>
      <c r="B11" s="31" t="inlineStr">
        <is>
          <t>Farmers Market</t>
        </is>
      </c>
      <c r="C11" s="31" t="n">
        <v>400</v>
      </c>
      <c r="D11" s="31" t="n">
        <v>50</v>
      </c>
      <c r="F11">
        <f>D11+E11</f>
        <v/>
      </c>
      <c r="G11">
        <f>C11-F11</f>
        <v/>
      </c>
      <c r="H11" s="65">
        <f>IF(F11=0,0,G11/F11)</f>
        <v/>
      </c>
    </row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D8AFA0"/>
    <outlinePr summaryBelow="1" summaryRight="1"/>
    <pageSetUpPr/>
  </sheetPr>
  <dimension ref="A1:P1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18" customWidth="1" min="3" max="3"/>
    <col width="10" customWidth="1" min="4" max="4"/>
    <col width="12" customWidth="1" min="5" max="5"/>
    <col width="12" customWidth="1" min="6" max="6"/>
    <col width="12" customWidth="1" min="7" max="7"/>
    <col width="10" customWidth="1" min="8" max="8"/>
    <col width="12" customWidth="1" min="9" max="9"/>
    <col width="16" customWidth="1" min="10" max="10"/>
  </cols>
  <sheetData>
    <row r="1">
      <c r="A1" s="6" t="inlineStr">
        <is>
          <t>Customer ID</t>
        </is>
      </c>
      <c r="B1" s="6" t="inlineStr">
        <is>
          <t>Customer Name</t>
        </is>
      </c>
      <c r="C1" s="6" t="inlineStr">
        <is>
          <t>Contact</t>
        </is>
      </c>
      <c r="D1" s="6" t="inlineStr">
        <is>
          <t>Total Orders</t>
        </is>
      </c>
      <c r="E1" s="6" t="inlineStr">
        <is>
          <t>Total Spent $</t>
        </is>
      </c>
      <c r="F1" s="6" t="inlineStr">
        <is>
          <t>Last Order</t>
        </is>
      </c>
      <c r="G1" s="6" t="inlineStr">
        <is>
          <t>Balance Owed $</t>
        </is>
      </c>
      <c r="H1" s="6" t="inlineStr">
        <is>
          <t>Tag</t>
        </is>
      </c>
      <c r="I1" s="6" t="inlineStr">
        <is>
          <t>Allergies</t>
        </is>
      </c>
      <c r="J1" s="6" t="inlineStr">
        <is>
          <t>Preferences</t>
        </is>
      </c>
    </row>
    <row r="2">
      <c r="A2" t="inlineStr">
        <is>
          <t>CUST-1002</t>
        </is>
      </c>
      <c r="B2" s="31" t="inlineStr">
        <is>
          <t>Emma Johnson</t>
        </is>
      </c>
      <c r="D2">
        <f>COUNTIF(Orders!C:C,B2)</f>
        <v/>
      </c>
      <c r="E2" s="33">
        <f>SUMIF(Orders!C:C,B2,Orders!I:I)</f>
        <v/>
      </c>
    </row>
    <row r="3">
      <c r="A3" t="inlineStr">
        <is>
          <t>CUST-1003</t>
        </is>
      </c>
      <c r="B3" s="31" t="inlineStr">
        <is>
          <t>Emma Johnson</t>
        </is>
      </c>
      <c r="D3">
        <f>COUNTIF(Orders!C:C,B3)</f>
        <v/>
      </c>
      <c r="E3" s="33">
        <f>SUMIF(Orders!C:C,B3,Orders!I:I)</f>
        <v/>
      </c>
    </row>
    <row r="4">
      <c r="A4" t="inlineStr">
        <is>
          <t>CUST-1004</t>
        </is>
      </c>
      <c r="B4" s="31" t="inlineStr">
        <is>
          <t>Emma Johnson</t>
        </is>
      </c>
      <c r="D4">
        <f>COUNTIF(Orders!C:C,B4)</f>
        <v/>
      </c>
      <c r="E4" s="33">
        <f>SUMIF(Orders!C:C,B4,Orders!I:I)</f>
        <v/>
      </c>
    </row>
    <row r="5">
      <c r="A5" t="inlineStr">
        <is>
          <t>CUST-1005</t>
        </is>
      </c>
      <c r="B5" s="31" t="inlineStr">
        <is>
          <t>Emma Johnson</t>
        </is>
      </c>
      <c r="D5">
        <f>COUNTIF(Orders!C:C,B5)</f>
        <v/>
      </c>
      <c r="E5" s="33">
        <f>SUMIF(Orders!C:C,B5,Orders!I:I)</f>
        <v/>
      </c>
    </row>
    <row r="6">
      <c r="A6" t="inlineStr">
        <is>
          <t>CUST-1006</t>
        </is>
      </c>
      <c r="B6" s="31" t="inlineStr">
        <is>
          <t>Liam Smith</t>
        </is>
      </c>
      <c r="D6">
        <f>COUNTIF(Orders!C:C,B6)</f>
        <v/>
      </c>
      <c r="E6" s="33">
        <f>SUMIF(Orders!C:C,B6,Orders!I:I)</f>
        <v/>
      </c>
    </row>
    <row r="7">
      <c r="A7" t="inlineStr">
        <is>
          <t>CUST-1007</t>
        </is>
      </c>
      <c r="B7" s="31" t="inlineStr">
        <is>
          <t>Emma Johnson</t>
        </is>
      </c>
      <c r="D7">
        <f>COUNTIF(Orders!C:C,B7)</f>
        <v/>
      </c>
      <c r="E7" s="33">
        <f>SUMIF(Orders!C:C,B7,Orders!I:I)</f>
        <v/>
      </c>
    </row>
    <row r="8">
      <c r="A8" t="inlineStr">
        <is>
          <t>CUST-1008</t>
        </is>
      </c>
      <c r="B8" s="31" t="inlineStr">
        <is>
          <t>Liam Smith</t>
        </is>
      </c>
      <c r="D8">
        <f>COUNTIF(Orders!C:C,B8)</f>
        <v/>
      </c>
      <c r="E8" s="33">
        <f>SUMIF(Orders!C:C,B8,Orders!I:I)</f>
        <v/>
      </c>
    </row>
    <row r="9">
      <c r="A9" t="inlineStr">
        <is>
          <t>CUST-1009</t>
        </is>
      </c>
      <c r="B9" s="31" t="inlineStr">
        <is>
          <t>Liam Smith</t>
        </is>
      </c>
      <c r="D9">
        <f>COUNTIF(Orders!C:C,B9)</f>
        <v/>
      </c>
      <c r="E9" s="33">
        <f>SUMIF(Orders!C:C,B9,Orders!I:I)</f>
        <v/>
      </c>
    </row>
    <row r="10">
      <c r="A10" t="inlineStr">
        <is>
          <t>CUST-1010</t>
        </is>
      </c>
      <c r="B10" s="31" t="inlineStr">
        <is>
          <t>Emma Johnson</t>
        </is>
      </c>
      <c r="D10">
        <f>COUNTIF(Orders!C:C,B10)</f>
        <v/>
      </c>
      <c r="E10" s="33">
        <f>SUMIF(Orders!C:C,B10,Orders!I:I)</f>
        <v/>
      </c>
    </row>
    <row r="11">
      <c r="A11" t="inlineStr">
        <is>
          <t>CUST-1011</t>
        </is>
      </c>
      <c r="B11" s="31" t="inlineStr">
        <is>
          <t>Emma Johnson</t>
        </is>
      </c>
      <c r="D11">
        <f>COUNTIF(Orders!C:C,B11)</f>
        <v/>
      </c>
      <c r="E11" s="33">
        <f>SUMIF(Orders!C:C,B11,Orders!I:I)</f>
        <v/>
      </c>
    </row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7A9E7E"/>
    <outlinePr summaryBelow="1" summaryRight="1"/>
    <pageSetUpPr/>
  </sheetPr>
  <dimension ref="A1:P100"/>
  <sheetViews>
    <sheetView workbookViewId="0">
      <selection activeCell="A1" sqref="A1"/>
    </sheetView>
  </sheetViews>
  <sheetFormatPr baseColWidth="8" defaultRowHeight="15"/>
  <cols>
    <col width="20" customWidth="1" min="1" max="1"/>
    <col width="12" customWidth="1" min="2" max="2"/>
    <col width="12" customWidth="1" min="3" max="3"/>
  </cols>
  <sheetData>
    <row r="1">
      <c r="A1" s="1" t="inlineStr">
        <is>
          <t>Analytics BONUS v4</t>
        </is>
      </c>
    </row>
    <row r="2"/>
    <row r="3">
      <c r="A3" s="6" t="inlineStr">
        <is>
          <t>Metric</t>
        </is>
      </c>
      <c r="B3" s="6" t="inlineStr">
        <is>
          <t>Value</t>
        </is>
      </c>
    </row>
    <row r="4">
      <c r="A4" t="inlineStr">
        <is>
          <t>Total Recipes</t>
        </is>
      </c>
      <c r="B4">
        <f>COUNTA('Recipe Library'!B5:B54)</f>
        <v/>
      </c>
    </row>
    <row r="5">
      <c r="A5" t="inlineStr">
        <is>
          <t>Total Startup</t>
        </is>
      </c>
      <c r="B5" s="33">
        <f>'Startup Costs'!C18</f>
        <v/>
      </c>
    </row>
    <row r="6">
      <c r="A6" t="inlineStr">
        <is>
          <t>Months to Break-Even</t>
        </is>
      </c>
      <c r="B6">
        <f>'Startup Costs'!B24</f>
        <v/>
      </c>
    </row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Novality Store</dc:creator>
  <dcterms:created xsi:type="dcterms:W3CDTF">2026-09-07T02:41:33Z</dcterms:created>
  <dcterms:modified xsi:type="dcterms:W3CDTF">2026-09-07T02:41:34Z</dcterms:modified>
  <cp:lastModifiedBy>Novality Store</cp:lastModifiedBy>
</cp:coreProperties>
</file>