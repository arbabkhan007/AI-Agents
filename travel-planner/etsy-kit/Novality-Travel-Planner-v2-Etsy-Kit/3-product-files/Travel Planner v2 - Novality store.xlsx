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Destination Overview" sheetId="2" state="visible" r:id="rId2"/>
    <sheet name="Budget Tracker" sheetId="3" state="visible" r:id="rId3"/>
    <sheet name="Savings Goal" sheetId="4" state="visible" r:id="rId4"/>
    <sheet name="Research &amp; Ideas" sheetId="5" state="visible" r:id="rId5"/>
    <sheet name="Visa &amp; Documents" sheetId="6" state="visible" r:id="rId6"/>
    <sheet name="Booking Log" sheetId="7" state="visible" r:id="rId7"/>
    <sheet name="Packing Checklist" sheetId="8" state="visible" r:id="rId8"/>
    <sheet name="Weather Tracker" sheetId="9" state="visible" r:id="rId9"/>
    <sheet name="Carry-On vs Checked" sheetId="10" state="visible" r:id="rId10"/>
    <sheet name="Pre-Trip To-Do" sheetId="11" state="visible" r:id="rId11"/>
    <sheet name="Daily Itinerary" sheetId="12" state="visible" r:id="rId12"/>
    <sheet name="Hourly Schedule" sheetId="13" state="visible" r:id="rId13"/>
    <sheet name="Route Planner" sheetId="14" state="visible" r:id="rId14"/>
    <sheet name="Transportation Log" sheetId="15" state="visible" r:id="rId15"/>
    <sheet name="Accommodation" sheetId="16" state="visible" r:id="rId16"/>
    <sheet name="Currency Converter" sheetId="17" state="visible" r:id="rId17"/>
    <sheet name="Expense Log" sheetId="18" state="visible" r:id="rId18"/>
    <sheet name="Tipping Guide" sheetId="19" state="visible" r:id="rId19"/>
    <sheet name="Trip Cost Summary" sheetId="20" state="visible" r:id="rId20"/>
    <sheet name="Restaurant Wishlist" sheetId="21" state="visible" r:id="rId21"/>
    <sheet name="Activity Planner" sheetId="22" state="visible" r:id="rId22"/>
    <sheet name="Local Phrases" sheetId="23" state="visible" r:id="rId23"/>
    <sheet name="Etiquette Notes" sheetId="24" state="visible" r:id="rId24"/>
    <sheet name="Emergency Contacts" sheetId="25" state="visible" r:id="rId25"/>
    <sheet name="Travel Journal" sheetId="26" state="visible" r:id="rId26"/>
    <sheet name="Ratings &amp; Reviews" sheetId="27" state="visible" r:id="rId27"/>
    <sheet name="Souvenir List" sheetId="28" state="visible" r:id="rId28"/>
    <sheet name="Wi-Fi &amp; Passwords" sheetId="29" state="visible" r:id="rId29"/>
  </sheets>
  <definedNames>
    <definedName name="_xlnm._FilterDatabase" localSheetId="2" hidden="1">'Budget Tracker'!$A$4:$G$14</definedName>
    <definedName name="_xlnm.Print_Titles" localSheetId="2">'Budget Tracker'!$4:$4</definedName>
    <definedName name="_xlnm._FilterDatabase" localSheetId="7" hidden="1">'Packing Checklist'!$A$4:$E$64</definedName>
    <definedName name="_xlnm.Print_Titles" localSheetId="7">'Packing Checklist'!$4:$4</definedName>
    <definedName name="_xlnm._FilterDatabase" localSheetId="10" hidden="1">'Pre-Trip To-Do'!$A$4:$F$34</definedName>
    <definedName name="_xlnm._FilterDatabase" localSheetId="11" hidden="1">'Daily Itinerary'!$A$4:$I$84</definedName>
    <definedName name="_xlnm.Print_Titles" localSheetId="11">'Daily Itinerary'!$4:$4</definedName>
    <definedName name="_xlnm._FilterDatabase" localSheetId="14" hidden="1">'Transportation Log'!$A$4:$K$34</definedName>
    <definedName name="_xlnm._FilterDatabase" localSheetId="17" hidden="1">'Expense Log'!$A$4:$I$154</definedName>
    <definedName name="_xlnm.Print_Titles" localSheetId="17">'Expense Log'!$4:$4</definedName>
    <definedName name="_xlnm._FilterDatabase" localSheetId="20" hidden="1">'Restaurant Wishlist'!$A$4:$J$34</definedName>
    <definedName name="_xlnm._FilterDatabase" localSheetId="21" hidden="1">'Activity Planner'!$A$4:$J$34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 mmm yyyy"/>
    <numFmt numFmtId="165" formatCode="0.0"/>
    <numFmt numFmtId="166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1D3557"/>
      <sz val="10"/>
    </font>
    <font>
      <i val="1"/>
      <color rgb="005F7470"/>
      <sz val="9"/>
    </font>
    <font>
      <sz val="10"/>
    </font>
    <font>
      <b val="1"/>
      <color rgb="001F7A70"/>
      <sz val="10"/>
      <u val="single"/>
    </font>
    <font>
      <b val="1"/>
      <color rgb="00FFFFFF"/>
      <sz val="10"/>
    </font>
    <font>
      <b val="1"/>
      <color rgb="002A9D8F"/>
      <sz val="16"/>
    </font>
  </fonts>
  <fills count="12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2A9D8F"/>
      </patternFill>
    </fill>
    <fill>
      <patternFill patternType="solid">
        <fgColor rgb="00E9C46A"/>
      </patternFill>
    </fill>
    <fill>
      <patternFill patternType="solid">
        <fgColor rgb="00F3F8F6"/>
      </patternFill>
    </fill>
    <fill>
      <patternFill patternType="solid">
        <fgColor rgb="00E3ECF5"/>
      </patternFill>
    </fill>
    <fill>
      <patternFill patternType="solid">
        <fgColor rgb="00FFF8E1"/>
      </patternFill>
    </fill>
    <fill>
      <patternFill patternType="solid">
        <fgColor rgb="00E7F6F2"/>
      </patternFill>
    </fill>
    <fill>
      <patternFill patternType="solid">
        <fgColor rgb="00FDF3D8"/>
      </patternFill>
    </fill>
    <fill>
      <patternFill patternType="solid">
        <fgColor rgb="00FBE9E1"/>
      </patternFill>
    </fill>
    <fill>
      <patternFill patternType="solid">
        <fgColor rgb="00FFFFFF"/>
      </patternFill>
    </fill>
  </fills>
  <borders count="13">
    <border>
      <left/>
      <right/>
      <top/>
      <bottom/>
      <diagonal/>
    </border>
    <border>
      <left style="thin">
        <color rgb="00BFCFD6"/>
      </left>
      <right style="thin">
        <color rgb="00BFCFD6"/>
      </right>
      <top style="thin">
        <color rgb="00BFCFD6"/>
      </top>
      <bottom style="thin">
        <color rgb="00BFCFD6"/>
      </bottom>
    </border>
    <border>
      <left/>
      <right/>
      <top style="thin">
        <color rgb="00BFCFD6"/>
      </top>
      <bottom/>
      <diagonal/>
    </border>
    <border>
      <left/>
      <right style="thin">
        <color rgb="00BFCFD6"/>
      </right>
      <top style="thin">
        <color rgb="00BFCFD6"/>
      </top>
      <bottom/>
      <diagonal/>
    </border>
    <border>
      <left/>
      <right/>
      <top style="thin">
        <color rgb="00BFCFD6"/>
      </top>
      <bottom style="thin">
        <color rgb="00BFCFD6"/>
      </bottom>
      <diagonal/>
    </border>
    <border>
      <left/>
      <right style="thin">
        <color rgb="00BFCFD6"/>
      </right>
      <top style="thin">
        <color rgb="00BFCFD6"/>
      </top>
      <bottom style="thin">
        <color rgb="00BFCFD6"/>
      </bottom>
      <diagonal/>
    </border>
    <border>
      <left style="thin">
        <color rgb="00BFCFD6"/>
      </left>
      <right/>
      <top/>
      <bottom/>
      <diagonal/>
    </border>
    <border>
      <left/>
      <right style="thin">
        <color rgb="00BFCFD6"/>
      </right>
      <top/>
      <bottom/>
      <diagonal/>
    </border>
    <border>
      <left style="thin">
        <color rgb="00BFCFD6"/>
      </left>
      <right/>
      <top/>
      <bottom style="thin">
        <color rgb="00BFCFD6"/>
      </bottom>
      <diagonal/>
    </border>
    <border>
      <left/>
      <right/>
      <top/>
      <bottom style="thin">
        <color rgb="00BFCFD6"/>
      </bottom>
      <diagonal/>
    </border>
    <border>
      <left/>
      <right style="thin">
        <color rgb="00BFCFD6"/>
      </right>
      <top/>
      <bottom style="thin">
        <color rgb="00BFCFD6"/>
      </bottom>
      <diagonal/>
    </border>
    <border>
      <left style="thin">
        <color rgb="00BFCFD6"/>
      </left>
      <right style="thin">
        <color rgb="00BFCFD6"/>
      </right>
      <top/>
      <bottom/>
      <diagonal/>
    </border>
    <border>
      <left style="thin">
        <color rgb="00BFCFD6"/>
      </left>
      <right style="thin">
        <color rgb="00BFCFD6"/>
      </right>
      <top/>
      <bottom style="thin">
        <color rgb="00BFCFD6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5" fillId="7" borderId="1" applyAlignment="1" applyProtection="1" pivotButton="0" quotePrefix="0" xfId="0">
      <alignment vertical="center"/>
      <protection locked="0" hidden="0"/>
    </xf>
    <xf numFmtId="0" fontId="4" fillId="7" borderId="1" applyAlignment="1" applyProtection="1" pivotButton="0" quotePrefix="0" xfId="0">
      <alignment horizontal="left" vertical="center" wrapText="1"/>
      <protection locked="0" hidden="0"/>
    </xf>
    <xf numFmtId="164" fontId="5" fillId="7" borderId="1" applyAlignment="1" applyProtection="1" pivotButton="0" quotePrefix="0" xfId="0">
      <alignment vertical="center"/>
      <protection locked="0" hidden="0"/>
    </xf>
    <xf numFmtId="3" fontId="5" fillId="7" borderId="1" applyAlignment="1" applyProtection="1" pivotButton="0" quotePrefix="0" xfId="0">
      <alignment vertical="center"/>
      <protection locked="0" hidden="0"/>
    </xf>
    <xf numFmtId="3" fontId="3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7" borderId="1" applyAlignment="1" applyProtection="1" pivotButton="0" quotePrefix="0" xfId="0">
      <alignment horizontal="left" vertical="center" indent="1"/>
      <protection locked="0" hidden="0"/>
    </xf>
    <xf numFmtId="4" fontId="5" fillId="7" borderId="1" applyAlignment="1" applyProtection="1" pivotButton="0" quotePrefix="0" xfId="0">
      <alignment vertical="center"/>
      <protection locked="0" hidden="0"/>
    </xf>
    <xf numFmtId="9" fontId="3" fillId="6" borderId="1" applyAlignment="1" pivotButton="0" quotePrefix="0" xfId="0">
      <alignment horizontal="center" vertical="center"/>
    </xf>
    <xf numFmtId="0" fontId="5" fillId="7" borderId="1" applyAlignment="1" applyProtection="1" pivotButton="0" quotePrefix="0" xfId="0">
      <alignment horizontal="left" vertical="center"/>
      <protection locked="0" hidden="0"/>
    </xf>
    <xf numFmtId="0" fontId="7" fillId="2" borderId="1" applyAlignment="1" pivotButton="0" quotePrefix="0" xfId="0">
      <alignment horizontal="left" vertical="center" indent="1"/>
    </xf>
    <xf numFmtId="4" fontId="7" fillId="2" borderId="1" applyAlignment="1" pivotButton="0" quotePrefix="0" xfId="0">
      <alignment horizontal="center" vertical="center"/>
    </xf>
    <xf numFmtId="9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center" vertical="center"/>
    </xf>
    <xf numFmtId="164" fontId="5" fillId="7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5" fillId="7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pivotButton="0" quotePrefix="0" xfId="0">
      <alignment horizontal="center" vertical="center"/>
    </xf>
    <xf numFmtId="0" fontId="0" fillId="7" borderId="1" applyAlignment="1" applyProtection="1" pivotButton="0" quotePrefix="0" xfId="0">
      <alignment horizontal="left" vertical="top" wrapText="1" inden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3" fillId="7" borderId="1" applyAlignment="1" applyProtection="1" pivotButton="0" quotePrefix="0" xfId="0">
      <alignment horizontal="left" vertical="center" indent="1"/>
      <protection locked="0" hidden="0"/>
    </xf>
    <xf numFmtId="3" fontId="5" fillId="7" borderId="1" applyAlignment="1" applyProtection="1" pivotButton="0" quotePrefix="0" xfId="0">
      <alignment horizontal="center" vertical="center"/>
      <protection locked="0" hidden="0"/>
    </xf>
    <xf numFmtId="165" fontId="5" fillId="7" borderId="1" applyAlignment="1" applyProtection="1" pivotButton="0" quotePrefix="0" xfId="0">
      <alignment vertical="center"/>
      <protection locked="0" hidden="0"/>
    </xf>
    <xf numFmtId="165" fontId="3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textRotation="90"/>
    </xf>
    <xf numFmtId="0" fontId="5" fillId="11" borderId="1" applyAlignment="1" applyProtection="1" pivotButton="0" quotePrefix="0" xfId="0">
      <alignment vertical="center"/>
      <protection locked="0" hidden="0"/>
    </xf>
    <xf numFmtId="0" fontId="0" fillId="0" borderId="11" pivotButton="0" quotePrefix="0" xfId="0"/>
    <xf numFmtId="0" fontId="0" fillId="0" borderId="12" pivotButton="0" quotePrefix="0" xfId="0"/>
    <xf numFmtId="0" fontId="3" fillId="9" borderId="1" applyAlignment="1" pivotButton="0" quotePrefix="0" xfId="0">
      <alignment horizontal="center" vertical="center" textRotation="90"/>
    </xf>
    <xf numFmtId="0" fontId="3" fillId="10" borderId="1" applyAlignment="1" pivotButton="0" quotePrefix="0" xfId="0">
      <alignment horizontal="center" vertical="center" textRotation="90"/>
    </xf>
    <xf numFmtId="0" fontId="3" fillId="0" borderId="0" applyAlignment="1" pivotButton="0" quotePrefix="0" xfId="0">
      <alignment horizontal="center" vertical="center"/>
    </xf>
    <xf numFmtId="0" fontId="0" fillId="7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0" fillId="7" borderId="1" applyAlignment="1" applyProtection="1" pivotButton="0" quotePrefix="0" xfId="0">
      <alignment horizontal="center" vertical="center"/>
      <protection locked="0" hidden="0"/>
    </xf>
    <xf numFmtId="0" fontId="3" fillId="6" borderId="1" applyAlignment="1" pivotButton="0" quotePrefix="0" xfId="0">
      <alignment horizontal="center" vertical="center"/>
    </xf>
    <xf numFmtId="4" fontId="0" fillId="7" borderId="1" applyAlignment="1" applyProtection="1" pivotButton="0" quotePrefix="0" xfId="0">
      <alignment horizontal="center" vertical="center"/>
      <protection locked="0" hidden="0"/>
    </xf>
    <xf numFmtId="4" fontId="3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6" fontId="5" fillId="7" borderId="1" applyAlignment="1" applyProtection="1" pivotButton="0" quotePrefix="0" xfId="0">
      <alignment vertical="center"/>
      <protection locked="0" hidden="0"/>
    </xf>
    <xf numFmtId="0" fontId="0" fillId="3" borderId="1" pivotButton="0" quotePrefix="0" xfId="0"/>
    <xf numFmtId="0" fontId="0" fillId="5" borderId="1" pivotButton="0" quotePrefix="0" xfId="0"/>
    <xf numFmtId="0" fontId="0" fillId="2" borderId="1" pivotButton="0" quotePrefix="0" xfId="0"/>
    <xf numFmtId="0" fontId="3" fillId="7" borderId="1" applyAlignment="1" applyProtection="1" pivotButton="0" quotePrefix="0" xfId="0">
      <alignment horizontal="left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3557"/>
    <outlinePr summaryBelow="1" summaryRight="1"/>
    <pageSetUpPr fitToPage="1"/>
  </sheetPr>
  <dimension ref="A1:D4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6" customWidth="1" min="3" max="3"/>
    <col width="14" customWidth="1" min="4" max="4"/>
  </cols>
  <sheetData>
    <row r="1" ht="34" customHeight="1">
      <c r="A1" s="1" t="inlineStr">
        <is>
          <t>✈️ TRAVEL PLANNER — VERSION 2</t>
        </is>
      </c>
    </row>
    <row r="2" ht="18" customHeight="1">
      <c r="A2" s="2" t="inlineStr">
        <is>
          <t>by Novality store  ✦  plan • pack • spend smart • enjoy</t>
        </is>
      </c>
    </row>
    <row r="3" ht="6" customHeight="1"/>
    <row r="4" ht="20" customHeight="1">
      <c r="A4" s="3" t="inlineStr">
        <is>
          <t>🧳 TRIP SNAPSHOT</t>
        </is>
      </c>
    </row>
    <row r="5">
      <c r="A5" s="4" t="inlineStr">
        <is>
          <t>Trip Name</t>
        </is>
      </c>
      <c r="B5" s="5">
        <f>IF('Destination Overview'!B5="","—",'Destination Overview'!B5)</f>
        <v/>
      </c>
      <c r="C5" s="4" t="inlineStr">
        <is>
          <t>Destination</t>
        </is>
      </c>
      <c r="D5" s="5">
        <f>IF('Destination Overview'!B8="","—",'Destination Overview'!B9&amp;", "&amp;'Destination Overview'!B8)</f>
        <v/>
      </c>
    </row>
    <row r="6">
      <c r="A6" s="4" t="inlineStr">
        <is>
          <t>Departure</t>
        </is>
      </c>
      <c r="B6" s="6">
        <f>IF('Destination Overview'!B11="","—",'Destination Overview'!B11)</f>
        <v/>
      </c>
      <c r="C6" s="4" t="inlineStr">
        <is>
          <t>Return</t>
        </is>
      </c>
      <c r="D6" s="6">
        <f>IF('Destination Overview'!B12="","—",'Destination Overview'!B12)</f>
        <v/>
      </c>
    </row>
    <row r="7">
      <c r="A7" s="4" t="inlineStr">
        <is>
          <t>Trip Length</t>
        </is>
      </c>
      <c r="B7" s="5">
        <f>IF('Destination Overview'!B14="","—",'Destination Overview'!B14&amp;" days")</f>
        <v/>
      </c>
      <c r="C7" s="4" t="inlineStr">
        <is>
          <t>Travelers</t>
        </is>
      </c>
      <c r="D7" s="5">
        <f>IF('Destination Overview'!B13="","—",'Destination Overview'!B13&amp;" traveler(s)")</f>
        <v/>
      </c>
    </row>
    <row r="8">
      <c r="A8" s="4" t="inlineStr">
        <is>
          <t>Budget (Est.)</t>
        </is>
      </c>
      <c r="B8" s="7">
        <f>'Budget Tracker'!B15</f>
        <v/>
      </c>
      <c r="C8" s="4" t="inlineStr">
        <is>
          <t>Spent (Actual)</t>
        </is>
      </c>
      <c r="D8" s="7">
        <f>'Budget Tracker'!C15</f>
        <v/>
      </c>
    </row>
    <row r="10" ht="20" customHeight="1">
      <c r="A10" s="3" t="inlineStr">
        <is>
          <t>🧭 QUICK NAVIGATION — 28 PLANNING SHEETS</t>
        </is>
      </c>
    </row>
    <row r="11">
      <c r="A11" s="8" t="inlineStr">
        <is>
          <t>Pre-Trip Planning</t>
        </is>
      </c>
      <c r="B11" s="4" t="inlineStr">
        <is>
          <t>Destination Overview</t>
        </is>
      </c>
      <c r="C11" s="9" t="inlineStr">
        <is>
          <t>Trip basics — who, where, when and why</t>
        </is>
      </c>
      <c r="D11" s="10">
        <f>HYPERLINK("#'Destination Overview'!A1","Open →")</f>
        <v/>
      </c>
    </row>
    <row r="12">
      <c r="A12" s="11" t="inlineStr">
        <is>
          <t>Pre-Trip Planning</t>
        </is>
      </c>
      <c r="B12" s="12" t="inlineStr">
        <is>
          <t>Budget Tracker</t>
        </is>
      </c>
      <c r="C12" s="13" t="inlineStr">
        <is>
          <t>Estimated vs actual costs per category</t>
        </is>
      </c>
      <c r="D12" s="10">
        <f>HYPERLINK("#'Budget Tracker'!A1","Open →")</f>
        <v/>
      </c>
    </row>
    <row r="13">
      <c r="A13" s="8" t="inlineStr">
        <is>
          <t>Pre-Trip Planning</t>
        </is>
      </c>
      <c r="B13" s="4" t="inlineStr">
        <is>
          <t>Savings Goal</t>
        </is>
      </c>
      <c r="C13" s="9" t="inlineStr">
        <is>
          <t>Progress bar + savings log to hit your target</t>
        </is>
      </c>
      <c r="D13" s="10">
        <f>HYPERLINK("#'Savings Goal'!A1","Open →")</f>
        <v/>
      </c>
    </row>
    <row r="14">
      <c r="A14" s="11" t="inlineStr">
        <is>
          <t>Pre-Trip Planning</t>
        </is>
      </c>
      <c r="B14" s="12" t="inlineStr">
        <is>
          <t>Research &amp; Ideas</t>
        </is>
      </c>
      <c r="C14" s="13" t="inlineStr">
        <is>
          <t>Must-see spots, links and inspiration</t>
        </is>
      </c>
      <c r="D14" s="10">
        <f>HYPERLINK("#'Research &amp; Ideas'!A1","Open →")</f>
        <v/>
      </c>
    </row>
    <row r="15">
      <c r="A15" s="8" t="inlineStr">
        <is>
          <t>Pre-Trip Planning</t>
        </is>
      </c>
      <c r="B15" s="4" t="inlineStr">
        <is>
          <t>Visa &amp; Documents</t>
        </is>
      </c>
      <c r="C15" s="9" t="inlineStr">
        <is>
          <t>Checklist so nothing expires or is forgotten</t>
        </is>
      </c>
      <c r="D15" s="10">
        <f>HYPERLINK("#'Visa &amp; Documents'!A1","Open →")</f>
        <v/>
      </c>
    </row>
    <row r="16">
      <c r="A16" s="11" t="inlineStr">
        <is>
          <t>Pre-Trip Planning</t>
        </is>
      </c>
      <c r="B16" s="12" t="inlineStr">
        <is>
          <t>Booking Log</t>
        </is>
      </c>
      <c r="C16" s="13" t="inlineStr">
        <is>
          <t>Every confirmation number in one place</t>
        </is>
      </c>
      <c r="D16" s="10">
        <f>HYPERLINK("#'Booking Log'!A1","Open →")</f>
        <v/>
      </c>
    </row>
    <row r="17">
      <c r="A17" s="8" t="inlineStr">
        <is>
          <t>Packing &amp; Prep</t>
        </is>
      </c>
      <c r="B17" s="4" t="inlineStr">
        <is>
          <t>Packing Checklist</t>
        </is>
      </c>
      <c r="C17" s="9" t="inlineStr">
        <is>
          <t>Categorized list with pack-progress %</t>
        </is>
      </c>
      <c r="D17" s="10">
        <f>HYPERLINK("#'Packing Checklist'!A1","Open →")</f>
        <v/>
      </c>
    </row>
    <row r="18">
      <c r="A18" s="11" t="inlineStr">
        <is>
          <t>Packing &amp; Prep</t>
        </is>
      </c>
      <c r="B18" s="12" t="inlineStr">
        <is>
          <t>Weather Tracker</t>
        </is>
      </c>
      <c r="C18" s="13" t="inlineStr">
        <is>
          <t>Forecast + outfit planning per day</t>
        </is>
      </c>
      <c r="D18" s="10">
        <f>HYPERLINK("#'Weather Tracker'!A1","Open →")</f>
        <v/>
      </c>
    </row>
    <row r="19">
      <c r="A19" s="8" t="inlineStr">
        <is>
          <t>Packing &amp; Prep</t>
        </is>
      </c>
      <c r="B19" s="4" t="inlineStr">
        <is>
          <t>Carry-On vs Checked</t>
        </is>
      </c>
      <c r="C19" s="9" t="inlineStr">
        <is>
          <t>What goes in which bag</t>
        </is>
      </c>
      <c r="D19" s="10">
        <f>HYPERLINK("#'Carry-On vs Checked'!A1","Open →")</f>
        <v/>
      </c>
    </row>
    <row r="20">
      <c r="A20" s="11" t="inlineStr">
        <is>
          <t>Packing &amp; Prep</t>
        </is>
      </c>
      <c r="B20" s="12" t="inlineStr">
        <is>
          <t>Pre-Trip To-Do</t>
        </is>
      </c>
      <c r="C20" s="13" t="inlineStr">
        <is>
          <t>Bank alerts, pet sitter, mail hold…</t>
        </is>
      </c>
      <c r="D20" s="10">
        <f>HYPERLINK("#'Pre-Trip To-Do'!A1","Open →")</f>
        <v/>
      </c>
    </row>
    <row r="21">
      <c r="A21" s="8" t="inlineStr">
        <is>
          <t>Itinerary &amp; Daily</t>
        </is>
      </c>
      <c r="B21" s="4" t="inlineStr">
        <is>
          <t>Daily Itinerary</t>
        </is>
      </c>
      <c r="C21" s="9" t="inlineStr">
        <is>
          <t>Day-by-day plan with times &amp; costs</t>
        </is>
      </c>
      <c r="D21" s="10">
        <f>HYPERLINK("#'Daily Itinerary'!A1","Open →")</f>
        <v/>
      </c>
    </row>
    <row r="22">
      <c r="A22" s="11" t="inlineStr">
        <is>
          <t>Itinerary &amp; Daily</t>
        </is>
      </c>
      <c r="B22" s="12" t="inlineStr">
        <is>
          <t>Hourly Schedule</t>
        </is>
      </c>
      <c r="C22" s="13" t="inlineStr">
        <is>
          <t>7-day morning / afternoon / evening grid</t>
        </is>
      </c>
      <c r="D22" s="10">
        <f>HYPERLINK("#'Hourly Schedule'!A1","Open →")</f>
        <v/>
      </c>
    </row>
    <row r="23">
      <c r="A23" s="8" t="inlineStr">
        <is>
          <t>Itinerary &amp; Daily</t>
        </is>
      </c>
      <c r="B23" s="4" t="inlineStr">
        <is>
          <t>Route Planner</t>
        </is>
      </c>
      <c r="C23" s="9" t="inlineStr">
        <is>
          <t>Order your stops + sketch a map</t>
        </is>
      </c>
      <c r="D23" s="10">
        <f>HYPERLINK("#'Route Planner'!A1","Open →")</f>
        <v/>
      </c>
    </row>
    <row r="24">
      <c r="A24" s="11" t="inlineStr">
        <is>
          <t>Itinerary &amp; Daily</t>
        </is>
      </c>
      <c r="B24" s="12" t="inlineStr">
        <is>
          <t>Transportation Log</t>
        </is>
      </c>
      <c r="C24" s="13" t="inlineStr">
        <is>
          <t>Flights, trains &amp; taxis with confirmations</t>
        </is>
      </c>
      <c r="D24" s="10">
        <f>HYPERLINK("#'Transportation Log'!A1","Open →")</f>
        <v/>
      </c>
    </row>
    <row r="25">
      <c r="A25" s="8" t="inlineStr">
        <is>
          <t>Itinerary &amp; Daily</t>
        </is>
      </c>
      <c r="B25" s="4" t="inlineStr">
        <is>
          <t>Accommodation</t>
        </is>
      </c>
      <c r="C25" s="9" t="inlineStr">
        <is>
          <t>Up to 3 stays — Wi-Fi passwords included</t>
        </is>
      </c>
      <c r="D25" s="10">
        <f>HYPERLINK("#'Accommodation'!A1","Open →")</f>
        <v/>
      </c>
    </row>
    <row r="26">
      <c r="A26" s="11" t="inlineStr">
        <is>
          <t>Expense Tracking</t>
        </is>
      </c>
      <c r="B26" s="12" t="inlineStr">
        <is>
          <t>Expense Log</t>
        </is>
      </c>
      <c r="C26" s="13" t="inlineStr">
        <is>
          <t>150-row daily spend log, auto-converted</t>
        </is>
      </c>
      <c r="D26" s="10">
        <f>HYPERLINK("#'Expense Log'!A1","Open →")</f>
        <v/>
      </c>
    </row>
    <row r="27">
      <c r="A27" s="8" t="inlineStr">
        <is>
          <t>Expense Tracking</t>
        </is>
      </c>
      <c r="B27" s="4" t="inlineStr">
        <is>
          <t>Currency Converter</t>
        </is>
      </c>
      <c r="C27" s="9" t="inlineStr">
        <is>
          <t>Rate table + quick converter</t>
        </is>
      </c>
      <c r="D27" s="10">
        <f>HYPERLINK("#'Currency Converter'!A1","Open →")</f>
        <v/>
      </c>
    </row>
    <row r="28">
      <c r="A28" s="11" t="inlineStr">
        <is>
          <t>Expense Tracking</t>
        </is>
      </c>
      <c r="B28" s="12" t="inlineStr">
        <is>
          <t>Tipping Guide</t>
        </is>
      </c>
      <c r="C28" s="13" t="inlineStr">
        <is>
          <t>What to tip in 12+ countries</t>
        </is>
      </c>
      <c r="D28" s="10">
        <f>HYPERLINK("#'Tipping Guide'!A1","Open →")</f>
        <v/>
      </c>
    </row>
    <row r="29">
      <c r="A29" s="8" t="inlineStr">
        <is>
          <t>Expense Tracking</t>
        </is>
      </c>
      <c r="B29" s="4" t="inlineStr">
        <is>
          <t>Trip Cost Summary</t>
        </is>
      </c>
      <c r="C29" s="9" t="inlineStr">
        <is>
          <t>Every total on one dashboard</t>
        </is>
      </c>
      <c r="D29" s="10">
        <f>HYPERLINK("#'Trip Cost Summary'!A1","Open →")</f>
        <v/>
      </c>
    </row>
    <row r="30">
      <c r="A30" s="11" t="inlineStr">
        <is>
          <t>Food &amp; Activities</t>
        </is>
      </c>
      <c r="B30" s="12" t="inlineStr">
        <is>
          <t>Restaurant Wishlist</t>
        </is>
      </c>
      <c r="C30" s="13" t="inlineStr">
        <is>
          <t>Wish list with reservations &amp; ratings</t>
        </is>
      </c>
      <c r="D30" s="10">
        <f>HYPERLINK("#'Restaurant Wishlist'!A1","Open →")</f>
        <v/>
      </c>
    </row>
    <row r="31">
      <c r="A31" s="8" t="inlineStr">
        <is>
          <t>Food &amp; Activities</t>
        </is>
      </c>
      <c r="B31" s="4" t="inlineStr">
        <is>
          <t>Activity Planner</t>
        </is>
      </c>
      <c r="C31" s="9" t="inlineStr">
        <is>
          <t>Excursions — idea → booked → done</t>
        </is>
      </c>
      <c r="D31" s="10">
        <f>HYPERLINK("#'Activity Planner'!A1","Open →")</f>
        <v/>
      </c>
    </row>
    <row r="32">
      <c r="A32" s="11" t="inlineStr">
        <is>
          <t>Food &amp; Activities</t>
        </is>
      </c>
      <c r="B32" s="12" t="inlineStr">
        <is>
          <t>Local Phrases</t>
        </is>
      </c>
      <c r="C32" s="13" t="inlineStr">
        <is>
          <t>16 essentials to learn</t>
        </is>
      </c>
      <c r="D32" s="10">
        <f>HYPERLINK("#'Local Phrases'!A1","Open →")</f>
        <v/>
      </c>
    </row>
    <row r="33">
      <c r="A33" s="8" t="inlineStr">
        <is>
          <t>Food &amp; Activities</t>
        </is>
      </c>
      <c r="B33" s="4" t="inlineStr">
        <is>
          <t>Etiquette Notes</t>
        </is>
      </c>
      <c r="C33" s="9" t="inlineStr">
        <is>
          <t>Do's and don'ts by topic</t>
        </is>
      </c>
      <c r="D33" s="10">
        <f>HYPERLINK("#'Etiquette Notes'!A1","Open →")</f>
        <v/>
      </c>
    </row>
    <row r="34">
      <c r="A34" s="11" t="inlineStr">
        <is>
          <t>Extras &amp; Memories</t>
        </is>
      </c>
      <c r="B34" s="12" t="inlineStr">
        <is>
          <t>Emergency Contacts</t>
        </is>
      </c>
      <c r="C34" s="13" t="inlineStr">
        <is>
          <t>Embassy, hospital, insurance, family</t>
        </is>
      </c>
      <c r="D34" s="10">
        <f>HYPERLINK("#'Emergency Contacts'!A1","Open →")</f>
        <v/>
      </c>
    </row>
    <row r="35">
      <c r="A35" s="8" t="inlineStr">
        <is>
          <t>Extras &amp; Memories</t>
        </is>
      </c>
      <c r="B35" s="4" t="inlineStr">
        <is>
          <t>Travel Journal</t>
        </is>
      </c>
      <c r="C35" s="9" t="inlineStr">
        <is>
          <t>Daily highlights &amp; favorite moments</t>
        </is>
      </c>
      <c r="D35" s="10">
        <f>HYPERLINK("#'Travel Journal'!A1","Open →")</f>
        <v/>
      </c>
    </row>
    <row r="36">
      <c r="A36" s="11" t="inlineStr">
        <is>
          <t>Extras &amp; Memories</t>
        </is>
      </c>
      <c r="B36" s="12" t="inlineStr">
        <is>
          <t>Ratings &amp; Reviews</t>
        </is>
      </c>
      <c r="C36" s="13" t="inlineStr">
        <is>
          <t>Rate everything 1–5</t>
        </is>
      </c>
      <c r="D36" s="10">
        <f>HYPERLINK("#'Ratings &amp; Reviews'!A1","Open →")</f>
        <v/>
      </c>
    </row>
    <row r="37">
      <c r="A37" s="8" t="inlineStr">
        <is>
          <t>Extras &amp; Memories</t>
        </is>
      </c>
      <c r="B37" s="4" t="inlineStr">
        <is>
          <t>Souvenir List</t>
        </is>
      </c>
      <c r="C37" s="9" t="inlineStr">
        <is>
          <t>Gift budget vs actual spending</t>
        </is>
      </c>
      <c r="D37" s="10">
        <f>HYPERLINK("#'Souvenir List'!A1","Open →")</f>
        <v/>
      </c>
    </row>
    <row r="38">
      <c r="A38" s="11" t="inlineStr">
        <is>
          <t>Extras &amp; Memories</t>
        </is>
      </c>
      <c r="B38" s="12" t="inlineStr">
        <is>
          <t>Wi-Fi &amp; Passwords</t>
        </is>
      </c>
      <c r="C38" s="13" t="inlineStr">
        <is>
          <t>Every network + password, saved</t>
        </is>
      </c>
      <c r="D38" s="10">
        <f>HYPERLINK("#'Wi-Fi &amp; Passwords'!A1","Open →")</f>
        <v/>
      </c>
    </row>
    <row r="40" ht="20" customHeight="1">
      <c r="A40" s="3" t="inlineStr">
        <is>
          <t>📌 HOW TO USE</t>
        </is>
      </c>
    </row>
    <row r="41" ht="18" customHeight="1">
      <c r="A41" s="9" t="inlineStr">
        <is>
          <t>✔  Yellow cells are yours to fill in — type, pick dates, or choose from the dropdown arrows.</t>
        </is>
      </c>
      <c r="B41" s="14" t="n"/>
      <c r="C41" s="14" t="n"/>
      <c r="D41" s="15" t="n"/>
    </row>
    <row r="42" ht="18" customHeight="1">
      <c r="A42" s="9" t="inlineStr">
        <is>
          <t>✔  Blue-gray cells calculate automatically and are locked, so the formulas can never break.</t>
        </is>
      </c>
      <c r="B42" s="14" t="n"/>
      <c r="C42" s="14" t="n"/>
      <c r="D42" s="15" t="n"/>
    </row>
    <row r="43" ht="18" customHeight="1">
      <c r="A43" s="9" t="inlineStr">
        <is>
          <t>✔  Status columns have dropdowns — tap ✓ when something is done, packed or visited.</t>
        </is>
      </c>
      <c r="B43" s="14" t="n"/>
      <c r="C43" s="14" t="n"/>
      <c r="D43" s="15" t="n"/>
    </row>
    <row r="44" ht="18" customHeight="1">
      <c r="A44" s="9" t="inlineStr">
        <is>
          <t>✔  Start on 'Destination Overview', set your 'Budget Tracker', then plan the fun stuff!</t>
        </is>
      </c>
      <c r="B44" s="14" t="n"/>
      <c r="C44" s="14" t="n"/>
      <c r="D44" s="15" t="n"/>
    </row>
    <row r="46">
      <c r="A46" s="16" t="inlineStr">
        <is>
          <t>Travel Planner v2.0  •  made with ❤ by Novality store  •  happy travels!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10">
    <mergeCell ref="A1:D1"/>
    <mergeCell ref="A40:D40"/>
    <mergeCell ref="A4:D4"/>
    <mergeCell ref="A43:D43"/>
    <mergeCell ref="A41:D41"/>
    <mergeCell ref="A2:D2"/>
    <mergeCell ref="A10:D10"/>
    <mergeCell ref="A42:D42"/>
    <mergeCell ref="A46:D46"/>
    <mergeCell ref="A44:D44"/>
  </mergeCells>
  <pageMargins left="0.75" right="0.75" top="1" bottom="1" header="0.5" footer="0.5"/>
  <pageSetup orientation="portrait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6" customWidth="1" min="3" max="3"/>
  </cols>
  <sheetData>
    <row r="1" ht="34" customHeight="1">
      <c r="A1" s="1" t="inlineStr">
        <is>
          <t>🌍 DESTINATION OVERVIEW</t>
        </is>
      </c>
    </row>
    <row r="2" ht="18" customHeight="1">
      <c r="A2" s="2" t="inlineStr">
        <is>
          <t>The who / where / when of your trip — it feeds the Home snapshot</t>
        </is>
      </c>
    </row>
    <row r="3" ht="6" customHeight="1"/>
    <row r="4" ht="22" customHeight="1">
      <c r="A4" s="17" t="inlineStr">
        <is>
          <t>Field</t>
        </is>
      </c>
      <c r="B4" s="17" t="inlineStr">
        <is>
          <t>Your Details</t>
        </is>
      </c>
      <c r="C4" s="17" t="inlineStr">
        <is>
          <t>Notes / Extra Info</t>
        </is>
      </c>
    </row>
    <row r="5">
      <c r="A5" s="4" t="inlineStr">
        <is>
          <t>Trip Name</t>
        </is>
      </c>
      <c r="B5" s="18" t="n"/>
      <c r="C5" s="19" t="inlineStr">
        <is>
          <t>e.g. “Cherry Blossom Japan 2027”</t>
        </is>
      </c>
    </row>
    <row r="6">
      <c r="A6" s="4" t="inlineStr">
        <is>
          <t>Traveler Name(s)</t>
        </is>
      </c>
      <c r="B6" s="18" t="n"/>
      <c r="C6" s="19" t="inlineStr">
        <is>
          <t>Everyone on the booking</t>
        </is>
      </c>
    </row>
    <row r="7">
      <c r="A7" s="4" t="inlineStr">
        <is>
          <t>Home City / Base</t>
        </is>
      </c>
      <c r="B7" s="18" t="n"/>
      <c r="C7" s="19" t="n"/>
    </row>
    <row r="8">
      <c r="A8" s="4" t="inlineStr">
        <is>
          <t>Destination Country</t>
        </is>
      </c>
      <c r="B8" s="18" t="n"/>
      <c r="C8" s="19" t="n"/>
    </row>
    <row r="9">
      <c r="A9" s="4" t="inlineStr">
        <is>
          <t>Destination City / Cities</t>
        </is>
      </c>
      <c r="B9" s="18" t="n"/>
      <c r="C9" s="19" t="inlineStr">
        <is>
          <t>One base or a multi-stop route</t>
        </is>
      </c>
    </row>
    <row r="10">
      <c r="A10" s="4" t="inlineStr">
        <is>
          <t>Trip Purpose</t>
        </is>
      </c>
      <c r="B10" s="18" t="n"/>
      <c r="C10" s="19" t="n"/>
    </row>
    <row r="11">
      <c r="A11" s="4" t="inlineStr">
        <is>
          <t>Departure Date</t>
        </is>
      </c>
      <c r="B11" s="20" t="n"/>
      <c r="C11" s="19" t="n"/>
    </row>
    <row r="12">
      <c r="A12" s="4" t="inlineStr">
        <is>
          <t>Return Date</t>
        </is>
      </c>
      <c r="B12" s="20" t="n"/>
      <c r="C12" s="19" t="n"/>
    </row>
    <row r="13">
      <c r="A13" s="4" t="inlineStr">
        <is>
          <t>Number of Travelers</t>
        </is>
      </c>
      <c r="B13" s="21" t="n"/>
      <c r="C13" s="19" t="n"/>
    </row>
    <row r="14">
      <c r="A14" s="4" t="inlineStr">
        <is>
          <t>Trip Length (Days)</t>
        </is>
      </c>
      <c r="B14" s="22">
        <f>IF(COUNT(B11:B12)&lt;2,"",B12-B11+1)</f>
        <v/>
      </c>
      <c r="C14" s="19" t="inlineStr">
        <is>
          <t>Calculated from your dates</t>
        </is>
      </c>
    </row>
    <row r="15">
      <c r="A15" s="4" t="inlineStr">
        <is>
          <t>Days Until Departure</t>
        </is>
      </c>
      <c r="B15" s="22">
        <f>IF(B11="","—",B11-TODAY())</f>
        <v/>
      </c>
      <c r="C15" s="19" t="inlineStr">
        <is>
          <t>Updates automatically each day</t>
        </is>
      </c>
    </row>
    <row r="16">
      <c r="A16" s="4" t="inlineStr">
        <is>
          <t>Home Emergency Contact</t>
        </is>
      </c>
      <c r="B16" s="18" t="n"/>
      <c r="C16" s="19" t="inlineStr">
        <is>
          <t>Name + phone</t>
        </is>
      </c>
    </row>
    <row r="17">
      <c r="A17" s="4" t="inlineStr">
        <is>
          <t>Home Address</t>
        </is>
      </c>
      <c r="B17" s="18" t="n"/>
      <c r="C17" s="19" t="n"/>
    </row>
    <row r="18" ht="26" customHeight="1">
      <c r="A18" s="4" t="inlineStr">
        <is>
          <t>Trip Notes / Why We're Going</t>
        </is>
      </c>
      <c r="B18" s="18" t="n"/>
      <c r="C18" s="19" t="inlineStr">
        <is>
          <t>Free text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2">
    <mergeCell ref="A1:C1"/>
    <mergeCell ref="A2:C2"/>
  </mergeCells>
  <dataValidations count="1">
    <dataValidation sqref="B10" showDropDown="0" showInputMessage="0" showErrorMessage="0" allowBlank="1" type="list">
      <formula1>"Leisure / Beach,City Break,Adventure / Outdoors,Business,Family Trip,Honeymoon / Romance,Backpacking,Visiting Friends &amp; Family,Festival / Event,Other"</formula1>
    </dataValidation>
  </dataValidations>
  <pageMargins left="0.75" right="0.75" top="1" bottom="1" header="0.5" footer="0.5"/>
  <pageSetup orientation="portrait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24" customWidth="1" min="6" max="6"/>
    <col width="32" customWidth="1" min="7" max="7"/>
    <col width="22" customWidth="1" min="9" max="9"/>
    <col width="15" customWidth="1" min="10" max="10"/>
  </cols>
  <sheetData>
    <row r="1" ht="34" customHeight="1">
      <c r="A1" s="1" t="inlineStr">
        <is>
          <t>💰 BUDGET TRACKER</t>
        </is>
      </c>
    </row>
    <row r="2" ht="18" customHeight="1">
      <c r="A2" s="2" t="inlineStr">
        <is>
          <t>Estimated vs actual for every category — variance updates itself</t>
        </is>
      </c>
    </row>
    <row r="3" ht="6" customHeight="1"/>
    <row r="4" ht="20" customHeight="1">
      <c r="A4" s="17" t="inlineStr">
        <is>
          <t>Category</t>
        </is>
      </c>
      <c r="B4" s="17" t="inlineStr">
        <is>
          <t>Estimated Cost</t>
        </is>
      </c>
      <c r="C4" s="17" t="inlineStr">
        <is>
          <t>Actual Cost</t>
        </is>
      </c>
      <c r="D4" s="17" t="inlineStr">
        <is>
          <t>Difference</t>
        </is>
      </c>
      <c r="E4" s="17" t="inlineStr">
        <is>
          <t>% of Est. Used</t>
        </is>
      </c>
      <c r="F4" s="17" t="inlineStr">
        <is>
          <t>Status</t>
        </is>
      </c>
      <c r="G4" s="17" t="inlineStr">
        <is>
          <t>Notes</t>
        </is>
      </c>
      <c r="I4" s="23" t="inlineStr">
        <is>
          <t>📊 SUMMARY</t>
        </is>
      </c>
    </row>
    <row r="5">
      <c r="A5" s="24" t="inlineStr">
        <is>
          <t>✈️ Flights</t>
        </is>
      </c>
      <c r="B5" s="25" t="n"/>
      <c r="C5" s="25" t="n"/>
      <c r="D5" s="7">
        <f>IF(COUNT(B5:C5)=0,"",B5-C5)</f>
        <v/>
      </c>
      <c r="E5" s="26">
        <f>IF(OR(B5="",B5=0),"",C5/B5)</f>
        <v/>
      </c>
      <c r="F5" s="5">
        <f>IF(COUNT(B5:C5)=0,"",IF(C5&gt;B5,"⚠ Over budget","✓ On track"))</f>
        <v/>
      </c>
      <c r="G5" s="27" t="n"/>
      <c r="I5" s="4" t="inlineStr">
        <is>
          <t>Total Estimated</t>
        </is>
      </c>
      <c r="J5" s="7">
        <f>B15</f>
        <v/>
      </c>
    </row>
    <row r="6">
      <c r="A6" s="24" t="inlineStr">
        <is>
          <t>🏨 Accommodation</t>
        </is>
      </c>
      <c r="B6" s="25" t="n"/>
      <c r="C6" s="25" t="n"/>
      <c r="D6" s="7">
        <f>IF(COUNT(B6:C6)=0,"",B6-C6)</f>
        <v/>
      </c>
      <c r="E6" s="26">
        <f>IF(OR(B6="",B6=0),"",C6/B6)</f>
        <v/>
      </c>
      <c r="F6" s="5">
        <f>IF(COUNT(B6:C6)=0,"",IF(C6&gt;B6,"⚠ Over budget","✓ On track"))</f>
        <v/>
      </c>
      <c r="G6" s="27" t="n"/>
      <c r="I6" s="4" t="inlineStr">
        <is>
          <t>Total Actual</t>
        </is>
      </c>
      <c r="J6" s="7">
        <f>C15</f>
        <v/>
      </c>
    </row>
    <row r="7">
      <c r="A7" s="24" t="inlineStr">
        <is>
          <t>🍽️ Food &amp; Dining</t>
        </is>
      </c>
      <c r="B7" s="25" t="n"/>
      <c r="C7" s="25" t="n"/>
      <c r="D7" s="7">
        <f>IF(COUNT(B7:C7)=0,"",B7-C7)</f>
        <v/>
      </c>
      <c r="E7" s="26">
        <f>IF(OR(B7="",B7=0),"",C7/B7)</f>
        <v/>
      </c>
      <c r="F7" s="5">
        <f>IF(COUNT(B7:C7)=0,"",IF(C7&gt;B7,"⚠ Over budget","✓ On track"))</f>
        <v/>
      </c>
      <c r="G7" s="27" t="n"/>
      <c r="I7" s="4" t="inlineStr">
        <is>
          <t>Remaining Budget</t>
        </is>
      </c>
      <c r="J7" s="7">
        <f>B15-C15</f>
        <v/>
      </c>
    </row>
    <row r="8">
      <c r="A8" s="24" t="inlineStr">
        <is>
          <t>🚕 Local Transport</t>
        </is>
      </c>
      <c r="B8" s="25" t="n"/>
      <c r="C8" s="25" t="n"/>
      <c r="D8" s="7">
        <f>IF(COUNT(B8:C8)=0,"",B8-C8)</f>
        <v/>
      </c>
      <c r="E8" s="26">
        <f>IF(OR(B8="",B8=0),"",C8/B8)</f>
        <v/>
      </c>
      <c r="F8" s="5">
        <f>IF(COUNT(B8:C8)=0,"",IF(C8&gt;B8,"⚠ Over budget","✓ On track"))</f>
        <v/>
      </c>
      <c r="G8" s="27" t="n"/>
      <c r="I8" s="4" t="inlineStr">
        <is>
          <t>% of Budget Used</t>
        </is>
      </c>
      <c r="J8" s="26">
        <f>IF(B15=0,"",C15/B15)</f>
        <v/>
      </c>
    </row>
    <row r="9">
      <c r="A9" s="24" t="inlineStr">
        <is>
          <t>🎟️ Activities &amp; Tours</t>
        </is>
      </c>
      <c r="B9" s="25" t="n"/>
      <c r="C9" s="25" t="n"/>
      <c r="D9" s="7">
        <f>IF(COUNT(B9:C9)=0,"",B9-C9)</f>
        <v/>
      </c>
      <c r="E9" s="26">
        <f>IF(OR(B9="",B9=0),"",C9/B9)</f>
        <v/>
      </c>
      <c r="F9" s="5">
        <f>IF(COUNT(B9:C9)=0,"",IF(C9&gt;B9,"⚠ Over budget","✓ On track"))</f>
        <v/>
      </c>
      <c r="G9" s="27" t="n"/>
    </row>
    <row r="10">
      <c r="A10" s="24" t="inlineStr">
        <is>
          <t>🛍️ Shopping</t>
        </is>
      </c>
      <c r="B10" s="25" t="n"/>
      <c r="C10" s="25" t="n"/>
      <c r="D10" s="7">
        <f>IF(COUNT(B10:C10)=0,"",B10-C10)</f>
        <v/>
      </c>
      <c r="E10" s="26">
        <f>IF(OR(B10="",B10=0),"",C10/B10)</f>
        <v/>
      </c>
      <c r="F10" s="5">
        <f>IF(COUNT(B10:C10)=0,"",IF(C10&gt;B10,"⚠ Over budget","✓ On track"))</f>
        <v/>
      </c>
      <c r="G10" s="27" t="n"/>
    </row>
    <row r="11">
      <c r="A11" s="24" t="inlineStr">
        <is>
          <t>🛡️ Travel Insurance</t>
        </is>
      </c>
      <c r="B11" s="25" t="n"/>
      <c r="C11" s="25" t="n"/>
      <c r="D11" s="7">
        <f>IF(COUNT(B11:C11)=0,"",B11-C11)</f>
        <v/>
      </c>
      <c r="E11" s="26">
        <f>IF(OR(B11="",B11=0),"",C11/B11)</f>
        <v/>
      </c>
      <c r="F11" s="5">
        <f>IF(COUNT(B11:C11)=0,"",IF(C11&gt;B11,"⚠ Over budget","✓ On track"))</f>
        <v/>
      </c>
      <c r="G11" s="27" t="n"/>
    </row>
    <row r="12">
      <c r="A12" s="24" t="inlineStr">
        <is>
          <t>📋 Visas &amp; Fees</t>
        </is>
      </c>
      <c r="B12" s="25" t="n"/>
      <c r="C12" s="25" t="n"/>
      <c r="D12" s="7">
        <f>IF(COUNT(B12:C12)=0,"",B12-C12)</f>
        <v/>
      </c>
      <c r="E12" s="26">
        <f>IF(OR(B12="",B12=0),"",C12/B12)</f>
        <v/>
      </c>
      <c r="F12" s="5">
        <f>IF(COUNT(B12:C12)=0,"",IF(C12&gt;B12,"⚠ Over budget","✓ On track"))</f>
        <v/>
      </c>
      <c r="G12" s="27" t="n"/>
    </row>
    <row r="13">
      <c r="A13" s="24" t="inlineStr">
        <is>
          <t>🎁 Souvenirs</t>
        </is>
      </c>
      <c r="B13" s="25" t="n"/>
      <c r="C13" s="25" t="n"/>
      <c r="D13" s="7">
        <f>IF(COUNT(B13:C13)=0,"",B13-C13)</f>
        <v/>
      </c>
      <c r="E13" s="26">
        <f>IF(OR(B13="",B13=0),"",C13/B13)</f>
        <v/>
      </c>
      <c r="F13" s="5">
        <f>IF(COUNT(B13:C13)=0,"",IF(C13&gt;B13,"⚠ Over budget","✓ On track"))</f>
        <v/>
      </c>
      <c r="G13" s="27" t="n"/>
    </row>
    <row r="14">
      <c r="A14" s="24" t="inlineStr">
        <is>
          <t>✨ Miscellaneous</t>
        </is>
      </c>
      <c r="B14" s="25" t="n"/>
      <c r="C14" s="25" t="n"/>
      <c r="D14" s="7">
        <f>IF(COUNT(B14:C14)=0,"",B14-C14)</f>
        <v/>
      </c>
      <c r="E14" s="26">
        <f>IF(OR(B14="",B14=0),"",C14/B14)</f>
        <v/>
      </c>
      <c r="F14" s="5">
        <f>IF(COUNT(B14:C14)=0,"",IF(C14&gt;B14,"⚠ Over budget","✓ On track"))</f>
        <v/>
      </c>
      <c r="G14" s="27" t="n"/>
    </row>
    <row r="15">
      <c r="A15" s="28" t="inlineStr">
        <is>
          <t>TOTAL</t>
        </is>
      </c>
      <c r="B15" s="29">
        <f>SUM(B5:B14)</f>
        <v/>
      </c>
      <c r="C15" s="29">
        <f>SUM(C5:C14)</f>
        <v/>
      </c>
      <c r="D15" s="29">
        <f>B15-C15</f>
        <v/>
      </c>
      <c r="E15" s="30">
        <f>IF(B15=0,"",C15/B15)</f>
        <v/>
      </c>
      <c r="F15" s="31">
        <f>IF(COUNT(B5:C14)=0,"",IF(C15&gt;B15,"⚠ Over by "&amp;TEXT(C15-B15,"#,##0.00"),"✓ Under by "&amp;TEXT(B15-C15,"#,##0.00")))</f>
        <v/>
      </c>
      <c r="G15" s="3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autoFilter ref="A4:G14"/>
  <mergeCells count="3">
    <mergeCell ref="A1:J1"/>
    <mergeCell ref="I4:J4"/>
    <mergeCell ref="A2:J2"/>
  </mergeCells>
  <conditionalFormatting sqref="E5:E14">
    <cfRule type="dataBar" priority="1">
      <dataBar showValue="1">
        <cfvo type="num" val="0"/>
        <cfvo type="num" val="1"/>
        <color rgb="002A9D8F"/>
      </dataBar>
    </cfRule>
  </conditionalFormatting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D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6" customWidth="1" min="4" max="4"/>
  </cols>
  <sheetData>
    <row r="1" ht="34" customHeight="1">
      <c r="A1" s="1" t="inlineStr">
        <is>
          <t>🎯 SAVINGS GOAL TRACKER</t>
        </is>
      </c>
    </row>
    <row r="2" ht="18" customHeight="1">
      <c r="A2" s="2" t="inlineStr">
        <is>
          <t>Watch the bar fill as you save — log every deposit below</t>
        </is>
      </c>
    </row>
    <row r="3" ht="6" customHeight="1"/>
    <row r="4" ht="20" customHeight="1">
      <c r="A4" s="3" t="inlineStr">
        <is>
          <t>🎯 GOAL OVERVIEW</t>
        </is>
      </c>
    </row>
    <row r="5">
      <c r="A5" s="4" t="inlineStr">
        <is>
          <t>Savings Target</t>
        </is>
      </c>
      <c r="B5" s="25" t="n"/>
      <c r="C5" s="33" t="inlineStr">
        <is>
          <t>Tip: match it to your Budget Tracker total</t>
        </is>
      </c>
    </row>
    <row r="6">
      <c r="A6" s="4" t="inlineStr">
        <is>
          <t>Saved So Far</t>
        </is>
      </c>
      <c r="B6" s="7">
        <f>SUM(B12:B31)</f>
        <v/>
      </c>
    </row>
    <row r="7">
      <c r="A7" s="4" t="inlineStr">
        <is>
          <t>Still Needed</t>
        </is>
      </c>
      <c r="B7" s="7">
        <f>IF(B5="","",MAX(0,B5-B6))</f>
        <v/>
      </c>
    </row>
    <row r="8">
      <c r="A8" s="4" t="inlineStr">
        <is>
          <t>Progress</t>
        </is>
      </c>
      <c r="B8" s="26">
        <f>IF(OR(B5="",B5=0),"",MIN(1,B6/B5))</f>
        <v/>
      </c>
    </row>
    <row r="9" ht="26" customHeight="1">
      <c r="A9" s="34">
        <f>IF(OR(B5="",B5=0),"",REPT("█",MIN(20,ROUND(B6/B5*20,0)))&amp;REPT("░",20-MIN(20,ROUND(B6/B5*20,0))))</f>
        <v/>
      </c>
      <c r="B9" s="14" t="n"/>
      <c r="C9" s="14" t="n"/>
      <c r="D9" s="15" t="n"/>
    </row>
    <row r="10" ht="20" customHeight="1">
      <c r="A10" s="3" t="inlineStr">
        <is>
          <t>🧾 SAVINGS LOG — every deposit gets you closer</t>
        </is>
      </c>
    </row>
    <row r="11" ht="22" customHeight="1">
      <c r="A11" s="17" t="inlineStr">
        <is>
          <t>Date</t>
        </is>
      </c>
      <c r="B11" s="17" t="inlineStr">
        <is>
          <t>Amount Saved</t>
        </is>
      </c>
      <c r="C11" s="17" t="inlineStr">
        <is>
          <t>Source / Note</t>
        </is>
      </c>
      <c r="D11" s="17" t="inlineStr">
        <is>
          <t>Running Total</t>
        </is>
      </c>
    </row>
    <row r="12">
      <c r="A12" s="35" t="n"/>
      <c r="B12" s="25" t="n"/>
      <c r="C12" s="27" t="n"/>
      <c r="D12" s="7">
        <f>IF(B12="","",SUM($B$12:B12))</f>
        <v/>
      </c>
    </row>
    <row r="13">
      <c r="A13" s="35" t="n"/>
      <c r="B13" s="25" t="n"/>
      <c r="C13" s="27" t="n"/>
      <c r="D13" s="7">
        <f>IF(B13="","",SUM($B$12:B13))</f>
        <v/>
      </c>
    </row>
    <row r="14">
      <c r="A14" s="35" t="n"/>
      <c r="B14" s="25" t="n"/>
      <c r="C14" s="27" t="n"/>
      <c r="D14" s="7">
        <f>IF(B14="","",SUM($B$12:B14))</f>
        <v/>
      </c>
    </row>
    <row r="15">
      <c r="A15" s="35" t="n"/>
      <c r="B15" s="25" t="n"/>
      <c r="C15" s="27" t="n"/>
      <c r="D15" s="7">
        <f>IF(B15="","",SUM($B$12:B15))</f>
        <v/>
      </c>
    </row>
    <row r="16">
      <c r="A16" s="35" t="n"/>
      <c r="B16" s="25" t="n"/>
      <c r="C16" s="27" t="n"/>
      <c r="D16" s="7">
        <f>IF(B16="","",SUM($B$12:B16))</f>
        <v/>
      </c>
    </row>
    <row r="17">
      <c r="A17" s="35" t="n"/>
      <c r="B17" s="25" t="n"/>
      <c r="C17" s="27" t="n"/>
      <c r="D17" s="7">
        <f>IF(B17="","",SUM($B$12:B17))</f>
        <v/>
      </c>
    </row>
    <row r="18">
      <c r="A18" s="35" t="n"/>
      <c r="B18" s="25" t="n"/>
      <c r="C18" s="27" t="n"/>
      <c r="D18" s="7">
        <f>IF(B18="","",SUM($B$12:B18))</f>
        <v/>
      </c>
    </row>
    <row r="19">
      <c r="A19" s="35" t="n"/>
      <c r="B19" s="25" t="n"/>
      <c r="C19" s="27" t="n"/>
      <c r="D19" s="7">
        <f>IF(B19="","",SUM($B$12:B19))</f>
        <v/>
      </c>
    </row>
    <row r="20">
      <c r="A20" s="35" t="n"/>
      <c r="B20" s="25" t="n"/>
      <c r="C20" s="27" t="n"/>
      <c r="D20" s="7">
        <f>IF(B20="","",SUM($B$12:B20))</f>
        <v/>
      </c>
    </row>
    <row r="21">
      <c r="A21" s="35" t="n"/>
      <c r="B21" s="25" t="n"/>
      <c r="C21" s="27" t="n"/>
      <c r="D21" s="7">
        <f>IF(B21="","",SUM($B$12:B21))</f>
        <v/>
      </c>
    </row>
    <row r="22">
      <c r="A22" s="35" t="n"/>
      <c r="B22" s="25" t="n"/>
      <c r="C22" s="27" t="n"/>
      <c r="D22" s="7">
        <f>IF(B22="","",SUM($B$12:B22))</f>
        <v/>
      </c>
    </row>
    <row r="23">
      <c r="A23" s="35" t="n"/>
      <c r="B23" s="25" t="n"/>
      <c r="C23" s="27" t="n"/>
      <c r="D23" s="7">
        <f>IF(B23="","",SUM($B$12:B23))</f>
        <v/>
      </c>
    </row>
    <row r="24">
      <c r="A24" s="35" t="n"/>
      <c r="B24" s="25" t="n"/>
      <c r="C24" s="27" t="n"/>
      <c r="D24" s="7">
        <f>IF(B24="","",SUM($B$12:B24))</f>
        <v/>
      </c>
    </row>
    <row r="25">
      <c r="A25" s="35" t="n"/>
      <c r="B25" s="25" t="n"/>
      <c r="C25" s="27" t="n"/>
      <c r="D25" s="7">
        <f>IF(B25="","",SUM($B$12:B25))</f>
        <v/>
      </c>
    </row>
    <row r="26">
      <c r="A26" s="35" t="n"/>
      <c r="B26" s="25" t="n"/>
      <c r="C26" s="27" t="n"/>
      <c r="D26" s="7">
        <f>IF(B26="","",SUM($B$12:B26))</f>
        <v/>
      </c>
    </row>
    <row r="27">
      <c r="A27" s="35" t="n"/>
      <c r="B27" s="25" t="n"/>
      <c r="C27" s="27" t="n"/>
      <c r="D27" s="7">
        <f>IF(B27="","",SUM($B$12:B27))</f>
        <v/>
      </c>
    </row>
    <row r="28">
      <c r="A28" s="35" t="n"/>
      <c r="B28" s="25" t="n"/>
      <c r="C28" s="27" t="n"/>
      <c r="D28" s="7">
        <f>IF(B28="","",SUM($B$12:B28))</f>
        <v/>
      </c>
    </row>
    <row r="29">
      <c r="A29" s="35" t="n"/>
      <c r="B29" s="25" t="n"/>
      <c r="C29" s="27" t="n"/>
      <c r="D29" s="7">
        <f>IF(B29="","",SUM($B$12:B29))</f>
        <v/>
      </c>
    </row>
    <row r="30">
      <c r="A30" s="35" t="n"/>
      <c r="B30" s="25" t="n"/>
      <c r="C30" s="27" t="n"/>
      <c r="D30" s="7">
        <f>IF(B30="","",SUM($B$12:B30))</f>
        <v/>
      </c>
    </row>
    <row r="31">
      <c r="A31" s="35" t="n"/>
      <c r="B31" s="25" t="n"/>
      <c r="C31" s="27" t="n"/>
      <c r="D31" s="7">
        <f>IF(B31="","",SUM($B$12:B31))</f>
        <v/>
      </c>
    </row>
    <row r="33">
      <c r="A33" s="33" t="inlineStr">
        <is>
          <t>Tip: log each payday transfer — the jar fills itself.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5">
    <mergeCell ref="A1:D1"/>
    <mergeCell ref="A9:D9"/>
    <mergeCell ref="A4:D4"/>
    <mergeCell ref="A2:D2"/>
    <mergeCell ref="A10:D10"/>
  </mergeCells>
  <pageMargins left="0.75" right="0.75" top="1" bottom="1" header="0.5" footer="0.5"/>
  <pageSetup orientation="portrait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K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42" customWidth="1" min="4" max="4"/>
    <col width="12" customWidth="1" min="5" max="5"/>
    <col width="11" customWidth="1" min="6" max="6"/>
    <col width="3" customWidth="1" min="7" max="7"/>
    <col width="26" customWidth="1" min="8" max="8"/>
    <col width="36" customWidth="1" min="9" max="9"/>
    <col width="16" customWidth="1" min="10" max="10"/>
    <col width="42" customWidth="1" min="11" max="11"/>
  </cols>
  <sheetData>
    <row r="1" ht="34" customHeight="1">
      <c r="A1" s="1" t="inlineStr">
        <is>
          <t>🔎 RESEARCH &amp; INSPIRATION</t>
        </is>
      </c>
    </row>
    <row r="2" ht="18" customHeight="1">
      <c r="A2" s="2" t="inlineStr">
        <is>
          <t>Collect the dream list now — sort it into the itinerary later</t>
        </is>
      </c>
    </row>
    <row r="3" ht="6" customHeight="1"/>
    <row r="4" ht="22" customHeight="1">
      <c r="A4" s="17" t="inlineStr">
        <is>
          <t>#</t>
        </is>
      </c>
      <c r="B4" s="17" t="inlineStr">
        <is>
          <t>Place / Attraction</t>
        </is>
      </c>
      <c r="C4" s="17" t="inlineStr">
        <is>
          <t>City / Area</t>
        </is>
      </c>
      <c r="D4" s="17" t="inlineStr">
        <is>
          <t>Why It's a Must / Notes</t>
        </is>
      </c>
      <c r="E4" s="17" t="inlineStr">
        <is>
          <t>Priority</t>
        </is>
      </c>
      <c r="F4" s="17" t="inlineStr">
        <is>
          <t>Visited?</t>
        </is>
      </c>
      <c r="H4" s="17" t="inlineStr">
        <is>
          <t>Link Title</t>
        </is>
      </c>
      <c r="I4" s="17" t="inlineStr">
        <is>
          <t>URL</t>
        </is>
      </c>
      <c r="J4" s="17" t="inlineStr">
        <is>
          <t>Category</t>
        </is>
      </c>
      <c r="K4" s="17" t="inlineStr">
        <is>
          <t>Notes</t>
        </is>
      </c>
    </row>
    <row r="5">
      <c r="A5" s="36" t="n">
        <v>1</v>
      </c>
      <c r="B5" s="27" t="n"/>
      <c r="C5" s="27" t="n"/>
      <c r="D5" s="27" t="n"/>
      <c r="E5" s="37" t="n"/>
      <c r="F5" s="37" t="n"/>
      <c r="H5" s="27" t="n"/>
      <c r="I5" s="27" t="n"/>
      <c r="J5" s="27" t="n"/>
      <c r="K5" s="27" t="n"/>
    </row>
    <row r="6">
      <c r="A6" s="38" t="n">
        <v>2</v>
      </c>
      <c r="B6" s="27" t="n"/>
      <c r="C6" s="27" t="n"/>
      <c r="D6" s="27" t="n"/>
      <c r="E6" s="37" t="n"/>
      <c r="F6" s="37" t="n"/>
      <c r="H6" s="27" t="n"/>
      <c r="I6" s="27" t="n"/>
      <c r="J6" s="27" t="n"/>
      <c r="K6" s="27" t="n"/>
    </row>
    <row r="7">
      <c r="A7" s="36" t="n">
        <v>3</v>
      </c>
      <c r="B7" s="27" t="n"/>
      <c r="C7" s="27" t="n"/>
      <c r="D7" s="27" t="n"/>
      <c r="E7" s="37" t="n"/>
      <c r="F7" s="37" t="n"/>
      <c r="H7" s="27" t="n"/>
      <c r="I7" s="27" t="n"/>
      <c r="J7" s="27" t="n"/>
      <c r="K7" s="27" t="n"/>
    </row>
    <row r="8">
      <c r="A8" s="38" t="n">
        <v>4</v>
      </c>
      <c r="B8" s="27" t="n"/>
      <c r="C8" s="27" t="n"/>
      <c r="D8" s="27" t="n"/>
      <c r="E8" s="37" t="n"/>
      <c r="F8" s="37" t="n"/>
      <c r="H8" s="27" t="n"/>
      <c r="I8" s="27" t="n"/>
      <c r="J8" s="27" t="n"/>
      <c r="K8" s="27" t="n"/>
    </row>
    <row r="9">
      <c r="A9" s="36" t="n">
        <v>5</v>
      </c>
      <c r="B9" s="27" t="n"/>
      <c r="C9" s="27" t="n"/>
      <c r="D9" s="27" t="n"/>
      <c r="E9" s="37" t="n"/>
      <c r="F9" s="37" t="n"/>
      <c r="H9" s="27" t="n"/>
      <c r="I9" s="27" t="n"/>
      <c r="J9" s="27" t="n"/>
      <c r="K9" s="27" t="n"/>
    </row>
    <row r="10">
      <c r="A10" s="38" t="n">
        <v>6</v>
      </c>
      <c r="B10" s="27" t="n"/>
      <c r="C10" s="27" t="n"/>
      <c r="D10" s="27" t="n"/>
      <c r="E10" s="37" t="n"/>
      <c r="F10" s="37" t="n"/>
      <c r="H10" s="27" t="n"/>
      <c r="I10" s="27" t="n"/>
      <c r="J10" s="27" t="n"/>
      <c r="K10" s="27" t="n"/>
    </row>
    <row r="11">
      <c r="A11" s="36" t="n">
        <v>7</v>
      </c>
      <c r="B11" s="27" t="n"/>
      <c r="C11" s="27" t="n"/>
      <c r="D11" s="27" t="n"/>
      <c r="E11" s="37" t="n"/>
      <c r="F11" s="37" t="n"/>
      <c r="H11" s="27" t="n"/>
      <c r="I11" s="27" t="n"/>
      <c r="J11" s="27" t="n"/>
      <c r="K11" s="27" t="n"/>
    </row>
    <row r="12">
      <c r="A12" s="38" t="n">
        <v>8</v>
      </c>
      <c r="B12" s="27" t="n"/>
      <c r="C12" s="27" t="n"/>
      <c r="D12" s="27" t="n"/>
      <c r="E12" s="37" t="n"/>
      <c r="F12" s="37" t="n"/>
      <c r="H12" s="27" t="n"/>
      <c r="I12" s="27" t="n"/>
      <c r="J12" s="27" t="n"/>
      <c r="K12" s="27" t="n"/>
    </row>
    <row r="13">
      <c r="A13" s="36" t="n">
        <v>9</v>
      </c>
      <c r="B13" s="27" t="n"/>
      <c r="C13" s="27" t="n"/>
      <c r="D13" s="27" t="n"/>
      <c r="E13" s="37" t="n"/>
      <c r="F13" s="37" t="n"/>
      <c r="H13" s="27" t="n"/>
      <c r="I13" s="27" t="n"/>
      <c r="J13" s="27" t="n"/>
      <c r="K13" s="27" t="n"/>
    </row>
    <row r="14">
      <c r="A14" s="38" t="n">
        <v>10</v>
      </c>
      <c r="B14" s="27" t="n"/>
      <c r="C14" s="27" t="n"/>
      <c r="D14" s="27" t="n"/>
      <c r="E14" s="37" t="n"/>
      <c r="F14" s="37" t="n"/>
      <c r="H14" s="27" t="n"/>
      <c r="I14" s="27" t="n"/>
      <c r="J14" s="27" t="n"/>
      <c r="K14" s="27" t="n"/>
    </row>
    <row r="15">
      <c r="A15" s="36" t="n">
        <v>11</v>
      </c>
      <c r="B15" s="27" t="n"/>
      <c r="C15" s="27" t="n"/>
      <c r="D15" s="27" t="n"/>
      <c r="E15" s="37" t="n"/>
      <c r="F15" s="37" t="n"/>
    </row>
    <row r="16">
      <c r="A16" s="38" t="n">
        <v>12</v>
      </c>
      <c r="B16" s="27" t="n"/>
      <c r="C16" s="27" t="n"/>
      <c r="D16" s="27" t="n"/>
      <c r="E16" s="37" t="n"/>
      <c r="F16" s="37" t="n"/>
    </row>
    <row r="17" ht="20" customHeight="1">
      <c r="H17" s="23" t="inlineStr">
        <is>
          <t>📍 PROGRESS</t>
        </is>
      </c>
    </row>
    <row r="18">
      <c r="H18" s="4" t="inlineStr">
        <is>
          <t>Places visited</t>
        </is>
      </c>
      <c r="I18" s="5">
        <f>COUNTIF(F5:F16,"✓")&amp;" of "&amp;COUNTA(B5:B16)</f>
        <v/>
      </c>
    </row>
    <row r="19" ht="20" customHeight="1">
      <c r="A19" s="3" t="inlineStr">
        <is>
          <t>💡 NOTES &amp; INSPIRATION</t>
        </is>
      </c>
    </row>
    <row r="20" ht="24" customHeight="1">
      <c r="A20" s="39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1" t="n"/>
    </row>
    <row r="21">
      <c r="A21" s="42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4" t="n"/>
    </row>
    <row r="22">
      <c r="A22" s="42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4" t="n"/>
    </row>
    <row r="23">
      <c r="A23" s="42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4" t="n"/>
    </row>
    <row r="24">
      <c r="A24" s="42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4" t="n"/>
    </row>
    <row r="25">
      <c r="A25" s="42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4" t="n"/>
    </row>
    <row r="26">
      <c r="A26" s="45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5">
    <mergeCell ref="A2:K2"/>
    <mergeCell ref="A19:K19"/>
    <mergeCell ref="A20:K26"/>
    <mergeCell ref="A1:K1"/>
    <mergeCell ref="H17:I17"/>
  </mergeCells>
  <dataValidations count="3">
    <dataValidation sqref="E5:E16" showDropDown="0" showInputMessage="0" showErrorMessage="0" allowBlank="1" type="list">
      <formula1>"High,Medium,Low"</formula1>
    </dataValidation>
    <dataValidation sqref="F5:F16" showDropDown="0" showInputMessage="0" showErrorMessage="0" allowBlank="1" type="list">
      <formula1>"✓,✗"</formula1>
    </dataValidation>
    <dataValidation sqref="J5:J14" showDropDown="0" showInputMessage="0" showErrorMessage="0" allowBlank="1" type="list">
      <formula1>"Blog,Video,Booking Site,Map,Review,Tour,Food,Other"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4" customWidth="1" min="4" max="4"/>
    <col width="36" customWidth="1" min="5" max="5"/>
    <col width="14" customWidth="1" min="7" max="7"/>
    <col width="15" customWidth="1" min="8" max="8"/>
  </cols>
  <sheetData>
    <row r="1" ht="34" customHeight="1">
      <c r="A1" s="1" t="inlineStr">
        <is>
          <t>🛂 VISA &amp; DOCUMENT CHECKLIST</t>
        </is>
      </c>
    </row>
    <row r="2" ht="18" customHeight="1">
      <c r="A2" s="2" t="inlineStr">
        <is>
          <t>Passport, visa, insurance, copies — nothing left behind</t>
        </is>
      </c>
    </row>
    <row r="3" ht="6" customHeight="1"/>
    <row r="4" ht="20" customHeight="1">
      <c r="A4" s="17" t="inlineStr">
        <is>
          <t>Document</t>
        </is>
      </c>
      <c r="B4" s="17" t="inlineStr">
        <is>
          <t>Required?</t>
        </is>
      </c>
      <c r="C4" s="17" t="inlineStr">
        <is>
          <t>Status</t>
        </is>
      </c>
      <c r="D4" s="17" t="inlineStr">
        <is>
          <t>Deadline</t>
        </is>
      </c>
      <c r="E4" s="17" t="inlineStr">
        <is>
          <t>Notes</t>
        </is>
      </c>
      <c r="G4" s="23" t="inlineStr">
        <is>
          <t>📊 PROGRESS</t>
        </is>
      </c>
    </row>
    <row r="5">
      <c r="A5" s="48" t="inlineStr">
        <is>
          <t>Passport (valid 6+ months after return)</t>
        </is>
      </c>
      <c r="B5" s="37" t="n"/>
      <c r="C5" s="37" t="n"/>
      <c r="D5" s="35" t="n"/>
      <c r="E5" s="27" t="n"/>
      <c r="G5" s="4" t="inlineStr">
        <is>
          <t>Ready</t>
        </is>
      </c>
      <c r="H5" s="22">
        <f>COUNTIF(C5:C18,"Ready")</f>
        <v/>
      </c>
    </row>
    <row r="6">
      <c r="A6" s="48" t="inlineStr">
        <is>
          <t>Visa / eTA / travel authorization</t>
        </is>
      </c>
      <c r="B6" s="37" t="n"/>
      <c r="C6" s="37" t="n"/>
      <c r="D6" s="35" t="n"/>
      <c r="E6" s="27" t="n"/>
      <c r="G6" s="4" t="inlineStr">
        <is>
          <t>Still To Do</t>
        </is>
      </c>
      <c r="H6" s="22">
        <f>COUNTIF(B5:B18,"Yes")-COUNTIFS(B5:B18,"Yes",C5:C18,"Ready")</f>
        <v/>
      </c>
    </row>
    <row r="7">
      <c r="A7" s="48" t="inlineStr">
        <is>
          <t>Travel insurance policy</t>
        </is>
      </c>
      <c r="B7" s="37" t="n"/>
      <c r="C7" s="37" t="n"/>
      <c r="D7" s="35" t="n"/>
      <c r="E7" s="27" t="n"/>
      <c r="G7" s="4" t="inlineStr">
        <is>
          <t>% Ready</t>
        </is>
      </c>
      <c r="H7" s="26">
        <f>IFERROR(MIN(1,COUNTIFS(B5:B18,"Yes",C5:C18,"Ready")/COUNTIF(B5:B18,"Yes")),"")</f>
        <v/>
      </c>
    </row>
    <row r="8">
      <c r="A8" s="48" t="inlineStr">
        <is>
          <t>Vaccination certificates (if required)</t>
        </is>
      </c>
      <c r="B8" s="37" t="n"/>
      <c r="C8" s="37" t="n"/>
      <c r="D8" s="35" t="n"/>
      <c r="E8" s="27" t="n"/>
    </row>
    <row r="9">
      <c r="A9" s="48" t="inlineStr">
        <is>
          <t>Prescription meds + doctor's note</t>
        </is>
      </c>
      <c r="B9" s="37" t="n"/>
      <c r="C9" s="37" t="n"/>
      <c r="D9" s="35" t="n"/>
      <c r="E9" s="27" t="n"/>
    </row>
    <row r="10">
      <c r="A10" s="48" t="inlineStr">
        <is>
          <t>Driver's license / IDP</t>
        </is>
      </c>
      <c r="B10" s="37" t="n"/>
      <c r="C10" s="37" t="n"/>
      <c r="D10" s="35" t="n"/>
      <c r="E10" s="27" t="n"/>
    </row>
    <row r="11">
      <c r="A11" s="48" t="inlineStr">
        <is>
          <t>National ID card</t>
        </is>
      </c>
      <c r="B11" s="37" t="n"/>
      <c r="C11" s="37" t="n"/>
      <c r="D11" s="35" t="n"/>
      <c r="E11" s="27" t="n"/>
    </row>
    <row r="12">
      <c r="A12" s="48" t="inlineStr">
        <is>
          <t>Credit &amp; debit cards (no foreign fees?)</t>
        </is>
      </c>
      <c r="B12" s="37" t="n"/>
      <c r="C12" s="37" t="n"/>
      <c r="D12" s="35" t="n"/>
      <c r="E12" s="27" t="n"/>
    </row>
    <row r="13">
      <c r="A13" s="48" t="inlineStr">
        <is>
          <t>Cash in local currency</t>
        </is>
      </c>
      <c r="B13" s="37" t="n"/>
      <c r="C13" s="37" t="n"/>
      <c r="D13" s="35" t="n"/>
      <c r="E13" s="27" t="n"/>
    </row>
    <row r="14">
      <c r="A14" s="48" t="inlineStr">
        <is>
          <t>Boarding passes / e-tickets</t>
        </is>
      </c>
      <c r="B14" s="37" t="n"/>
      <c r="C14" s="37" t="n"/>
      <c r="D14" s="35" t="n"/>
      <c r="E14" s="27" t="n"/>
    </row>
    <row r="15">
      <c r="A15" s="48" t="inlineStr">
        <is>
          <t>Hotel &amp; tour confirmations</t>
        </is>
      </c>
      <c r="B15" s="37" t="n"/>
      <c r="C15" s="37" t="n"/>
      <c r="D15" s="35" t="n"/>
      <c r="E15" s="27" t="n"/>
    </row>
    <row r="16">
      <c r="A16" s="48" t="inlineStr">
        <is>
          <t>Copies of documents (cloud + paper)</t>
        </is>
      </c>
      <c r="B16" s="37" t="n"/>
      <c r="C16" s="37" t="n"/>
      <c r="D16" s="35" t="n"/>
      <c r="E16" s="27" t="n"/>
    </row>
    <row r="17">
      <c r="A17" s="48" t="inlineStr">
        <is>
          <t>Passport photos (spare)</t>
        </is>
      </c>
      <c r="B17" s="37" t="n"/>
      <c r="C17" s="37" t="n"/>
      <c r="D17" s="35" t="n"/>
      <c r="E17" s="27" t="n"/>
    </row>
    <row r="18">
      <c r="A18" s="48" t="inlineStr">
        <is>
          <t>Health / vaccination records</t>
        </is>
      </c>
      <c r="B18" s="37" t="n"/>
      <c r="C18" s="37" t="n"/>
      <c r="D18" s="35" t="n"/>
      <c r="E18" s="27" t="n"/>
    </row>
    <row r="20">
      <c r="A20" s="33" t="inlineStr">
        <is>
          <t>Rule of thumb: many countries want a passport valid 6+ months beyond your return date.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3">
    <mergeCell ref="G4:H4"/>
    <mergeCell ref="A2:H2"/>
    <mergeCell ref="A1:H1"/>
  </mergeCells>
  <conditionalFormatting sqref="H7">
    <cfRule type="dataBar" priority="1">
      <dataBar showValue="1">
        <cfvo type="num" val="0"/>
        <cfvo type="num" val="1"/>
        <color rgb="002A9D8F"/>
      </dataBar>
    </cfRule>
  </conditionalFormatting>
  <dataValidations count="2">
    <dataValidation sqref="B5:B18" showDropDown="0" showInputMessage="0" showErrorMessage="0" allowBlank="1" type="list">
      <formula1>"Yes,No,N/A"</formula1>
    </dataValidation>
    <dataValidation sqref="C5:C18" showDropDown="0" showInputMessage="0" showErrorMessage="0" allowBlank="1" type="list">
      <formula1>"Not Started,In Progress,Ready,N/A"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L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4" customWidth="1" min="4" max="4"/>
    <col width="14" customWidth="1" min="5" max="5"/>
    <col width="14" customWidth="1" min="6" max="6"/>
    <col width="13" customWidth="1" min="7" max="7"/>
    <col width="10" customWidth="1" min="8" max="8"/>
    <col width="30" customWidth="1" min="9" max="9"/>
    <col width="20" customWidth="1" min="11" max="11"/>
    <col width="15" customWidth="1" min="12" max="12"/>
  </cols>
  <sheetData>
    <row r="1" ht="34" customHeight="1">
      <c r="A1" s="1" t="inlineStr">
        <is>
          <t>🎟️ BOOKING CONFIRMATION LOG</t>
        </is>
      </c>
    </row>
    <row r="2" ht="18" customHeight="1">
      <c r="A2" s="2" t="inlineStr">
        <is>
          <t>One row per booking — never scroll emails at a check-in desk again</t>
        </is>
      </c>
    </row>
    <row r="3" ht="6" customHeight="1"/>
    <row r="4" ht="20" customHeight="1">
      <c r="A4" s="17" t="inlineStr">
        <is>
          <t>Type</t>
        </is>
      </c>
      <c r="B4" s="17" t="inlineStr">
        <is>
          <t>Provider</t>
        </is>
      </c>
      <c r="C4" s="17" t="inlineStr">
        <is>
          <t>Confirmation #</t>
        </is>
      </c>
      <c r="D4" s="17" t="inlineStr">
        <is>
          <t>Booked On</t>
        </is>
      </c>
      <c r="E4" s="17" t="inlineStr">
        <is>
          <t>Starts</t>
        </is>
      </c>
      <c r="F4" s="17" t="inlineStr">
        <is>
          <t>Ends</t>
        </is>
      </c>
      <c r="G4" s="17" t="inlineStr">
        <is>
          <t>Cost</t>
        </is>
      </c>
      <c r="H4" s="17" t="inlineStr">
        <is>
          <t>Paid?</t>
        </is>
      </c>
      <c r="I4" s="17" t="inlineStr">
        <is>
          <t>Notes</t>
        </is>
      </c>
      <c r="K4" s="23" t="inlineStr">
        <is>
          <t>📊 SUMMARY</t>
        </is>
      </c>
    </row>
    <row r="5">
      <c r="A5" s="37" t="n"/>
      <c r="B5" s="27" t="n"/>
      <c r="C5" s="37" t="n"/>
      <c r="D5" s="35" t="n"/>
      <c r="E5" s="35" t="n"/>
      <c r="F5" s="35" t="n"/>
      <c r="G5" s="25" t="n"/>
      <c r="H5" s="37" t="n"/>
      <c r="I5" s="27" t="n"/>
      <c r="K5" s="4" t="inlineStr">
        <is>
          <t>Total Booked Cost</t>
        </is>
      </c>
      <c r="L5" s="7">
        <f>SUM(G5:G18)</f>
        <v/>
      </c>
    </row>
    <row r="6">
      <c r="A6" s="37" t="n"/>
      <c r="B6" s="27" t="n"/>
      <c r="C6" s="37" t="n"/>
      <c r="D6" s="35" t="n"/>
      <c r="E6" s="35" t="n"/>
      <c r="F6" s="35" t="n"/>
      <c r="G6" s="25" t="n"/>
      <c r="H6" s="37" t="n"/>
      <c r="I6" s="27" t="n"/>
      <c r="K6" s="4" t="inlineStr">
        <is>
          <t>Confirmations Logged</t>
        </is>
      </c>
      <c r="L6" s="22">
        <f>COUNTIF(C5:C18,"?*")</f>
        <v/>
      </c>
    </row>
    <row r="7">
      <c r="A7" s="37" t="n"/>
      <c r="B7" s="27" t="n"/>
      <c r="C7" s="37" t="n"/>
      <c r="D7" s="35" t="n"/>
      <c r="E7" s="35" t="n"/>
      <c r="F7" s="35" t="n"/>
      <c r="G7" s="25" t="n"/>
      <c r="H7" s="37" t="n"/>
      <c r="I7" s="27" t="n"/>
      <c r="K7" s="4" t="inlineStr">
        <is>
          <t>Still Unpaid</t>
        </is>
      </c>
      <c r="L7" s="22">
        <f>COUNTIF(H5:H18,"No")</f>
        <v/>
      </c>
    </row>
    <row r="8">
      <c r="A8" s="37" t="n"/>
      <c r="B8" s="27" t="n"/>
      <c r="C8" s="37" t="n"/>
      <c r="D8" s="35" t="n"/>
      <c r="E8" s="35" t="n"/>
      <c r="F8" s="35" t="n"/>
      <c r="G8" s="25" t="n"/>
      <c r="H8" s="37" t="n"/>
      <c r="I8" s="27" t="n"/>
    </row>
    <row r="9">
      <c r="A9" s="37" t="n"/>
      <c r="B9" s="27" t="n"/>
      <c r="C9" s="37" t="n"/>
      <c r="D9" s="35" t="n"/>
      <c r="E9" s="35" t="n"/>
      <c r="F9" s="35" t="n"/>
      <c r="G9" s="25" t="n"/>
      <c r="H9" s="37" t="n"/>
      <c r="I9" s="27" t="n"/>
    </row>
    <row r="10">
      <c r="A10" s="37" t="n"/>
      <c r="B10" s="27" t="n"/>
      <c r="C10" s="37" t="n"/>
      <c r="D10" s="35" t="n"/>
      <c r="E10" s="35" t="n"/>
      <c r="F10" s="35" t="n"/>
      <c r="G10" s="25" t="n"/>
      <c r="H10" s="37" t="n"/>
      <c r="I10" s="27" t="n"/>
    </row>
    <row r="11">
      <c r="A11" s="37" t="n"/>
      <c r="B11" s="27" t="n"/>
      <c r="C11" s="37" t="n"/>
      <c r="D11" s="35" t="n"/>
      <c r="E11" s="35" t="n"/>
      <c r="F11" s="35" t="n"/>
      <c r="G11" s="25" t="n"/>
      <c r="H11" s="37" t="n"/>
      <c r="I11" s="27" t="n"/>
    </row>
    <row r="12">
      <c r="A12" s="37" t="n"/>
      <c r="B12" s="27" t="n"/>
      <c r="C12" s="37" t="n"/>
      <c r="D12" s="35" t="n"/>
      <c r="E12" s="35" t="n"/>
      <c r="F12" s="35" t="n"/>
      <c r="G12" s="25" t="n"/>
      <c r="H12" s="37" t="n"/>
      <c r="I12" s="27" t="n"/>
    </row>
    <row r="13">
      <c r="A13" s="37" t="n"/>
      <c r="B13" s="27" t="n"/>
      <c r="C13" s="37" t="n"/>
      <c r="D13" s="35" t="n"/>
      <c r="E13" s="35" t="n"/>
      <c r="F13" s="35" t="n"/>
      <c r="G13" s="25" t="n"/>
      <c r="H13" s="37" t="n"/>
      <c r="I13" s="27" t="n"/>
    </row>
    <row r="14">
      <c r="A14" s="37" t="n"/>
      <c r="B14" s="27" t="n"/>
      <c r="C14" s="37" t="n"/>
      <c r="D14" s="35" t="n"/>
      <c r="E14" s="35" t="n"/>
      <c r="F14" s="35" t="n"/>
      <c r="G14" s="25" t="n"/>
      <c r="H14" s="37" t="n"/>
      <c r="I14" s="27" t="n"/>
    </row>
    <row r="15">
      <c r="A15" s="37" t="n"/>
      <c r="B15" s="27" t="n"/>
      <c r="C15" s="37" t="n"/>
      <c r="D15" s="35" t="n"/>
      <c r="E15" s="35" t="n"/>
      <c r="F15" s="35" t="n"/>
      <c r="G15" s="25" t="n"/>
      <c r="H15" s="37" t="n"/>
      <c r="I15" s="27" t="n"/>
    </row>
    <row r="16">
      <c r="A16" s="37" t="n"/>
      <c r="B16" s="27" t="n"/>
      <c r="C16" s="37" t="n"/>
      <c r="D16" s="35" t="n"/>
      <c r="E16" s="35" t="n"/>
      <c r="F16" s="35" t="n"/>
      <c r="G16" s="25" t="n"/>
      <c r="H16" s="37" t="n"/>
      <c r="I16" s="27" t="n"/>
    </row>
    <row r="17">
      <c r="A17" s="37" t="n"/>
      <c r="B17" s="27" t="n"/>
      <c r="C17" s="37" t="n"/>
      <c r="D17" s="35" t="n"/>
      <c r="E17" s="35" t="n"/>
      <c r="F17" s="35" t="n"/>
      <c r="G17" s="25" t="n"/>
      <c r="H17" s="37" t="n"/>
      <c r="I17" s="27" t="n"/>
    </row>
    <row r="18">
      <c r="A18" s="37" t="n"/>
      <c r="B18" s="27" t="n"/>
      <c r="C18" s="37" t="n"/>
      <c r="D18" s="35" t="n"/>
      <c r="E18" s="35" t="n"/>
      <c r="F18" s="35" t="n"/>
      <c r="G18" s="25" t="n"/>
      <c r="H18" s="37" t="n"/>
      <c r="I18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3">
    <mergeCell ref="K4:L4"/>
    <mergeCell ref="A2:L2"/>
    <mergeCell ref="A1:L1"/>
  </mergeCells>
  <dataValidations count="2">
    <dataValidation sqref="A5:A18" showDropDown="0" showInputMessage="0" showErrorMessage="0" allowBlank="1" type="list">
      <formula1>"Flight,Hotel,Car Rental,Tour / Activity,Train,Bus,Cruise,Ferry,Restaurant,Transfer,Other"</formula1>
    </dataValidation>
    <dataValidation sqref="H5:H18" showDropDown="0" showInputMessage="0" showErrorMessage="0" allowBlank="1" type="list">
      <formula1>"Yes,No,Deposit"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457B9D"/>
    <outlinePr summaryBelow="1" summaryRight="1"/>
    <pageSetUpPr fitToPage="1"/>
  </sheetPr>
  <dimension ref="A1:H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1" customWidth="1" min="4" max="4"/>
    <col width="34" customWidth="1" min="5" max="5"/>
    <col width="16" customWidth="1" min="7" max="7"/>
    <col width="11" customWidth="1" min="8" max="8"/>
  </cols>
  <sheetData>
    <row r="1" ht="34" customHeight="1">
      <c r="A1" s="1" t="inlineStr">
        <is>
          <t>🧳 PACKING CHECKLIST</t>
        </is>
      </c>
    </row>
    <row r="2" ht="18" customHeight="1">
      <c r="A2" s="2" t="inlineStr">
        <is>
          <t>Clothing → toiletries → electronics → docs → meds — tick as you pack</t>
        </is>
      </c>
    </row>
    <row r="3" ht="6" customHeight="1"/>
    <row r="4" ht="20" customHeight="1">
      <c r="A4" s="17" t="inlineStr">
        <is>
          <t>Category</t>
        </is>
      </c>
      <c r="B4" s="17" t="inlineStr">
        <is>
          <t>Item</t>
        </is>
      </c>
      <c r="C4" s="17" t="inlineStr">
        <is>
          <t>Qty</t>
        </is>
      </c>
      <c r="D4" s="17" t="inlineStr">
        <is>
          <t>Packed?</t>
        </is>
      </c>
      <c r="E4" s="17" t="inlineStr">
        <is>
          <t>Notes</t>
        </is>
      </c>
      <c r="G4" s="23" t="inlineStr">
        <is>
          <t>📦 PROGRESS</t>
        </is>
      </c>
    </row>
    <row r="5">
      <c r="A5" s="24" t="inlineStr">
        <is>
          <t>Clothing</t>
        </is>
      </c>
      <c r="B5" s="24" t="inlineStr">
        <is>
          <t>T-shirts &amp; tops</t>
        </is>
      </c>
      <c r="C5" s="49" t="n"/>
      <c r="D5" s="37" t="n"/>
      <c r="E5" s="27" t="n"/>
      <c r="G5" s="4" t="inlineStr">
        <is>
          <t>Total Items</t>
        </is>
      </c>
      <c r="H5" s="22">
        <f>COUNTA(B5:B64)</f>
        <v/>
      </c>
    </row>
    <row r="6">
      <c r="A6" s="24" t="inlineStr">
        <is>
          <t>Clothing</t>
        </is>
      </c>
      <c r="B6" s="24" t="inlineStr">
        <is>
          <t>Pants / jeans</t>
        </is>
      </c>
      <c r="C6" s="49" t="n"/>
      <c r="D6" s="37" t="n"/>
      <c r="E6" s="27" t="n"/>
      <c r="G6" s="4" t="inlineStr">
        <is>
          <t>Packed</t>
        </is>
      </c>
      <c r="H6" s="22">
        <f>COUNTIF(D5:D64,"✓")</f>
        <v/>
      </c>
    </row>
    <row r="7">
      <c r="A7" s="24" t="inlineStr">
        <is>
          <t>Clothing</t>
        </is>
      </c>
      <c r="B7" s="24" t="inlineStr">
        <is>
          <t>Shorts</t>
        </is>
      </c>
      <c r="C7" s="49" t="n"/>
      <c r="D7" s="37" t="n"/>
      <c r="E7" s="27" t="n"/>
      <c r="G7" s="4" t="inlineStr">
        <is>
          <t>Still To Pack</t>
        </is>
      </c>
      <c r="H7" s="22">
        <f>H5-H6</f>
        <v/>
      </c>
    </row>
    <row r="8">
      <c r="A8" s="24" t="inlineStr">
        <is>
          <t>Clothing</t>
        </is>
      </c>
      <c r="B8" s="24" t="inlineStr">
        <is>
          <t>Dresses / going-out outfits</t>
        </is>
      </c>
      <c r="C8" s="49" t="n"/>
      <c r="D8" s="37" t="n"/>
      <c r="E8" s="27" t="n"/>
      <c r="G8" s="4" t="inlineStr">
        <is>
          <t>% Packed</t>
        </is>
      </c>
      <c r="H8" s="26">
        <f>IF(H5=0,"",H6/H5)</f>
        <v/>
      </c>
    </row>
    <row r="9">
      <c r="A9" s="24" t="inlineStr">
        <is>
          <t>Clothing</t>
        </is>
      </c>
      <c r="B9" s="24" t="inlineStr">
        <is>
          <t>Underwear &amp; socks</t>
        </is>
      </c>
      <c r="C9" s="49" t="n">
        <v>7</v>
      </c>
      <c r="D9" s="37" t="n"/>
      <c r="E9" s="27" t="n"/>
    </row>
    <row r="10">
      <c r="A10" s="24" t="inlineStr">
        <is>
          <t>Clothing</t>
        </is>
      </c>
      <c r="B10" s="24" t="inlineStr">
        <is>
          <t>Pajamas</t>
        </is>
      </c>
      <c r="C10" s="49" t="n"/>
      <c r="D10" s="37" t="n"/>
      <c r="E10" s="27" t="n"/>
    </row>
    <row r="11">
      <c r="A11" s="24" t="inlineStr">
        <is>
          <t>Clothing</t>
        </is>
      </c>
      <c r="B11" s="24" t="inlineStr">
        <is>
          <t>Swimwear</t>
        </is>
      </c>
      <c r="C11" s="49" t="n"/>
      <c r="D11" s="37" t="n"/>
      <c r="E11" s="27" t="n"/>
    </row>
    <row r="12">
      <c r="A12" s="24" t="inlineStr">
        <is>
          <t>Clothing</t>
        </is>
      </c>
      <c r="B12" s="24" t="inlineStr">
        <is>
          <t>Light jacket / raincoat</t>
        </is>
      </c>
      <c r="C12" s="49" t="n"/>
      <c r="D12" s="37" t="n"/>
      <c r="E12" s="27" t="n"/>
    </row>
    <row r="13">
      <c r="A13" s="24" t="inlineStr">
        <is>
          <t>Clothing</t>
        </is>
      </c>
      <c r="B13" s="24" t="inlineStr">
        <is>
          <t>Comfortable walking shoes</t>
        </is>
      </c>
      <c r="C13" s="49" t="n"/>
      <c r="D13" s="37" t="n"/>
      <c r="E13" s="27" t="n"/>
    </row>
    <row r="14">
      <c r="A14" s="24" t="inlineStr">
        <is>
          <t>Clothing</t>
        </is>
      </c>
      <c r="B14" s="24" t="inlineStr">
        <is>
          <t>Formal outfit (1 set)</t>
        </is>
      </c>
      <c r="C14" s="49" t="n"/>
      <c r="D14" s="37" t="n"/>
      <c r="E14" s="27" t="n"/>
    </row>
    <row r="15">
      <c r="A15" s="24" t="inlineStr">
        <is>
          <t>Clothing</t>
        </is>
      </c>
      <c r="B15" s="24" t="inlineStr">
        <is>
          <t>Hat / cap</t>
        </is>
      </c>
      <c r="C15" s="49" t="n"/>
      <c r="D15" s="37" t="n"/>
      <c r="E15" s="27" t="n"/>
    </row>
    <row r="16">
      <c r="A16" s="24" t="inlineStr">
        <is>
          <t>Clothing</t>
        </is>
      </c>
      <c r="B16" s="24" t="inlineStr">
        <is>
          <t>Scarf / gloves (if cold)</t>
        </is>
      </c>
      <c r="C16" s="49" t="n"/>
      <c r="D16" s="37" t="n"/>
      <c r="E16" s="27" t="n"/>
    </row>
    <row r="17">
      <c r="A17" s="24" t="inlineStr">
        <is>
          <t>Toiletries</t>
        </is>
      </c>
      <c r="B17" s="24" t="inlineStr">
        <is>
          <t>Toothbrush &amp; toothpaste</t>
        </is>
      </c>
      <c r="C17" s="49" t="n"/>
      <c r="D17" s="37" t="n"/>
      <c r="E17" s="27" t="n"/>
    </row>
    <row r="18">
      <c r="A18" s="24" t="inlineStr">
        <is>
          <t>Toiletries</t>
        </is>
      </c>
      <c r="B18" s="24" t="inlineStr">
        <is>
          <t>Shampoo &amp; conditioner</t>
        </is>
      </c>
      <c r="C18" s="49" t="n"/>
      <c r="D18" s="37" t="n"/>
      <c r="E18" s="27" t="n"/>
    </row>
    <row r="19">
      <c r="A19" s="24" t="inlineStr">
        <is>
          <t>Toiletries</t>
        </is>
      </c>
      <c r="B19" s="24" t="inlineStr">
        <is>
          <t>Soap / body wash</t>
        </is>
      </c>
      <c r="C19" s="49" t="n"/>
      <c r="D19" s="37" t="n"/>
      <c r="E19" s="27" t="n"/>
    </row>
    <row r="20">
      <c r="A20" s="24" t="inlineStr">
        <is>
          <t>Toiletries</t>
        </is>
      </c>
      <c r="B20" s="24" t="inlineStr">
        <is>
          <t>Deodorant</t>
        </is>
      </c>
      <c r="C20" s="49" t="n"/>
      <c r="D20" s="37" t="n"/>
      <c r="E20" s="27" t="n"/>
    </row>
    <row r="21">
      <c r="A21" s="24" t="inlineStr">
        <is>
          <t>Toiletries</t>
        </is>
      </c>
      <c r="B21" s="24" t="inlineStr">
        <is>
          <t>Skincare (AM / PM)</t>
        </is>
      </c>
      <c r="C21" s="49" t="n"/>
      <c r="D21" s="37" t="n"/>
      <c r="E21" s="27" t="n"/>
    </row>
    <row r="22">
      <c r="A22" s="24" t="inlineStr">
        <is>
          <t>Toiletries</t>
        </is>
      </c>
      <c r="B22" s="24" t="inlineStr">
        <is>
          <t>Sunscreen SPF 30+</t>
        </is>
      </c>
      <c r="C22" s="49" t="n"/>
      <c r="D22" s="37" t="n"/>
      <c r="E22" s="27" t="n"/>
    </row>
    <row r="23">
      <c r="A23" s="24" t="inlineStr">
        <is>
          <t>Toiletries</t>
        </is>
      </c>
      <c r="B23" s="24" t="inlineStr">
        <is>
          <t>Hairbrush / comb</t>
        </is>
      </c>
      <c r="C23" s="49" t="n"/>
      <c r="D23" s="37" t="n"/>
      <c r="E23" s="27" t="n"/>
    </row>
    <row r="24">
      <c r="A24" s="24" t="inlineStr">
        <is>
          <t>Toiletries</t>
        </is>
      </c>
      <c r="B24" s="24" t="inlineStr">
        <is>
          <t>Razor &amp; shaving cream</t>
        </is>
      </c>
      <c r="C24" s="49" t="n"/>
      <c r="D24" s="37" t="n"/>
      <c r="E24" s="27" t="n"/>
    </row>
    <row r="25">
      <c r="A25" s="24" t="inlineStr">
        <is>
          <t>Toiletries</t>
        </is>
      </c>
      <c r="B25" s="24" t="inlineStr">
        <is>
          <t>Makeup</t>
        </is>
      </c>
      <c r="C25" s="49" t="n"/>
      <c r="D25" s="37" t="n"/>
      <c r="E25" s="27" t="n"/>
    </row>
    <row r="26">
      <c r="A26" s="24" t="inlineStr">
        <is>
          <t>Toiletries</t>
        </is>
      </c>
      <c r="B26" s="24" t="inlineStr">
        <is>
          <t>Nail clippers</t>
        </is>
      </c>
      <c r="C26" s="49" t="n"/>
      <c r="D26" s="37" t="n"/>
      <c r="E26" s="27" t="n"/>
    </row>
    <row r="27">
      <c r="A27" s="24" t="inlineStr">
        <is>
          <t>Toiletries</t>
        </is>
      </c>
      <c r="B27" s="24" t="inlineStr">
        <is>
          <t>Feminine care</t>
        </is>
      </c>
      <c r="C27" s="49" t="n"/>
      <c r="D27" s="37" t="n"/>
      <c r="E27" s="27" t="n"/>
    </row>
    <row r="28">
      <c r="A28" s="24" t="inlineStr">
        <is>
          <t>Toiletries</t>
        </is>
      </c>
      <c r="B28" s="24" t="inlineStr">
        <is>
          <t>Quick-dry towel</t>
        </is>
      </c>
      <c r="C28" s="49" t="n"/>
      <c r="D28" s="37" t="n"/>
      <c r="E28" s="27" t="n"/>
    </row>
    <row r="29">
      <c r="A29" s="24" t="inlineStr">
        <is>
          <t>Electronics</t>
        </is>
      </c>
      <c r="B29" s="24" t="inlineStr">
        <is>
          <t>Phone + charger</t>
        </is>
      </c>
      <c r="C29" s="49" t="n"/>
      <c r="D29" s="37" t="n"/>
      <c r="E29" s="27" t="n"/>
    </row>
    <row r="30">
      <c r="A30" s="24" t="inlineStr">
        <is>
          <t>Electronics</t>
        </is>
      </c>
      <c r="B30" s="24" t="inlineStr">
        <is>
          <t>Power bank</t>
        </is>
      </c>
      <c r="C30" s="49" t="n"/>
      <c r="D30" s="37" t="n"/>
      <c r="E30" s="27" t="n"/>
    </row>
    <row r="31">
      <c r="A31" s="24" t="inlineStr">
        <is>
          <t>Electronics</t>
        </is>
      </c>
      <c r="B31" s="24" t="inlineStr">
        <is>
          <t>Headphones / earbuds</t>
        </is>
      </c>
      <c r="C31" s="49" t="n"/>
      <c r="D31" s="37" t="n"/>
      <c r="E31" s="27" t="n"/>
    </row>
    <row r="32">
      <c r="A32" s="24" t="inlineStr">
        <is>
          <t>Electronics</t>
        </is>
      </c>
      <c r="B32" s="24" t="inlineStr">
        <is>
          <t>Camera + memory card</t>
        </is>
      </c>
      <c r="C32" s="49" t="n"/>
      <c r="D32" s="37" t="n"/>
      <c r="E32" s="27" t="n"/>
    </row>
    <row r="33">
      <c r="A33" s="24" t="inlineStr">
        <is>
          <t>Electronics</t>
        </is>
      </c>
      <c r="B33" s="24" t="inlineStr">
        <is>
          <t>Universal travel adapter</t>
        </is>
      </c>
      <c r="C33" s="49" t="n"/>
      <c r="D33" s="37" t="n"/>
      <c r="E33" s="27" t="n"/>
    </row>
    <row r="34">
      <c r="A34" s="24" t="inlineStr">
        <is>
          <t>Electronics</t>
        </is>
      </c>
      <c r="B34" s="24" t="inlineStr">
        <is>
          <t>E-reader / tablet</t>
        </is>
      </c>
      <c r="C34" s="49" t="n"/>
      <c r="D34" s="37" t="n"/>
      <c r="E34" s="27" t="n"/>
    </row>
    <row r="35">
      <c r="A35" s="24" t="inlineStr">
        <is>
          <t>Electronics</t>
        </is>
      </c>
      <c r="B35" s="24" t="inlineStr">
        <is>
          <t>Laptop + charger (optional)</t>
        </is>
      </c>
      <c r="C35" s="49" t="n"/>
      <c r="D35" s="37" t="n"/>
      <c r="E35" s="27" t="n"/>
    </row>
    <row r="36">
      <c r="A36" s="24" t="inlineStr">
        <is>
          <t>Electronics</t>
        </is>
      </c>
      <c r="B36" s="24" t="inlineStr">
        <is>
          <t>Voltage converter (if needed)</t>
        </is>
      </c>
      <c r="C36" s="49" t="n"/>
      <c r="D36" s="37" t="n"/>
      <c r="E36" s="27" t="n"/>
    </row>
    <row r="37">
      <c r="A37" s="24" t="inlineStr">
        <is>
          <t>Documents</t>
        </is>
      </c>
      <c r="B37" s="24" t="inlineStr">
        <is>
          <t>Passport</t>
        </is>
      </c>
      <c r="C37" s="49" t="n"/>
      <c r="D37" s="37" t="n"/>
      <c r="E37" s="27" t="n"/>
    </row>
    <row r="38">
      <c r="A38" s="24" t="inlineStr">
        <is>
          <t>Documents</t>
        </is>
      </c>
      <c r="B38" s="24" t="inlineStr">
        <is>
          <t>Visa / eTA printout</t>
        </is>
      </c>
      <c r="C38" s="49" t="n"/>
      <c r="D38" s="37" t="n"/>
      <c r="E38" s="27" t="n"/>
    </row>
    <row r="39">
      <c r="A39" s="24" t="inlineStr">
        <is>
          <t>Documents</t>
        </is>
      </c>
      <c r="B39" s="24" t="inlineStr">
        <is>
          <t>Travel insurance card</t>
        </is>
      </c>
      <c r="C39" s="49" t="n"/>
      <c r="D39" s="37" t="n"/>
      <c r="E39" s="27" t="n"/>
    </row>
    <row r="40">
      <c r="A40" s="24" t="inlineStr">
        <is>
          <t>Documents</t>
        </is>
      </c>
      <c r="B40" s="24" t="inlineStr">
        <is>
          <t>Flight tickets</t>
        </is>
      </c>
      <c r="C40" s="49" t="n"/>
      <c r="D40" s="37" t="n"/>
      <c r="E40" s="27" t="n"/>
    </row>
    <row r="41">
      <c r="A41" s="24" t="inlineStr">
        <is>
          <t>Documents</t>
        </is>
      </c>
      <c r="B41" s="24" t="inlineStr">
        <is>
          <t>Hotel confirmations</t>
        </is>
      </c>
      <c r="C41" s="49" t="n"/>
      <c r="D41" s="37" t="n"/>
      <c r="E41" s="27" t="n"/>
    </row>
    <row r="42">
      <c r="A42" s="24" t="inlineStr">
        <is>
          <t>Documents</t>
        </is>
      </c>
      <c r="B42" s="24" t="inlineStr">
        <is>
          <t>Driver's license / IDP</t>
        </is>
      </c>
      <c r="C42" s="49" t="n"/>
      <c r="D42" s="37" t="n"/>
      <c r="E42" s="27" t="n"/>
    </row>
    <row r="43">
      <c r="A43" s="24" t="inlineStr">
        <is>
          <t>Documents</t>
        </is>
      </c>
      <c r="B43" s="24" t="inlineStr">
        <is>
          <t>Cash &amp; cards</t>
        </is>
      </c>
      <c r="C43" s="49" t="n"/>
      <c r="D43" s="37" t="n"/>
      <c r="E43" s="27" t="n"/>
    </row>
    <row r="44">
      <c r="A44" s="24" t="inlineStr">
        <is>
          <t>Documents</t>
        </is>
      </c>
      <c r="B44" s="24" t="inlineStr">
        <is>
          <t>Copies of all documents</t>
        </is>
      </c>
      <c r="C44" s="49" t="n"/>
      <c r="D44" s="37" t="n"/>
      <c r="E44" s="27" t="n"/>
    </row>
    <row r="45">
      <c r="A45" s="24" t="inlineStr">
        <is>
          <t>Health &amp; Meds</t>
        </is>
      </c>
      <c r="B45" s="24" t="inlineStr">
        <is>
          <t>Prescription medications</t>
        </is>
      </c>
      <c r="C45" s="49" t="n"/>
      <c r="D45" s="37" t="n"/>
      <c r="E45" s="27" t="n"/>
    </row>
    <row r="46">
      <c r="A46" s="24" t="inlineStr">
        <is>
          <t>Health &amp; Meds</t>
        </is>
      </c>
      <c r="B46" s="24" t="inlineStr">
        <is>
          <t>Pain relievers</t>
        </is>
      </c>
      <c r="C46" s="49" t="n"/>
      <c r="D46" s="37" t="n"/>
      <c r="E46" s="27" t="n"/>
    </row>
    <row r="47">
      <c r="A47" s="24" t="inlineStr">
        <is>
          <t>Health &amp; Meds</t>
        </is>
      </c>
      <c r="B47" s="24" t="inlineStr">
        <is>
          <t>Allergy medicine</t>
        </is>
      </c>
      <c r="C47" s="49" t="n"/>
      <c r="D47" s="37" t="n"/>
      <c r="E47" s="27" t="n"/>
    </row>
    <row r="48">
      <c r="A48" s="24" t="inlineStr">
        <is>
          <t>Health &amp; Meds</t>
        </is>
      </c>
      <c r="B48" s="24" t="inlineStr">
        <is>
          <t>Stomach / motion sickness tablets</t>
        </is>
      </c>
      <c r="C48" s="49" t="n"/>
      <c r="D48" s="37" t="n"/>
      <c r="E48" s="27" t="n"/>
    </row>
    <row r="49">
      <c r="A49" s="24" t="inlineStr">
        <is>
          <t>Health &amp; Meds</t>
        </is>
      </c>
      <c r="B49" s="24" t="inlineStr">
        <is>
          <t>Band-aids &amp; mini first-aid</t>
        </is>
      </c>
      <c r="C49" s="49" t="n"/>
      <c r="D49" s="37" t="n"/>
      <c r="E49" s="27" t="n"/>
    </row>
    <row r="50">
      <c r="A50" s="24" t="inlineStr">
        <is>
          <t>Health &amp; Meds</t>
        </is>
      </c>
      <c r="B50" s="24" t="inlineStr">
        <is>
          <t>Hand sanitizer</t>
        </is>
      </c>
      <c r="C50" s="49" t="n"/>
      <c r="D50" s="37" t="n"/>
      <c r="E50" s="27" t="n"/>
    </row>
    <row r="51">
      <c r="A51" s="24" t="inlineStr">
        <is>
          <t>Health &amp; Meds</t>
        </is>
      </c>
      <c r="B51" s="24" t="inlineStr">
        <is>
          <t>Face masks</t>
        </is>
      </c>
      <c r="C51" s="49" t="n"/>
      <c r="D51" s="37" t="n"/>
      <c r="E51" s="27" t="n"/>
    </row>
    <row r="52">
      <c r="A52" s="24" t="inlineStr">
        <is>
          <t>Health &amp; Meds</t>
        </is>
      </c>
      <c r="B52" s="24" t="inlineStr">
        <is>
          <t>Insect repellent</t>
        </is>
      </c>
      <c r="C52" s="49" t="n"/>
      <c r="D52" s="37" t="n"/>
      <c r="E52" s="27" t="n"/>
    </row>
    <row r="53">
      <c r="A53" s="24" t="inlineStr">
        <is>
          <t>Health &amp; Meds</t>
        </is>
      </c>
      <c r="B53" s="24" t="inlineStr">
        <is>
          <t>Aloe / sunburn relief</t>
        </is>
      </c>
      <c r="C53" s="49" t="n"/>
      <c r="D53" s="37" t="n"/>
      <c r="E53" s="27" t="n"/>
    </row>
    <row r="54">
      <c r="A54" s="24" t="inlineStr">
        <is>
          <t>Miscellaneous</t>
        </is>
      </c>
      <c r="B54" s="24" t="inlineStr">
        <is>
          <t>Day bag / backpack</t>
        </is>
      </c>
      <c r="C54" s="49" t="n"/>
      <c r="D54" s="37" t="n"/>
      <c r="E54" s="27" t="n"/>
    </row>
    <row r="55">
      <c r="A55" s="24" t="inlineStr">
        <is>
          <t>Miscellaneous</t>
        </is>
      </c>
      <c r="B55" s="24" t="inlineStr">
        <is>
          <t>Reusable water bottle</t>
        </is>
      </c>
      <c r="C55" s="49" t="n"/>
      <c r="D55" s="37" t="n"/>
      <c r="E55" s="27" t="n"/>
    </row>
    <row r="56">
      <c r="A56" s="24" t="inlineStr">
        <is>
          <t>Miscellaneous</t>
        </is>
      </c>
      <c r="B56" s="24" t="inlineStr">
        <is>
          <t>Compact umbrella</t>
        </is>
      </c>
      <c r="C56" s="49" t="n"/>
      <c r="D56" s="37" t="n"/>
      <c r="E56" s="27" t="n"/>
    </row>
    <row r="57">
      <c r="A57" s="24" t="inlineStr">
        <is>
          <t>Miscellaneous</t>
        </is>
      </c>
      <c r="B57" s="24" t="inlineStr">
        <is>
          <t>Laundry bag</t>
        </is>
      </c>
      <c r="C57" s="49" t="n"/>
      <c r="D57" s="37" t="n"/>
      <c r="E57" s="27" t="n"/>
    </row>
    <row r="58">
      <c r="A58" s="24" t="inlineStr">
        <is>
          <t>Miscellaneous</t>
        </is>
      </c>
      <c r="B58" s="24" t="inlineStr">
        <is>
          <t>Travel snacks</t>
        </is>
      </c>
      <c r="C58" s="49" t="n"/>
      <c r="D58" s="37" t="n"/>
      <c r="E58" s="27" t="n"/>
    </row>
    <row r="59">
      <c r="A59" s="24" t="inlineStr">
        <is>
          <t>Miscellaneous</t>
        </is>
      </c>
      <c r="B59" s="24" t="inlineStr">
        <is>
          <t>Travel pillow</t>
        </is>
      </c>
      <c r="C59" s="49" t="n"/>
      <c r="D59" s="37" t="n"/>
      <c r="E59" s="27" t="n"/>
    </row>
    <row r="60">
      <c r="A60" s="24" t="inlineStr">
        <is>
          <t>Miscellaneous</t>
        </is>
      </c>
      <c r="B60" s="24" t="inlineStr">
        <is>
          <t>Books / entertainment</t>
        </is>
      </c>
      <c r="C60" s="49" t="n"/>
      <c r="D60" s="37" t="n"/>
      <c r="E60" s="27" t="n"/>
    </row>
    <row r="61">
      <c r="A61" s="24" t="inlineStr">
        <is>
          <t>Miscellaneous</t>
        </is>
      </c>
      <c r="B61" s="24" t="inlineStr">
        <is>
          <t>Ziplock bags</t>
        </is>
      </c>
      <c r="C61" s="49" t="n"/>
      <c r="D61" s="37" t="n"/>
      <c r="E61" s="27" t="n"/>
    </row>
    <row r="62">
      <c r="A62" s="24" t="inlineStr">
        <is>
          <t>Miscellaneous</t>
        </is>
      </c>
      <c r="B62" s="24" t="inlineStr">
        <is>
          <t>Foldable tote for souvenirs</t>
        </is>
      </c>
      <c r="C62" s="49" t="n"/>
      <c r="D62" s="37" t="n"/>
      <c r="E62" s="27" t="n"/>
    </row>
    <row r="63">
      <c r="A63" s="24" t="inlineStr">
        <is>
          <t>Miscellaneous</t>
        </is>
      </c>
      <c r="B63" s="24" t="inlineStr">
        <is>
          <t>Earplugs &amp; eye mask</t>
        </is>
      </c>
      <c r="C63" s="49" t="n"/>
      <c r="D63" s="37" t="n"/>
      <c r="E63" s="27" t="n"/>
    </row>
    <row r="64">
      <c r="A64" s="27" t="n"/>
      <c r="B64" s="27" t="n"/>
      <c r="C64" s="49" t="n"/>
      <c r="D64" s="37" t="n"/>
      <c r="E64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autoFilter ref="A4:E64"/>
  <mergeCells count="3">
    <mergeCell ref="G4:H4"/>
    <mergeCell ref="A2:H2"/>
    <mergeCell ref="A1:H1"/>
  </mergeCells>
  <conditionalFormatting sqref="H8">
    <cfRule type="dataBar" priority="1">
      <dataBar showValue="1">
        <cfvo type="num" val="0"/>
        <cfvo type="num" val="1"/>
        <color rgb="002A9D8F"/>
      </dataBar>
    </cfRule>
  </conditionalFormatting>
  <dataValidations count="2">
    <dataValidation sqref="A5:A64" showDropDown="0" showInputMessage="0" showErrorMessage="0" allowBlank="1" type="list">
      <formula1>"Clothing,Toiletries,Electronics,Documents,Health &amp; Meds,Miscellaneous"</formula1>
    </dataValidation>
    <dataValidation sqref="D5:D64" showDropDown="0" showInputMessage="0" showErrorMessage="0" allowBlank="1" type="list">
      <formula1>"✓,✗"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457B9D"/>
    <outlinePr summaryBelow="1" summaryRight="1"/>
    <pageSetUpPr fitToPage="1"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0" customWidth="1" min="4" max="4"/>
    <col width="16" customWidth="1" min="5" max="5"/>
    <col width="42" customWidth="1" min="6" max="6"/>
    <col width="13" customWidth="1" min="8" max="8"/>
    <col width="10" customWidth="1" min="9" max="9"/>
  </cols>
  <sheetData>
    <row r="1" ht="34" customHeight="1">
      <c r="A1" s="1" t="inlineStr">
        <is>
          <t>🌤️ WEATHER TRACKER</t>
        </is>
      </c>
    </row>
    <row r="2" ht="18" customHeight="1">
      <c r="A2" s="2" t="inlineStr">
        <is>
          <t>Check the forecast daily and plan outfits before you pack</t>
        </is>
      </c>
    </row>
    <row r="3" ht="6" customHeight="1"/>
    <row r="4" ht="20" customHeight="1">
      <c r="A4" s="17" t="inlineStr">
        <is>
          <t>Date</t>
        </is>
      </c>
      <c r="B4" s="17" t="inlineStr">
        <is>
          <t>Location</t>
        </is>
      </c>
      <c r="C4" s="17" t="inlineStr">
        <is>
          <t>High °C</t>
        </is>
      </c>
      <c r="D4" s="17" t="inlineStr">
        <is>
          <t>Low °C</t>
        </is>
      </c>
      <c r="E4" s="17" t="inlineStr">
        <is>
          <t>Conditions</t>
        </is>
      </c>
      <c r="F4" s="17" t="inlineStr">
        <is>
          <t>Outfit / What to Wear</t>
        </is>
      </c>
      <c r="H4" s="23" t="inlineStr">
        <is>
          <t>🌡️ SNAPSHOT</t>
        </is>
      </c>
    </row>
    <row r="5">
      <c r="A5" s="35" t="n"/>
      <c r="B5" s="27" t="n"/>
      <c r="C5" s="50" t="n"/>
      <c r="D5" s="50" t="n"/>
      <c r="E5" s="37" t="n"/>
      <c r="F5" s="27" t="n"/>
      <c r="H5" s="4" t="inlineStr">
        <is>
          <t>Avg High</t>
        </is>
      </c>
      <c r="I5" s="51">
        <f>IF(COUNT(C5:C24)=0,"—",ROUND(AVERAGE(C5:C24),1))</f>
        <v/>
      </c>
    </row>
    <row r="6">
      <c r="A6" s="35" t="n"/>
      <c r="B6" s="27" t="n"/>
      <c r="C6" s="50" t="n"/>
      <c r="D6" s="50" t="n"/>
      <c r="E6" s="37" t="n"/>
      <c r="F6" s="27" t="n"/>
      <c r="H6" s="4" t="inlineStr">
        <is>
          <t>Avg Low</t>
        </is>
      </c>
      <c r="I6" s="51">
        <f>IF(COUNT(D5:D24)=0,"—",ROUND(AVERAGE(D5:D24),1))</f>
        <v/>
      </c>
    </row>
    <row r="7">
      <c r="A7" s="35" t="n"/>
      <c r="B7" s="27" t="n"/>
      <c r="C7" s="50" t="n"/>
      <c r="D7" s="50" t="n"/>
      <c r="E7" s="37" t="n"/>
      <c r="F7" s="27" t="n"/>
      <c r="H7" s="4" t="inlineStr">
        <is>
          <t>Coldest Low</t>
        </is>
      </c>
      <c r="I7" s="51">
        <f>IF(COUNT(D5:D24)=0,"—",MIN(D5:D24))</f>
        <v/>
      </c>
    </row>
    <row r="8">
      <c r="A8" s="35" t="n"/>
      <c r="B8" s="27" t="n"/>
      <c r="C8" s="50" t="n"/>
      <c r="D8" s="50" t="n"/>
      <c r="E8" s="37" t="n"/>
      <c r="F8" s="27" t="n"/>
      <c r="H8" s="4" t="inlineStr">
        <is>
          <t>Rainy Days</t>
        </is>
      </c>
      <c r="I8" s="22">
        <f>COUNTIF(E5:E24,"*Rain*")</f>
        <v/>
      </c>
    </row>
    <row r="9">
      <c r="A9" s="35" t="n"/>
      <c r="B9" s="27" t="n"/>
      <c r="C9" s="50" t="n"/>
      <c r="D9" s="50" t="n"/>
      <c r="E9" s="37" t="n"/>
      <c r="F9" s="27" t="n"/>
    </row>
    <row r="10">
      <c r="A10" s="35" t="n"/>
      <c r="B10" s="27" t="n"/>
      <c r="C10" s="50" t="n"/>
      <c r="D10" s="50" t="n"/>
      <c r="E10" s="37" t="n"/>
      <c r="F10" s="27" t="n"/>
    </row>
    <row r="11">
      <c r="A11" s="35" t="n"/>
      <c r="B11" s="27" t="n"/>
      <c r="C11" s="50" t="n"/>
      <c r="D11" s="50" t="n"/>
      <c r="E11" s="37" t="n"/>
      <c r="F11" s="27" t="n"/>
    </row>
    <row r="12">
      <c r="A12" s="35" t="n"/>
      <c r="B12" s="27" t="n"/>
      <c r="C12" s="50" t="n"/>
      <c r="D12" s="50" t="n"/>
      <c r="E12" s="37" t="n"/>
      <c r="F12" s="27" t="n"/>
    </row>
    <row r="13">
      <c r="A13" s="35" t="n"/>
      <c r="B13" s="27" t="n"/>
      <c r="C13" s="50" t="n"/>
      <c r="D13" s="50" t="n"/>
      <c r="E13" s="37" t="n"/>
      <c r="F13" s="27" t="n"/>
    </row>
    <row r="14">
      <c r="A14" s="35" t="n"/>
      <c r="B14" s="27" t="n"/>
      <c r="C14" s="50" t="n"/>
      <c r="D14" s="50" t="n"/>
      <c r="E14" s="37" t="n"/>
      <c r="F14" s="27" t="n"/>
    </row>
    <row r="15">
      <c r="A15" s="35" t="n"/>
      <c r="B15" s="27" t="n"/>
      <c r="C15" s="50" t="n"/>
      <c r="D15" s="50" t="n"/>
      <c r="E15" s="37" t="n"/>
      <c r="F15" s="27" t="n"/>
    </row>
    <row r="16">
      <c r="A16" s="35" t="n"/>
      <c r="B16" s="27" t="n"/>
      <c r="C16" s="50" t="n"/>
      <c r="D16" s="50" t="n"/>
      <c r="E16" s="37" t="n"/>
      <c r="F16" s="27" t="n"/>
    </row>
    <row r="17">
      <c r="A17" s="35" t="n"/>
      <c r="B17" s="27" t="n"/>
      <c r="C17" s="50" t="n"/>
      <c r="D17" s="50" t="n"/>
      <c r="E17" s="37" t="n"/>
      <c r="F17" s="27" t="n"/>
    </row>
    <row r="18">
      <c r="A18" s="35" t="n"/>
      <c r="B18" s="27" t="n"/>
      <c r="C18" s="50" t="n"/>
      <c r="D18" s="50" t="n"/>
      <c r="E18" s="37" t="n"/>
      <c r="F18" s="27" t="n"/>
    </row>
    <row r="19">
      <c r="A19" s="35" t="n"/>
      <c r="B19" s="27" t="n"/>
      <c r="C19" s="50" t="n"/>
      <c r="D19" s="50" t="n"/>
      <c r="E19" s="37" t="n"/>
      <c r="F19" s="27" t="n"/>
    </row>
    <row r="20">
      <c r="A20" s="35" t="n"/>
      <c r="B20" s="27" t="n"/>
      <c r="C20" s="50" t="n"/>
      <c r="D20" s="50" t="n"/>
      <c r="E20" s="37" t="n"/>
      <c r="F20" s="27" t="n"/>
    </row>
    <row r="21">
      <c r="A21" s="35" t="n"/>
      <c r="B21" s="27" t="n"/>
      <c r="C21" s="50" t="n"/>
      <c r="D21" s="50" t="n"/>
      <c r="E21" s="37" t="n"/>
      <c r="F21" s="27" t="n"/>
    </row>
    <row r="22">
      <c r="A22" s="35" t="n"/>
      <c r="B22" s="27" t="n"/>
      <c r="C22" s="50" t="n"/>
      <c r="D22" s="50" t="n"/>
      <c r="E22" s="37" t="n"/>
      <c r="F22" s="27" t="n"/>
    </row>
    <row r="23">
      <c r="A23" s="35" t="n"/>
      <c r="B23" s="27" t="n"/>
      <c r="C23" s="50" t="n"/>
      <c r="D23" s="50" t="n"/>
      <c r="E23" s="37" t="n"/>
      <c r="F23" s="27" t="n"/>
    </row>
    <row r="24">
      <c r="A24" s="35" t="n"/>
      <c r="B24" s="27" t="n"/>
      <c r="C24" s="50" t="n"/>
      <c r="D24" s="50" t="n"/>
      <c r="E24" s="37" t="n"/>
      <c r="F24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3">
    <mergeCell ref="A1:I1"/>
    <mergeCell ref="A2:I2"/>
    <mergeCell ref="H4:I4"/>
  </mergeCells>
  <dataValidations count="1">
    <dataValidation sqref="E5:E24" showDropDown="0" showInputMessage="0" showErrorMessage="0" allowBlank="1" type="list">
      <formula1>"☀ Sunny,⛅ Partly Cloudy,☁ Cloudy,🌧 Rain,⛈ Storm,❄ Snow,💨 Windy,🌫 Fog"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457B9D"/>
    <outlinePr summaryBelow="1" summaryRight="1"/>
    <pageSetUpPr fitToPage="1"/>
  </sheetPr>
  <dimension ref="A1:I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10" customWidth="1" min="3" max="3"/>
    <col width="24" customWidth="1" min="4" max="4"/>
    <col width="3" customWidth="1" min="5" max="5"/>
    <col width="28" customWidth="1" min="6" max="6"/>
    <col width="7" customWidth="1" min="7" max="7"/>
    <col width="10" customWidth="1" min="8" max="8"/>
    <col width="24" customWidth="1" min="9" max="9"/>
  </cols>
  <sheetData>
    <row r="1" ht="34" customHeight="1">
      <c r="A1" s="1" t="inlineStr">
        <is>
          <t>👜 CARRY-ON vs CHECKED</t>
        </is>
      </c>
    </row>
    <row r="2" ht="18" customHeight="1">
      <c r="A2" s="2" t="inlineStr">
        <is>
          <t>Keep valuables &amp; essentials with you — everything else goes below</t>
        </is>
      </c>
    </row>
    <row r="3" ht="6" customHeight="1"/>
    <row r="4" ht="20" customHeight="1">
      <c r="A4" s="3" t="inlineStr">
        <is>
          <t>🎒 CARRY-ON (with you)</t>
        </is>
      </c>
      <c r="F4" s="3" t="inlineStr">
        <is>
          <t>🧳 CHECKED BAG (in the hold)</t>
        </is>
      </c>
    </row>
    <row r="5" ht="22" customHeight="1">
      <c r="A5" s="17" t="inlineStr">
        <is>
          <t>Item</t>
        </is>
      </c>
      <c r="B5" s="17" t="inlineStr">
        <is>
          <t>Qty</t>
        </is>
      </c>
      <c r="C5" s="17" t="inlineStr">
        <is>
          <t>Packed?</t>
        </is>
      </c>
      <c r="D5" s="17" t="inlineStr">
        <is>
          <t>Notes</t>
        </is>
      </c>
      <c r="F5" s="17" t="inlineStr">
        <is>
          <t>Item</t>
        </is>
      </c>
      <c r="G5" s="17" t="inlineStr">
        <is>
          <t>Qty</t>
        </is>
      </c>
      <c r="H5" s="17" t="inlineStr">
        <is>
          <t>Packed?</t>
        </is>
      </c>
      <c r="I5" s="17" t="inlineStr">
        <is>
          <t>Notes</t>
        </is>
      </c>
    </row>
    <row r="6">
      <c r="A6" s="24" t="inlineStr">
        <is>
          <t>Passport &amp; travel documents</t>
        </is>
      </c>
      <c r="B6" s="49" t="n"/>
      <c r="C6" s="37" t="n"/>
      <c r="D6" s="27" t="n"/>
      <c r="F6" s="24" t="inlineStr">
        <is>
          <t>Clothing sets for each day</t>
        </is>
      </c>
      <c r="G6" s="49" t="n"/>
      <c r="H6" s="37" t="n"/>
      <c r="I6" s="27" t="n"/>
    </row>
    <row r="7">
      <c r="A7" s="24" t="inlineStr">
        <is>
          <t>Prescription medications</t>
        </is>
      </c>
      <c r="B7" s="49" t="n"/>
      <c r="C7" s="37" t="n"/>
      <c r="D7" s="27" t="n"/>
      <c r="F7" s="24" t="inlineStr">
        <is>
          <t>Comfortable shoes (2nd pair)</t>
        </is>
      </c>
      <c r="G7" s="49" t="n"/>
      <c r="H7" s="37" t="n"/>
      <c r="I7" s="27" t="n"/>
    </row>
    <row r="8">
      <c r="A8" s="24" t="inlineStr">
        <is>
          <t>Phone, chargers &amp; power bank</t>
        </is>
      </c>
      <c r="B8" s="49" t="n"/>
      <c r="C8" s="37" t="n"/>
      <c r="D8" s="27" t="n"/>
      <c r="F8" s="24" t="inlineStr">
        <is>
          <t>Full-size toiletries</t>
        </is>
      </c>
      <c r="G8" s="49" t="n"/>
      <c r="H8" s="37" t="n"/>
      <c r="I8" s="27" t="n"/>
    </row>
    <row r="9">
      <c r="A9" s="24" t="inlineStr">
        <is>
          <t>Change of clothes</t>
        </is>
      </c>
      <c r="B9" s="49" t="n"/>
      <c r="C9" s="37" t="n"/>
      <c r="D9" s="27" t="n"/>
      <c r="F9" s="24" t="inlineStr">
        <is>
          <t>Hair dryer / styler</t>
        </is>
      </c>
      <c r="G9" s="49" t="n"/>
      <c r="H9" s="37" t="n"/>
      <c r="I9" s="27" t="n"/>
    </row>
    <row r="10">
      <c r="A10" s="24" t="inlineStr">
        <is>
          <t>Toiletries ≤ 100 ml</t>
        </is>
      </c>
      <c r="B10" s="49" t="n"/>
      <c r="C10" s="37" t="n"/>
      <c r="D10" s="27" t="n"/>
      <c r="F10" s="24" t="inlineStr">
        <is>
          <t>Swimwear &amp; beach items</t>
        </is>
      </c>
      <c r="G10" s="49" t="n"/>
      <c r="H10" s="37" t="n"/>
      <c r="I10" s="27" t="n"/>
    </row>
    <row r="11">
      <c r="A11" s="24" t="inlineStr">
        <is>
          <t>Snacks &amp; empty water bottle</t>
        </is>
      </c>
      <c r="B11" s="49" t="n"/>
      <c r="C11" s="37" t="n"/>
      <c r="D11" s="27" t="n"/>
      <c r="F11" s="24" t="inlineStr">
        <is>
          <t>Foldable bag for souvenirs</t>
        </is>
      </c>
      <c r="G11" s="49" t="n"/>
      <c r="H11" s="37" t="n"/>
      <c r="I11" s="27" t="n"/>
    </row>
    <row r="12">
      <c r="A12" s="24" t="inlineStr">
        <is>
          <t>Headphones / entertainment</t>
        </is>
      </c>
      <c r="B12" s="49" t="n"/>
      <c r="C12" s="37" t="n"/>
      <c r="D12" s="27" t="n"/>
      <c r="F12" s="27" t="n"/>
      <c r="G12" s="49" t="n"/>
      <c r="H12" s="37" t="n"/>
      <c r="I12" s="27" t="n"/>
    </row>
    <row r="13">
      <c r="A13" s="24" t="inlineStr">
        <is>
          <t>Sweater for the flight</t>
        </is>
      </c>
      <c r="B13" s="49" t="n"/>
      <c r="C13" s="37" t="n"/>
      <c r="D13" s="27" t="n"/>
      <c r="F13" s="27" t="n"/>
      <c r="G13" s="49" t="n"/>
      <c r="H13" s="37" t="n"/>
      <c r="I13" s="27" t="n"/>
    </row>
    <row r="14">
      <c r="A14" s="27" t="n"/>
      <c r="B14" s="49" t="n"/>
      <c r="C14" s="37" t="n"/>
      <c r="D14" s="27" t="n"/>
      <c r="F14" s="27" t="n"/>
      <c r="G14" s="49" t="n"/>
      <c r="H14" s="37" t="n"/>
      <c r="I14" s="27" t="n"/>
    </row>
    <row r="15">
      <c r="A15" s="27" t="n"/>
      <c r="B15" s="49" t="n"/>
      <c r="C15" s="37" t="n"/>
      <c r="D15" s="27" t="n"/>
      <c r="F15" s="27" t="n"/>
      <c r="G15" s="49" t="n"/>
      <c r="H15" s="37" t="n"/>
      <c r="I15" s="27" t="n"/>
    </row>
    <row r="16">
      <c r="A16" s="27" t="n"/>
      <c r="B16" s="49" t="n"/>
      <c r="C16" s="37" t="n"/>
      <c r="D16" s="27" t="n"/>
      <c r="F16" s="27" t="n"/>
      <c r="G16" s="49" t="n"/>
      <c r="H16" s="37" t="n"/>
      <c r="I16" s="27" t="n"/>
    </row>
    <row r="17">
      <c r="A17" s="27" t="n"/>
      <c r="B17" s="49" t="n"/>
      <c r="C17" s="37" t="n"/>
      <c r="D17" s="27" t="n"/>
      <c r="F17" s="27" t="n"/>
      <c r="G17" s="49" t="n"/>
      <c r="H17" s="37" t="n"/>
      <c r="I17" s="27" t="n"/>
    </row>
    <row r="18">
      <c r="A18" s="27" t="n"/>
      <c r="B18" s="49" t="n"/>
      <c r="C18" s="37" t="n"/>
      <c r="D18" s="27" t="n"/>
      <c r="F18" s="27" t="n"/>
      <c r="G18" s="49" t="n"/>
      <c r="H18" s="37" t="n"/>
      <c r="I18" s="27" t="n"/>
    </row>
    <row r="19">
      <c r="A19" s="27" t="n"/>
      <c r="B19" s="49" t="n"/>
      <c r="C19" s="37" t="n"/>
      <c r="D19" s="27" t="n"/>
      <c r="F19" s="27" t="n"/>
      <c r="G19" s="49" t="n"/>
      <c r="H19" s="37" t="n"/>
      <c r="I19" s="27" t="n"/>
    </row>
    <row r="20">
      <c r="A20" s="27" t="n"/>
      <c r="B20" s="49" t="n"/>
      <c r="C20" s="37" t="n"/>
      <c r="D20" s="27" t="n"/>
      <c r="F20" s="27" t="n"/>
      <c r="G20" s="49" t="n"/>
      <c r="H20" s="37" t="n"/>
      <c r="I20" s="27" t="n"/>
    </row>
    <row r="21">
      <c r="A21" s="27" t="n"/>
      <c r="B21" s="49" t="n"/>
      <c r="C21" s="37" t="n"/>
      <c r="D21" s="27" t="n"/>
      <c r="F21" s="27" t="n"/>
      <c r="G21" s="49" t="n"/>
      <c r="H21" s="37" t="n"/>
      <c r="I21" s="27" t="n"/>
    </row>
    <row r="22">
      <c r="A22" s="27" t="n"/>
      <c r="B22" s="49" t="n"/>
      <c r="C22" s="37" t="n"/>
      <c r="D22" s="27" t="n"/>
      <c r="F22" s="27" t="n"/>
      <c r="G22" s="49" t="n"/>
      <c r="H22" s="37" t="n"/>
      <c r="I22" s="27" t="n"/>
    </row>
    <row r="23">
      <c r="A23" s="27" t="n"/>
      <c r="B23" s="49" t="n"/>
      <c r="C23" s="37" t="n"/>
      <c r="D23" s="27" t="n"/>
      <c r="F23" s="27" t="n"/>
      <c r="G23" s="49" t="n"/>
      <c r="H23" s="37" t="n"/>
      <c r="I23" s="27" t="n"/>
    </row>
    <row r="24">
      <c r="A24" s="27" t="n"/>
      <c r="B24" s="49" t="n"/>
      <c r="C24" s="37" t="n"/>
      <c r="D24" s="27" t="n"/>
      <c r="F24" s="27" t="n"/>
      <c r="G24" s="49" t="n"/>
      <c r="H24" s="37" t="n"/>
      <c r="I24" s="27" t="n"/>
    </row>
    <row r="25">
      <c r="A25" s="27" t="n"/>
      <c r="B25" s="49" t="n"/>
      <c r="C25" s="37" t="n"/>
      <c r="D25" s="27" t="n"/>
      <c r="F25" s="27" t="n"/>
      <c r="G25" s="49" t="n"/>
      <c r="H25" s="37" t="n"/>
      <c r="I25" s="27" t="n"/>
    </row>
    <row r="27">
      <c r="A27" s="5">
        <f>"Packed: "&amp;COUNTIF(C6:C25,"✓")&amp;" of "&amp;COUNTA(A6:A25)</f>
        <v/>
      </c>
      <c r="B27" s="14" t="n"/>
      <c r="C27" s="14" t="n"/>
      <c r="D27" s="15" t="n"/>
      <c r="F27" s="5">
        <f>"Packed: "&amp;COUNTIF(H6:H25,"✓")&amp;" of "&amp;COUNTA(F6:F25)</f>
        <v/>
      </c>
      <c r="G27" s="14" t="n"/>
      <c r="H27" s="14" t="n"/>
      <c r="I27" s="1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6">
    <mergeCell ref="A27:D27"/>
    <mergeCell ref="A2:I2"/>
    <mergeCell ref="F27:I27"/>
    <mergeCell ref="A4:D4"/>
    <mergeCell ref="F4:I4"/>
    <mergeCell ref="A1:I1"/>
  </mergeCells>
  <dataValidations count="2">
    <dataValidation sqref="C6:C25" showDropDown="0" showInputMessage="0" showErrorMessage="0" allowBlank="1" type="list">
      <formula1>"✓,✗"</formula1>
    </dataValidation>
    <dataValidation sqref="H6:H25" showDropDown="0" showInputMessage="0" showErrorMessage="0" allowBlank="1" type="list">
      <formula1>"✓,✗"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457B9D"/>
    <outlinePr summaryBelow="1" summaryRight="1"/>
    <pageSetUpPr fitToPage="1"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4" customWidth="1" min="3" max="3"/>
    <col width="13" customWidth="1" min="4" max="4"/>
    <col width="9" customWidth="1" min="5" max="5"/>
    <col width="32" customWidth="1" min="6" max="6"/>
    <col width="13" customWidth="1" min="8" max="8"/>
    <col width="11" customWidth="1" min="9" max="9"/>
  </cols>
  <sheetData>
    <row r="1" ht="34" customHeight="1">
      <c r="A1" s="1" t="inlineStr">
        <is>
          <t>✅ TO-DO BEFORE YOU GO</t>
        </is>
      </c>
    </row>
    <row r="2" ht="18" customHeight="1">
      <c r="A2" s="2" t="inlineStr">
        <is>
          <t>The quiet list that saves the trip — bank, pets, plants, post</t>
        </is>
      </c>
    </row>
    <row r="3" ht="6" customHeight="1"/>
    <row r="4" ht="20" customHeight="1">
      <c r="A4" s="17" t="inlineStr">
        <is>
          <t>Task</t>
        </is>
      </c>
      <c r="B4" s="17" t="inlineStr">
        <is>
          <t>Category</t>
        </is>
      </c>
      <c r="C4" s="17" t="inlineStr">
        <is>
          <t>Owner</t>
        </is>
      </c>
      <c r="D4" s="17" t="inlineStr">
        <is>
          <t>Due Date</t>
        </is>
      </c>
      <c r="E4" s="17" t="inlineStr">
        <is>
          <t>Done?</t>
        </is>
      </c>
      <c r="F4" s="17" t="inlineStr">
        <is>
          <t>Notes</t>
        </is>
      </c>
      <c r="H4" s="23" t="inlineStr">
        <is>
          <t>🏁 READINESS</t>
        </is>
      </c>
    </row>
    <row r="5">
      <c r="A5" s="24" t="inlineStr">
        <is>
          <t>Notify bank of travel dates</t>
        </is>
      </c>
      <c r="B5" s="24" t="inlineStr">
        <is>
          <t>Money &amp; Bank</t>
        </is>
      </c>
      <c r="C5" s="27" t="n"/>
      <c r="D5" s="35" t="n"/>
      <c r="E5" s="37" t="n"/>
      <c r="F5" s="27" t="n"/>
      <c r="H5" s="4" t="inlineStr">
        <is>
          <t>Done</t>
        </is>
      </c>
      <c r="I5" s="22">
        <f>COUNTIF(E5:E34,"✓")</f>
        <v/>
      </c>
    </row>
    <row r="6">
      <c r="A6" s="24" t="inlineStr">
        <is>
          <t>Buy / check travel insurance</t>
        </is>
      </c>
      <c r="B6" s="24" t="inlineStr">
        <is>
          <t>Money &amp; Bank</t>
        </is>
      </c>
      <c r="C6" s="27" t="n"/>
      <c r="D6" s="35" t="n"/>
      <c r="E6" s="37" t="n"/>
      <c r="F6" s="27" t="n"/>
      <c r="H6" s="4" t="inlineStr">
        <is>
          <t>Total Tasks</t>
        </is>
      </c>
      <c r="I6" s="22">
        <f>COUNTA(A5:A34)</f>
        <v/>
      </c>
    </row>
    <row r="7">
      <c r="A7" s="24" t="inlineStr">
        <is>
          <t>Get local currency or travel card</t>
        </is>
      </c>
      <c r="B7" s="24" t="inlineStr">
        <is>
          <t>Money &amp; Bank</t>
        </is>
      </c>
      <c r="C7" s="27" t="n"/>
      <c r="D7" s="35" t="n"/>
      <c r="E7" s="37" t="n"/>
      <c r="F7" s="27" t="n"/>
      <c r="H7" s="4" t="inlineStr">
        <is>
          <t>% Ready</t>
        </is>
      </c>
      <c r="I7" s="26">
        <f>IF(H6=0,"",H5/H6)</f>
        <v/>
      </c>
    </row>
    <row r="8">
      <c r="A8" s="24" t="inlineStr">
        <is>
          <t>Pay upcoming bills</t>
        </is>
      </c>
      <c r="B8" s="24" t="inlineStr">
        <is>
          <t>Money &amp; Bank</t>
        </is>
      </c>
      <c r="C8" s="27" t="n"/>
      <c r="D8" s="35" t="n"/>
      <c r="E8" s="37" t="n"/>
      <c r="F8" s="27" t="n"/>
    </row>
    <row r="9">
      <c r="A9" s="24" t="inlineStr">
        <is>
          <t>Arrange pet sitter / boarding</t>
        </is>
      </c>
      <c r="B9" s="24" t="inlineStr">
        <is>
          <t>Pets</t>
        </is>
      </c>
      <c r="C9" s="27" t="n"/>
      <c r="D9" s="35" t="n"/>
      <c r="E9" s="37" t="n"/>
      <c r="F9" s="27" t="n"/>
    </row>
    <row r="10">
      <c r="A10" s="24" t="inlineStr">
        <is>
          <t>Arrange house sitter / neighbor check</t>
        </is>
      </c>
      <c r="B10" s="24" t="inlineStr">
        <is>
          <t>Home</t>
        </is>
      </c>
      <c r="C10" s="27" t="n"/>
      <c r="D10" s="35" t="n"/>
      <c r="E10" s="37" t="n"/>
      <c r="F10" s="27" t="n"/>
    </row>
    <row r="11">
      <c r="A11" s="24" t="inlineStr">
        <is>
          <t>Hold mail or arrange pickup</t>
        </is>
      </c>
      <c r="B11" s="24" t="inlineStr">
        <is>
          <t>Home</t>
        </is>
      </c>
      <c r="C11" s="27" t="n"/>
      <c r="D11" s="35" t="n"/>
      <c r="E11" s="37" t="n"/>
      <c r="F11" s="27" t="n"/>
    </row>
    <row r="12">
      <c r="A12" s="24" t="inlineStr">
        <is>
          <t>Water plants / plant sitter</t>
        </is>
      </c>
      <c r="B12" s="24" t="inlineStr">
        <is>
          <t>Plants</t>
        </is>
      </c>
      <c r="C12" s="27" t="n"/>
      <c r="D12" s="35" t="n"/>
      <c r="E12" s="37" t="n"/>
      <c r="F12" s="27" t="n"/>
    </row>
    <row r="13">
      <c r="A13" s="24" t="inlineStr">
        <is>
          <t>Pause deliveries &amp; subscriptions</t>
        </is>
      </c>
      <c r="B13" s="24" t="inlineStr">
        <is>
          <t>Home</t>
        </is>
      </c>
      <c r="C13" s="27" t="n"/>
      <c r="D13" s="35" t="n"/>
      <c r="E13" s="37" t="n"/>
      <c r="F13" s="27" t="n"/>
    </row>
    <row r="14">
      <c r="A14" s="24" t="inlineStr">
        <is>
          <t>Empty fridge of perishables</t>
        </is>
      </c>
      <c r="B14" s="24" t="inlineStr">
        <is>
          <t>Home</t>
        </is>
      </c>
      <c r="C14" s="27" t="n"/>
      <c r="D14" s="35" t="n"/>
      <c r="E14" s="37" t="n"/>
      <c r="F14" s="27" t="n"/>
    </row>
    <row r="15">
      <c r="A15" s="24" t="inlineStr">
        <is>
          <t>Take out trash / recycling</t>
        </is>
      </c>
      <c r="B15" s="24" t="inlineStr">
        <is>
          <t>Home</t>
        </is>
      </c>
      <c r="C15" s="27" t="n"/>
      <c r="D15" s="35" t="n"/>
      <c r="E15" s="37" t="n"/>
      <c r="F15" s="27" t="n"/>
    </row>
    <row r="16">
      <c r="A16" s="24" t="inlineStr">
        <is>
          <t>Laundry — empty hamper</t>
        </is>
      </c>
      <c r="B16" s="24" t="inlineStr">
        <is>
          <t>Home</t>
        </is>
      </c>
      <c r="C16" s="27" t="n"/>
      <c r="D16" s="35" t="n"/>
      <c r="E16" s="37" t="n"/>
      <c r="F16" s="27" t="n"/>
    </row>
    <row r="17">
      <c r="A17" s="24" t="inlineStr">
        <is>
          <t>Lock windows &amp; doors, hide valuables</t>
        </is>
      </c>
      <c r="B17" s="24" t="inlineStr">
        <is>
          <t>Home</t>
        </is>
      </c>
      <c r="C17" s="27" t="n"/>
      <c r="D17" s="35" t="n"/>
      <c r="E17" s="37" t="n"/>
      <c r="F17" s="27" t="n"/>
    </row>
    <row r="18">
      <c r="A18" s="24" t="inlineStr">
        <is>
          <t>Unplug appliances &amp; electronics</t>
        </is>
      </c>
      <c r="B18" s="24" t="inlineStr">
        <is>
          <t>Home</t>
        </is>
      </c>
      <c r="C18" s="27" t="n"/>
      <c r="D18" s="35" t="n"/>
      <c r="E18" s="37" t="n"/>
      <c r="F18" s="27" t="n"/>
    </row>
    <row r="19">
      <c r="A19" s="24" t="inlineStr">
        <is>
          <t>Set out-of-office / finish handover</t>
        </is>
      </c>
      <c r="B19" s="24" t="inlineStr">
        <is>
          <t>Work</t>
        </is>
      </c>
      <c r="C19" s="27" t="n"/>
      <c r="D19" s="35" t="n"/>
      <c r="E19" s="37" t="n"/>
      <c r="F19" s="27" t="n"/>
    </row>
    <row r="20">
      <c r="A20" s="24" t="inlineStr">
        <is>
          <t>Charge devices &amp; power bank</t>
        </is>
      </c>
      <c r="B20" s="24" t="inlineStr">
        <is>
          <t>Tech</t>
        </is>
      </c>
      <c r="C20" s="27" t="n"/>
      <c r="D20" s="35" t="n"/>
      <c r="E20" s="37" t="n"/>
      <c r="F20" s="27" t="n"/>
    </row>
    <row r="21">
      <c r="A21" s="24" t="inlineStr">
        <is>
          <t>Download offline maps &amp; entertainment</t>
        </is>
      </c>
      <c r="B21" s="24" t="inlineStr">
        <is>
          <t>Tech</t>
        </is>
      </c>
      <c r="C21" s="27" t="n"/>
      <c r="D21" s="35" t="n"/>
      <c r="E21" s="37" t="n"/>
      <c r="F21" s="27" t="n"/>
    </row>
    <row r="22">
      <c r="A22" s="24" t="inlineStr">
        <is>
          <t>Print copies of key documents</t>
        </is>
      </c>
      <c r="B22" s="24" t="inlineStr">
        <is>
          <t>Travel Docs</t>
        </is>
      </c>
      <c r="C22" s="27" t="n"/>
      <c r="D22" s="35" t="n"/>
      <c r="E22" s="37" t="n"/>
      <c r="F22" s="27" t="n"/>
    </row>
    <row r="23">
      <c r="A23" s="24" t="inlineStr">
        <is>
          <t>Check passport validity &amp; visa</t>
        </is>
      </c>
      <c r="B23" s="24" t="inlineStr">
        <is>
          <t>Travel Docs</t>
        </is>
      </c>
      <c r="C23" s="27" t="n"/>
      <c r="D23" s="35" t="n"/>
      <c r="E23" s="37" t="n"/>
      <c r="F23" s="27" t="n"/>
    </row>
    <row r="24">
      <c r="A24" s="24" t="inlineStr">
        <is>
          <t>Buy plug adapters / converters</t>
        </is>
      </c>
      <c r="B24" s="24" t="inlineStr">
        <is>
          <t>Tech</t>
        </is>
      </c>
      <c r="C24" s="27" t="n"/>
      <c r="D24" s="35" t="n"/>
      <c r="E24" s="37" t="n"/>
      <c r="F24" s="27" t="n"/>
    </row>
    <row r="25">
      <c r="A25" s="27" t="n"/>
      <c r="B25" s="27" t="n"/>
      <c r="C25" s="27" t="n"/>
      <c r="D25" s="35" t="n"/>
      <c r="E25" s="37" t="n"/>
      <c r="F25" s="27" t="n"/>
    </row>
    <row r="26">
      <c r="A26" s="27" t="n"/>
      <c r="B26" s="27" t="n"/>
      <c r="C26" s="27" t="n"/>
      <c r="D26" s="35" t="n"/>
      <c r="E26" s="37" t="n"/>
      <c r="F26" s="27" t="n"/>
    </row>
    <row r="27">
      <c r="A27" s="27" t="n"/>
      <c r="B27" s="27" t="n"/>
      <c r="C27" s="27" t="n"/>
      <c r="D27" s="35" t="n"/>
      <c r="E27" s="37" t="n"/>
      <c r="F27" s="27" t="n"/>
    </row>
    <row r="28">
      <c r="A28" s="27" t="n"/>
      <c r="B28" s="27" t="n"/>
      <c r="C28" s="27" t="n"/>
      <c r="D28" s="35" t="n"/>
      <c r="E28" s="37" t="n"/>
      <c r="F28" s="27" t="n"/>
    </row>
    <row r="29">
      <c r="A29" s="27" t="n"/>
      <c r="B29" s="27" t="n"/>
      <c r="C29" s="27" t="n"/>
      <c r="D29" s="35" t="n"/>
      <c r="E29" s="37" t="n"/>
      <c r="F29" s="27" t="n"/>
    </row>
    <row r="30">
      <c r="A30" s="27" t="n"/>
      <c r="B30" s="27" t="n"/>
      <c r="C30" s="27" t="n"/>
      <c r="D30" s="35" t="n"/>
      <c r="E30" s="37" t="n"/>
      <c r="F30" s="27" t="n"/>
    </row>
    <row r="31">
      <c r="A31" s="27" t="n"/>
      <c r="B31" s="27" t="n"/>
      <c r="C31" s="27" t="n"/>
      <c r="D31" s="35" t="n"/>
      <c r="E31" s="37" t="n"/>
      <c r="F31" s="27" t="n"/>
    </row>
    <row r="32">
      <c r="A32" s="27" t="n"/>
      <c r="B32" s="27" t="n"/>
      <c r="C32" s="27" t="n"/>
      <c r="D32" s="35" t="n"/>
      <c r="E32" s="37" t="n"/>
      <c r="F32" s="27" t="n"/>
    </row>
    <row r="33">
      <c r="A33" s="27" t="n"/>
      <c r="B33" s="27" t="n"/>
      <c r="C33" s="27" t="n"/>
      <c r="D33" s="35" t="n"/>
      <c r="E33" s="37" t="n"/>
      <c r="F33" s="27" t="n"/>
    </row>
    <row r="34">
      <c r="A34" s="27" t="n"/>
      <c r="B34" s="27" t="n"/>
      <c r="C34" s="27" t="n"/>
      <c r="D34" s="35" t="n"/>
      <c r="E34" s="37" t="n"/>
      <c r="F34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autoFilter ref="A4:F34"/>
  <mergeCells count="3">
    <mergeCell ref="A2:H2"/>
    <mergeCell ref="H4:I4"/>
    <mergeCell ref="A1:H1"/>
  </mergeCells>
  <conditionalFormatting sqref="H7">
    <cfRule type="dataBar" priority="1">
      <dataBar showValue="1">
        <cfvo type="num" val="0"/>
        <cfvo type="num" val="1"/>
        <color rgb="002A9D8F"/>
      </dataBar>
    </cfRule>
  </conditionalFormatting>
  <dataValidations count="2">
    <dataValidation sqref="B5:B34" showDropDown="0" showInputMessage="0" showErrorMessage="0" allowBlank="1" type="list">
      <formula1>"Money &amp; Bank,Home,Pets,Plants,Work,Tech,Health,Travel Docs,Other"</formula1>
    </dataValidation>
    <dataValidation sqref="E5:E34" showDropDown="0" showInputMessage="0" showErrorMessage="0" allowBlank="1" type="list">
      <formula1>"✓,✗"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C99700"/>
    <outlinePr summaryBelow="1" summaryRight="1"/>
    <pageSetUpPr fitToPage="1"/>
  </sheetPr>
  <dimension ref="A1:L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34" customWidth="1" min="4" max="4"/>
    <col width="28" customWidth="1" min="5" max="5"/>
    <col width="14" customWidth="1" min="6" max="6"/>
    <col width="12" customWidth="1" min="7" max="7"/>
    <col width="10" customWidth="1" min="8" max="8"/>
    <col width="28" customWidth="1" min="9" max="9"/>
    <col width="20" customWidth="1" min="11" max="11"/>
    <col width="15" customWidth="1" min="12" max="12"/>
  </cols>
  <sheetData>
    <row r="1" ht="34" customHeight="1">
      <c r="A1" s="1" t="inlineStr">
        <is>
          <t>🗺️ DAY-BY-DAY ITINERARY</t>
        </is>
      </c>
    </row>
    <row r="2" ht="18" customHeight="1">
      <c r="A2" s="2" t="inlineStr">
        <is>
          <t>80 slots — time, activity, address, transport and cost per line</t>
        </is>
      </c>
    </row>
    <row r="3" ht="6" customHeight="1"/>
    <row r="4" ht="20" customHeight="1">
      <c r="A4" s="17" t="inlineStr">
        <is>
          <t>Day</t>
        </is>
      </c>
      <c r="B4" s="17" t="inlineStr">
        <is>
          <t>Date</t>
        </is>
      </c>
      <c r="C4" s="17" t="inlineStr">
        <is>
          <t>Time / Block</t>
        </is>
      </c>
      <c r="D4" s="17" t="inlineStr">
        <is>
          <t>Activity</t>
        </is>
      </c>
      <c r="E4" s="17" t="inlineStr">
        <is>
          <t>Location / Address</t>
        </is>
      </c>
      <c r="F4" s="17" t="inlineStr">
        <is>
          <t>Transport</t>
        </is>
      </c>
      <c r="G4" s="17" t="inlineStr">
        <is>
          <t>Cost</t>
        </is>
      </c>
      <c r="H4" s="17" t="inlineStr">
        <is>
          <t>Booked?</t>
        </is>
      </c>
      <c r="I4" s="17" t="inlineStr">
        <is>
          <t>Notes</t>
        </is>
      </c>
      <c r="K4" s="23" t="inlineStr">
        <is>
          <t>📊 SUMMARY</t>
        </is>
      </c>
    </row>
    <row r="5">
      <c r="A5" s="49" t="n">
        <v>1</v>
      </c>
      <c r="B5" s="35" t="n"/>
      <c r="C5" s="37" t="inlineStr">
        <is>
          <t>Morning</t>
        </is>
      </c>
      <c r="D5" s="27" t="n"/>
      <c r="E5" s="27" t="n"/>
      <c r="F5" s="37" t="n"/>
      <c r="G5" s="25" t="n"/>
      <c r="H5" s="37" t="n"/>
      <c r="I5" s="27" t="n"/>
      <c r="K5" s="4" t="inlineStr">
        <is>
          <t>Planned Activity Cost</t>
        </is>
      </c>
      <c r="L5" s="7">
        <f>SUM(G5:G84)</f>
        <v/>
      </c>
    </row>
    <row r="6">
      <c r="A6" s="49" t="n">
        <v>1</v>
      </c>
      <c r="B6" s="35" t="n"/>
      <c r="C6" s="37" t="inlineStr">
        <is>
          <t>Afternoon</t>
        </is>
      </c>
      <c r="D6" s="27" t="n"/>
      <c r="E6" s="27" t="n"/>
      <c r="F6" s="37" t="n"/>
      <c r="G6" s="25" t="n"/>
      <c r="H6" s="37" t="n"/>
      <c r="I6" s="27" t="n"/>
      <c r="K6" s="4" t="inlineStr">
        <is>
          <t>Days Planned</t>
        </is>
      </c>
      <c r="L6" s="22">
        <f>IF(COUNT(A5:A84)=0,"—",MAX(A5:A84))</f>
        <v/>
      </c>
    </row>
    <row r="7">
      <c r="A7" s="49" t="n">
        <v>1</v>
      </c>
      <c r="B7" s="35" t="n"/>
      <c r="C7" s="37" t="inlineStr">
        <is>
          <t>Evening</t>
        </is>
      </c>
      <c r="D7" s="27" t="n"/>
      <c r="E7" s="27" t="n"/>
      <c r="F7" s="37" t="n"/>
      <c r="G7" s="25" t="n"/>
      <c r="H7" s="37" t="n"/>
      <c r="I7" s="27" t="n"/>
    </row>
    <row r="8">
      <c r="A8" s="49" t="n">
        <v>2</v>
      </c>
      <c r="B8" s="35" t="n"/>
      <c r="C8" s="37" t="inlineStr">
        <is>
          <t>Morning</t>
        </is>
      </c>
      <c r="D8" s="27" t="n"/>
      <c r="E8" s="27" t="n"/>
      <c r="F8" s="37" t="n"/>
      <c r="G8" s="25" t="n"/>
      <c r="H8" s="37" t="n"/>
      <c r="I8" s="27" t="n"/>
    </row>
    <row r="9">
      <c r="A9" s="49" t="n">
        <v>2</v>
      </c>
      <c r="B9" s="35" t="n"/>
      <c r="C9" s="37" t="inlineStr">
        <is>
          <t>Afternoon</t>
        </is>
      </c>
      <c r="D9" s="27" t="n"/>
      <c r="E9" s="27" t="n"/>
      <c r="F9" s="37" t="n"/>
      <c r="G9" s="25" t="n"/>
      <c r="H9" s="37" t="n"/>
      <c r="I9" s="27" t="n"/>
    </row>
    <row r="10">
      <c r="A10" s="49" t="n">
        <v>2</v>
      </c>
      <c r="B10" s="35" t="n"/>
      <c r="C10" s="37" t="inlineStr">
        <is>
          <t>Evening</t>
        </is>
      </c>
      <c r="D10" s="27" t="n"/>
      <c r="E10" s="27" t="n"/>
      <c r="F10" s="37" t="n"/>
      <c r="G10" s="25" t="n"/>
      <c r="H10" s="37" t="n"/>
      <c r="I10" s="27" t="n"/>
    </row>
    <row r="11">
      <c r="A11" s="49" t="n">
        <v>3</v>
      </c>
      <c r="B11" s="35" t="n"/>
      <c r="C11" s="37" t="inlineStr">
        <is>
          <t>Morning</t>
        </is>
      </c>
      <c r="D11" s="27" t="n"/>
      <c r="E11" s="27" t="n"/>
      <c r="F11" s="37" t="n"/>
      <c r="G11" s="25" t="n"/>
      <c r="H11" s="37" t="n"/>
      <c r="I11" s="27" t="n"/>
    </row>
    <row r="12">
      <c r="A12" s="49" t="n">
        <v>3</v>
      </c>
      <c r="B12" s="35" t="n"/>
      <c r="C12" s="37" t="inlineStr">
        <is>
          <t>Afternoon</t>
        </is>
      </c>
      <c r="D12" s="27" t="n"/>
      <c r="E12" s="27" t="n"/>
      <c r="F12" s="37" t="n"/>
      <c r="G12" s="25" t="n"/>
      <c r="H12" s="37" t="n"/>
      <c r="I12" s="27" t="n"/>
    </row>
    <row r="13">
      <c r="A13" s="49" t="n">
        <v>3</v>
      </c>
      <c r="B13" s="35" t="n"/>
      <c r="C13" s="37" t="inlineStr">
        <is>
          <t>Evening</t>
        </is>
      </c>
      <c r="D13" s="27" t="n"/>
      <c r="E13" s="27" t="n"/>
      <c r="F13" s="37" t="n"/>
      <c r="G13" s="25" t="n"/>
      <c r="H13" s="37" t="n"/>
      <c r="I13" s="27" t="n"/>
    </row>
    <row r="14">
      <c r="A14" s="49" t="n">
        <v>4</v>
      </c>
      <c r="B14" s="35" t="n"/>
      <c r="C14" s="37" t="inlineStr">
        <is>
          <t>Morning</t>
        </is>
      </c>
      <c r="D14" s="27" t="n"/>
      <c r="E14" s="27" t="n"/>
      <c r="F14" s="37" t="n"/>
      <c r="G14" s="25" t="n"/>
      <c r="H14" s="37" t="n"/>
      <c r="I14" s="27" t="n"/>
    </row>
    <row r="15">
      <c r="A15" s="49" t="n">
        <v>4</v>
      </c>
      <c r="B15" s="35" t="n"/>
      <c r="C15" s="37" t="inlineStr">
        <is>
          <t>Afternoon</t>
        </is>
      </c>
      <c r="D15" s="27" t="n"/>
      <c r="E15" s="27" t="n"/>
      <c r="F15" s="37" t="n"/>
      <c r="G15" s="25" t="n"/>
      <c r="H15" s="37" t="n"/>
      <c r="I15" s="27" t="n"/>
    </row>
    <row r="16">
      <c r="A16" s="49" t="n">
        <v>4</v>
      </c>
      <c r="B16" s="35" t="n"/>
      <c r="C16" s="37" t="inlineStr">
        <is>
          <t>Evening</t>
        </is>
      </c>
      <c r="D16" s="27" t="n"/>
      <c r="E16" s="27" t="n"/>
      <c r="F16" s="37" t="n"/>
      <c r="G16" s="25" t="n"/>
      <c r="H16" s="37" t="n"/>
      <c r="I16" s="27" t="n"/>
    </row>
    <row r="17">
      <c r="A17" s="49" t="n">
        <v>5</v>
      </c>
      <c r="B17" s="35" t="n"/>
      <c r="C17" s="37" t="inlineStr">
        <is>
          <t>Morning</t>
        </is>
      </c>
      <c r="D17" s="27" t="n"/>
      <c r="E17" s="27" t="n"/>
      <c r="F17" s="37" t="n"/>
      <c r="G17" s="25" t="n"/>
      <c r="H17" s="37" t="n"/>
      <c r="I17" s="27" t="n"/>
    </row>
    <row r="18">
      <c r="A18" s="49" t="n">
        <v>5</v>
      </c>
      <c r="B18" s="35" t="n"/>
      <c r="C18" s="37" t="inlineStr">
        <is>
          <t>Afternoon</t>
        </is>
      </c>
      <c r="D18" s="27" t="n"/>
      <c r="E18" s="27" t="n"/>
      <c r="F18" s="37" t="n"/>
      <c r="G18" s="25" t="n"/>
      <c r="H18" s="37" t="n"/>
      <c r="I18" s="27" t="n"/>
    </row>
    <row r="19">
      <c r="A19" s="49" t="n">
        <v>5</v>
      </c>
      <c r="B19" s="35" t="n"/>
      <c r="C19" s="37" t="inlineStr">
        <is>
          <t>Evening</t>
        </is>
      </c>
      <c r="D19" s="27" t="n"/>
      <c r="E19" s="27" t="n"/>
      <c r="F19" s="37" t="n"/>
      <c r="G19" s="25" t="n"/>
      <c r="H19" s="37" t="n"/>
      <c r="I19" s="27" t="n"/>
    </row>
    <row r="20">
      <c r="A20" s="37" t="n"/>
      <c r="B20" s="35" t="n"/>
      <c r="C20" s="37" t="n"/>
      <c r="D20" s="27" t="n"/>
      <c r="E20" s="27" t="n"/>
      <c r="F20" s="37" t="n"/>
      <c r="G20" s="25" t="n"/>
      <c r="H20" s="37" t="n"/>
      <c r="I20" s="27" t="n"/>
    </row>
    <row r="21">
      <c r="A21" s="37" t="n"/>
      <c r="B21" s="35" t="n"/>
      <c r="C21" s="37" t="n"/>
      <c r="D21" s="27" t="n"/>
      <c r="E21" s="27" t="n"/>
      <c r="F21" s="37" t="n"/>
      <c r="G21" s="25" t="n"/>
      <c r="H21" s="37" t="n"/>
      <c r="I21" s="27" t="n"/>
    </row>
    <row r="22">
      <c r="A22" s="37" t="n"/>
      <c r="B22" s="35" t="n"/>
      <c r="C22" s="37" t="n"/>
      <c r="D22" s="27" t="n"/>
      <c r="E22" s="27" t="n"/>
      <c r="F22" s="37" t="n"/>
      <c r="G22" s="25" t="n"/>
      <c r="H22" s="37" t="n"/>
      <c r="I22" s="27" t="n"/>
    </row>
    <row r="23">
      <c r="A23" s="37" t="n"/>
      <c r="B23" s="35" t="n"/>
      <c r="C23" s="37" t="n"/>
      <c r="D23" s="27" t="n"/>
      <c r="E23" s="27" t="n"/>
      <c r="F23" s="37" t="n"/>
      <c r="G23" s="25" t="n"/>
      <c r="H23" s="37" t="n"/>
      <c r="I23" s="27" t="n"/>
    </row>
    <row r="24">
      <c r="A24" s="37" t="n"/>
      <c r="B24" s="35" t="n"/>
      <c r="C24" s="37" t="n"/>
      <c r="D24" s="27" t="n"/>
      <c r="E24" s="27" t="n"/>
      <c r="F24" s="37" t="n"/>
      <c r="G24" s="25" t="n"/>
      <c r="H24" s="37" t="n"/>
      <c r="I24" s="27" t="n"/>
    </row>
    <row r="25">
      <c r="A25" s="37" t="n"/>
      <c r="B25" s="35" t="n"/>
      <c r="C25" s="37" t="n"/>
      <c r="D25" s="27" t="n"/>
      <c r="E25" s="27" t="n"/>
      <c r="F25" s="37" t="n"/>
      <c r="G25" s="25" t="n"/>
      <c r="H25" s="37" t="n"/>
      <c r="I25" s="27" t="n"/>
    </row>
    <row r="26">
      <c r="A26" s="37" t="n"/>
      <c r="B26" s="35" t="n"/>
      <c r="C26" s="37" t="n"/>
      <c r="D26" s="27" t="n"/>
      <c r="E26" s="27" t="n"/>
      <c r="F26" s="37" t="n"/>
      <c r="G26" s="25" t="n"/>
      <c r="H26" s="37" t="n"/>
      <c r="I26" s="27" t="n"/>
    </row>
    <row r="27">
      <c r="A27" s="37" t="n"/>
      <c r="B27" s="35" t="n"/>
      <c r="C27" s="37" t="n"/>
      <c r="D27" s="27" t="n"/>
      <c r="E27" s="27" t="n"/>
      <c r="F27" s="37" t="n"/>
      <c r="G27" s="25" t="n"/>
      <c r="H27" s="37" t="n"/>
      <c r="I27" s="27" t="n"/>
    </row>
    <row r="28">
      <c r="A28" s="37" t="n"/>
      <c r="B28" s="35" t="n"/>
      <c r="C28" s="37" t="n"/>
      <c r="D28" s="27" t="n"/>
      <c r="E28" s="27" t="n"/>
      <c r="F28" s="37" t="n"/>
      <c r="G28" s="25" t="n"/>
      <c r="H28" s="37" t="n"/>
      <c r="I28" s="27" t="n"/>
    </row>
    <row r="29">
      <c r="A29" s="37" t="n"/>
      <c r="B29" s="35" t="n"/>
      <c r="C29" s="37" t="n"/>
      <c r="D29" s="27" t="n"/>
      <c r="E29" s="27" t="n"/>
      <c r="F29" s="37" t="n"/>
      <c r="G29" s="25" t="n"/>
      <c r="H29" s="37" t="n"/>
      <c r="I29" s="27" t="n"/>
    </row>
    <row r="30">
      <c r="A30" s="37" t="n"/>
      <c r="B30" s="35" t="n"/>
      <c r="C30" s="37" t="n"/>
      <c r="D30" s="27" t="n"/>
      <c r="E30" s="27" t="n"/>
      <c r="F30" s="37" t="n"/>
      <c r="G30" s="25" t="n"/>
      <c r="H30" s="37" t="n"/>
      <c r="I30" s="27" t="n"/>
    </row>
    <row r="31">
      <c r="A31" s="37" t="n"/>
      <c r="B31" s="35" t="n"/>
      <c r="C31" s="37" t="n"/>
      <c r="D31" s="27" t="n"/>
      <c r="E31" s="27" t="n"/>
      <c r="F31" s="37" t="n"/>
      <c r="G31" s="25" t="n"/>
      <c r="H31" s="37" t="n"/>
      <c r="I31" s="27" t="n"/>
    </row>
    <row r="32">
      <c r="A32" s="37" t="n"/>
      <c r="B32" s="35" t="n"/>
      <c r="C32" s="37" t="n"/>
      <c r="D32" s="27" t="n"/>
      <c r="E32" s="27" t="n"/>
      <c r="F32" s="37" t="n"/>
      <c r="G32" s="25" t="n"/>
      <c r="H32" s="37" t="n"/>
      <c r="I32" s="27" t="n"/>
    </row>
    <row r="33">
      <c r="A33" s="37" t="n"/>
      <c r="B33" s="35" t="n"/>
      <c r="C33" s="37" t="n"/>
      <c r="D33" s="27" t="n"/>
      <c r="E33" s="27" t="n"/>
      <c r="F33" s="37" t="n"/>
      <c r="G33" s="25" t="n"/>
      <c r="H33" s="37" t="n"/>
      <c r="I33" s="27" t="n"/>
    </row>
    <row r="34">
      <c r="A34" s="37" t="n"/>
      <c r="B34" s="35" t="n"/>
      <c r="C34" s="37" t="n"/>
      <c r="D34" s="27" t="n"/>
      <c r="E34" s="27" t="n"/>
      <c r="F34" s="37" t="n"/>
      <c r="G34" s="25" t="n"/>
      <c r="H34" s="37" t="n"/>
      <c r="I34" s="27" t="n"/>
    </row>
    <row r="35">
      <c r="A35" s="37" t="n"/>
      <c r="B35" s="35" t="n"/>
      <c r="C35" s="37" t="n"/>
      <c r="D35" s="27" t="n"/>
      <c r="E35" s="27" t="n"/>
      <c r="F35" s="37" t="n"/>
      <c r="G35" s="25" t="n"/>
      <c r="H35" s="37" t="n"/>
      <c r="I35" s="27" t="n"/>
    </row>
    <row r="36">
      <c r="A36" s="37" t="n"/>
      <c r="B36" s="35" t="n"/>
      <c r="C36" s="37" t="n"/>
      <c r="D36" s="27" t="n"/>
      <c r="E36" s="27" t="n"/>
      <c r="F36" s="37" t="n"/>
      <c r="G36" s="25" t="n"/>
      <c r="H36" s="37" t="n"/>
      <c r="I36" s="27" t="n"/>
    </row>
    <row r="37">
      <c r="A37" s="37" t="n"/>
      <c r="B37" s="35" t="n"/>
      <c r="C37" s="37" t="n"/>
      <c r="D37" s="27" t="n"/>
      <c r="E37" s="27" t="n"/>
      <c r="F37" s="37" t="n"/>
      <c r="G37" s="25" t="n"/>
      <c r="H37" s="37" t="n"/>
      <c r="I37" s="27" t="n"/>
    </row>
    <row r="38">
      <c r="A38" s="37" t="n"/>
      <c r="B38" s="35" t="n"/>
      <c r="C38" s="37" t="n"/>
      <c r="D38" s="27" t="n"/>
      <c r="E38" s="27" t="n"/>
      <c r="F38" s="37" t="n"/>
      <c r="G38" s="25" t="n"/>
      <c r="H38" s="37" t="n"/>
      <c r="I38" s="27" t="n"/>
    </row>
    <row r="39">
      <c r="A39" s="37" t="n"/>
      <c r="B39" s="35" t="n"/>
      <c r="C39" s="37" t="n"/>
      <c r="D39" s="27" t="n"/>
      <c r="E39" s="27" t="n"/>
      <c r="F39" s="37" t="n"/>
      <c r="G39" s="25" t="n"/>
      <c r="H39" s="37" t="n"/>
      <c r="I39" s="27" t="n"/>
    </row>
    <row r="40">
      <c r="A40" s="37" t="n"/>
      <c r="B40" s="35" t="n"/>
      <c r="C40" s="37" t="n"/>
      <c r="D40" s="27" t="n"/>
      <c r="E40" s="27" t="n"/>
      <c r="F40" s="37" t="n"/>
      <c r="G40" s="25" t="n"/>
      <c r="H40" s="37" t="n"/>
      <c r="I40" s="27" t="n"/>
    </row>
    <row r="41">
      <c r="A41" s="37" t="n"/>
      <c r="B41" s="35" t="n"/>
      <c r="C41" s="37" t="n"/>
      <c r="D41" s="27" t="n"/>
      <c r="E41" s="27" t="n"/>
      <c r="F41" s="37" t="n"/>
      <c r="G41" s="25" t="n"/>
      <c r="H41" s="37" t="n"/>
      <c r="I41" s="27" t="n"/>
    </row>
    <row r="42">
      <c r="A42" s="37" t="n"/>
      <c r="B42" s="35" t="n"/>
      <c r="C42" s="37" t="n"/>
      <c r="D42" s="27" t="n"/>
      <c r="E42" s="27" t="n"/>
      <c r="F42" s="37" t="n"/>
      <c r="G42" s="25" t="n"/>
      <c r="H42" s="37" t="n"/>
      <c r="I42" s="27" t="n"/>
    </row>
    <row r="43">
      <c r="A43" s="37" t="n"/>
      <c r="B43" s="35" t="n"/>
      <c r="C43" s="37" t="n"/>
      <c r="D43" s="27" t="n"/>
      <c r="E43" s="27" t="n"/>
      <c r="F43" s="37" t="n"/>
      <c r="G43" s="25" t="n"/>
      <c r="H43" s="37" t="n"/>
      <c r="I43" s="27" t="n"/>
    </row>
    <row r="44">
      <c r="A44" s="37" t="n"/>
      <c r="B44" s="35" t="n"/>
      <c r="C44" s="37" t="n"/>
      <c r="D44" s="27" t="n"/>
      <c r="E44" s="27" t="n"/>
      <c r="F44" s="37" t="n"/>
      <c r="G44" s="25" t="n"/>
      <c r="H44" s="37" t="n"/>
      <c r="I44" s="27" t="n"/>
    </row>
    <row r="45">
      <c r="A45" s="37" t="n"/>
      <c r="B45" s="35" t="n"/>
      <c r="C45" s="37" t="n"/>
      <c r="D45" s="27" t="n"/>
      <c r="E45" s="27" t="n"/>
      <c r="F45" s="37" t="n"/>
      <c r="G45" s="25" t="n"/>
      <c r="H45" s="37" t="n"/>
      <c r="I45" s="27" t="n"/>
    </row>
    <row r="46">
      <c r="A46" s="37" t="n"/>
      <c r="B46" s="35" t="n"/>
      <c r="C46" s="37" t="n"/>
      <c r="D46" s="27" t="n"/>
      <c r="E46" s="27" t="n"/>
      <c r="F46" s="37" t="n"/>
      <c r="G46" s="25" t="n"/>
      <c r="H46" s="37" t="n"/>
      <c r="I46" s="27" t="n"/>
    </row>
    <row r="47">
      <c r="A47" s="37" t="n"/>
      <c r="B47" s="35" t="n"/>
      <c r="C47" s="37" t="n"/>
      <c r="D47" s="27" t="n"/>
      <c r="E47" s="27" t="n"/>
      <c r="F47" s="37" t="n"/>
      <c r="G47" s="25" t="n"/>
      <c r="H47" s="37" t="n"/>
      <c r="I47" s="27" t="n"/>
    </row>
    <row r="48">
      <c r="A48" s="37" t="n"/>
      <c r="B48" s="35" t="n"/>
      <c r="C48" s="37" t="n"/>
      <c r="D48" s="27" t="n"/>
      <c r="E48" s="27" t="n"/>
      <c r="F48" s="37" t="n"/>
      <c r="G48" s="25" t="n"/>
      <c r="H48" s="37" t="n"/>
      <c r="I48" s="27" t="n"/>
    </row>
    <row r="49">
      <c r="A49" s="37" t="n"/>
      <c r="B49" s="35" t="n"/>
      <c r="C49" s="37" t="n"/>
      <c r="D49" s="27" t="n"/>
      <c r="E49" s="27" t="n"/>
      <c r="F49" s="37" t="n"/>
      <c r="G49" s="25" t="n"/>
      <c r="H49" s="37" t="n"/>
      <c r="I49" s="27" t="n"/>
    </row>
    <row r="50">
      <c r="A50" s="37" t="n"/>
      <c r="B50" s="35" t="n"/>
      <c r="C50" s="37" t="n"/>
      <c r="D50" s="27" t="n"/>
      <c r="E50" s="27" t="n"/>
      <c r="F50" s="37" t="n"/>
      <c r="G50" s="25" t="n"/>
      <c r="H50" s="37" t="n"/>
      <c r="I50" s="27" t="n"/>
    </row>
    <row r="51">
      <c r="A51" s="37" t="n"/>
      <c r="B51" s="35" t="n"/>
      <c r="C51" s="37" t="n"/>
      <c r="D51" s="27" t="n"/>
      <c r="E51" s="27" t="n"/>
      <c r="F51" s="37" t="n"/>
      <c r="G51" s="25" t="n"/>
      <c r="H51" s="37" t="n"/>
      <c r="I51" s="27" t="n"/>
    </row>
    <row r="52">
      <c r="A52" s="37" t="n"/>
      <c r="B52" s="35" t="n"/>
      <c r="C52" s="37" t="n"/>
      <c r="D52" s="27" t="n"/>
      <c r="E52" s="27" t="n"/>
      <c r="F52" s="37" t="n"/>
      <c r="G52" s="25" t="n"/>
      <c r="H52" s="37" t="n"/>
      <c r="I52" s="27" t="n"/>
    </row>
    <row r="53">
      <c r="A53" s="37" t="n"/>
      <c r="B53" s="35" t="n"/>
      <c r="C53" s="37" t="n"/>
      <c r="D53" s="27" t="n"/>
      <c r="E53" s="27" t="n"/>
      <c r="F53" s="37" t="n"/>
      <c r="G53" s="25" t="n"/>
      <c r="H53" s="37" t="n"/>
      <c r="I53" s="27" t="n"/>
    </row>
    <row r="54">
      <c r="A54" s="37" t="n"/>
      <c r="B54" s="35" t="n"/>
      <c r="C54" s="37" t="n"/>
      <c r="D54" s="27" t="n"/>
      <c r="E54" s="27" t="n"/>
      <c r="F54" s="37" t="n"/>
      <c r="G54" s="25" t="n"/>
      <c r="H54" s="37" t="n"/>
      <c r="I54" s="27" t="n"/>
    </row>
    <row r="55">
      <c r="A55" s="37" t="n"/>
      <c r="B55" s="35" t="n"/>
      <c r="C55" s="37" t="n"/>
      <c r="D55" s="27" t="n"/>
      <c r="E55" s="27" t="n"/>
      <c r="F55" s="37" t="n"/>
      <c r="G55" s="25" t="n"/>
      <c r="H55" s="37" t="n"/>
      <c r="I55" s="27" t="n"/>
    </row>
    <row r="56">
      <c r="A56" s="37" t="n"/>
      <c r="B56" s="35" t="n"/>
      <c r="C56" s="37" t="n"/>
      <c r="D56" s="27" t="n"/>
      <c r="E56" s="27" t="n"/>
      <c r="F56" s="37" t="n"/>
      <c r="G56" s="25" t="n"/>
      <c r="H56" s="37" t="n"/>
      <c r="I56" s="27" t="n"/>
    </row>
    <row r="57">
      <c r="A57" s="37" t="n"/>
      <c r="B57" s="35" t="n"/>
      <c r="C57" s="37" t="n"/>
      <c r="D57" s="27" t="n"/>
      <c r="E57" s="27" t="n"/>
      <c r="F57" s="37" t="n"/>
      <c r="G57" s="25" t="n"/>
      <c r="H57" s="37" t="n"/>
      <c r="I57" s="27" t="n"/>
    </row>
    <row r="58">
      <c r="A58" s="37" t="n"/>
      <c r="B58" s="35" t="n"/>
      <c r="C58" s="37" t="n"/>
      <c r="D58" s="27" t="n"/>
      <c r="E58" s="27" t="n"/>
      <c r="F58" s="37" t="n"/>
      <c r="G58" s="25" t="n"/>
      <c r="H58" s="37" t="n"/>
      <c r="I58" s="27" t="n"/>
    </row>
    <row r="59">
      <c r="A59" s="37" t="n"/>
      <c r="B59" s="35" t="n"/>
      <c r="C59" s="37" t="n"/>
      <c r="D59" s="27" t="n"/>
      <c r="E59" s="27" t="n"/>
      <c r="F59" s="37" t="n"/>
      <c r="G59" s="25" t="n"/>
      <c r="H59" s="37" t="n"/>
      <c r="I59" s="27" t="n"/>
    </row>
    <row r="60">
      <c r="A60" s="37" t="n"/>
      <c r="B60" s="35" t="n"/>
      <c r="C60" s="37" t="n"/>
      <c r="D60" s="27" t="n"/>
      <c r="E60" s="27" t="n"/>
      <c r="F60" s="37" t="n"/>
      <c r="G60" s="25" t="n"/>
      <c r="H60" s="37" t="n"/>
      <c r="I60" s="27" t="n"/>
    </row>
    <row r="61">
      <c r="A61" s="37" t="n"/>
      <c r="B61" s="35" t="n"/>
      <c r="C61" s="37" t="n"/>
      <c r="D61" s="27" t="n"/>
      <c r="E61" s="27" t="n"/>
      <c r="F61" s="37" t="n"/>
      <c r="G61" s="25" t="n"/>
      <c r="H61" s="37" t="n"/>
      <c r="I61" s="27" t="n"/>
    </row>
    <row r="62">
      <c r="A62" s="37" t="n"/>
      <c r="B62" s="35" t="n"/>
      <c r="C62" s="37" t="n"/>
      <c r="D62" s="27" t="n"/>
      <c r="E62" s="27" t="n"/>
      <c r="F62" s="37" t="n"/>
      <c r="G62" s="25" t="n"/>
      <c r="H62" s="37" t="n"/>
      <c r="I62" s="27" t="n"/>
    </row>
    <row r="63">
      <c r="A63" s="37" t="n"/>
      <c r="B63" s="35" t="n"/>
      <c r="C63" s="37" t="n"/>
      <c r="D63" s="27" t="n"/>
      <c r="E63" s="27" t="n"/>
      <c r="F63" s="37" t="n"/>
      <c r="G63" s="25" t="n"/>
      <c r="H63" s="37" t="n"/>
      <c r="I63" s="27" t="n"/>
    </row>
    <row r="64">
      <c r="A64" s="37" t="n"/>
      <c r="B64" s="35" t="n"/>
      <c r="C64" s="37" t="n"/>
      <c r="D64" s="27" t="n"/>
      <c r="E64" s="27" t="n"/>
      <c r="F64" s="37" t="n"/>
      <c r="G64" s="25" t="n"/>
      <c r="H64" s="37" t="n"/>
      <c r="I64" s="27" t="n"/>
    </row>
    <row r="65">
      <c r="A65" s="37" t="n"/>
      <c r="B65" s="35" t="n"/>
      <c r="C65" s="37" t="n"/>
      <c r="D65" s="27" t="n"/>
      <c r="E65" s="27" t="n"/>
      <c r="F65" s="37" t="n"/>
      <c r="G65" s="25" t="n"/>
      <c r="H65" s="37" t="n"/>
      <c r="I65" s="27" t="n"/>
    </row>
    <row r="66">
      <c r="A66" s="37" t="n"/>
      <c r="B66" s="35" t="n"/>
      <c r="C66" s="37" t="n"/>
      <c r="D66" s="27" t="n"/>
      <c r="E66" s="27" t="n"/>
      <c r="F66" s="37" t="n"/>
      <c r="G66" s="25" t="n"/>
      <c r="H66" s="37" t="n"/>
      <c r="I66" s="27" t="n"/>
    </row>
    <row r="67">
      <c r="A67" s="37" t="n"/>
      <c r="B67" s="35" t="n"/>
      <c r="C67" s="37" t="n"/>
      <c r="D67" s="27" t="n"/>
      <c r="E67" s="27" t="n"/>
      <c r="F67" s="37" t="n"/>
      <c r="G67" s="25" t="n"/>
      <c r="H67" s="37" t="n"/>
      <c r="I67" s="27" t="n"/>
    </row>
    <row r="68">
      <c r="A68" s="37" t="n"/>
      <c r="B68" s="35" t="n"/>
      <c r="C68" s="37" t="n"/>
      <c r="D68" s="27" t="n"/>
      <c r="E68" s="27" t="n"/>
      <c r="F68" s="37" t="n"/>
      <c r="G68" s="25" t="n"/>
      <c r="H68" s="37" t="n"/>
      <c r="I68" s="27" t="n"/>
    </row>
    <row r="69">
      <c r="A69" s="37" t="n"/>
      <c r="B69" s="35" t="n"/>
      <c r="C69" s="37" t="n"/>
      <c r="D69" s="27" t="n"/>
      <c r="E69" s="27" t="n"/>
      <c r="F69" s="37" t="n"/>
      <c r="G69" s="25" t="n"/>
      <c r="H69" s="37" t="n"/>
      <c r="I69" s="27" t="n"/>
    </row>
    <row r="70">
      <c r="A70" s="37" t="n"/>
      <c r="B70" s="35" t="n"/>
      <c r="C70" s="37" t="n"/>
      <c r="D70" s="27" t="n"/>
      <c r="E70" s="27" t="n"/>
      <c r="F70" s="37" t="n"/>
      <c r="G70" s="25" t="n"/>
      <c r="H70" s="37" t="n"/>
      <c r="I70" s="27" t="n"/>
    </row>
    <row r="71">
      <c r="A71" s="37" t="n"/>
      <c r="B71" s="35" t="n"/>
      <c r="C71" s="37" t="n"/>
      <c r="D71" s="27" t="n"/>
      <c r="E71" s="27" t="n"/>
      <c r="F71" s="37" t="n"/>
      <c r="G71" s="25" t="n"/>
      <c r="H71" s="37" t="n"/>
      <c r="I71" s="27" t="n"/>
    </row>
    <row r="72">
      <c r="A72" s="37" t="n"/>
      <c r="B72" s="35" t="n"/>
      <c r="C72" s="37" t="n"/>
      <c r="D72" s="27" t="n"/>
      <c r="E72" s="27" t="n"/>
      <c r="F72" s="37" t="n"/>
      <c r="G72" s="25" t="n"/>
      <c r="H72" s="37" t="n"/>
      <c r="I72" s="27" t="n"/>
    </row>
    <row r="73">
      <c r="A73" s="37" t="n"/>
      <c r="B73" s="35" t="n"/>
      <c r="C73" s="37" t="n"/>
      <c r="D73" s="27" t="n"/>
      <c r="E73" s="27" t="n"/>
      <c r="F73" s="37" t="n"/>
      <c r="G73" s="25" t="n"/>
      <c r="H73" s="37" t="n"/>
      <c r="I73" s="27" t="n"/>
    </row>
    <row r="74">
      <c r="A74" s="37" t="n"/>
      <c r="B74" s="35" t="n"/>
      <c r="C74" s="37" t="n"/>
      <c r="D74" s="27" t="n"/>
      <c r="E74" s="27" t="n"/>
      <c r="F74" s="37" t="n"/>
      <c r="G74" s="25" t="n"/>
      <c r="H74" s="37" t="n"/>
      <c r="I74" s="27" t="n"/>
    </row>
    <row r="75">
      <c r="A75" s="37" t="n"/>
      <c r="B75" s="35" t="n"/>
      <c r="C75" s="37" t="n"/>
      <c r="D75" s="27" t="n"/>
      <c r="E75" s="27" t="n"/>
      <c r="F75" s="37" t="n"/>
      <c r="G75" s="25" t="n"/>
      <c r="H75" s="37" t="n"/>
      <c r="I75" s="27" t="n"/>
    </row>
    <row r="76">
      <c r="A76" s="37" t="n"/>
      <c r="B76" s="35" t="n"/>
      <c r="C76" s="37" t="n"/>
      <c r="D76" s="27" t="n"/>
      <c r="E76" s="27" t="n"/>
      <c r="F76" s="37" t="n"/>
      <c r="G76" s="25" t="n"/>
      <c r="H76" s="37" t="n"/>
      <c r="I76" s="27" t="n"/>
    </row>
    <row r="77">
      <c r="A77" s="37" t="n"/>
      <c r="B77" s="35" t="n"/>
      <c r="C77" s="37" t="n"/>
      <c r="D77" s="27" t="n"/>
      <c r="E77" s="27" t="n"/>
      <c r="F77" s="37" t="n"/>
      <c r="G77" s="25" t="n"/>
      <c r="H77" s="37" t="n"/>
      <c r="I77" s="27" t="n"/>
    </row>
    <row r="78">
      <c r="A78" s="37" t="n"/>
      <c r="B78" s="35" t="n"/>
      <c r="C78" s="37" t="n"/>
      <c r="D78" s="27" t="n"/>
      <c r="E78" s="27" t="n"/>
      <c r="F78" s="37" t="n"/>
      <c r="G78" s="25" t="n"/>
      <c r="H78" s="37" t="n"/>
      <c r="I78" s="27" t="n"/>
    </row>
    <row r="79">
      <c r="A79" s="37" t="n"/>
      <c r="B79" s="35" t="n"/>
      <c r="C79" s="37" t="n"/>
      <c r="D79" s="27" t="n"/>
      <c r="E79" s="27" t="n"/>
      <c r="F79" s="37" t="n"/>
      <c r="G79" s="25" t="n"/>
      <c r="H79" s="37" t="n"/>
      <c r="I79" s="27" t="n"/>
    </row>
    <row r="80">
      <c r="A80" s="37" t="n"/>
      <c r="B80" s="35" t="n"/>
      <c r="C80" s="37" t="n"/>
      <c r="D80" s="27" t="n"/>
      <c r="E80" s="27" t="n"/>
      <c r="F80" s="37" t="n"/>
      <c r="G80" s="25" t="n"/>
      <c r="H80" s="37" t="n"/>
      <c r="I80" s="27" t="n"/>
    </row>
    <row r="81">
      <c r="A81" s="37" t="n"/>
      <c r="B81" s="35" t="n"/>
      <c r="C81" s="37" t="n"/>
      <c r="D81" s="27" t="n"/>
      <c r="E81" s="27" t="n"/>
      <c r="F81" s="37" t="n"/>
      <c r="G81" s="25" t="n"/>
      <c r="H81" s="37" t="n"/>
      <c r="I81" s="27" t="n"/>
    </row>
    <row r="82">
      <c r="A82" s="37" t="n"/>
      <c r="B82" s="35" t="n"/>
      <c r="C82" s="37" t="n"/>
      <c r="D82" s="27" t="n"/>
      <c r="E82" s="27" t="n"/>
      <c r="F82" s="37" t="n"/>
      <c r="G82" s="25" t="n"/>
      <c r="H82" s="37" t="n"/>
      <c r="I82" s="27" t="n"/>
    </row>
    <row r="83">
      <c r="A83" s="37" t="n"/>
      <c r="B83" s="35" t="n"/>
      <c r="C83" s="37" t="n"/>
      <c r="D83" s="27" t="n"/>
      <c r="E83" s="27" t="n"/>
      <c r="F83" s="37" t="n"/>
      <c r="G83" s="25" t="n"/>
      <c r="H83" s="37" t="n"/>
      <c r="I83" s="27" t="n"/>
    </row>
    <row r="84">
      <c r="A84" s="37" t="n"/>
      <c r="B84" s="35" t="n"/>
      <c r="C84" s="37" t="n"/>
      <c r="D84" s="27" t="n"/>
      <c r="E84" s="27" t="n"/>
      <c r="F84" s="37" t="n"/>
      <c r="G84" s="25" t="n"/>
      <c r="H84" s="37" t="n"/>
      <c r="I84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autoFilter ref="A4:I84"/>
  <mergeCells count="3">
    <mergeCell ref="K4:L4"/>
    <mergeCell ref="A2:L2"/>
    <mergeCell ref="A1:L1"/>
  </mergeCells>
  <dataValidations count="2">
    <dataValidation sqref="F5:F84" showDropDown="0" showInputMessage="0" showErrorMessage="0" allowBlank="1" type="list">
      <formula1>"Flight,Train,Bus / Coach,Metro / Subway,Taxi,Rideshare,Ferry,Rental Car,Shuttle,Bike,Walk"</formula1>
    </dataValidation>
    <dataValidation sqref="H5:H84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C99700"/>
    <outlinePr summaryBelow="1" summaryRight="1"/>
    <pageSetUpPr fitToPage="1"/>
  </sheetPr>
  <dimension ref="A1:I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4" customHeight="1">
      <c r="A1" s="1" t="inlineStr">
        <is>
          <t>⏰ HOURLY SCHEDULE GRID</t>
        </is>
      </c>
    </row>
    <row r="2" ht="18" customHeight="1">
      <c r="A2" s="2" t="inlineStr">
        <is>
          <t>One week, hour by hour — morning, afternoon and evening blocks</t>
        </is>
      </c>
    </row>
    <row r="3" ht="6" customHeight="1"/>
    <row r="4" ht="20" customHeight="1">
      <c r="A4" s="23" t="inlineStr">
        <is>
          <t>Block</t>
        </is>
      </c>
      <c r="B4" s="23" t="inlineStr">
        <is>
          <t>Time</t>
        </is>
      </c>
      <c r="C4" s="23" t="inlineStr">
        <is>
          <t>Day 1</t>
        </is>
      </c>
      <c r="D4" s="23" t="inlineStr">
        <is>
          <t>Day 2</t>
        </is>
      </c>
      <c r="E4" s="23" t="inlineStr">
        <is>
          <t>Day 3</t>
        </is>
      </c>
      <c r="F4" s="23" t="inlineStr">
        <is>
          <t>Day 4</t>
        </is>
      </c>
      <c r="G4" s="23" t="inlineStr">
        <is>
          <t>Day 5</t>
        </is>
      </c>
      <c r="H4" s="23" t="inlineStr">
        <is>
          <t>Day 6</t>
        </is>
      </c>
      <c r="I4" s="23" t="inlineStr">
        <is>
          <t>Day 7</t>
        </is>
      </c>
    </row>
    <row r="5" ht="18" customHeight="1">
      <c r="A5" s="52" t="inlineStr"/>
      <c r="B5" s="53" t="inlineStr">
        <is>
          <t>Date →</t>
        </is>
      </c>
      <c r="C5" s="35" t="n"/>
      <c r="D5" s="35" t="n"/>
      <c r="E5" s="35" t="n"/>
      <c r="F5" s="35" t="n"/>
      <c r="G5" s="35" t="n"/>
      <c r="H5" s="35" t="n"/>
      <c r="I5" s="35" t="n"/>
    </row>
    <row r="6" ht="20" customHeight="1">
      <c r="A6" s="54" t="inlineStr">
        <is>
          <t>☀ MORNING</t>
        </is>
      </c>
      <c r="B6" s="38" t="inlineStr">
        <is>
          <t>06:00</t>
        </is>
      </c>
      <c r="C6" s="55" t="n"/>
      <c r="D6" s="55" t="n"/>
      <c r="E6" s="55" t="n"/>
      <c r="F6" s="55" t="n"/>
      <c r="G6" s="55" t="n"/>
      <c r="H6" s="55" t="n"/>
      <c r="I6" s="55" t="n"/>
    </row>
    <row r="7" ht="20" customHeight="1">
      <c r="A7" s="56" t="n"/>
      <c r="B7" s="38" t="inlineStr">
        <is>
          <t>07:00</t>
        </is>
      </c>
      <c r="C7" s="55" t="n"/>
      <c r="D7" s="55" t="n"/>
      <c r="E7" s="55" t="n"/>
      <c r="F7" s="55" t="n"/>
      <c r="G7" s="55" t="n"/>
      <c r="H7" s="55" t="n"/>
      <c r="I7" s="55" t="n"/>
    </row>
    <row r="8" ht="20" customHeight="1">
      <c r="A8" s="56" t="n"/>
      <c r="B8" s="38" t="inlineStr">
        <is>
          <t>08:00</t>
        </is>
      </c>
      <c r="C8" s="55" t="n"/>
      <c r="D8" s="55" t="n"/>
      <c r="E8" s="55" t="n"/>
      <c r="F8" s="55" t="n"/>
      <c r="G8" s="55" t="n"/>
      <c r="H8" s="55" t="n"/>
      <c r="I8" s="55" t="n"/>
    </row>
    <row r="9" ht="20" customHeight="1">
      <c r="A9" s="56" t="n"/>
      <c r="B9" s="38" t="inlineStr">
        <is>
          <t>09:00</t>
        </is>
      </c>
      <c r="C9" s="55" t="n"/>
      <c r="D9" s="55" t="n"/>
      <c r="E9" s="55" t="n"/>
      <c r="F9" s="55" t="n"/>
      <c r="G9" s="55" t="n"/>
      <c r="H9" s="55" t="n"/>
      <c r="I9" s="55" t="n"/>
    </row>
    <row r="10" ht="20" customHeight="1">
      <c r="A10" s="56" t="n"/>
      <c r="B10" s="38" t="inlineStr">
        <is>
          <t>10:00</t>
        </is>
      </c>
      <c r="C10" s="55" t="n"/>
      <c r="D10" s="55" t="n"/>
      <c r="E10" s="55" t="n"/>
      <c r="F10" s="55" t="n"/>
      <c r="G10" s="55" t="n"/>
      <c r="H10" s="55" t="n"/>
      <c r="I10" s="55" t="n"/>
    </row>
    <row r="11" ht="20" customHeight="1">
      <c r="A11" s="57" t="n"/>
      <c r="B11" s="38" t="inlineStr">
        <is>
          <t>11:00</t>
        </is>
      </c>
      <c r="C11" s="55" t="n"/>
      <c r="D11" s="55" t="n"/>
      <c r="E11" s="55" t="n"/>
      <c r="F11" s="55" t="n"/>
      <c r="G11" s="55" t="n"/>
      <c r="H11" s="55" t="n"/>
      <c r="I11" s="55" t="n"/>
    </row>
    <row r="12" ht="20" customHeight="1">
      <c r="A12" s="58" t="inlineStr">
        <is>
          <t>🌤 AFTERNOON</t>
        </is>
      </c>
      <c r="B12" s="38" t="inlineStr">
        <is>
          <t>12:00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20" customHeight="1">
      <c r="A13" s="56" t="n"/>
      <c r="B13" s="38" t="inlineStr">
        <is>
          <t>13:00</t>
        </is>
      </c>
      <c r="C13" s="55" t="n"/>
      <c r="D13" s="55" t="n"/>
      <c r="E13" s="55" t="n"/>
      <c r="F13" s="55" t="n"/>
      <c r="G13" s="55" t="n"/>
      <c r="H13" s="55" t="n"/>
      <c r="I13" s="55" t="n"/>
    </row>
    <row r="14" ht="20" customHeight="1">
      <c r="A14" s="56" t="n"/>
      <c r="B14" s="38" t="inlineStr">
        <is>
          <t>14:00</t>
        </is>
      </c>
      <c r="C14" s="55" t="n"/>
      <c r="D14" s="55" t="n"/>
      <c r="E14" s="55" t="n"/>
      <c r="F14" s="55" t="n"/>
      <c r="G14" s="55" t="n"/>
      <c r="H14" s="55" t="n"/>
      <c r="I14" s="55" t="n"/>
    </row>
    <row r="15" ht="20" customHeight="1">
      <c r="A15" s="56" t="n"/>
      <c r="B15" s="38" t="inlineStr">
        <is>
          <t>15:00</t>
        </is>
      </c>
      <c r="C15" s="55" t="n"/>
      <c r="D15" s="55" t="n"/>
      <c r="E15" s="55" t="n"/>
      <c r="F15" s="55" t="n"/>
      <c r="G15" s="55" t="n"/>
      <c r="H15" s="55" t="n"/>
      <c r="I15" s="55" t="n"/>
    </row>
    <row r="16" ht="20" customHeight="1">
      <c r="A16" s="56" t="n"/>
      <c r="B16" s="38" t="inlineStr">
        <is>
          <t>16:00</t>
        </is>
      </c>
      <c r="C16" s="55" t="n"/>
      <c r="D16" s="55" t="n"/>
      <c r="E16" s="55" t="n"/>
      <c r="F16" s="55" t="n"/>
      <c r="G16" s="55" t="n"/>
      <c r="H16" s="55" t="n"/>
      <c r="I16" s="55" t="n"/>
    </row>
    <row r="17" ht="20" customHeight="1">
      <c r="A17" s="57" t="n"/>
      <c r="B17" s="38" t="inlineStr">
        <is>
          <t>17:00</t>
        </is>
      </c>
      <c r="C17" s="55" t="n"/>
      <c r="D17" s="55" t="n"/>
      <c r="E17" s="55" t="n"/>
      <c r="F17" s="55" t="n"/>
      <c r="G17" s="55" t="n"/>
      <c r="H17" s="55" t="n"/>
      <c r="I17" s="55" t="n"/>
    </row>
    <row r="18" ht="20" customHeight="1">
      <c r="A18" s="59" t="inlineStr">
        <is>
          <t>🌙 EVENING</t>
        </is>
      </c>
      <c r="B18" s="38" t="inlineStr">
        <is>
          <t>18:00</t>
        </is>
      </c>
      <c r="C18" s="55" t="n"/>
      <c r="D18" s="55" t="n"/>
      <c r="E18" s="55" t="n"/>
      <c r="F18" s="55" t="n"/>
      <c r="G18" s="55" t="n"/>
      <c r="H18" s="55" t="n"/>
      <c r="I18" s="55" t="n"/>
    </row>
    <row r="19" ht="20" customHeight="1">
      <c r="A19" s="56" t="n"/>
      <c r="B19" s="38" t="inlineStr">
        <is>
          <t>19:00</t>
        </is>
      </c>
      <c r="C19" s="55" t="n"/>
      <c r="D19" s="55" t="n"/>
      <c r="E19" s="55" t="n"/>
      <c r="F19" s="55" t="n"/>
      <c r="G19" s="55" t="n"/>
      <c r="H19" s="55" t="n"/>
      <c r="I19" s="55" t="n"/>
    </row>
    <row r="20" ht="20" customHeight="1">
      <c r="A20" s="56" t="n"/>
      <c r="B20" s="38" t="inlineStr">
        <is>
          <t>20:00</t>
        </is>
      </c>
      <c r="C20" s="55" t="n"/>
      <c r="D20" s="55" t="n"/>
      <c r="E20" s="55" t="n"/>
      <c r="F20" s="55" t="n"/>
      <c r="G20" s="55" t="n"/>
      <c r="H20" s="55" t="n"/>
      <c r="I20" s="55" t="n"/>
    </row>
    <row r="21" ht="20" customHeight="1">
      <c r="A21" s="56" t="n"/>
      <c r="B21" s="38" t="inlineStr">
        <is>
          <t>21:00</t>
        </is>
      </c>
      <c r="C21" s="55" t="n"/>
      <c r="D21" s="55" t="n"/>
      <c r="E21" s="55" t="n"/>
      <c r="F21" s="55" t="n"/>
      <c r="G21" s="55" t="n"/>
      <c r="H21" s="55" t="n"/>
      <c r="I21" s="55" t="n"/>
    </row>
    <row r="22" ht="20" customHeight="1">
      <c r="A22" s="56" t="n"/>
      <c r="B22" s="38" t="inlineStr">
        <is>
          <t>22:00</t>
        </is>
      </c>
      <c r="C22" s="55" t="n"/>
      <c r="D22" s="55" t="n"/>
      <c r="E22" s="55" t="n"/>
      <c r="F22" s="55" t="n"/>
      <c r="G22" s="55" t="n"/>
      <c r="H22" s="55" t="n"/>
      <c r="I22" s="55" t="n"/>
    </row>
    <row r="23" ht="20" customHeight="1">
      <c r="A23" s="57" t="n"/>
      <c r="B23" s="38" t="inlineStr">
        <is>
          <t>23:00</t>
        </is>
      </c>
      <c r="C23" s="55" t="n"/>
      <c r="D23" s="55" t="n"/>
      <c r="E23" s="55" t="n"/>
      <c r="F23" s="55" t="n"/>
      <c r="G23" s="55" t="n"/>
      <c r="H23" s="55" t="n"/>
      <c r="I23" s="55" t="n"/>
    </row>
    <row r="25">
      <c r="A25" s="33" t="inlineStr">
        <is>
          <t>Tip: type plans into any hour. Morning ☀ 06–11 • Afternoon 🌤 12–17 • Evening 🌙 18–23.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5">
    <mergeCell ref="A12:A17"/>
    <mergeCell ref="A2:I2"/>
    <mergeCell ref="A18:A23"/>
    <mergeCell ref="A1:I1"/>
    <mergeCell ref="A6:A11"/>
  </mergeCell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C99700"/>
    <outlinePr summaryBelow="1" summaryRight="1"/>
    <pageSetUpPr fitToPage="1"/>
  </sheetPr>
  <dimension ref="A1:U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12" customWidth="1" min="4" max="4"/>
    <col width="30" customWidth="1" min="5" max="5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</cols>
  <sheetData>
    <row r="1" ht="34" customHeight="1">
      <c r="A1" s="1" t="inlineStr">
        <is>
          <t>🧭 MAP &amp; ROUTE PLANNER</t>
        </is>
      </c>
    </row>
    <row r="2" ht="18" customHeight="1">
      <c r="A2" s="2" t="inlineStr">
        <is>
          <t>Order your stops, then sketch the route on the grid</t>
        </is>
      </c>
    </row>
    <row r="3" ht="6" customHeight="1"/>
    <row r="4" ht="22" customHeight="1">
      <c r="A4" s="17" t="inlineStr">
        <is>
          <t>Stop #</t>
        </is>
      </c>
      <c r="B4" s="17" t="inlineStr">
        <is>
          <t>Place</t>
        </is>
      </c>
      <c r="C4" s="17" t="inlineStr">
        <is>
          <t>Nearest Transit / Parking</t>
        </is>
      </c>
      <c r="D4" s="17" t="inlineStr">
        <is>
          <t>Est. Time</t>
        </is>
      </c>
      <c r="E4" s="17" t="inlineStr">
        <is>
          <t>Notes</t>
        </is>
      </c>
    </row>
    <row r="5">
      <c r="A5" s="36" t="n">
        <v>1</v>
      </c>
      <c r="B5" s="27" t="n"/>
      <c r="C5" s="27" t="n"/>
      <c r="D5" s="37" t="n"/>
      <c r="E5" s="27" t="n"/>
    </row>
    <row r="6">
      <c r="A6" s="38" t="n">
        <v>2</v>
      </c>
      <c r="B6" s="27" t="n"/>
      <c r="C6" s="27" t="n"/>
      <c r="D6" s="37" t="n"/>
      <c r="E6" s="27" t="n"/>
    </row>
    <row r="7">
      <c r="A7" s="36" t="n">
        <v>3</v>
      </c>
      <c r="B7" s="27" t="n"/>
      <c r="C7" s="27" t="n"/>
      <c r="D7" s="37" t="n"/>
      <c r="E7" s="27" t="n"/>
    </row>
    <row r="8">
      <c r="A8" s="38" t="n">
        <v>4</v>
      </c>
      <c r="B8" s="27" t="n"/>
      <c r="C8" s="27" t="n"/>
      <c r="D8" s="37" t="n"/>
      <c r="E8" s="27" t="n"/>
    </row>
    <row r="9">
      <c r="A9" s="36" t="n">
        <v>5</v>
      </c>
      <c r="B9" s="27" t="n"/>
      <c r="C9" s="27" t="n"/>
      <c r="D9" s="37" t="n"/>
      <c r="E9" s="27" t="n"/>
    </row>
    <row r="10">
      <c r="A10" s="38" t="n">
        <v>6</v>
      </c>
      <c r="B10" s="27" t="n"/>
      <c r="C10" s="27" t="n"/>
      <c r="D10" s="37" t="n"/>
      <c r="E10" s="27" t="n"/>
    </row>
    <row r="11">
      <c r="A11" s="36" t="n">
        <v>7</v>
      </c>
      <c r="B11" s="27" t="n"/>
      <c r="C11" s="27" t="n"/>
      <c r="D11" s="37" t="n"/>
      <c r="E11" s="27" t="n"/>
    </row>
    <row r="12">
      <c r="A12" s="38" t="n">
        <v>8</v>
      </c>
      <c r="B12" s="27" t="n"/>
      <c r="C12" s="27" t="n"/>
      <c r="D12" s="37" t="n"/>
      <c r="E12" s="27" t="n"/>
    </row>
    <row r="13">
      <c r="A13" s="36" t="n">
        <v>9</v>
      </c>
      <c r="B13" s="27" t="n"/>
      <c r="C13" s="27" t="n"/>
      <c r="D13" s="37" t="n"/>
      <c r="E13" s="27" t="n"/>
    </row>
    <row r="14">
      <c r="A14" s="38" t="n">
        <v>10</v>
      </c>
      <c r="B14" s="27" t="n"/>
      <c r="C14" s="27" t="n"/>
      <c r="D14" s="37" t="n"/>
      <c r="E14" s="27" t="n"/>
    </row>
    <row r="17">
      <c r="U17" s="60" t="inlineStr">
        <is>
          <t>N ⬆</t>
        </is>
      </c>
    </row>
    <row r="18" ht="20" customHeight="1"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</row>
    <row r="19" ht="20" customHeight="1"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</row>
    <row r="20" ht="20" customHeight="1"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5" t="n"/>
    </row>
    <row r="21" ht="20" customHeight="1"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5" t="n"/>
    </row>
    <row r="22" ht="20" customHeight="1"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</row>
    <row r="23" ht="20" customHeight="1"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</row>
    <row r="24" ht="20" customHeight="1"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</row>
    <row r="25" ht="20" customHeight="1"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</row>
    <row r="26" ht="20" customHeight="1"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</row>
    <row r="27" ht="20" customHeight="1"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</row>
    <row r="28" ht="20" customHeight="1"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</row>
    <row r="29" ht="20" customHeight="1"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</row>
    <row r="30" ht="20" customHeight="1"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</row>
    <row r="31" ht="20" customHeight="1"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</row>
    <row r="32" ht="20" customHeight="1"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</row>
    <row r="34">
      <c r="A34" s="33" t="inlineStr">
        <is>
          <t>Sketch your route: mark ⬤ start, letter the stops A–J, shade 🟨 must-sees, draw ➜ between cells.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2">
    <mergeCell ref="A1:U1"/>
    <mergeCell ref="A2:U2"/>
  </mergeCell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C99700"/>
    <outlinePr summaryBelow="1" summaryRight="1"/>
    <pageSetUpPr fitToPage="1"/>
  </sheetPr>
  <dimension ref="A1:N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6" customWidth="1" min="4" max="4"/>
    <col width="13" customWidth="1" min="5" max="5"/>
    <col width="9" customWidth="1" min="6" max="6"/>
    <col width="9" customWidth="1" min="7" max="7"/>
    <col width="16" customWidth="1" min="8" max="8"/>
    <col width="13" customWidth="1" min="9" max="9"/>
    <col width="12" customWidth="1" min="10" max="10"/>
    <col width="24" customWidth="1" min="11" max="11"/>
    <col width="20" customWidth="1" min="13" max="13"/>
    <col width="15" customWidth="1" min="14" max="14"/>
  </cols>
  <sheetData>
    <row r="1" ht="34" customHeight="1">
      <c r="A1" s="1" t="inlineStr">
        <is>
          <t>🚉 TRANSPORTATION LOG</t>
        </is>
      </c>
    </row>
    <row r="2" ht="18" customHeight="1">
      <c r="A2" s="2" t="inlineStr">
        <is>
          <t>Every flight, train, bus and rideshare — times &amp; confirmations</t>
        </is>
      </c>
    </row>
    <row r="3" ht="6" customHeight="1"/>
    <row r="4" ht="20" customHeight="1">
      <c r="A4" s="17" t="inlineStr">
        <is>
          <t>Mode</t>
        </is>
      </c>
      <c r="B4" s="17" t="inlineStr">
        <is>
          <t>Operator / Airline</t>
        </is>
      </c>
      <c r="C4" s="17" t="inlineStr">
        <is>
          <t>From</t>
        </is>
      </c>
      <c r="D4" s="17" t="inlineStr">
        <is>
          <t>To</t>
        </is>
      </c>
      <c r="E4" s="17" t="inlineStr">
        <is>
          <t>Date</t>
        </is>
      </c>
      <c r="F4" s="17" t="inlineStr">
        <is>
          <t>Depart</t>
        </is>
      </c>
      <c r="G4" s="17" t="inlineStr">
        <is>
          <t>Arrive</t>
        </is>
      </c>
      <c r="H4" s="17" t="inlineStr">
        <is>
          <t>Confirmation #</t>
        </is>
      </c>
      <c r="I4" s="17" t="inlineStr">
        <is>
          <t>Seat / Terminal</t>
        </is>
      </c>
      <c r="J4" s="17" t="inlineStr">
        <is>
          <t>Cost</t>
        </is>
      </c>
      <c r="K4" s="17" t="inlineStr">
        <is>
          <t>Notes</t>
        </is>
      </c>
      <c r="M4" s="23" t="inlineStr">
        <is>
          <t>📊 SUMMARY</t>
        </is>
      </c>
    </row>
    <row r="5">
      <c r="A5" s="37" t="n"/>
      <c r="B5" s="27" t="n"/>
      <c r="C5" s="27" t="n"/>
      <c r="D5" s="27" t="n"/>
      <c r="E5" s="35" t="n"/>
      <c r="F5" s="37" t="n"/>
      <c r="G5" s="37" t="n"/>
      <c r="H5" s="37" t="n"/>
      <c r="I5" s="37" t="n"/>
      <c r="J5" s="25" t="n"/>
      <c r="K5" s="27" t="n"/>
      <c r="M5" s="4" t="inlineStr">
        <is>
          <t>Total Transport Cost</t>
        </is>
      </c>
      <c r="N5" s="7">
        <f>SUM(J5:J34)</f>
        <v/>
      </c>
    </row>
    <row r="6">
      <c r="A6" s="37" t="n"/>
      <c r="B6" s="27" t="n"/>
      <c r="C6" s="27" t="n"/>
      <c r="D6" s="27" t="n"/>
      <c r="E6" s="35" t="n"/>
      <c r="F6" s="37" t="n"/>
      <c r="G6" s="37" t="n"/>
      <c r="H6" s="37" t="n"/>
      <c r="I6" s="37" t="n"/>
      <c r="J6" s="25" t="n"/>
      <c r="K6" s="27" t="n"/>
      <c r="M6" s="4" t="inlineStr">
        <is>
          <t>Segments Logged</t>
        </is>
      </c>
      <c r="N6" s="22">
        <f>COUNTIF(A5:A34,"?*")</f>
        <v/>
      </c>
    </row>
    <row r="7">
      <c r="A7" s="37" t="n"/>
      <c r="B7" s="27" t="n"/>
      <c r="C7" s="27" t="n"/>
      <c r="D7" s="27" t="n"/>
      <c r="E7" s="35" t="n"/>
      <c r="F7" s="37" t="n"/>
      <c r="G7" s="37" t="n"/>
      <c r="H7" s="37" t="n"/>
      <c r="I7" s="37" t="n"/>
      <c r="J7" s="25" t="n"/>
      <c r="K7" s="27" t="n"/>
    </row>
    <row r="8">
      <c r="A8" s="37" t="n"/>
      <c r="B8" s="27" t="n"/>
      <c r="C8" s="27" t="n"/>
      <c r="D8" s="27" t="n"/>
      <c r="E8" s="35" t="n"/>
      <c r="F8" s="37" t="n"/>
      <c r="G8" s="37" t="n"/>
      <c r="H8" s="37" t="n"/>
      <c r="I8" s="37" t="n"/>
      <c r="J8" s="25" t="n"/>
      <c r="K8" s="27" t="n"/>
    </row>
    <row r="9">
      <c r="A9" s="37" t="n"/>
      <c r="B9" s="27" t="n"/>
      <c r="C9" s="27" t="n"/>
      <c r="D9" s="27" t="n"/>
      <c r="E9" s="35" t="n"/>
      <c r="F9" s="37" t="n"/>
      <c r="G9" s="37" t="n"/>
      <c r="H9" s="37" t="n"/>
      <c r="I9" s="37" t="n"/>
      <c r="J9" s="25" t="n"/>
      <c r="K9" s="27" t="n"/>
    </row>
    <row r="10">
      <c r="A10" s="37" t="n"/>
      <c r="B10" s="27" t="n"/>
      <c r="C10" s="27" t="n"/>
      <c r="D10" s="27" t="n"/>
      <c r="E10" s="35" t="n"/>
      <c r="F10" s="37" t="n"/>
      <c r="G10" s="37" t="n"/>
      <c r="H10" s="37" t="n"/>
      <c r="I10" s="37" t="n"/>
      <c r="J10" s="25" t="n"/>
      <c r="K10" s="27" t="n"/>
    </row>
    <row r="11">
      <c r="A11" s="37" t="n"/>
      <c r="B11" s="27" t="n"/>
      <c r="C11" s="27" t="n"/>
      <c r="D11" s="27" t="n"/>
      <c r="E11" s="35" t="n"/>
      <c r="F11" s="37" t="n"/>
      <c r="G11" s="37" t="n"/>
      <c r="H11" s="37" t="n"/>
      <c r="I11" s="37" t="n"/>
      <c r="J11" s="25" t="n"/>
      <c r="K11" s="27" t="n"/>
    </row>
    <row r="12">
      <c r="A12" s="37" t="n"/>
      <c r="B12" s="27" t="n"/>
      <c r="C12" s="27" t="n"/>
      <c r="D12" s="27" t="n"/>
      <c r="E12" s="35" t="n"/>
      <c r="F12" s="37" t="n"/>
      <c r="G12" s="37" t="n"/>
      <c r="H12" s="37" t="n"/>
      <c r="I12" s="37" t="n"/>
      <c r="J12" s="25" t="n"/>
      <c r="K12" s="27" t="n"/>
    </row>
    <row r="13">
      <c r="A13" s="37" t="n"/>
      <c r="B13" s="27" t="n"/>
      <c r="C13" s="27" t="n"/>
      <c r="D13" s="27" t="n"/>
      <c r="E13" s="35" t="n"/>
      <c r="F13" s="37" t="n"/>
      <c r="G13" s="37" t="n"/>
      <c r="H13" s="37" t="n"/>
      <c r="I13" s="37" t="n"/>
      <c r="J13" s="25" t="n"/>
      <c r="K13" s="27" t="n"/>
    </row>
    <row r="14">
      <c r="A14" s="37" t="n"/>
      <c r="B14" s="27" t="n"/>
      <c r="C14" s="27" t="n"/>
      <c r="D14" s="27" t="n"/>
      <c r="E14" s="35" t="n"/>
      <c r="F14" s="37" t="n"/>
      <c r="G14" s="37" t="n"/>
      <c r="H14" s="37" t="n"/>
      <c r="I14" s="37" t="n"/>
      <c r="J14" s="25" t="n"/>
      <c r="K14" s="27" t="n"/>
    </row>
    <row r="15">
      <c r="A15" s="37" t="n"/>
      <c r="B15" s="27" t="n"/>
      <c r="C15" s="27" t="n"/>
      <c r="D15" s="27" t="n"/>
      <c r="E15" s="35" t="n"/>
      <c r="F15" s="37" t="n"/>
      <c r="G15" s="37" t="n"/>
      <c r="H15" s="37" t="n"/>
      <c r="I15" s="37" t="n"/>
      <c r="J15" s="25" t="n"/>
      <c r="K15" s="27" t="n"/>
    </row>
    <row r="16">
      <c r="A16" s="37" t="n"/>
      <c r="B16" s="27" t="n"/>
      <c r="C16" s="27" t="n"/>
      <c r="D16" s="27" t="n"/>
      <c r="E16" s="35" t="n"/>
      <c r="F16" s="37" t="n"/>
      <c r="G16" s="37" t="n"/>
      <c r="H16" s="37" t="n"/>
      <c r="I16" s="37" t="n"/>
      <c r="J16" s="25" t="n"/>
      <c r="K16" s="27" t="n"/>
    </row>
    <row r="17">
      <c r="A17" s="37" t="n"/>
      <c r="B17" s="27" t="n"/>
      <c r="C17" s="27" t="n"/>
      <c r="D17" s="27" t="n"/>
      <c r="E17" s="35" t="n"/>
      <c r="F17" s="37" t="n"/>
      <c r="G17" s="37" t="n"/>
      <c r="H17" s="37" t="n"/>
      <c r="I17" s="37" t="n"/>
      <c r="J17" s="25" t="n"/>
      <c r="K17" s="27" t="n"/>
    </row>
    <row r="18">
      <c r="A18" s="37" t="n"/>
      <c r="B18" s="27" t="n"/>
      <c r="C18" s="27" t="n"/>
      <c r="D18" s="27" t="n"/>
      <c r="E18" s="35" t="n"/>
      <c r="F18" s="37" t="n"/>
      <c r="G18" s="37" t="n"/>
      <c r="H18" s="37" t="n"/>
      <c r="I18" s="37" t="n"/>
      <c r="J18" s="25" t="n"/>
      <c r="K18" s="27" t="n"/>
    </row>
    <row r="19">
      <c r="A19" s="37" t="n"/>
      <c r="B19" s="27" t="n"/>
      <c r="C19" s="27" t="n"/>
      <c r="D19" s="27" t="n"/>
      <c r="E19" s="35" t="n"/>
      <c r="F19" s="37" t="n"/>
      <c r="G19" s="37" t="n"/>
      <c r="H19" s="37" t="n"/>
      <c r="I19" s="37" t="n"/>
      <c r="J19" s="25" t="n"/>
      <c r="K19" s="27" t="n"/>
    </row>
    <row r="20">
      <c r="A20" s="37" t="n"/>
      <c r="B20" s="27" t="n"/>
      <c r="C20" s="27" t="n"/>
      <c r="D20" s="27" t="n"/>
      <c r="E20" s="35" t="n"/>
      <c r="F20" s="37" t="n"/>
      <c r="G20" s="37" t="n"/>
      <c r="H20" s="37" t="n"/>
      <c r="I20" s="37" t="n"/>
      <c r="J20" s="25" t="n"/>
      <c r="K20" s="27" t="n"/>
    </row>
    <row r="21">
      <c r="A21" s="37" t="n"/>
      <c r="B21" s="27" t="n"/>
      <c r="C21" s="27" t="n"/>
      <c r="D21" s="27" t="n"/>
      <c r="E21" s="35" t="n"/>
      <c r="F21" s="37" t="n"/>
      <c r="G21" s="37" t="n"/>
      <c r="H21" s="37" t="n"/>
      <c r="I21" s="37" t="n"/>
      <c r="J21" s="25" t="n"/>
      <c r="K21" s="27" t="n"/>
    </row>
    <row r="22">
      <c r="A22" s="37" t="n"/>
      <c r="B22" s="27" t="n"/>
      <c r="C22" s="27" t="n"/>
      <c r="D22" s="27" t="n"/>
      <c r="E22" s="35" t="n"/>
      <c r="F22" s="37" t="n"/>
      <c r="G22" s="37" t="n"/>
      <c r="H22" s="37" t="n"/>
      <c r="I22" s="37" t="n"/>
      <c r="J22" s="25" t="n"/>
      <c r="K22" s="27" t="n"/>
    </row>
    <row r="23">
      <c r="A23" s="37" t="n"/>
      <c r="B23" s="27" t="n"/>
      <c r="C23" s="27" t="n"/>
      <c r="D23" s="27" t="n"/>
      <c r="E23" s="35" t="n"/>
      <c r="F23" s="37" t="n"/>
      <c r="G23" s="37" t="n"/>
      <c r="H23" s="37" t="n"/>
      <c r="I23" s="37" t="n"/>
      <c r="J23" s="25" t="n"/>
      <c r="K23" s="27" t="n"/>
    </row>
    <row r="24">
      <c r="A24" s="37" t="n"/>
      <c r="B24" s="27" t="n"/>
      <c r="C24" s="27" t="n"/>
      <c r="D24" s="27" t="n"/>
      <c r="E24" s="35" t="n"/>
      <c r="F24" s="37" t="n"/>
      <c r="G24" s="37" t="n"/>
      <c r="H24" s="37" t="n"/>
      <c r="I24" s="37" t="n"/>
      <c r="J24" s="25" t="n"/>
      <c r="K24" s="27" t="n"/>
    </row>
    <row r="25">
      <c r="A25" s="37" t="n"/>
      <c r="B25" s="27" t="n"/>
      <c r="C25" s="27" t="n"/>
      <c r="D25" s="27" t="n"/>
      <c r="E25" s="35" t="n"/>
      <c r="F25" s="37" t="n"/>
      <c r="G25" s="37" t="n"/>
      <c r="H25" s="37" t="n"/>
      <c r="I25" s="37" t="n"/>
      <c r="J25" s="25" t="n"/>
      <c r="K25" s="27" t="n"/>
    </row>
    <row r="26">
      <c r="A26" s="37" t="n"/>
      <c r="B26" s="27" t="n"/>
      <c r="C26" s="27" t="n"/>
      <c r="D26" s="27" t="n"/>
      <c r="E26" s="35" t="n"/>
      <c r="F26" s="37" t="n"/>
      <c r="G26" s="37" t="n"/>
      <c r="H26" s="37" t="n"/>
      <c r="I26" s="37" t="n"/>
      <c r="J26" s="25" t="n"/>
      <c r="K26" s="27" t="n"/>
    </row>
    <row r="27">
      <c r="A27" s="37" t="n"/>
      <c r="B27" s="27" t="n"/>
      <c r="C27" s="27" t="n"/>
      <c r="D27" s="27" t="n"/>
      <c r="E27" s="35" t="n"/>
      <c r="F27" s="37" t="n"/>
      <c r="G27" s="37" t="n"/>
      <c r="H27" s="37" t="n"/>
      <c r="I27" s="37" t="n"/>
      <c r="J27" s="25" t="n"/>
      <c r="K27" s="27" t="n"/>
    </row>
    <row r="28">
      <c r="A28" s="37" t="n"/>
      <c r="B28" s="27" t="n"/>
      <c r="C28" s="27" t="n"/>
      <c r="D28" s="27" t="n"/>
      <c r="E28" s="35" t="n"/>
      <c r="F28" s="37" t="n"/>
      <c r="G28" s="37" t="n"/>
      <c r="H28" s="37" t="n"/>
      <c r="I28" s="37" t="n"/>
      <c r="J28" s="25" t="n"/>
      <c r="K28" s="27" t="n"/>
    </row>
    <row r="29">
      <c r="A29" s="37" t="n"/>
      <c r="B29" s="27" t="n"/>
      <c r="C29" s="27" t="n"/>
      <c r="D29" s="27" t="n"/>
      <c r="E29" s="35" t="n"/>
      <c r="F29" s="37" t="n"/>
      <c r="G29" s="37" t="n"/>
      <c r="H29" s="37" t="n"/>
      <c r="I29" s="37" t="n"/>
      <c r="J29" s="25" t="n"/>
      <c r="K29" s="27" t="n"/>
    </row>
    <row r="30">
      <c r="A30" s="37" t="n"/>
      <c r="B30" s="27" t="n"/>
      <c r="C30" s="27" t="n"/>
      <c r="D30" s="27" t="n"/>
      <c r="E30" s="35" t="n"/>
      <c r="F30" s="37" t="n"/>
      <c r="G30" s="37" t="n"/>
      <c r="H30" s="37" t="n"/>
      <c r="I30" s="37" t="n"/>
      <c r="J30" s="25" t="n"/>
      <c r="K30" s="27" t="n"/>
    </row>
    <row r="31">
      <c r="A31" s="37" t="n"/>
      <c r="B31" s="27" t="n"/>
      <c r="C31" s="27" t="n"/>
      <c r="D31" s="27" t="n"/>
      <c r="E31" s="35" t="n"/>
      <c r="F31" s="37" t="n"/>
      <c r="G31" s="37" t="n"/>
      <c r="H31" s="37" t="n"/>
      <c r="I31" s="37" t="n"/>
      <c r="J31" s="25" t="n"/>
      <c r="K31" s="27" t="n"/>
    </row>
    <row r="32">
      <c r="A32" s="37" t="n"/>
      <c r="B32" s="27" t="n"/>
      <c r="C32" s="27" t="n"/>
      <c r="D32" s="27" t="n"/>
      <c r="E32" s="35" t="n"/>
      <c r="F32" s="37" t="n"/>
      <c r="G32" s="37" t="n"/>
      <c r="H32" s="37" t="n"/>
      <c r="I32" s="37" t="n"/>
      <c r="J32" s="25" t="n"/>
      <c r="K32" s="27" t="n"/>
    </row>
    <row r="33">
      <c r="A33" s="37" t="n"/>
      <c r="B33" s="27" t="n"/>
      <c r="C33" s="27" t="n"/>
      <c r="D33" s="27" t="n"/>
      <c r="E33" s="35" t="n"/>
      <c r="F33" s="37" t="n"/>
      <c r="G33" s="37" t="n"/>
      <c r="H33" s="37" t="n"/>
      <c r="I33" s="37" t="n"/>
      <c r="J33" s="25" t="n"/>
      <c r="K33" s="27" t="n"/>
    </row>
    <row r="34">
      <c r="A34" s="37" t="n"/>
      <c r="B34" s="27" t="n"/>
      <c r="C34" s="27" t="n"/>
      <c r="D34" s="27" t="n"/>
      <c r="E34" s="35" t="n"/>
      <c r="F34" s="37" t="n"/>
      <c r="G34" s="37" t="n"/>
      <c r="H34" s="37" t="n"/>
      <c r="I34" s="37" t="n"/>
      <c r="J34" s="25" t="n"/>
      <c r="K34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autoFilter ref="A4:K34"/>
  <mergeCells count="3">
    <mergeCell ref="M4:N4"/>
    <mergeCell ref="A2:N2"/>
    <mergeCell ref="A1:N1"/>
  </mergeCells>
  <dataValidations count="1">
    <dataValidation sqref="A5:A34" showDropDown="0" showInputMessage="0" showErrorMessage="0" allowBlank="1" type="list">
      <formula1>"Flight,Train,Bus / Coach,Metro / Subway,Taxi,Rideshare,Ferry,Rental Car,Shuttle,Bike,Walk"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C99700"/>
    <outlinePr summaryBelow="1" summaryRight="1"/>
    <pageSetUpPr fitToPage="1"/>
  </sheetPr>
  <dimension ref="A1:F5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2" customWidth="1" min="4" max="4"/>
    <col width="18" customWidth="1" min="5" max="5"/>
    <col width="14" customWidth="1" min="6" max="6"/>
  </cols>
  <sheetData>
    <row r="1" ht="34" customHeight="1">
      <c r="A1" s="1" t="inlineStr">
        <is>
          <t>🏨 ACCOMMODATION DETAILS</t>
        </is>
      </c>
    </row>
    <row r="2" ht="18" customHeight="1">
      <c r="A2" s="2" t="inlineStr">
        <is>
          <t>Up to 3 stays — dates, contacts, Wi-Fi and automatic totals</t>
        </is>
      </c>
    </row>
    <row r="3" ht="6" customHeight="1"/>
    <row r="4" ht="20" customHeight="1">
      <c r="A4" s="3" t="inlineStr">
        <is>
          <t>🏨 STAY 1</t>
        </is>
      </c>
      <c r="E4" s="23" t="inlineStr">
        <is>
          <t>📊 STAY SUMMARY</t>
        </is>
      </c>
    </row>
    <row r="5">
      <c r="A5" s="4" t="inlineStr">
        <is>
          <t>Name</t>
        </is>
      </c>
      <c r="B5" s="61" t="n"/>
      <c r="C5" s="62" t="n"/>
      <c r="E5" s="4" t="inlineStr">
        <is>
          <t>Total Nights</t>
        </is>
      </c>
      <c r="F5" s="22">
        <f>B12+B30+B48</f>
        <v/>
      </c>
    </row>
    <row r="6">
      <c r="A6" s="4" t="inlineStr">
        <is>
          <t>Address</t>
        </is>
      </c>
      <c r="B6" s="61" t="n"/>
      <c r="C6" s="62" t="n"/>
      <c r="E6" s="4" t="inlineStr">
        <is>
          <t>Total Stay Cost</t>
        </is>
      </c>
      <c r="F6" s="7">
        <f>B14+B32+B50</f>
        <v/>
      </c>
    </row>
    <row r="7">
      <c r="A7" s="4" t="inlineStr">
        <is>
          <t>City</t>
        </is>
      </c>
      <c r="B7" s="61" t="n"/>
      <c r="C7" s="62" t="n"/>
      <c r="E7" s="4" t="inlineStr">
        <is>
          <t>Stays Planned</t>
        </is>
      </c>
      <c r="F7" s="22">
        <f>COUNTA(B5,B23,B41)</f>
        <v/>
      </c>
    </row>
    <row r="8">
      <c r="A8" s="4" t="inlineStr">
        <is>
          <t>Phone</t>
        </is>
      </c>
      <c r="B8" s="61" t="n"/>
      <c r="C8" s="62" t="n"/>
    </row>
    <row r="9">
      <c r="A9" s="4" t="inlineStr">
        <is>
          <t>Confirmation #</t>
        </is>
      </c>
      <c r="B9" s="61" t="n"/>
      <c r="C9" s="62" t="n"/>
    </row>
    <row r="10">
      <c r="A10" s="4" t="inlineStr">
        <is>
          <t>Check-In Date</t>
        </is>
      </c>
      <c r="B10" s="63" t="n"/>
      <c r="C10" s="62" t="n"/>
    </row>
    <row r="11">
      <c r="A11" s="4" t="inlineStr">
        <is>
          <t>Check-Out Date</t>
        </is>
      </c>
      <c r="B11" s="63" t="n"/>
      <c r="C11" s="62" t="n"/>
    </row>
    <row r="12">
      <c r="A12" s="4" t="inlineStr">
        <is>
          <t>Nights</t>
        </is>
      </c>
      <c r="B12" s="64">
        <f>IF(COUNT(B10:B11)&lt;2,"",B11-B10)</f>
        <v/>
      </c>
      <c r="C12" s="62" t="n"/>
    </row>
    <row r="13">
      <c r="A13" s="4" t="inlineStr">
        <is>
          <t>Cost per Night</t>
        </is>
      </c>
      <c r="B13" s="65" t="n"/>
      <c r="C13" s="62" t="n"/>
    </row>
    <row r="14">
      <c r="A14" s="4" t="inlineStr">
        <is>
          <t>Total Stay Cost</t>
        </is>
      </c>
      <c r="B14" s="66">
        <f>IF(OR(B12="",B13=""),"",B12*B13)</f>
        <v/>
      </c>
      <c r="C14" s="62" t="n"/>
    </row>
    <row r="15">
      <c r="A15" s="4" t="inlineStr">
        <is>
          <t>Wi-Fi Network</t>
        </is>
      </c>
      <c r="B15" s="61" t="n"/>
      <c r="C15" s="62" t="n"/>
    </row>
    <row r="16">
      <c r="A16" s="4" t="inlineStr">
        <is>
          <t>Wi-Fi Password</t>
        </is>
      </c>
      <c r="B16" s="61" t="n"/>
      <c r="C16" s="62" t="n"/>
    </row>
    <row r="17">
      <c r="A17" s="4" t="inlineStr">
        <is>
          <t>Check-In Time</t>
        </is>
      </c>
      <c r="B17" s="61" t="n"/>
      <c r="C17" s="62" t="n"/>
    </row>
    <row r="18">
      <c r="A18" s="4" t="inlineStr">
        <is>
          <t>Check-Out Time</t>
        </is>
      </c>
      <c r="B18" s="61" t="n"/>
      <c r="C18" s="62" t="n"/>
    </row>
    <row r="19">
      <c r="A19" s="4" t="inlineStr">
        <is>
          <t>Breakfast Included?</t>
        </is>
      </c>
      <c r="B19" s="61" t="n"/>
      <c r="C19" s="62" t="n"/>
    </row>
    <row r="20" ht="24" customHeight="1">
      <c r="A20" s="4" t="inlineStr">
        <is>
          <t>Notes</t>
        </is>
      </c>
      <c r="B20" s="61" t="n"/>
      <c r="C20" s="62" t="n"/>
    </row>
    <row r="22" ht="20" customHeight="1">
      <c r="A22" s="3" t="inlineStr">
        <is>
          <t>🏨 STAY 2</t>
        </is>
      </c>
    </row>
    <row r="23">
      <c r="A23" s="4" t="inlineStr">
        <is>
          <t>Name</t>
        </is>
      </c>
      <c r="B23" s="61" t="n"/>
      <c r="C23" s="62" t="n"/>
    </row>
    <row r="24">
      <c r="A24" s="4" t="inlineStr">
        <is>
          <t>Address</t>
        </is>
      </c>
      <c r="B24" s="61" t="n"/>
      <c r="C24" s="62" t="n"/>
    </row>
    <row r="25">
      <c r="A25" s="4" t="inlineStr">
        <is>
          <t>City</t>
        </is>
      </c>
      <c r="B25" s="61" t="n"/>
      <c r="C25" s="62" t="n"/>
    </row>
    <row r="26">
      <c r="A26" s="4" t="inlineStr">
        <is>
          <t>Phone</t>
        </is>
      </c>
      <c r="B26" s="61" t="n"/>
      <c r="C26" s="62" t="n"/>
    </row>
    <row r="27">
      <c r="A27" s="4" t="inlineStr">
        <is>
          <t>Confirmation #</t>
        </is>
      </c>
      <c r="B27" s="61" t="n"/>
      <c r="C27" s="62" t="n"/>
    </row>
    <row r="28">
      <c r="A28" s="4" t="inlineStr">
        <is>
          <t>Check-In Date</t>
        </is>
      </c>
      <c r="B28" s="63" t="n"/>
      <c r="C28" s="62" t="n"/>
    </row>
    <row r="29">
      <c r="A29" s="4" t="inlineStr">
        <is>
          <t>Check-Out Date</t>
        </is>
      </c>
      <c r="B29" s="63" t="n"/>
      <c r="C29" s="62" t="n"/>
    </row>
    <row r="30">
      <c r="A30" s="4" t="inlineStr">
        <is>
          <t>Nights</t>
        </is>
      </c>
      <c r="B30" s="64">
        <f>IF(COUNT(B28:B29)&lt;2,"",B29-B28)</f>
        <v/>
      </c>
      <c r="C30" s="62" t="n"/>
    </row>
    <row r="31">
      <c r="A31" s="4" t="inlineStr">
        <is>
          <t>Cost per Night</t>
        </is>
      </c>
      <c r="B31" s="65" t="n"/>
      <c r="C31" s="62" t="n"/>
    </row>
    <row r="32">
      <c r="A32" s="4" t="inlineStr">
        <is>
          <t>Total Stay Cost</t>
        </is>
      </c>
      <c r="B32" s="66">
        <f>IF(OR(B30="",B31=""),"",B30*B31)</f>
        <v/>
      </c>
      <c r="C32" s="62" t="n"/>
    </row>
    <row r="33">
      <c r="A33" s="4" t="inlineStr">
        <is>
          <t>Wi-Fi Network</t>
        </is>
      </c>
      <c r="B33" s="61" t="n"/>
      <c r="C33" s="62" t="n"/>
    </row>
    <row r="34">
      <c r="A34" s="4" t="inlineStr">
        <is>
          <t>Wi-Fi Password</t>
        </is>
      </c>
      <c r="B34" s="61" t="n"/>
      <c r="C34" s="62" t="n"/>
    </row>
    <row r="35">
      <c r="A35" s="4" t="inlineStr">
        <is>
          <t>Check-In Time</t>
        </is>
      </c>
      <c r="B35" s="61" t="n"/>
      <c r="C35" s="62" t="n"/>
    </row>
    <row r="36">
      <c r="A36" s="4" t="inlineStr">
        <is>
          <t>Check-Out Time</t>
        </is>
      </c>
      <c r="B36" s="61" t="n"/>
      <c r="C36" s="62" t="n"/>
    </row>
    <row r="37">
      <c r="A37" s="4" t="inlineStr">
        <is>
          <t>Breakfast Included?</t>
        </is>
      </c>
      <c r="B37" s="61" t="n"/>
      <c r="C37" s="62" t="n"/>
    </row>
    <row r="38" ht="24" customHeight="1">
      <c r="A38" s="4" t="inlineStr">
        <is>
          <t>Notes</t>
        </is>
      </c>
      <c r="B38" s="61" t="n"/>
      <c r="C38" s="62" t="n"/>
    </row>
    <row r="40" ht="20" customHeight="1">
      <c r="A40" s="3" t="inlineStr">
        <is>
          <t>🏨 STAY 3</t>
        </is>
      </c>
    </row>
    <row r="41">
      <c r="A41" s="4" t="inlineStr">
        <is>
          <t>Name</t>
        </is>
      </c>
      <c r="B41" s="61" t="n"/>
      <c r="C41" s="62" t="n"/>
    </row>
    <row r="42">
      <c r="A42" s="4" t="inlineStr">
        <is>
          <t>Address</t>
        </is>
      </c>
      <c r="B42" s="61" t="n"/>
      <c r="C42" s="62" t="n"/>
    </row>
    <row r="43">
      <c r="A43" s="4" t="inlineStr">
        <is>
          <t>City</t>
        </is>
      </c>
      <c r="B43" s="61" t="n"/>
      <c r="C43" s="62" t="n"/>
    </row>
    <row r="44">
      <c r="A44" s="4" t="inlineStr">
        <is>
          <t>Phone</t>
        </is>
      </c>
      <c r="B44" s="61" t="n"/>
      <c r="C44" s="62" t="n"/>
    </row>
    <row r="45">
      <c r="A45" s="4" t="inlineStr">
        <is>
          <t>Confirmation #</t>
        </is>
      </c>
      <c r="B45" s="61" t="n"/>
      <c r="C45" s="62" t="n"/>
    </row>
    <row r="46">
      <c r="A46" s="4" t="inlineStr">
        <is>
          <t>Check-In Date</t>
        </is>
      </c>
      <c r="B46" s="63" t="n"/>
      <c r="C46" s="62" t="n"/>
    </row>
    <row r="47">
      <c r="A47" s="4" t="inlineStr">
        <is>
          <t>Check-Out Date</t>
        </is>
      </c>
      <c r="B47" s="63" t="n"/>
      <c r="C47" s="62" t="n"/>
    </row>
    <row r="48">
      <c r="A48" s="4" t="inlineStr">
        <is>
          <t>Nights</t>
        </is>
      </c>
      <c r="B48" s="64">
        <f>IF(COUNT(B46:B47)&lt;2,"",B47-B46)</f>
        <v/>
      </c>
      <c r="C48" s="62" t="n"/>
    </row>
    <row r="49">
      <c r="A49" s="4" t="inlineStr">
        <is>
          <t>Cost per Night</t>
        </is>
      </c>
      <c r="B49" s="65" t="n"/>
      <c r="C49" s="62" t="n"/>
    </row>
    <row r="50">
      <c r="A50" s="4" t="inlineStr">
        <is>
          <t>Total Stay Cost</t>
        </is>
      </c>
      <c r="B50" s="66">
        <f>IF(OR(B48="",B49=""),"",B48*B49)</f>
        <v/>
      </c>
      <c r="C50" s="62" t="n"/>
    </row>
    <row r="51">
      <c r="A51" s="4" t="inlineStr">
        <is>
          <t>Wi-Fi Network</t>
        </is>
      </c>
      <c r="B51" s="61" t="n"/>
      <c r="C51" s="62" t="n"/>
    </row>
    <row r="52">
      <c r="A52" s="4" t="inlineStr">
        <is>
          <t>Wi-Fi Password</t>
        </is>
      </c>
      <c r="B52" s="61" t="n"/>
      <c r="C52" s="62" t="n"/>
    </row>
    <row r="53">
      <c r="A53" s="4" t="inlineStr">
        <is>
          <t>Check-In Time</t>
        </is>
      </c>
      <c r="B53" s="61" t="n"/>
      <c r="C53" s="62" t="n"/>
    </row>
    <row r="54">
      <c r="A54" s="4" t="inlineStr">
        <is>
          <t>Check-Out Time</t>
        </is>
      </c>
      <c r="B54" s="61" t="n"/>
      <c r="C54" s="62" t="n"/>
    </row>
    <row r="55">
      <c r="A55" s="4" t="inlineStr">
        <is>
          <t>Breakfast Included?</t>
        </is>
      </c>
      <c r="B55" s="61" t="n"/>
      <c r="C55" s="62" t="n"/>
    </row>
    <row r="56" ht="24" customHeight="1">
      <c r="A56" s="4" t="inlineStr">
        <is>
          <t>Notes</t>
        </is>
      </c>
      <c r="B56" s="61" t="n"/>
      <c r="C56" s="6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54">
    <mergeCell ref="B47:C47"/>
    <mergeCell ref="B16:C16"/>
    <mergeCell ref="B54:C54"/>
    <mergeCell ref="B7:C7"/>
    <mergeCell ref="B25:C25"/>
    <mergeCell ref="B46:C46"/>
    <mergeCell ref="B31:C31"/>
    <mergeCell ref="B18:C18"/>
    <mergeCell ref="B27:C27"/>
    <mergeCell ref="B56:C56"/>
    <mergeCell ref="B43:C43"/>
    <mergeCell ref="B12:C12"/>
    <mergeCell ref="A2:F2"/>
    <mergeCell ref="B52:C52"/>
    <mergeCell ref="E4:F4"/>
    <mergeCell ref="B48:C48"/>
    <mergeCell ref="B11:C11"/>
    <mergeCell ref="A22:C22"/>
    <mergeCell ref="B23:C23"/>
    <mergeCell ref="B42:C42"/>
    <mergeCell ref="B14:C14"/>
    <mergeCell ref="B17:C17"/>
    <mergeCell ref="A4:C4"/>
    <mergeCell ref="B8:C8"/>
    <mergeCell ref="B53:C53"/>
    <mergeCell ref="B13:C13"/>
    <mergeCell ref="B38:C38"/>
    <mergeCell ref="B44:C44"/>
    <mergeCell ref="B29:C29"/>
    <mergeCell ref="B19:C19"/>
    <mergeCell ref="B34:C34"/>
    <mergeCell ref="B37:C37"/>
    <mergeCell ref="B10:C10"/>
    <mergeCell ref="B28:C28"/>
    <mergeCell ref="A40:C40"/>
    <mergeCell ref="B9:C9"/>
    <mergeCell ref="B49:C49"/>
    <mergeCell ref="B55:C55"/>
    <mergeCell ref="B6:C6"/>
    <mergeCell ref="B24:C24"/>
    <mergeCell ref="B30:C30"/>
    <mergeCell ref="B15:C15"/>
    <mergeCell ref="B33:C33"/>
    <mergeCell ref="B5:C5"/>
    <mergeCell ref="A1:F1"/>
    <mergeCell ref="B20:C20"/>
    <mergeCell ref="B51:C51"/>
    <mergeCell ref="B45:C45"/>
    <mergeCell ref="B36:C36"/>
    <mergeCell ref="B32:C32"/>
    <mergeCell ref="B50:C50"/>
    <mergeCell ref="B26:C26"/>
    <mergeCell ref="B41:C41"/>
    <mergeCell ref="B35:C35"/>
  </mergeCells>
  <dataValidations count="3">
    <dataValidation sqref="B19" showDropDown="0" showInputMessage="0" showErrorMessage="0" allowBlank="1" type="list">
      <formula1>"Yes,No"</formula1>
    </dataValidation>
    <dataValidation sqref="B37" showDropDown="0" showInputMessage="0" showErrorMessage="0" allowBlank="1" type="list">
      <formula1>"Yes,No"</formula1>
    </dataValidation>
    <dataValidation sqref="B5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E76F51"/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16" customWidth="1" min="4" max="4"/>
    <col width="18" customWidth="1" min="6" max="6"/>
    <col width="14" customWidth="1" min="7" max="7"/>
  </cols>
  <sheetData>
    <row r="1" ht="34" customHeight="1">
      <c r="A1" s="1" t="inlineStr">
        <is>
          <t>💱 CURRENCY CONVERTER</t>
        </is>
      </c>
    </row>
    <row r="2" ht="18" customHeight="1">
      <c r="A2" s="2" t="inlineStr">
        <is>
          <t>Rate table + instant converter — the Expense Log reads this table</t>
        </is>
      </c>
    </row>
    <row r="3" ht="6" customHeight="1">
      <c r="A3" s="67" t="inlineStr">
        <is>
          <t>Home currency:</t>
        </is>
      </c>
      <c r="B3" s="37" t="inlineStr">
        <is>
          <t>USD</t>
        </is>
      </c>
      <c r="C3" s="33" t="inlineStr">
        <is>
          <t>Used for all totals across the planner</t>
        </is>
      </c>
    </row>
    <row r="4" ht="22" customHeight="1">
      <c r="A4" s="17" t="inlineStr">
        <is>
          <t>Currency</t>
        </is>
      </c>
      <c r="B4" s="17" t="inlineStr">
        <is>
          <t>Code</t>
        </is>
      </c>
      <c r="C4" s="17" t="inlineStr">
        <is>
          <t>1 Code → Home</t>
        </is>
      </c>
      <c r="D4" s="17" t="inlineStr">
        <is>
          <t>Rate Updated On</t>
        </is>
      </c>
      <c r="F4" s="23" t="inlineStr">
        <is>
          <t>⚡ QUICK CONVERTER</t>
        </is>
      </c>
    </row>
    <row r="5">
      <c r="A5" s="24" t="inlineStr">
        <is>
          <t>US Dollar</t>
        </is>
      </c>
      <c r="B5" s="37" t="inlineStr">
        <is>
          <t>USD</t>
        </is>
      </c>
      <c r="C5" s="68" t="n">
        <v>1</v>
      </c>
      <c r="D5" s="35" t="n"/>
      <c r="F5" s="4" t="inlineStr">
        <is>
          <t>Amount</t>
        </is>
      </c>
      <c r="G5" s="25" t="n"/>
    </row>
    <row r="6">
      <c r="A6" s="24" t="inlineStr">
        <is>
          <t>Euro</t>
        </is>
      </c>
      <c r="B6" s="37" t="inlineStr">
        <is>
          <t>EUR</t>
        </is>
      </c>
      <c r="C6" s="68" t="n">
        <v>1.08</v>
      </c>
      <c r="D6" s="35" t="n"/>
      <c r="F6" s="4" t="inlineStr">
        <is>
          <t>Currency code</t>
        </is>
      </c>
      <c r="G6" s="37" t="n"/>
    </row>
    <row r="7">
      <c r="A7" s="24" t="inlineStr">
        <is>
          <t>British Pound</t>
        </is>
      </c>
      <c r="B7" s="37" t="inlineStr">
        <is>
          <t>GBP</t>
        </is>
      </c>
      <c r="C7" s="68" t="n">
        <v>1.27</v>
      </c>
      <c r="D7" s="35" t="n"/>
      <c r="F7" s="4">
        <f> In home currency</f>
        <v/>
      </c>
      <c r="G7" s="7">
        <f>IF(OR(G5="",G6=""),"",G5*IFERROR(VLOOKUP(G6,$B$5:$C$16,2,FALSE),1))</f>
        <v/>
      </c>
    </row>
    <row r="8">
      <c r="A8" s="24" t="inlineStr">
        <is>
          <t>Japanese Yen</t>
        </is>
      </c>
      <c r="B8" s="37" t="inlineStr">
        <is>
          <t>JPY</t>
        </is>
      </c>
      <c r="C8" s="68" t="n">
        <v>0.0067</v>
      </c>
      <c r="D8" s="35" t="n"/>
    </row>
    <row r="9">
      <c r="A9" s="24" t="inlineStr">
        <is>
          <t>Canadian Dollar</t>
        </is>
      </c>
      <c r="B9" s="37" t="inlineStr">
        <is>
          <t>CAD</t>
        </is>
      </c>
      <c r="C9" s="68" t="n">
        <v>0.73</v>
      </c>
      <c r="D9" s="35" t="n"/>
    </row>
    <row r="10">
      <c r="A10" s="24" t="inlineStr">
        <is>
          <t>Australian Dollar</t>
        </is>
      </c>
      <c r="B10" s="37" t="inlineStr">
        <is>
          <t>AUD</t>
        </is>
      </c>
      <c r="C10" s="68" t="n">
        <v>0.66</v>
      </c>
      <c r="D10" s="35" t="n"/>
    </row>
    <row r="11">
      <c r="A11" s="24" t="inlineStr">
        <is>
          <t>Swiss Franc</t>
        </is>
      </c>
      <c r="B11" s="37" t="inlineStr">
        <is>
          <t>CHF</t>
        </is>
      </c>
      <c r="C11" s="68" t="n">
        <v>1.12</v>
      </c>
      <c r="D11" s="35" t="n"/>
    </row>
    <row r="12">
      <c r="A12" s="24" t="inlineStr">
        <is>
          <t>Chinese Yuan</t>
        </is>
      </c>
      <c r="B12" s="37" t="inlineStr">
        <is>
          <t>CNY</t>
        </is>
      </c>
      <c r="C12" s="68" t="n">
        <v>0.14</v>
      </c>
      <c r="D12" s="35" t="n"/>
    </row>
    <row r="13">
      <c r="A13" s="24" t="inlineStr">
        <is>
          <t>Mexican Peso</t>
        </is>
      </c>
      <c r="B13" s="37" t="inlineStr">
        <is>
          <t>MXN</t>
        </is>
      </c>
      <c r="C13" s="68" t="n">
        <v>0.055</v>
      </c>
      <c r="D13" s="35" t="n"/>
    </row>
    <row r="14">
      <c r="A14" s="24" t="inlineStr">
        <is>
          <t>Thai Baht</t>
        </is>
      </c>
      <c r="B14" s="37" t="inlineStr">
        <is>
          <t>THB</t>
        </is>
      </c>
      <c r="C14" s="68" t="n">
        <v>0.028</v>
      </c>
      <c r="D14" s="35" t="n"/>
    </row>
    <row r="15">
      <c r="A15" s="24" t="inlineStr">
        <is>
          <t>Indian Rupee</t>
        </is>
      </c>
      <c r="B15" s="37" t="inlineStr">
        <is>
          <t>INR</t>
        </is>
      </c>
      <c r="C15" s="68" t="n">
        <v>0.012</v>
      </c>
      <c r="D15" s="35" t="n"/>
    </row>
    <row r="16">
      <c r="A16" s="24" t="inlineStr">
        <is>
          <t>South Korean Won</t>
        </is>
      </c>
      <c r="B16" s="37" t="inlineStr">
        <is>
          <t>KRW</t>
        </is>
      </c>
      <c r="C16" s="68" t="n">
        <v>0.0007</v>
      </c>
      <c r="D16" s="35" t="n"/>
    </row>
    <row r="18">
      <c r="A18" s="33" t="inlineStr">
        <is>
          <t>Rates are approximate — update column C before you travel. The Expense Log uses this table to auto-convert.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4">
    <mergeCell ref="F4:G4"/>
    <mergeCell ref="C3:D3"/>
    <mergeCell ref="A2:G2"/>
    <mergeCell ref="A1:G1"/>
  </mergeCells>
  <dataValidations count="1">
    <dataValidation sqref="B5:B16" showDropDown="0" showInputMessage="0" showErrorMessage="0" allowBlank="1" type="list">
      <formula1>"USD,EUR,GBP,JPY,CAD,AUD,CHF,CNY,MXN,THB,INR,KRW"</formula1>
    </dataValidation>
  </dataValidations>
  <pageMargins left="0.75" right="0.75" top="1" bottom="1" header="0.5" footer="0.5"/>
  <pageSetup orientation="portrait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E76F51"/>
    <outlinePr summaryBelow="1" summaryRight="1"/>
    <pageSetUpPr fitToPage="1"/>
  </sheetPr>
  <dimension ref="A1:L1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8" customWidth="1" min="3" max="3"/>
    <col width="32" customWidth="1" min="4" max="4"/>
    <col width="13" customWidth="1" min="5" max="5"/>
    <col width="10" customWidth="1" min="6" max="6"/>
    <col width="14" customWidth="1" min="7" max="7"/>
    <col width="13" customWidth="1" min="8" max="8"/>
    <col width="26" customWidth="1" min="9" max="9"/>
    <col width="20" customWidth="1" min="11" max="11"/>
    <col width="15" customWidth="1" min="12" max="12"/>
  </cols>
  <sheetData>
    <row r="1" ht="34" customHeight="1">
      <c r="A1" s="1" t="inlineStr">
        <is>
          <t>🧾 DAILY EXPENSE LOG</t>
        </is>
      </c>
    </row>
    <row r="2" ht="18" customHeight="1">
      <c r="A2" s="2" t="inlineStr">
        <is>
          <t>150 rows — enter amounts in any currency, totals convert automatically</t>
        </is>
      </c>
    </row>
    <row r="3" ht="6" customHeight="1"/>
    <row r="4" ht="20" customHeight="1">
      <c r="A4" s="17" t="inlineStr">
        <is>
          <t>Date</t>
        </is>
      </c>
      <c r="B4" s="17" t="inlineStr">
        <is>
          <t>Day</t>
        </is>
      </c>
      <c r="C4" s="17" t="inlineStr">
        <is>
          <t>Category</t>
        </is>
      </c>
      <c r="D4" s="17" t="inlineStr">
        <is>
          <t>Item / Description</t>
        </is>
      </c>
      <c r="E4" s="17" t="inlineStr">
        <is>
          <t>Amount</t>
        </is>
      </c>
      <c r="F4" s="17" t="inlineStr">
        <is>
          <t>Currency</t>
        </is>
      </c>
      <c r="G4" s="17" t="inlineStr">
        <is>
          <t>Amount (Home)</t>
        </is>
      </c>
      <c r="H4" s="17" t="inlineStr">
        <is>
          <t>Payment</t>
        </is>
      </c>
      <c r="I4" s="17" t="inlineStr">
        <is>
          <t>Notes</t>
        </is>
      </c>
      <c r="K4" s="23" t="inlineStr">
        <is>
          <t>📊 TOTALS</t>
        </is>
      </c>
    </row>
    <row r="5">
      <c r="A5" s="35" t="n"/>
      <c r="B5" s="49" t="n"/>
      <c r="C5" s="27" t="n"/>
      <c r="D5" s="27" t="n"/>
      <c r="E5" s="25" t="n"/>
      <c r="F5" s="37" t="n"/>
      <c r="G5" s="7">
        <f>IF(E5="","",IF(F5="",E5,IFERROR(E5*VLOOKUP(F5,'Currency Converter'!$B$5:$C$16,2,FALSE),"")))</f>
        <v/>
      </c>
      <c r="H5" s="37" t="n"/>
      <c r="I5" s="27" t="n"/>
      <c r="K5" s="4" t="inlineStr">
        <is>
          <t>Total Spent (Home)</t>
        </is>
      </c>
      <c r="L5" s="7">
        <f>SUM(G5:G154)</f>
        <v/>
      </c>
    </row>
    <row r="6">
      <c r="A6" s="35" t="n"/>
      <c r="B6" s="49" t="n"/>
      <c r="C6" s="27" t="n"/>
      <c r="D6" s="27" t="n"/>
      <c r="E6" s="25" t="n"/>
      <c r="F6" s="37" t="n"/>
      <c r="G6" s="7">
        <f>IF(E6="","",IF(F6="",E6,IFERROR(E6*VLOOKUP(F6,'Currency Converter'!$B$5:$C$16,2,FALSE),"")))</f>
        <v/>
      </c>
      <c r="H6" s="37" t="n"/>
      <c r="I6" s="27" t="n"/>
      <c r="K6" s="4" t="inlineStr">
        <is>
          <t>Entries Logged</t>
        </is>
      </c>
      <c r="L6" s="22">
        <f>COUNT(E5:E154)</f>
        <v/>
      </c>
    </row>
    <row r="7">
      <c r="A7" s="35" t="n"/>
      <c r="B7" s="49" t="n"/>
      <c r="C7" s="27" t="n"/>
      <c r="D7" s="27" t="n"/>
      <c r="E7" s="25" t="n"/>
      <c r="F7" s="37" t="n"/>
      <c r="G7" s="7">
        <f>IF(E7="","",IF(F7="",E7,IFERROR(E7*VLOOKUP(F7,'Currency Converter'!$B$5:$C$16,2,FALSE),"")))</f>
        <v/>
      </c>
      <c r="H7" s="37" t="n"/>
      <c r="I7" s="27" t="n"/>
      <c r="K7" s="4" t="inlineStr">
        <is>
          <t>Avg Spend / Day</t>
        </is>
      </c>
      <c r="L7" s="7">
        <f>IFERROR(ROUND(L5/'Destination Overview'!B14,2),"—")</f>
        <v/>
      </c>
    </row>
    <row r="8">
      <c r="A8" s="35" t="n"/>
      <c r="B8" s="49" t="n"/>
      <c r="C8" s="27" t="n"/>
      <c r="D8" s="27" t="n"/>
      <c r="E8" s="25" t="n"/>
      <c r="F8" s="37" t="n"/>
      <c r="G8" s="7">
        <f>IF(E8="","",IF(F8="",E8,IFERROR(E8*VLOOKUP(F8,'Currency Converter'!$B$5:$C$16,2,FALSE),"")))</f>
        <v/>
      </c>
      <c r="H8" s="37" t="n"/>
      <c r="I8" s="27" t="n"/>
    </row>
    <row r="9">
      <c r="A9" s="35" t="n"/>
      <c r="B9" s="49" t="n"/>
      <c r="C9" s="27" t="n"/>
      <c r="D9" s="27" t="n"/>
      <c r="E9" s="25" t="n"/>
      <c r="F9" s="37" t="n"/>
      <c r="G9" s="7">
        <f>IF(E9="","",IF(F9="",E9,IFERROR(E9*VLOOKUP(F9,'Currency Converter'!$B$5:$C$16,2,FALSE),"")))</f>
        <v/>
      </c>
      <c r="H9" s="37" t="n"/>
      <c r="I9" s="27" t="n"/>
    </row>
    <row r="10">
      <c r="A10" s="35" t="n"/>
      <c r="B10" s="49" t="n"/>
      <c r="C10" s="27" t="n"/>
      <c r="D10" s="27" t="n"/>
      <c r="E10" s="25" t="n"/>
      <c r="F10" s="37" t="n"/>
      <c r="G10" s="7">
        <f>IF(E10="","",IF(F10="",E10,IFERROR(E10*VLOOKUP(F10,'Currency Converter'!$B$5:$C$16,2,FALSE),"")))</f>
        <v/>
      </c>
      <c r="H10" s="37" t="n"/>
      <c r="I10" s="27" t="n"/>
    </row>
    <row r="11">
      <c r="A11" s="35" t="n"/>
      <c r="B11" s="49" t="n"/>
      <c r="C11" s="27" t="n"/>
      <c r="D11" s="27" t="n"/>
      <c r="E11" s="25" t="n"/>
      <c r="F11" s="37" t="n"/>
      <c r="G11" s="7">
        <f>IF(E11="","",IF(F11="",E11,IFERROR(E11*VLOOKUP(F11,'Currency Converter'!$B$5:$C$16,2,FALSE),"")))</f>
        <v/>
      </c>
      <c r="H11" s="37" t="n"/>
      <c r="I11" s="27" t="n"/>
    </row>
    <row r="12">
      <c r="A12" s="35" t="n"/>
      <c r="B12" s="49" t="n"/>
      <c r="C12" s="27" t="n"/>
      <c r="D12" s="27" t="n"/>
      <c r="E12" s="25" t="n"/>
      <c r="F12" s="37" t="n"/>
      <c r="G12" s="7">
        <f>IF(E12="","",IF(F12="",E12,IFERROR(E12*VLOOKUP(F12,'Currency Converter'!$B$5:$C$16,2,FALSE),"")))</f>
        <v/>
      </c>
      <c r="H12" s="37" t="n"/>
      <c r="I12" s="27" t="n"/>
    </row>
    <row r="13">
      <c r="A13" s="35" t="n"/>
      <c r="B13" s="49" t="n"/>
      <c r="C13" s="27" t="n"/>
      <c r="D13" s="27" t="n"/>
      <c r="E13" s="25" t="n"/>
      <c r="F13" s="37" t="n"/>
      <c r="G13" s="7">
        <f>IF(E13="","",IF(F13="",E13,IFERROR(E13*VLOOKUP(F13,'Currency Converter'!$B$5:$C$16,2,FALSE),"")))</f>
        <v/>
      </c>
      <c r="H13" s="37" t="n"/>
      <c r="I13" s="27" t="n"/>
    </row>
    <row r="14">
      <c r="A14" s="35" t="n"/>
      <c r="B14" s="49" t="n"/>
      <c r="C14" s="27" t="n"/>
      <c r="D14" s="27" t="n"/>
      <c r="E14" s="25" t="n"/>
      <c r="F14" s="37" t="n"/>
      <c r="G14" s="7">
        <f>IF(E14="","",IF(F14="",E14,IFERROR(E14*VLOOKUP(F14,'Currency Converter'!$B$5:$C$16,2,FALSE),"")))</f>
        <v/>
      </c>
      <c r="H14" s="37" t="n"/>
      <c r="I14" s="27" t="n"/>
    </row>
    <row r="15">
      <c r="A15" s="35" t="n"/>
      <c r="B15" s="49" t="n"/>
      <c r="C15" s="27" t="n"/>
      <c r="D15" s="27" t="n"/>
      <c r="E15" s="25" t="n"/>
      <c r="F15" s="37" t="n"/>
      <c r="G15" s="7">
        <f>IF(E15="","",IF(F15="",E15,IFERROR(E15*VLOOKUP(F15,'Currency Converter'!$B$5:$C$16,2,FALSE),"")))</f>
        <v/>
      </c>
      <c r="H15" s="37" t="n"/>
      <c r="I15" s="27" t="n"/>
    </row>
    <row r="16">
      <c r="A16" s="35" t="n"/>
      <c r="B16" s="49" t="n"/>
      <c r="C16" s="27" t="n"/>
      <c r="D16" s="27" t="n"/>
      <c r="E16" s="25" t="n"/>
      <c r="F16" s="37" t="n"/>
      <c r="G16" s="7">
        <f>IF(E16="","",IF(F16="",E16,IFERROR(E16*VLOOKUP(F16,'Currency Converter'!$B$5:$C$16,2,FALSE),"")))</f>
        <v/>
      </c>
      <c r="H16" s="37" t="n"/>
      <c r="I16" s="27" t="n"/>
    </row>
    <row r="17">
      <c r="A17" s="35" t="n"/>
      <c r="B17" s="49" t="n"/>
      <c r="C17" s="27" t="n"/>
      <c r="D17" s="27" t="n"/>
      <c r="E17" s="25" t="n"/>
      <c r="F17" s="37" t="n"/>
      <c r="G17" s="7">
        <f>IF(E17="","",IF(F17="",E17,IFERROR(E17*VLOOKUP(F17,'Currency Converter'!$B$5:$C$16,2,FALSE),"")))</f>
        <v/>
      </c>
      <c r="H17" s="37" t="n"/>
      <c r="I17" s="27" t="n"/>
    </row>
    <row r="18">
      <c r="A18" s="35" t="n"/>
      <c r="B18" s="49" t="n"/>
      <c r="C18" s="27" t="n"/>
      <c r="D18" s="27" t="n"/>
      <c r="E18" s="25" t="n"/>
      <c r="F18" s="37" t="n"/>
      <c r="G18" s="7">
        <f>IF(E18="","",IF(F18="",E18,IFERROR(E18*VLOOKUP(F18,'Currency Converter'!$B$5:$C$16,2,FALSE),"")))</f>
        <v/>
      </c>
      <c r="H18" s="37" t="n"/>
      <c r="I18" s="27" t="n"/>
    </row>
    <row r="19">
      <c r="A19" s="35" t="n"/>
      <c r="B19" s="49" t="n"/>
      <c r="C19" s="27" t="n"/>
      <c r="D19" s="27" t="n"/>
      <c r="E19" s="25" t="n"/>
      <c r="F19" s="37" t="n"/>
      <c r="G19" s="7">
        <f>IF(E19="","",IF(F19="",E19,IFERROR(E19*VLOOKUP(F19,'Currency Converter'!$B$5:$C$16,2,FALSE),"")))</f>
        <v/>
      </c>
      <c r="H19" s="37" t="n"/>
      <c r="I19" s="27" t="n"/>
    </row>
    <row r="20">
      <c r="A20" s="35" t="n"/>
      <c r="B20" s="49" t="n"/>
      <c r="C20" s="27" t="n"/>
      <c r="D20" s="27" t="n"/>
      <c r="E20" s="25" t="n"/>
      <c r="F20" s="37" t="n"/>
      <c r="G20" s="7">
        <f>IF(E20="","",IF(F20="",E20,IFERROR(E20*VLOOKUP(F20,'Currency Converter'!$B$5:$C$16,2,FALSE),"")))</f>
        <v/>
      </c>
      <c r="H20" s="37" t="n"/>
      <c r="I20" s="27" t="n"/>
    </row>
    <row r="21">
      <c r="A21" s="35" t="n"/>
      <c r="B21" s="49" t="n"/>
      <c r="C21" s="27" t="n"/>
      <c r="D21" s="27" t="n"/>
      <c r="E21" s="25" t="n"/>
      <c r="F21" s="37" t="n"/>
      <c r="G21" s="7">
        <f>IF(E21="","",IF(F21="",E21,IFERROR(E21*VLOOKUP(F21,'Currency Converter'!$B$5:$C$16,2,FALSE),"")))</f>
        <v/>
      </c>
      <c r="H21" s="37" t="n"/>
      <c r="I21" s="27" t="n"/>
    </row>
    <row r="22">
      <c r="A22" s="35" t="n"/>
      <c r="B22" s="49" t="n"/>
      <c r="C22" s="27" t="n"/>
      <c r="D22" s="27" t="n"/>
      <c r="E22" s="25" t="n"/>
      <c r="F22" s="37" t="n"/>
      <c r="G22" s="7">
        <f>IF(E22="","",IF(F22="",E22,IFERROR(E22*VLOOKUP(F22,'Currency Converter'!$B$5:$C$16,2,FALSE),"")))</f>
        <v/>
      </c>
      <c r="H22" s="37" t="n"/>
      <c r="I22" s="27" t="n"/>
    </row>
    <row r="23">
      <c r="A23" s="35" t="n"/>
      <c r="B23" s="49" t="n"/>
      <c r="C23" s="27" t="n"/>
      <c r="D23" s="27" t="n"/>
      <c r="E23" s="25" t="n"/>
      <c r="F23" s="37" t="n"/>
      <c r="G23" s="7">
        <f>IF(E23="","",IF(F23="",E23,IFERROR(E23*VLOOKUP(F23,'Currency Converter'!$B$5:$C$16,2,FALSE),"")))</f>
        <v/>
      </c>
      <c r="H23" s="37" t="n"/>
      <c r="I23" s="27" t="n"/>
    </row>
    <row r="24">
      <c r="A24" s="35" t="n"/>
      <c r="B24" s="49" t="n"/>
      <c r="C24" s="27" t="n"/>
      <c r="D24" s="27" t="n"/>
      <c r="E24" s="25" t="n"/>
      <c r="F24" s="37" t="n"/>
      <c r="G24" s="7">
        <f>IF(E24="","",IF(F24="",E24,IFERROR(E24*VLOOKUP(F24,'Currency Converter'!$B$5:$C$16,2,FALSE),"")))</f>
        <v/>
      </c>
      <c r="H24" s="37" t="n"/>
      <c r="I24" s="27" t="n"/>
    </row>
    <row r="25">
      <c r="A25" s="35" t="n"/>
      <c r="B25" s="49" t="n"/>
      <c r="C25" s="27" t="n"/>
      <c r="D25" s="27" t="n"/>
      <c r="E25" s="25" t="n"/>
      <c r="F25" s="37" t="n"/>
      <c r="G25" s="7">
        <f>IF(E25="","",IF(F25="",E25,IFERROR(E25*VLOOKUP(F25,'Currency Converter'!$B$5:$C$16,2,FALSE),"")))</f>
        <v/>
      </c>
      <c r="H25" s="37" t="n"/>
      <c r="I25" s="27" t="n"/>
    </row>
    <row r="26">
      <c r="A26" s="35" t="n"/>
      <c r="B26" s="49" t="n"/>
      <c r="C26" s="27" t="n"/>
      <c r="D26" s="27" t="n"/>
      <c r="E26" s="25" t="n"/>
      <c r="F26" s="37" t="n"/>
      <c r="G26" s="7">
        <f>IF(E26="","",IF(F26="",E26,IFERROR(E26*VLOOKUP(F26,'Currency Converter'!$B$5:$C$16,2,FALSE),"")))</f>
        <v/>
      </c>
      <c r="H26" s="37" t="n"/>
      <c r="I26" s="27" t="n"/>
    </row>
    <row r="27">
      <c r="A27" s="35" t="n"/>
      <c r="B27" s="49" t="n"/>
      <c r="C27" s="27" t="n"/>
      <c r="D27" s="27" t="n"/>
      <c r="E27" s="25" t="n"/>
      <c r="F27" s="37" t="n"/>
      <c r="G27" s="7">
        <f>IF(E27="","",IF(F27="",E27,IFERROR(E27*VLOOKUP(F27,'Currency Converter'!$B$5:$C$16,2,FALSE),"")))</f>
        <v/>
      </c>
      <c r="H27" s="37" t="n"/>
      <c r="I27" s="27" t="n"/>
    </row>
    <row r="28">
      <c r="A28" s="35" t="n"/>
      <c r="B28" s="49" t="n"/>
      <c r="C28" s="27" t="n"/>
      <c r="D28" s="27" t="n"/>
      <c r="E28" s="25" t="n"/>
      <c r="F28" s="37" t="n"/>
      <c r="G28" s="7">
        <f>IF(E28="","",IF(F28="",E28,IFERROR(E28*VLOOKUP(F28,'Currency Converter'!$B$5:$C$16,2,FALSE),"")))</f>
        <v/>
      </c>
      <c r="H28" s="37" t="n"/>
      <c r="I28" s="27" t="n"/>
    </row>
    <row r="29">
      <c r="A29" s="35" t="n"/>
      <c r="B29" s="49" t="n"/>
      <c r="C29" s="27" t="n"/>
      <c r="D29" s="27" t="n"/>
      <c r="E29" s="25" t="n"/>
      <c r="F29" s="37" t="n"/>
      <c r="G29" s="7">
        <f>IF(E29="","",IF(F29="",E29,IFERROR(E29*VLOOKUP(F29,'Currency Converter'!$B$5:$C$16,2,FALSE),"")))</f>
        <v/>
      </c>
      <c r="H29" s="37" t="n"/>
      <c r="I29" s="27" t="n"/>
    </row>
    <row r="30">
      <c r="A30" s="35" t="n"/>
      <c r="B30" s="49" t="n"/>
      <c r="C30" s="27" t="n"/>
      <c r="D30" s="27" t="n"/>
      <c r="E30" s="25" t="n"/>
      <c r="F30" s="37" t="n"/>
      <c r="G30" s="7">
        <f>IF(E30="","",IF(F30="",E30,IFERROR(E30*VLOOKUP(F30,'Currency Converter'!$B$5:$C$16,2,FALSE),"")))</f>
        <v/>
      </c>
      <c r="H30" s="37" t="n"/>
      <c r="I30" s="27" t="n"/>
    </row>
    <row r="31">
      <c r="A31" s="35" t="n"/>
      <c r="B31" s="49" t="n"/>
      <c r="C31" s="27" t="n"/>
      <c r="D31" s="27" t="n"/>
      <c r="E31" s="25" t="n"/>
      <c r="F31" s="37" t="n"/>
      <c r="G31" s="7">
        <f>IF(E31="","",IF(F31="",E31,IFERROR(E31*VLOOKUP(F31,'Currency Converter'!$B$5:$C$16,2,FALSE),"")))</f>
        <v/>
      </c>
      <c r="H31" s="37" t="n"/>
      <c r="I31" s="27" t="n"/>
    </row>
    <row r="32">
      <c r="A32" s="35" t="n"/>
      <c r="B32" s="49" t="n"/>
      <c r="C32" s="27" t="n"/>
      <c r="D32" s="27" t="n"/>
      <c r="E32" s="25" t="n"/>
      <c r="F32" s="37" t="n"/>
      <c r="G32" s="7">
        <f>IF(E32="","",IF(F32="",E32,IFERROR(E32*VLOOKUP(F32,'Currency Converter'!$B$5:$C$16,2,FALSE),"")))</f>
        <v/>
      </c>
      <c r="H32" s="37" t="n"/>
      <c r="I32" s="27" t="n"/>
    </row>
    <row r="33">
      <c r="A33" s="35" t="n"/>
      <c r="B33" s="49" t="n"/>
      <c r="C33" s="27" t="n"/>
      <c r="D33" s="27" t="n"/>
      <c r="E33" s="25" t="n"/>
      <c r="F33" s="37" t="n"/>
      <c r="G33" s="7">
        <f>IF(E33="","",IF(F33="",E33,IFERROR(E33*VLOOKUP(F33,'Currency Converter'!$B$5:$C$16,2,FALSE),"")))</f>
        <v/>
      </c>
      <c r="H33" s="37" t="n"/>
      <c r="I33" s="27" t="n"/>
    </row>
    <row r="34">
      <c r="A34" s="35" t="n"/>
      <c r="B34" s="49" t="n"/>
      <c r="C34" s="27" t="n"/>
      <c r="D34" s="27" t="n"/>
      <c r="E34" s="25" t="n"/>
      <c r="F34" s="37" t="n"/>
      <c r="G34" s="7">
        <f>IF(E34="","",IF(F34="",E34,IFERROR(E34*VLOOKUP(F34,'Currency Converter'!$B$5:$C$16,2,FALSE),"")))</f>
        <v/>
      </c>
      <c r="H34" s="37" t="n"/>
      <c r="I34" s="27" t="n"/>
    </row>
    <row r="35">
      <c r="A35" s="35" t="n"/>
      <c r="B35" s="49" t="n"/>
      <c r="C35" s="27" t="n"/>
      <c r="D35" s="27" t="n"/>
      <c r="E35" s="25" t="n"/>
      <c r="F35" s="37" t="n"/>
      <c r="G35" s="7">
        <f>IF(E35="","",IF(F35="",E35,IFERROR(E35*VLOOKUP(F35,'Currency Converter'!$B$5:$C$16,2,FALSE),"")))</f>
        <v/>
      </c>
      <c r="H35" s="37" t="n"/>
      <c r="I35" s="27" t="n"/>
    </row>
    <row r="36">
      <c r="A36" s="35" t="n"/>
      <c r="B36" s="49" t="n"/>
      <c r="C36" s="27" t="n"/>
      <c r="D36" s="27" t="n"/>
      <c r="E36" s="25" t="n"/>
      <c r="F36" s="37" t="n"/>
      <c r="G36" s="7">
        <f>IF(E36="","",IF(F36="",E36,IFERROR(E36*VLOOKUP(F36,'Currency Converter'!$B$5:$C$16,2,FALSE),"")))</f>
        <v/>
      </c>
      <c r="H36" s="37" t="n"/>
      <c r="I36" s="27" t="n"/>
    </row>
    <row r="37">
      <c r="A37" s="35" t="n"/>
      <c r="B37" s="49" t="n"/>
      <c r="C37" s="27" t="n"/>
      <c r="D37" s="27" t="n"/>
      <c r="E37" s="25" t="n"/>
      <c r="F37" s="37" t="n"/>
      <c r="G37" s="7">
        <f>IF(E37="","",IF(F37="",E37,IFERROR(E37*VLOOKUP(F37,'Currency Converter'!$B$5:$C$16,2,FALSE),"")))</f>
        <v/>
      </c>
      <c r="H37" s="37" t="n"/>
      <c r="I37" s="27" t="n"/>
    </row>
    <row r="38">
      <c r="A38" s="35" t="n"/>
      <c r="B38" s="49" t="n"/>
      <c r="C38" s="27" t="n"/>
      <c r="D38" s="27" t="n"/>
      <c r="E38" s="25" t="n"/>
      <c r="F38" s="37" t="n"/>
      <c r="G38" s="7">
        <f>IF(E38="","",IF(F38="",E38,IFERROR(E38*VLOOKUP(F38,'Currency Converter'!$B$5:$C$16,2,FALSE),"")))</f>
        <v/>
      </c>
      <c r="H38" s="37" t="n"/>
      <c r="I38" s="27" t="n"/>
    </row>
    <row r="39">
      <c r="A39" s="35" t="n"/>
      <c r="B39" s="49" t="n"/>
      <c r="C39" s="27" t="n"/>
      <c r="D39" s="27" t="n"/>
      <c r="E39" s="25" t="n"/>
      <c r="F39" s="37" t="n"/>
      <c r="G39" s="7">
        <f>IF(E39="","",IF(F39="",E39,IFERROR(E39*VLOOKUP(F39,'Currency Converter'!$B$5:$C$16,2,FALSE),"")))</f>
        <v/>
      </c>
      <c r="H39" s="37" t="n"/>
      <c r="I39" s="27" t="n"/>
    </row>
    <row r="40">
      <c r="A40" s="35" t="n"/>
      <c r="B40" s="49" t="n"/>
      <c r="C40" s="27" t="n"/>
      <c r="D40" s="27" t="n"/>
      <c r="E40" s="25" t="n"/>
      <c r="F40" s="37" t="n"/>
      <c r="G40" s="7">
        <f>IF(E40="","",IF(F40="",E40,IFERROR(E40*VLOOKUP(F40,'Currency Converter'!$B$5:$C$16,2,FALSE),"")))</f>
        <v/>
      </c>
      <c r="H40" s="37" t="n"/>
      <c r="I40" s="27" t="n"/>
    </row>
    <row r="41">
      <c r="A41" s="35" t="n"/>
      <c r="B41" s="49" t="n"/>
      <c r="C41" s="27" t="n"/>
      <c r="D41" s="27" t="n"/>
      <c r="E41" s="25" t="n"/>
      <c r="F41" s="37" t="n"/>
      <c r="G41" s="7">
        <f>IF(E41="","",IF(F41="",E41,IFERROR(E41*VLOOKUP(F41,'Currency Converter'!$B$5:$C$16,2,FALSE),"")))</f>
        <v/>
      </c>
      <c r="H41" s="37" t="n"/>
      <c r="I41" s="27" t="n"/>
    </row>
    <row r="42">
      <c r="A42" s="35" t="n"/>
      <c r="B42" s="49" t="n"/>
      <c r="C42" s="27" t="n"/>
      <c r="D42" s="27" t="n"/>
      <c r="E42" s="25" t="n"/>
      <c r="F42" s="37" t="n"/>
      <c r="G42" s="7">
        <f>IF(E42="","",IF(F42="",E42,IFERROR(E42*VLOOKUP(F42,'Currency Converter'!$B$5:$C$16,2,FALSE),"")))</f>
        <v/>
      </c>
      <c r="H42" s="37" t="n"/>
      <c r="I42" s="27" t="n"/>
    </row>
    <row r="43">
      <c r="A43" s="35" t="n"/>
      <c r="B43" s="49" t="n"/>
      <c r="C43" s="27" t="n"/>
      <c r="D43" s="27" t="n"/>
      <c r="E43" s="25" t="n"/>
      <c r="F43" s="37" t="n"/>
      <c r="G43" s="7">
        <f>IF(E43="","",IF(F43="",E43,IFERROR(E43*VLOOKUP(F43,'Currency Converter'!$B$5:$C$16,2,FALSE),"")))</f>
        <v/>
      </c>
      <c r="H43" s="37" t="n"/>
      <c r="I43" s="27" t="n"/>
    </row>
    <row r="44">
      <c r="A44" s="35" t="n"/>
      <c r="B44" s="49" t="n"/>
      <c r="C44" s="27" t="n"/>
      <c r="D44" s="27" t="n"/>
      <c r="E44" s="25" t="n"/>
      <c r="F44" s="37" t="n"/>
      <c r="G44" s="7">
        <f>IF(E44="","",IF(F44="",E44,IFERROR(E44*VLOOKUP(F44,'Currency Converter'!$B$5:$C$16,2,FALSE),"")))</f>
        <v/>
      </c>
      <c r="H44" s="37" t="n"/>
      <c r="I44" s="27" t="n"/>
    </row>
    <row r="45">
      <c r="A45" s="35" t="n"/>
      <c r="B45" s="49" t="n"/>
      <c r="C45" s="27" t="n"/>
      <c r="D45" s="27" t="n"/>
      <c r="E45" s="25" t="n"/>
      <c r="F45" s="37" t="n"/>
      <c r="G45" s="7">
        <f>IF(E45="","",IF(F45="",E45,IFERROR(E45*VLOOKUP(F45,'Currency Converter'!$B$5:$C$16,2,FALSE),"")))</f>
        <v/>
      </c>
      <c r="H45" s="37" t="n"/>
      <c r="I45" s="27" t="n"/>
    </row>
    <row r="46">
      <c r="A46" s="35" t="n"/>
      <c r="B46" s="49" t="n"/>
      <c r="C46" s="27" t="n"/>
      <c r="D46" s="27" t="n"/>
      <c r="E46" s="25" t="n"/>
      <c r="F46" s="37" t="n"/>
      <c r="G46" s="7">
        <f>IF(E46="","",IF(F46="",E46,IFERROR(E46*VLOOKUP(F46,'Currency Converter'!$B$5:$C$16,2,FALSE),"")))</f>
        <v/>
      </c>
      <c r="H46" s="37" t="n"/>
      <c r="I46" s="27" t="n"/>
    </row>
    <row r="47">
      <c r="A47" s="35" t="n"/>
      <c r="B47" s="49" t="n"/>
      <c r="C47" s="27" t="n"/>
      <c r="D47" s="27" t="n"/>
      <c r="E47" s="25" t="n"/>
      <c r="F47" s="37" t="n"/>
      <c r="G47" s="7">
        <f>IF(E47="","",IF(F47="",E47,IFERROR(E47*VLOOKUP(F47,'Currency Converter'!$B$5:$C$16,2,FALSE),"")))</f>
        <v/>
      </c>
      <c r="H47" s="37" t="n"/>
      <c r="I47" s="27" t="n"/>
    </row>
    <row r="48">
      <c r="A48" s="35" t="n"/>
      <c r="B48" s="49" t="n"/>
      <c r="C48" s="27" t="n"/>
      <c r="D48" s="27" t="n"/>
      <c r="E48" s="25" t="n"/>
      <c r="F48" s="37" t="n"/>
      <c r="G48" s="7">
        <f>IF(E48="","",IF(F48="",E48,IFERROR(E48*VLOOKUP(F48,'Currency Converter'!$B$5:$C$16,2,FALSE),"")))</f>
        <v/>
      </c>
      <c r="H48" s="37" t="n"/>
      <c r="I48" s="27" t="n"/>
    </row>
    <row r="49">
      <c r="A49" s="35" t="n"/>
      <c r="B49" s="49" t="n"/>
      <c r="C49" s="27" t="n"/>
      <c r="D49" s="27" t="n"/>
      <c r="E49" s="25" t="n"/>
      <c r="F49" s="37" t="n"/>
      <c r="G49" s="7">
        <f>IF(E49="","",IF(F49="",E49,IFERROR(E49*VLOOKUP(F49,'Currency Converter'!$B$5:$C$16,2,FALSE),"")))</f>
        <v/>
      </c>
      <c r="H49" s="37" t="n"/>
      <c r="I49" s="27" t="n"/>
    </row>
    <row r="50">
      <c r="A50" s="35" t="n"/>
      <c r="B50" s="49" t="n"/>
      <c r="C50" s="27" t="n"/>
      <c r="D50" s="27" t="n"/>
      <c r="E50" s="25" t="n"/>
      <c r="F50" s="37" t="n"/>
      <c r="G50" s="7">
        <f>IF(E50="","",IF(F50="",E50,IFERROR(E50*VLOOKUP(F50,'Currency Converter'!$B$5:$C$16,2,FALSE),"")))</f>
        <v/>
      </c>
      <c r="H50" s="37" t="n"/>
      <c r="I50" s="27" t="n"/>
    </row>
    <row r="51">
      <c r="A51" s="35" t="n"/>
      <c r="B51" s="49" t="n"/>
      <c r="C51" s="27" t="n"/>
      <c r="D51" s="27" t="n"/>
      <c r="E51" s="25" t="n"/>
      <c r="F51" s="37" t="n"/>
      <c r="G51" s="7">
        <f>IF(E51="","",IF(F51="",E51,IFERROR(E51*VLOOKUP(F51,'Currency Converter'!$B$5:$C$16,2,FALSE),"")))</f>
        <v/>
      </c>
      <c r="H51" s="37" t="n"/>
      <c r="I51" s="27" t="n"/>
    </row>
    <row r="52">
      <c r="A52" s="35" t="n"/>
      <c r="B52" s="49" t="n"/>
      <c r="C52" s="27" t="n"/>
      <c r="D52" s="27" t="n"/>
      <c r="E52" s="25" t="n"/>
      <c r="F52" s="37" t="n"/>
      <c r="G52" s="7">
        <f>IF(E52="","",IF(F52="",E52,IFERROR(E52*VLOOKUP(F52,'Currency Converter'!$B$5:$C$16,2,FALSE),"")))</f>
        <v/>
      </c>
      <c r="H52" s="37" t="n"/>
      <c r="I52" s="27" t="n"/>
    </row>
    <row r="53">
      <c r="A53" s="35" t="n"/>
      <c r="B53" s="49" t="n"/>
      <c r="C53" s="27" t="n"/>
      <c r="D53" s="27" t="n"/>
      <c r="E53" s="25" t="n"/>
      <c r="F53" s="37" t="n"/>
      <c r="G53" s="7">
        <f>IF(E53="","",IF(F53="",E53,IFERROR(E53*VLOOKUP(F53,'Currency Converter'!$B$5:$C$16,2,FALSE),"")))</f>
        <v/>
      </c>
      <c r="H53" s="37" t="n"/>
      <c r="I53" s="27" t="n"/>
    </row>
    <row r="54">
      <c r="A54" s="35" t="n"/>
      <c r="B54" s="49" t="n"/>
      <c r="C54" s="27" t="n"/>
      <c r="D54" s="27" t="n"/>
      <c r="E54" s="25" t="n"/>
      <c r="F54" s="37" t="n"/>
      <c r="G54" s="7">
        <f>IF(E54="","",IF(F54="",E54,IFERROR(E54*VLOOKUP(F54,'Currency Converter'!$B$5:$C$16,2,FALSE),"")))</f>
        <v/>
      </c>
      <c r="H54" s="37" t="n"/>
      <c r="I54" s="27" t="n"/>
    </row>
    <row r="55">
      <c r="A55" s="35" t="n"/>
      <c r="B55" s="49" t="n"/>
      <c r="C55" s="27" t="n"/>
      <c r="D55" s="27" t="n"/>
      <c r="E55" s="25" t="n"/>
      <c r="F55" s="37" t="n"/>
      <c r="G55" s="7">
        <f>IF(E55="","",IF(F55="",E55,IFERROR(E55*VLOOKUP(F55,'Currency Converter'!$B$5:$C$16,2,FALSE),"")))</f>
        <v/>
      </c>
      <c r="H55" s="37" t="n"/>
      <c r="I55" s="27" t="n"/>
    </row>
    <row r="56">
      <c r="A56" s="35" t="n"/>
      <c r="B56" s="49" t="n"/>
      <c r="C56" s="27" t="n"/>
      <c r="D56" s="27" t="n"/>
      <c r="E56" s="25" t="n"/>
      <c r="F56" s="37" t="n"/>
      <c r="G56" s="7">
        <f>IF(E56="","",IF(F56="",E56,IFERROR(E56*VLOOKUP(F56,'Currency Converter'!$B$5:$C$16,2,FALSE),"")))</f>
        <v/>
      </c>
      <c r="H56" s="37" t="n"/>
      <c r="I56" s="27" t="n"/>
    </row>
    <row r="57">
      <c r="A57" s="35" t="n"/>
      <c r="B57" s="49" t="n"/>
      <c r="C57" s="27" t="n"/>
      <c r="D57" s="27" t="n"/>
      <c r="E57" s="25" t="n"/>
      <c r="F57" s="37" t="n"/>
      <c r="G57" s="7">
        <f>IF(E57="","",IF(F57="",E57,IFERROR(E57*VLOOKUP(F57,'Currency Converter'!$B$5:$C$16,2,FALSE),"")))</f>
        <v/>
      </c>
      <c r="H57" s="37" t="n"/>
      <c r="I57" s="27" t="n"/>
    </row>
    <row r="58">
      <c r="A58" s="35" t="n"/>
      <c r="B58" s="49" t="n"/>
      <c r="C58" s="27" t="n"/>
      <c r="D58" s="27" t="n"/>
      <c r="E58" s="25" t="n"/>
      <c r="F58" s="37" t="n"/>
      <c r="G58" s="7">
        <f>IF(E58="","",IF(F58="",E58,IFERROR(E58*VLOOKUP(F58,'Currency Converter'!$B$5:$C$16,2,FALSE),"")))</f>
        <v/>
      </c>
      <c r="H58" s="37" t="n"/>
      <c r="I58" s="27" t="n"/>
    </row>
    <row r="59">
      <c r="A59" s="35" t="n"/>
      <c r="B59" s="49" t="n"/>
      <c r="C59" s="27" t="n"/>
      <c r="D59" s="27" t="n"/>
      <c r="E59" s="25" t="n"/>
      <c r="F59" s="37" t="n"/>
      <c r="G59" s="7">
        <f>IF(E59="","",IF(F59="",E59,IFERROR(E59*VLOOKUP(F59,'Currency Converter'!$B$5:$C$16,2,FALSE),"")))</f>
        <v/>
      </c>
      <c r="H59" s="37" t="n"/>
      <c r="I59" s="27" t="n"/>
    </row>
    <row r="60">
      <c r="A60" s="35" t="n"/>
      <c r="B60" s="49" t="n"/>
      <c r="C60" s="27" t="n"/>
      <c r="D60" s="27" t="n"/>
      <c r="E60" s="25" t="n"/>
      <c r="F60" s="37" t="n"/>
      <c r="G60" s="7">
        <f>IF(E60="","",IF(F60="",E60,IFERROR(E60*VLOOKUP(F60,'Currency Converter'!$B$5:$C$16,2,FALSE),"")))</f>
        <v/>
      </c>
      <c r="H60" s="37" t="n"/>
      <c r="I60" s="27" t="n"/>
    </row>
    <row r="61">
      <c r="A61" s="35" t="n"/>
      <c r="B61" s="49" t="n"/>
      <c r="C61" s="27" t="n"/>
      <c r="D61" s="27" t="n"/>
      <c r="E61" s="25" t="n"/>
      <c r="F61" s="37" t="n"/>
      <c r="G61" s="7">
        <f>IF(E61="","",IF(F61="",E61,IFERROR(E61*VLOOKUP(F61,'Currency Converter'!$B$5:$C$16,2,FALSE),"")))</f>
        <v/>
      </c>
      <c r="H61" s="37" t="n"/>
      <c r="I61" s="27" t="n"/>
    </row>
    <row r="62">
      <c r="A62" s="35" t="n"/>
      <c r="B62" s="49" t="n"/>
      <c r="C62" s="27" t="n"/>
      <c r="D62" s="27" t="n"/>
      <c r="E62" s="25" t="n"/>
      <c r="F62" s="37" t="n"/>
      <c r="G62" s="7">
        <f>IF(E62="","",IF(F62="",E62,IFERROR(E62*VLOOKUP(F62,'Currency Converter'!$B$5:$C$16,2,FALSE),"")))</f>
        <v/>
      </c>
      <c r="H62" s="37" t="n"/>
      <c r="I62" s="27" t="n"/>
    </row>
    <row r="63">
      <c r="A63" s="35" t="n"/>
      <c r="B63" s="49" t="n"/>
      <c r="C63" s="27" t="n"/>
      <c r="D63" s="27" t="n"/>
      <c r="E63" s="25" t="n"/>
      <c r="F63" s="37" t="n"/>
      <c r="G63" s="7">
        <f>IF(E63="","",IF(F63="",E63,IFERROR(E63*VLOOKUP(F63,'Currency Converter'!$B$5:$C$16,2,FALSE),"")))</f>
        <v/>
      </c>
      <c r="H63" s="37" t="n"/>
      <c r="I63" s="27" t="n"/>
    </row>
    <row r="64">
      <c r="A64" s="35" t="n"/>
      <c r="B64" s="49" t="n"/>
      <c r="C64" s="27" t="n"/>
      <c r="D64" s="27" t="n"/>
      <c r="E64" s="25" t="n"/>
      <c r="F64" s="37" t="n"/>
      <c r="G64" s="7">
        <f>IF(E64="","",IF(F64="",E64,IFERROR(E64*VLOOKUP(F64,'Currency Converter'!$B$5:$C$16,2,FALSE),"")))</f>
        <v/>
      </c>
      <c r="H64" s="37" t="n"/>
      <c r="I64" s="27" t="n"/>
    </row>
    <row r="65">
      <c r="A65" s="35" t="n"/>
      <c r="B65" s="49" t="n"/>
      <c r="C65" s="27" t="n"/>
      <c r="D65" s="27" t="n"/>
      <c r="E65" s="25" t="n"/>
      <c r="F65" s="37" t="n"/>
      <c r="G65" s="7">
        <f>IF(E65="","",IF(F65="",E65,IFERROR(E65*VLOOKUP(F65,'Currency Converter'!$B$5:$C$16,2,FALSE),"")))</f>
        <v/>
      </c>
      <c r="H65" s="37" t="n"/>
      <c r="I65" s="27" t="n"/>
    </row>
    <row r="66">
      <c r="A66" s="35" t="n"/>
      <c r="B66" s="49" t="n"/>
      <c r="C66" s="27" t="n"/>
      <c r="D66" s="27" t="n"/>
      <c r="E66" s="25" t="n"/>
      <c r="F66" s="37" t="n"/>
      <c r="G66" s="7">
        <f>IF(E66="","",IF(F66="",E66,IFERROR(E66*VLOOKUP(F66,'Currency Converter'!$B$5:$C$16,2,FALSE),"")))</f>
        <v/>
      </c>
      <c r="H66" s="37" t="n"/>
      <c r="I66" s="27" t="n"/>
    </row>
    <row r="67">
      <c r="A67" s="35" t="n"/>
      <c r="B67" s="49" t="n"/>
      <c r="C67" s="27" t="n"/>
      <c r="D67" s="27" t="n"/>
      <c r="E67" s="25" t="n"/>
      <c r="F67" s="37" t="n"/>
      <c r="G67" s="7">
        <f>IF(E67="","",IF(F67="",E67,IFERROR(E67*VLOOKUP(F67,'Currency Converter'!$B$5:$C$16,2,FALSE),"")))</f>
        <v/>
      </c>
      <c r="H67" s="37" t="n"/>
      <c r="I67" s="27" t="n"/>
    </row>
    <row r="68">
      <c r="A68" s="35" t="n"/>
      <c r="B68" s="49" t="n"/>
      <c r="C68" s="27" t="n"/>
      <c r="D68" s="27" t="n"/>
      <c r="E68" s="25" t="n"/>
      <c r="F68" s="37" t="n"/>
      <c r="G68" s="7">
        <f>IF(E68="","",IF(F68="",E68,IFERROR(E68*VLOOKUP(F68,'Currency Converter'!$B$5:$C$16,2,FALSE),"")))</f>
        <v/>
      </c>
      <c r="H68" s="37" t="n"/>
      <c r="I68" s="27" t="n"/>
    </row>
    <row r="69">
      <c r="A69" s="35" t="n"/>
      <c r="B69" s="49" t="n"/>
      <c r="C69" s="27" t="n"/>
      <c r="D69" s="27" t="n"/>
      <c r="E69" s="25" t="n"/>
      <c r="F69" s="37" t="n"/>
      <c r="G69" s="7">
        <f>IF(E69="","",IF(F69="",E69,IFERROR(E69*VLOOKUP(F69,'Currency Converter'!$B$5:$C$16,2,FALSE),"")))</f>
        <v/>
      </c>
      <c r="H69" s="37" t="n"/>
      <c r="I69" s="27" t="n"/>
    </row>
    <row r="70">
      <c r="A70" s="35" t="n"/>
      <c r="B70" s="49" t="n"/>
      <c r="C70" s="27" t="n"/>
      <c r="D70" s="27" t="n"/>
      <c r="E70" s="25" t="n"/>
      <c r="F70" s="37" t="n"/>
      <c r="G70" s="7">
        <f>IF(E70="","",IF(F70="",E70,IFERROR(E70*VLOOKUP(F70,'Currency Converter'!$B$5:$C$16,2,FALSE),"")))</f>
        <v/>
      </c>
      <c r="H70" s="37" t="n"/>
      <c r="I70" s="27" t="n"/>
    </row>
    <row r="71">
      <c r="A71" s="35" t="n"/>
      <c r="B71" s="49" t="n"/>
      <c r="C71" s="27" t="n"/>
      <c r="D71" s="27" t="n"/>
      <c r="E71" s="25" t="n"/>
      <c r="F71" s="37" t="n"/>
      <c r="G71" s="7">
        <f>IF(E71="","",IF(F71="",E71,IFERROR(E71*VLOOKUP(F71,'Currency Converter'!$B$5:$C$16,2,FALSE),"")))</f>
        <v/>
      </c>
      <c r="H71" s="37" t="n"/>
      <c r="I71" s="27" t="n"/>
    </row>
    <row r="72">
      <c r="A72" s="35" t="n"/>
      <c r="B72" s="49" t="n"/>
      <c r="C72" s="27" t="n"/>
      <c r="D72" s="27" t="n"/>
      <c r="E72" s="25" t="n"/>
      <c r="F72" s="37" t="n"/>
      <c r="G72" s="7">
        <f>IF(E72="","",IF(F72="",E72,IFERROR(E72*VLOOKUP(F72,'Currency Converter'!$B$5:$C$16,2,FALSE),"")))</f>
        <v/>
      </c>
      <c r="H72" s="37" t="n"/>
      <c r="I72" s="27" t="n"/>
    </row>
    <row r="73">
      <c r="A73" s="35" t="n"/>
      <c r="B73" s="49" t="n"/>
      <c r="C73" s="27" t="n"/>
      <c r="D73" s="27" t="n"/>
      <c r="E73" s="25" t="n"/>
      <c r="F73" s="37" t="n"/>
      <c r="G73" s="7">
        <f>IF(E73="","",IF(F73="",E73,IFERROR(E73*VLOOKUP(F73,'Currency Converter'!$B$5:$C$16,2,FALSE),"")))</f>
        <v/>
      </c>
      <c r="H73" s="37" t="n"/>
      <c r="I73" s="27" t="n"/>
    </row>
    <row r="74">
      <c r="A74" s="35" t="n"/>
      <c r="B74" s="49" t="n"/>
      <c r="C74" s="27" t="n"/>
      <c r="D74" s="27" t="n"/>
      <c r="E74" s="25" t="n"/>
      <c r="F74" s="37" t="n"/>
      <c r="G74" s="7">
        <f>IF(E74="","",IF(F74="",E74,IFERROR(E74*VLOOKUP(F74,'Currency Converter'!$B$5:$C$16,2,FALSE),"")))</f>
        <v/>
      </c>
      <c r="H74" s="37" t="n"/>
      <c r="I74" s="27" t="n"/>
    </row>
    <row r="75">
      <c r="A75" s="35" t="n"/>
      <c r="B75" s="49" t="n"/>
      <c r="C75" s="27" t="n"/>
      <c r="D75" s="27" t="n"/>
      <c r="E75" s="25" t="n"/>
      <c r="F75" s="37" t="n"/>
      <c r="G75" s="7">
        <f>IF(E75="","",IF(F75="",E75,IFERROR(E75*VLOOKUP(F75,'Currency Converter'!$B$5:$C$16,2,FALSE),"")))</f>
        <v/>
      </c>
      <c r="H75" s="37" t="n"/>
      <c r="I75" s="27" t="n"/>
    </row>
    <row r="76">
      <c r="A76" s="35" t="n"/>
      <c r="B76" s="49" t="n"/>
      <c r="C76" s="27" t="n"/>
      <c r="D76" s="27" t="n"/>
      <c r="E76" s="25" t="n"/>
      <c r="F76" s="37" t="n"/>
      <c r="G76" s="7">
        <f>IF(E76="","",IF(F76="",E76,IFERROR(E76*VLOOKUP(F76,'Currency Converter'!$B$5:$C$16,2,FALSE),"")))</f>
        <v/>
      </c>
      <c r="H76" s="37" t="n"/>
      <c r="I76" s="27" t="n"/>
    </row>
    <row r="77">
      <c r="A77" s="35" t="n"/>
      <c r="B77" s="49" t="n"/>
      <c r="C77" s="27" t="n"/>
      <c r="D77" s="27" t="n"/>
      <c r="E77" s="25" t="n"/>
      <c r="F77" s="37" t="n"/>
      <c r="G77" s="7">
        <f>IF(E77="","",IF(F77="",E77,IFERROR(E77*VLOOKUP(F77,'Currency Converter'!$B$5:$C$16,2,FALSE),"")))</f>
        <v/>
      </c>
      <c r="H77" s="37" t="n"/>
      <c r="I77" s="27" t="n"/>
    </row>
    <row r="78">
      <c r="A78" s="35" t="n"/>
      <c r="B78" s="49" t="n"/>
      <c r="C78" s="27" t="n"/>
      <c r="D78" s="27" t="n"/>
      <c r="E78" s="25" t="n"/>
      <c r="F78" s="37" t="n"/>
      <c r="G78" s="7">
        <f>IF(E78="","",IF(F78="",E78,IFERROR(E78*VLOOKUP(F78,'Currency Converter'!$B$5:$C$16,2,FALSE),"")))</f>
        <v/>
      </c>
      <c r="H78" s="37" t="n"/>
      <c r="I78" s="27" t="n"/>
    </row>
    <row r="79">
      <c r="A79" s="35" t="n"/>
      <c r="B79" s="49" t="n"/>
      <c r="C79" s="27" t="n"/>
      <c r="D79" s="27" t="n"/>
      <c r="E79" s="25" t="n"/>
      <c r="F79" s="37" t="n"/>
      <c r="G79" s="7">
        <f>IF(E79="","",IF(F79="",E79,IFERROR(E79*VLOOKUP(F79,'Currency Converter'!$B$5:$C$16,2,FALSE),"")))</f>
        <v/>
      </c>
      <c r="H79" s="37" t="n"/>
      <c r="I79" s="27" t="n"/>
    </row>
    <row r="80">
      <c r="A80" s="35" t="n"/>
      <c r="B80" s="49" t="n"/>
      <c r="C80" s="27" t="n"/>
      <c r="D80" s="27" t="n"/>
      <c r="E80" s="25" t="n"/>
      <c r="F80" s="37" t="n"/>
      <c r="G80" s="7">
        <f>IF(E80="","",IF(F80="",E80,IFERROR(E80*VLOOKUP(F80,'Currency Converter'!$B$5:$C$16,2,FALSE),"")))</f>
        <v/>
      </c>
      <c r="H80" s="37" t="n"/>
      <c r="I80" s="27" t="n"/>
    </row>
    <row r="81">
      <c r="A81" s="35" t="n"/>
      <c r="B81" s="49" t="n"/>
      <c r="C81" s="27" t="n"/>
      <c r="D81" s="27" t="n"/>
      <c r="E81" s="25" t="n"/>
      <c r="F81" s="37" t="n"/>
      <c r="G81" s="7">
        <f>IF(E81="","",IF(F81="",E81,IFERROR(E81*VLOOKUP(F81,'Currency Converter'!$B$5:$C$16,2,FALSE),"")))</f>
        <v/>
      </c>
      <c r="H81" s="37" t="n"/>
      <c r="I81" s="27" t="n"/>
    </row>
    <row r="82">
      <c r="A82" s="35" t="n"/>
      <c r="B82" s="49" t="n"/>
      <c r="C82" s="27" t="n"/>
      <c r="D82" s="27" t="n"/>
      <c r="E82" s="25" t="n"/>
      <c r="F82" s="37" t="n"/>
      <c r="G82" s="7">
        <f>IF(E82="","",IF(F82="",E82,IFERROR(E82*VLOOKUP(F82,'Currency Converter'!$B$5:$C$16,2,FALSE),"")))</f>
        <v/>
      </c>
      <c r="H82" s="37" t="n"/>
      <c r="I82" s="27" t="n"/>
    </row>
    <row r="83">
      <c r="A83" s="35" t="n"/>
      <c r="B83" s="49" t="n"/>
      <c r="C83" s="27" t="n"/>
      <c r="D83" s="27" t="n"/>
      <c r="E83" s="25" t="n"/>
      <c r="F83" s="37" t="n"/>
      <c r="G83" s="7">
        <f>IF(E83="","",IF(F83="",E83,IFERROR(E83*VLOOKUP(F83,'Currency Converter'!$B$5:$C$16,2,FALSE),"")))</f>
        <v/>
      </c>
      <c r="H83" s="37" t="n"/>
      <c r="I83" s="27" t="n"/>
    </row>
    <row r="84">
      <c r="A84" s="35" t="n"/>
      <c r="B84" s="49" t="n"/>
      <c r="C84" s="27" t="n"/>
      <c r="D84" s="27" t="n"/>
      <c r="E84" s="25" t="n"/>
      <c r="F84" s="37" t="n"/>
      <c r="G84" s="7">
        <f>IF(E84="","",IF(F84="",E84,IFERROR(E84*VLOOKUP(F84,'Currency Converter'!$B$5:$C$16,2,FALSE),"")))</f>
        <v/>
      </c>
      <c r="H84" s="37" t="n"/>
      <c r="I84" s="27" t="n"/>
    </row>
    <row r="85">
      <c r="A85" s="35" t="n"/>
      <c r="B85" s="49" t="n"/>
      <c r="C85" s="27" t="n"/>
      <c r="D85" s="27" t="n"/>
      <c r="E85" s="25" t="n"/>
      <c r="F85" s="37" t="n"/>
      <c r="G85" s="7">
        <f>IF(E85="","",IF(F85="",E85,IFERROR(E85*VLOOKUP(F85,'Currency Converter'!$B$5:$C$16,2,FALSE),"")))</f>
        <v/>
      </c>
      <c r="H85" s="37" t="n"/>
      <c r="I85" s="27" t="n"/>
    </row>
    <row r="86">
      <c r="A86" s="35" t="n"/>
      <c r="B86" s="49" t="n"/>
      <c r="C86" s="27" t="n"/>
      <c r="D86" s="27" t="n"/>
      <c r="E86" s="25" t="n"/>
      <c r="F86" s="37" t="n"/>
      <c r="G86" s="7">
        <f>IF(E86="","",IF(F86="",E86,IFERROR(E86*VLOOKUP(F86,'Currency Converter'!$B$5:$C$16,2,FALSE),"")))</f>
        <v/>
      </c>
      <c r="H86" s="37" t="n"/>
      <c r="I86" s="27" t="n"/>
    </row>
    <row r="87">
      <c r="A87" s="35" t="n"/>
      <c r="B87" s="49" t="n"/>
      <c r="C87" s="27" t="n"/>
      <c r="D87" s="27" t="n"/>
      <c r="E87" s="25" t="n"/>
      <c r="F87" s="37" t="n"/>
      <c r="G87" s="7">
        <f>IF(E87="","",IF(F87="",E87,IFERROR(E87*VLOOKUP(F87,'Currency Converter'!$B$5:$C$16,2,FALSE),"")))</f>
        <v/>
      </c>
      <c r="H87" s="37" t="n"/>
      <c r="I87" s="27" t="n"/>
    </row>
    <row r="88">
      <c r="A88" s="35" t="n"/>
      <c r="B88" s="49" t="n"/>
      <c r="C88" s="27" t="n"/>
      <c r="D88" s="27" t="n"/>
      <c r="E88" s="25" t="n"/>
      <c r="F88" s="37" t="n"/>
      <c r="G88" s="7">
        <f>IF(E88="","",IF(F88="",E88,IFERROR(E88*VLOOKUP(F88,'Currency Converter'!$B$5:$C$16,2,FALSE),"")))</f>
        <v/>
      </c>
      <c r="H88" s="37" t="n"/>
      <c r="I88" s="27" t="n"/>
    </row>
    <row r="89">
      <c r="A89" s="35" t="n"/>
      <c r="B89" s="49" t="n"/>
      <c r="C89" s="27" t="n"/>
      <c r="D89" s="27" t="n"/>
      <c r="E89" s="25" t="n"/>
      <c r="F89" s="37" t="n"/>
      <c r="G89" s="7">
        <f>IF(E89="","",IF(F89="",E89,IFERROR(E89*VLOOKUP(F89,'Currency Converter'!$B$5:$C$16,2,FALSE),"")))</f>
        <v/>
      </c>
      <c r="H89" s="37" t="n"/>
      <c r="I89" s="27" t="n"/>
    </row>
    <row r="90">
      <c r="A90" s="35" t="n"/>
      <c r="B90" s="49" t="n"/>
      <c r="C90" s="27" t="n"/>
      <c r="D90" s="27" t="n"/>
      <c r="E90" s="25" t="n"/>
      <c r="F90" s="37" t="n"/>
      <c r="G90" s="7">
        <f>IF(E90="","",IF(F90="",E90,IFERROR(E90*VLOOKUP(F90,'Currency Converter'!$B$5:$C$16,2,FALSE),"")))</f>
        <v/>
      </c>
      <c r="H90" s="37" t="n"/>
      <c r="I90" s="27" t="n"/>
    </row>
    <row r="91">
      <c r="A91" s="35" t="n"/>
      <c r="B91" s="49" t="n"/>
      <c r="C91" s="27" t="n"/>
      <c r="D91" s="27" t="n"/>
      <c r="E91" s="25" t="n"/>
      <c r="F91" s="37" t="n"/>
      <c r="G91" s="7">
        <f>IF(E91="","",IF(F91="",E91,IFERROR(E91*VLOOKUP(F91,'Currency Converter'!$B$5:$C$16,2,FALSE),"")))</f>
        <v/>
      </c>
      <c r="H91" s="37" t="n"/>
      <c r="I91" s="27" t="n"/>
    </row>
    <row r="92">
      <c r="A92" s="35" t="n"/>
      <c r="B92" s="49" t="n"/>
      <c r="C92" s="27" t="n"/>
      <c r="D92" s="27" t="n"/>
      <c r="E92" s="25" t="n"/>
      <c r="F92" s="37" t="n"/>
      <c r="G92" s="7">
        <f>IF(E92="","",IF(F92="",E92,IFERROR(E92*VLOOKUP(F92,'Currency Converter'!$B$5:$C$16,2,FALSE),"")))</f>
        <v/>
      </c>
      <c r="H92" s="37" t="n"/>
      <c r="I92" s="27" t="n"/>
    </row>
    <row r="93">
      <c r="A93" s="35" t="n"/>
      <c r="B93" s="49" t="n"/>
      <c r="C93" s="27" t="n"/>
      <c r="D93" s="27" t="n"/>
      <c r="E93" s="25" t="n"/>
      <c r="F93" s="37" t="n"/>
      <c r="G93" s="7">
        <f>IF(E93="","",IF(F93="",E93,IFERROR(E93*VLOOKUP(F93,'Currency Converter'!$B$5:$C$16,2,FALSE),"")))</f>
        <v/>
      </c>
      <c r="H93" s="37" t="n"/>
      <c r="I93" s="27" t="n"/>
    </row>
    <row r="94">
      <c r="A94" s="35" t="n"/>
      <c r="B94" s="49" t="n"/>
      <c r="C94" s="27" t="n"/>
      <c r="D94" s="27" t="n"/>
      <c r="E94" s="25" t="n"/>
      <c r="F94" s="37" t="n"/>
      <c r="G94" s="7">
        <f>IF(E94="","",IF(F94="",E94,IFERROR(E94*VLOOKUP(F94,'Currency Converter'!$B$5:$C$16,2,FALSE),"")))</f>
        <v/>
      </c>
      <c r="H94" s="37" t="n"/>
      <c r="I94" s="27" t="n"/>
    </row>
    <row r="95">
      <c r="A95" s="35" t="n"/>
      <c r="B95" s="49" t="n"/>
      <c r="C95" s="27" t="n"/>
      <c r="D95" s="27" t="n"/>
      <c r="E95" s="25" t="n"/>
      <c r="F95" s="37" t="n"/>
      <c r="G95" s="7">
        <f>IF(E95="","",IF(F95="",E95,IFERROR(E95*VLOOKUP(F95,'Currency Converter'!$B$5:$C$16,2,FALSE),"")))</f>
        <v/>
      </c>
      <c r="H95" s="37" t="n"/>
      <c r="I95" s="27" t="n"/>
    </row>
    <row r="96">
      <c r="A96" s="35" t="n"/>
      <c r="B96" s="49" t="n"/>
      <c r="C96" s="27" t="n"/>
      <c r="D96" s="27" t="n"/>
      <c r="E96" s="25" t="n"/>
      <c r="F96" s="37" t="n"/>
      <c r="G96" s="7">
        <f>IF(E96="","",IF(F96="",E96,IFERROR(E96*VLOOKUP(F96,'Currency Converter'!$B$5:$C$16,2,FALSE),"")))</f>
        <v/>
      </c>
      <c r="H96" s="37" t="n"/>
      <c r="I96" s="27" t="n"/>
    </row>
    <row r="97">
      <c r="A97" s="35" t="n"/>
      <c r="B97" s="49" t="n"/>
      <c r="C97" s="27" t="n"/>
      <c r="D97" s="27" t="n"/>
      <c r="E97" s="25" t="n"/>
      <c r="F97" s="37" t="n"/>
      <c r="G97" s="7">
        <f>IF(E97="","",IF(F97="",E97,IFERROR(E97*VLOOKUP(F97,'Currency Converter'!$B$5:$C$16,2,FALSE),"")))</f>
        <v/>
      </c>
      <c r="H97" s="37" t="n"/>
      <c r="I97" s="27" t="n"/>
    </row>
    <row r="98">
      <c r="A98" s="35" t="n"/>
      <c r="B98" s="49" t="n"/>
      <c r="C98" s="27" t="n"/>
      <c r="D98" s="27" t="n"/>
      <c r="E98" s="25" t="n"/>
      <c r="F98" s="37" t="n"/>
      <c r="G98" s="7">
        <f>IF(E98="","",IF(F98="",E98,IFERROR(E98*VLOOKUP(F98,'Currency Converter'!$B$5:$C$16,2,FALSE),"")))</f>
        <v/>
      </c>
      <c r="H98" s="37" t="n"/>
      <c r="I98" s="27" t="n"/>
    </row>
    <row r="99">
      <c r="A99" s="35" t="n"/>
      <c r="B99" s="49" t="n"/>
      <c r="C99" s="27" t="n"/>
      <c r="D99" s="27" t="n"/>
      <c r="E99" s="25" t="n"/>
      <c r="F99" s="37" t="n"/>
      <c r="G99" s="7">
        <f>IF(E99="","",IF(F99="",E99,IFERROR(E99*VLOOKUP(F99,'Currency Converter'!$B$5:$C$16,2,FALSE),"")))</f>
        <v/>
      </c>
      <c r="H99" s="37" t="n"/>
      <c r="I99" s="27" t="n"/>
    </row>
    <row r="100">
      <c r="A100" s="35" t="n"/>
      <c r="B100" s="49" t="n"/>
      <c r="C100" s="27" t="n"/>
      <c r="D100" s="27" t="n"/>
      <c r="E100" s="25" t="n"/>
      <c r="F100" s="37" t="n"/>
      <c r="G100" s="7">
        <f>IF(E100="","",IF(F100="",E100,IFERROR(E100*VLOOKUP(F100,'Currency Converter'!$B$5:$C$16,2,FALSE),"")))</f>
        <v/>
      </c>
      <c r="H100" s="37" t="n"/>
      <c r="I100" s="27" t="n"/>
    </row>
    <row r="101">
      <c r="A101" s="35" t="n"/>
      <c r="B101" s="49" t="n"/>
      <c r="C101" s="27" t="n"/>
      <c r="D101" s="27" t="n"/>
      <c r="E101" s="25" t="n"/>
      <c r="F101" s="37" t="n"/>
      <c r="G101" s="7">
        <f>IF(E101="","",IF(F101="",E101,IFERROR(E101*VLOOKUP(F101,'Currency Converter'!$B$5:$C$16,2,FALSE),"")))</f>
        <v/>
      </c>
      <c r="H101" s="37" t="n"/>
      <c r="I101" s="27" t="n"/>
    </row>
    <row r="102">
      <c r="A102" s="35" t="n"/>
      <c r="B102" s="49" t="n"/>
      <c r="C102" s="27" t="n"/>
      <c r="D102" s="27" t="n"/>
      <c r="E102" s="25" t="n"/>
      <c r="F102" s="37" t="n"/>
      <c r="G102" s="7">
        <f>IF(E102="","",IF(F102="",E102,IFERROR(E102*VLOOKUP(F102,'Currency Converter'!$B$5:$C$16,2,FALSE),"")))</f>
        <v/>
      </c>
      <c r="H102" s="37" t="n"/>
      <c r="I102" s="27" t="n"/>
    </row>
    <row r="103">
      <c r="A103" s="35" t="n"/>
      <c r="B103" s="49" t="n"/>
      <c r="C103" s="27" t="n"/>
      <c r="D103" s="27" t="n"/>
      <c r="E103" s="25" t="n"/>
      <c r="F103" s="37" t="n"/>
      <c r="G103" s="7">
        <f>IF(E103="","",IF(F103="",E103,IFERROR(E103*VLOOKUP(F103,'Currency Converter'!$B$5:$C$16,2,FALSE),"")))</f>
        <v/>
      </c>
      <c r="H103" s="37" t="n"/>
      <c r="I103" s="27" t="n"/>
    </row>
    <row r="104">
      <c r="A104" s="35" t="n"/>
      <c r="B104" s="49" t="n"/>
      <c r="C104" s="27" t="n"/>
      <c r="D104" s="27" t="n"/>
      <c r="E104" s="25" t="n"/>
      <c r="F104" s="37" t="n"/>
      <c r="G104" s="7">
        <f>IF(E104="","",IF(F104="",E104,IFERROR(E104*VLOOKUP(F104,'Currency Converter'!$B$5:$C$16,2,FALSE),"")))</f>
        <v/>
      </c>
      <c r="H104" s="37" t="n"/>
      <c r="I104" s="27" t="n"/>
    </row>
    <row r="105">
      <c r="A105" s="35" t="n"/>
      <c r="B105" s="49" t="n"/>
      <c r="C105" s="27" t="n"/>
      <c r="D105" s="27" t="n"/>
      <c r="E105" s="25" t="n"/>
      <c r="F105" s="37" t="n"/>
      <c r="G105" s="7">
        <f>IF(E105="","",IF(F105="",E105,IFERROR(E105*VLOOKUP(F105,'Currency Converter'!$B$5:$C$16,2,FALSE),"")))</f>
        <v/>
      </c>
      <c r="H105" s="37" t="n"/>
      <c r="I105" s="27" t="n"/>
    </row>
    <row r="106">
      <c r="A106" s="35" t="n"/>
      <c r="B106" s="49" t="n"/>
      <c r="C106" s="27" t="n"/>
      <c r="D106" s="27" t="n"/>
      <c r="E106" s="25" t="n"/>
      <c r="F106" s="37" t="n"/>
      <c r="G106" s="7">
        <f>IF(E106="","",IF(F106="",E106,IFERROR(E106*VLOOKUP(F106,'Currency Converter'!$B$5:$C$16,2,FALSE),"")))</f>
        <v/>
      </c>
      <c r="H106" s="37" t="n"/>
      <c r="I106" s="27" t="n"/>
    </row>
    <row r="107">
      <c r="A107" s="35" t="n"/>
      <c r="B107" s="49" t="n"/>
      <c r="C107" s="27" t="n"/>
      <c r="D107" s="27" t="n"/>
      <c r="E107" s="25" t="n"/>
      <c r="F107" s="37" t="n"/>
      <c r="G107" s="7">
        <f>IF(E107="","",IF(F107="",E107,IFERROR(E107*VLOOKUP(F107,'Currency Converter'!$B$5:$C$16,2,FALSE),"")))</f>
        <v/>
      </c>
      <c r="H107" s="37" t="n"/>
      <c r="I107" s="27" t="n"/>
    </row>
    <row r="108">
      <c r="A108" s="35" t="n"/>
      <c r="B108" s="49" t="n"/>
      <c r="C108" s="27" t="n"/>
      <c r="D108" s="27" t="n"/>
      <c r="E108" s="25" t="n"/>
      <c r="F108" s="37" t="n"/>
      <c r="G108" s="7">
        <f>IF(E108="","",IF(F108="",E108,IFERROR(E108*VLOOKUP(F108,'Currency Converter'!$B$5:$C$16,2,FALSE),"")))</f>
        <v/>
      </c>
      <c r="H108" s="37" t="n"/>
      <c r="I108" s="27" t="n"/>
    </row>
    <row r="109">
      <c r="A109" s="35" t="n"/>
      <c r="B109" s="49" t="n"/>
      <c r="C109" s="27" t="n"/>
      <c r="D109" s="27" t="n"/>
      <c r="E109" s="25" t="n"/>
      <c r="F109" s="37" t="n"/>
      <c r="G109" s="7">
        <f>IF(E109="","",IF(F109="",E109,IFERROR(E109*VLOOKUP(F109,'Currency Converter'!$B$5:$C$16,2,FALSE),"")))</f>
        <v/>
      </c>
      <c r="H109" s="37" t="n"/>
      <c r="I109" s="27" t="n"/>
    </row>
    <row r="110">
      <c r="A110" s="35" t="n"/>
      <c r="B110" s="49" t="n"/>
      <c r="C110" s="27" t="n"/>
      <c r="D110" s="27" t="n"/>
      <c r="E110" s="25" t="n"/>
      <c r="F110" s="37" t="n"/>
      <c r="G110" s="7">
        <f>IF(E110="","",IF(F110="",E110,IFERROR(E110*VLOOKUP(F110,'Currency Converter'!$B$5:$C$16,2,FALSE),"")))</f>
        <v/>
      </c>
      <c r="H110" s="37" t="n"/>
      <c r="I110" s="27" t="n"/>
    </row>
    <row r="111">
      <c r="A111" s="35" t="n"/>
      <c r="B111" s="49" t="n"/>
      <c r="C111" s="27" t="n"/>
      <c r="D111" s="27" t="n"/>
      <c r="E111" s="25" t="n"/>
      <c r="F111" s="37" t="n"/>
      <c r="G111" s="7">
        <f>IF(E111="","",IF(F111="",E111,IFERROR(E111*VLOOKUP(F111,'Currency Converter'!$B$5:$C$16,2,FALSE),"")))</f>
        <v/>
      </c>
      <c r="H111" s="37" t="n"/>
      <c r="I111" s="27" t="n"/>
    </row>
    <row r="112">
      <c r="A112" s="35" t="n"/>
      <c r="B112" s="49" t="n"/>
      <c r="C112" s="27" t="n"/>
      <c r="D112" s="27" t="n"/>
      <c r="E112" s="25" t="n"/>
      <c r="F112" s="37" t="n"/>
      <c r="G112" s="7">
        <f>IF(E112="","",IF(F112="",E112,IFERROR(E112*VLOOKUP(F112,'Currency Converter'!$B$5:$C$16,2,FALSE),"")))</f>
        <v/>
      </c>
      <c r="H112" s="37" t="n"/>
      <c r="I112" s="27" t="n"/>
    </row>
    <row r="113">
      <c r="A113" s="35" t="n"/>
      <c r="B113" s="49" t="n"/>
      <c r="C113" s="27" t="n"/>
      <c r="D113" s="27" t="n"/>
      <c r="E113" s="25" t="n"/>
      <c r="F113" s="37" t="n"/>
      <c r="G113" s="7">
        <f>IF(E113="","",IF(F113="",E113,IFERROR(E113*VLOOKUP(F113,'Currency Converter'!$B$5:$C$16,2,FALSE),"")))</f>
        <v/>
      </c>
      <c r="H113" s="37" t="n"/>
      <c r="I113" s="27" t="n"/>
    </row>
    <row r="114">
      <c r="A114" s="35" t="n"/>
      <c r="B114" s="49" t="n"/>
      <c r="C114" s="27" t="n"/>
      <c r="D114" s="27" t="n"/>
      <c r="E114" s="25" t="n"/>
      <c r="F114" s="37" t="n"/>
      <c r="G114" s="7">
        <f>IF(E114="","",IF(F114="",E114,IFERROR(E114*VLOOKUP(F114,'Currency Converter'!$B$5:$C$16,2,FALSE),"")))</f>
        <v/>
      </c>
      <c r="H114" s="37" t="n"/>
      <c r="I114" s="27" t="n"/>
    </row>
    <row r="115">
      <c r="A115" s="35" t="n"/>
      <c r="B115" s="49" t="n"/>
      <c r="C115" s="27" t="n"/>
      <c r="D115" s="27" t="n"/>
      <c r="E115" s="25" t="n"/>
      <c r="F115" s="37" t="n"/>
      <c r="G115" s="7">
        <f>IF(E115="","",IF(F115="",E115,IFERROR(E115*VLOOKUP(F115,'Currency Converter'!$B$5:$C$16,2,FALSE),"")))</f>
        <v/>
      </c>
      <c r="H115" s="37" t="n"/>
      <c r="I115" s="27" t="n"/>
    </row>
    <row r="116">
      <c r="A116" s="35" t="n"/>
      <c r="B116" s="49" t="n"/>
      <c r="C116" s="27" t="n"/>
      <c r="D116" s="27" t="n"/>
      <c r="E116" s="25" t="n"/>
      <c r="F116" s="37" t="n"/>
      <c r="G116" s="7">
        <f>IF(E116="","",IF(F116="",E116,IFERROR(E116*VLOOKUP(F116,'Currency Converter'!$B$5:$C$16,2,FALSE),"")))</f>
        <v/>
      </c>
      <c r="H116" s="37" t="n"/>
      <c r="I116" s="27" t="n"/>
    </row>
    <row r="117">
      <c r="A117" s="35" t="n"/>
      <c r="B117" s="49" t="n"/>
      <c r="C117" s="27" t="n"/>
      <c r="D117" s="27" t="n"/>
      <c r="E117" s="25" t="n"/>
      <c r="F117" s="37" t="n"/>
      <c r="G117" s="7">
        <f>IF(E117="","",IF(F117="",E117,IFERROR(E117*VLOOKUP(F117,'Currency Converter'!$B$5:$C$16,2,FALSE),"")))</f>
        <v/>
      </c>
      <c r="H117" s="37" t="n"/>
      <c r="I117" s="27" t="n"/>
    </row>
    <row r="118">
      <c r="A118" s="35" t="n"/>
      <c r="B118" s="49" t="n"/>
      <c r="C118" s="27" t="n"/>
      <c r="D118" s="27" t="n"/>
      <c r="E118" s="25" t="n"/>
      <c r="F118" s="37" t="n"/>
      <c r="G118" s="7">
        <f>IF(E118="","",IF(F118="",E118,IFERROR(E118*VLOOKUP(F118,'Currency Converter'!$B$5:$C$16,2,FALSE),"")))</f>
        <v/>
      </c>
      <c r="H118" s="37" t="n"/>
      <c r="I118" s="27" t="n"/>
    </row>
    <row r="119">
      <c r="A119" s="35" t="n"/>
      <c r="B119" s="49" t="n"/>
      <c r="C119" s="27" t="n"/>
      <c r="D119" s="27" t="n"/>
      <c r="E119" s="25" t="n"/>
      <c r="F119" s="37" t="n"/>
      <c r="G119" s="7">
        <f>IF(E119="","",IF(F119="",E119,IFERROR(E119*VLOOKUP(F119,'Currency Converter'!$B$5:$C$16,2,FALSE),"")))</f>
        <v/>
      </c>
      <c r="H119" s="37" t="n"/>
      <c r="I119" s="27" t="n"/>
    </row>
    <row r="120">
      <c r="A120" s="35" t="n"/>
      <c r="B120" s="49" t="n"/>
      <c r="C120" s="27" t="n"/>
      <c r="D120" s="27" t="n"/>
      <c r="E120" s="25" t="n"/>
      <c r="F120" s="37" t="n"/>
      <c r="G120" s="7">
        <f>IF(E120="","",IF(F120="",E120,IFERROR(E120*VLOOKUP(F120,'Currency Converter'!$B$5:$C$16,2,FALSE),"")))</f>
        <v/>
      </c>
      <c r="H120" s="37" t="n"/>
      <c r="I120" s="27" t="n"/>
    </row>
    <row r="121">
      <c r="A121" s="35" t="n"/>
      <c r="B121" s="49" t="n"/>
      <c r="C121" s="27" t="n"/>
      <c r="D121" s="27" t="n"/>
      <c r="E121" s="25" t="n"/>
      <c r="F121" s="37" t="n"/>
      <c r="G121" s="7">
        <f>IF(E121="","",IF(F121="",E121,IFERROR(E121*VLOOKUP(F121,'Currency Converter'!$B$5:$C$16,2,FALSE),"")))</f>
        <v/>
      </c>
      <c r="H121" s="37" t="n"/>
      <c r="I121" s="27" t="n"/>
    </row>
    <row r="122">
      <c r="A122" s="35" t="n"/>
      <c r="B122" s="49" t="n"/>
      <c r="C122" s="27" t="n"/>
      <c r="D122" s="27" t="n"/>
      <c r="E122" s="25" t="n"/>
      <c r="F122" s="37" t="n"/>
      <c r="G122" s="7">
        <f>IF(E122="","",IF(F122="",E122,IFERROR(E122*VLOOKUP(F122,'Currency Converter'!$B$5:$C$16,2,FALSE),"")))</f>
        <v/>
      </c>
      <c r="H122" s="37" t="n"/>
      <c r="I122" s="27" t="n"/>
    </row>
    <row r="123">
      <c r="A123" s="35" t="n"/>
      <c r="B123" s="49" t="n"/>
      <c r="C123" s="27" t="n"/>
      <c r="D123" s="27" t="n"/>
      <c r="E123" s="25" t="n"/>
      <c r="F123" s="37" t="n"/>
      <c r="G123" s="7">
        <f>IF(E123="","",IF(F123="",E123,IFERROR(E123*VLOOKUP(F123,'Currency Converter'!$B$5:$C$16,2,FALSE),"")))</f>
        <v/>
      </c>
      <c r="H123" s="37" t="n"/>
      <c r="I123" s="27" t="n"/>
    </row>
    <row r="124">
      <c r="A124" s="35" t="n"/>
      <c r="B124" s="49" t="n"/>
      <c r="C124" s="27" t="n"/>
      <c r="D124" s="27" t="n"/>
      <c r="E124" s="25" t="n"/>
      <c r="F124" s="37" t="n"/>
      <c r="G124" s="7">
        <f>IF(E124="","",IF(F124="",E124,IFERROR(E124*VLOOKUP(F124,'Currency Converter'!$B$5:$C$16,2,FALSE),"")))</f>
        <v/>
      </c>
      <c r="H124" s="37" t="n"/>
      <c r="I124" s="27" t="n"/>
    </row>
    <row r="125">
      <c r="A125" s="35" t="n"/>
      <c r="B125" s="49" t="n"/>
      <c r="C125" s="27" t="n"/>
      <c r="D125" s="27" t="n"/>
      <c r="E125" s="25" t="n"/>
      <c r="F125" s="37" t="n"/>
      <c r="G125" s="7">
        <f>IF(E125="","",IF(F125="",E125,IFERROR(E125*VLOOKUP(F125,'Currency Converter'!$B$5:$C$16,2,FALSE),"")))</f>
        <v/>
      </c>
      <c r="H125" s="37" t="n"/>
      <c r="I125" s="27" t="n"/>
    </row>
    <row r="126">
      <c r="A126" s="35" t="n"/>
      <c r="B126" s="49" t="n"/>
      <c r="C126" s="27" t="n"/>
      <c r="D126" s="27" t="n"/>
      <c r="E126" s="25" t="n"/>
      <c r="F126" s="37" t="n"/>
      <c r="G126" s="7">
        <f>IF(E126="","",IF(F126="",E126,IFERROR(E126*VLOOKUP(F126,'Currency Converter'!$B$5:$C$16,2,FALSE),"")))</f>
        <v/>
      </c>
      <c r="H126" s="37" t="n"/>
      <c r="I126" s="27" t="n"/>
    </row>
    <row r="127">
      <c r="A127" s="35" t="n"/>
      <c r="B127" s="49" t="n"/>
      <c r="C127" s="27" t="n"/>
      <c r="D127" s="27" t="n"/>
      <c r="E127" s="25" t="n"/>
      <c r="F127" s="37" t="n"/>
      <c r="G127" s="7">
        <f>IF(E127="","",IF(F127="",E127,IFERROR(E127*VLOOKUP(F127,'Currency Converter'!$B$5:$C$16,2,FALSE),"")))</f>
        <v/>
      </c>
      <c r="H127" s="37" t="n"/>
      <c r="I127" s="27" t="n"/>
    </row>
    <row r="128">
      <c r="A128" s="35" t="n"/>
      <c r="B128" s="49" t="n"/>
      <c r="C128" s="27" t="n"/>
      <c r="D128" s="27" t="n"/>
      <c r="E128" s="25" t="n"/>
      <c r="F128" s="37" t="n"/>
      <c r="G128" s="7">
        <f>IF(E128="","",IF(F128="",E128,IFERROR(E128*VLOOKUP(F128,'Currency Converter'!$B$5:$C$16,2,FALSE),"")))</f>
        <v/>
      </c>
      <c r="H128" s="37" t="n"/>
      <c r="I128" s="27" t="n"/>
    </row>
    <row r="129">
      <c r="A129" s="35" t="n"/>
      <c r="B129" s="49" t="n"/>
      <c r="C129" s="27" t="n"/>
      <c r="D129" s="27" t="n"/>
      <c r="E129" s="25" t="n"/>
      <c r="F129" s="37" t="n"/>
      <c r="G129" s="7">
        <f>IF(E129="","",IF(F129="",E129,IFERROR(E129*VLOOKUP(F129,'Currency Converter'!$B$5:$C$16,2,FALSE),"")))</f>
        <v/>
      </c>
      <c r="H129" s="37" t="n"/>
      <c r="I129" s="27" t="n"/>
    </row>
    <row r="130">
      <c r="A130" s="35" t="n"/>
      <c r="B130" s="49" t="n"/>
      <c r="C130" s="27" t="n"/>
      <c r="D130" s="27" t="n"/>
      <c r="E130" s="25" t="n"/>
      <c r="F130" s="37" t="n"/>
      <c r="G130" s="7">
        <f>IF(E130="","",IF(F130="",E130,IFERROR(E130*VLOOKUP(F130,'Currency Converter'!$B$5:$C$16,2,FALSE),"")))</f>
        <v/>
      </c>
      <c r="H130" s="37" t="n"/>
      <c r="I130" s="27" t="n"/>
    </row>
    <row r="131">
      <c r="A131" s="35" t="n"/>
      <c r="B131" s="49" t="n"/>
      <c r="C131" s="27" t="n"/>
      <c r="D131" s="27" t="n"/>
      <c r="E131" s="25" t="n"/>
      <c r="F131" s="37" t="n"/>
      <c r="G131" s="7">
        <f>IF(E131="","",IF(F131="",E131,IFERROR(E131*VLOOKUP(F131,'Currency Converter'!$B$5:$C$16,2,FALSE),"")))</f>
        <v/>
      </c>
      <c r="H131" s="37" t="n"/>
      <c r="I131" s="27" t="n"/>
    </row>
    <row r="132">
      <c r="A132" s="35" t="n"/>
      <c r="B132" s="49" t="n"/>
      <c r="C132" s="27" t="n"/>
      <c r="D132" s="27" t="n"/>
      <c r="E132" s="25" t="n"/>
      <c r="F132" s="37" t="n"/>
      <c r="G132" s="7">
        <f>IF(E132="","",IF(F132="",E132,IFERROR(E132*VLOOKUP(F132,'Currency Converter'!$B$5:$C$16,2,FALSE),"")))</f>
        <v/>
      </c>
      <c r="H132" s="37" t="n"/>
      <c r="I132" s="27" t="n"/>
    </row>
    <row r="133">
      <c r="A133" s="35" t="n"/>
      <c r="B133" s="49" t="n"/>
      <c r="C133" s="27" t="n"/>
      <c r="D133" s="27" t="n"/>
      <c r="E133" s="25" t="n"/>
      <c r="F133" s="37" t="n"/>
      <c r="G133" s="7">
        <f>IF(E133="","",IF(F133="",E133,IFERROR(E133*VLOOKUP(F133,'Currency Converter'!$B$5:$C$16,2,FALSE),"")))</f>
        <v/>
      </c>
      <c r="H133" s="37" t="n"/>
      <c r="I133" s="27" t="n"/>
    </row>
    <row r="134">
      <c r="A134" s="35" t="n"/>
      <c r="B134" s="49" t="n"/>
      <c r="C134" s="27" t="n"/>
      <c r="D134" s="27" t="n"/>
      <c r="E134" s="25" t="n"/>
      <c r="F134" s="37" t="n"/>
      <c r="G134" s="7">
        <f>IF(E134="","",IF(F134="",E134,IFERROR(E134*VLOOKUP(F134,'Currency Converter'!$B$5:$C$16,2,FALSE),"")))</f>
        <v/>
      </c>
      <c r="H134" s="37" t="n"/>
      <c r="I134" s="27" t="n"/>
    </row>
    <row r="135">
      <c r="A135" s="35" t="n"/>
      <c r="B135" s="49" t="n"/>
      <c r="C135" s="27" t="n"/>
      <c r="D135" s="27" t="n"/>
      <c r="E135" s="25" t="n"/>
      <c r="F135" s="37" t="n"/>
      <c r="G135" s="7">
        <f>IF(E135="","",IF(F135="",E135,IFERROR(E135*VLOOKUP(F135,'Currency Converter'!$B$5:$C$16,2,FALSE),"")))</f>
        <v/>
      </c>
      <c r="H135" s="37" t="n"/>
      <c r="I135" s="27" t="n"/>
    </row>
    <row r="136">
      <c r="A136" s="35" t="n"/>
      <c r="B136" s="49" t="n"/>
      <c r="C136" s="27" t="n"/>
      <c r="D136" s="27" t="n"/>
      <c r="E136" s="25" t="n"/>
      <c r="F136" s="37" t="n"/>
      <c r="G136" s="7">
        <f>IF(E136="","",IF(F136="",E136,IFERROR(E136*VLOOKUP(F136,'Currency Converter'!$B$5:$C$16,2,FALSE),"")))</f>
        <v/>
      </c>
      <c r="H136" s="37" t="n"/>
      <c r="I136" s="27" t="n"/>
    </row>
    <row r="137">
      <c r="A137" s="35" t="n"/>
      <c r="B137" s="49" t="n"/>
      <c r="C137" s="27" t="n"/>
      <c r="D137" s="27" t="n"/>
      <c r="E137" s="25" t="n"/>
      <c r="F137" s="37" t="n"/>
      <c r="G137" s="7">
        <f>IF(E137="","",IF(F137="",E137,IFERROR(E137*VLOOKUP(F137,'Currency Converter'!$B$5:$C$16,2,FALSE),"")))</f>
        <v/>
      </c>
      <c r="H137" s="37" t="n"/>
      <c r="I137" s="27" t="n"/>
    </row>
    <row r="138">
      <c r="A138" s="35" t="n"/>
      <c r="B138" s="49" t="n"/>
      <c r="C138" s="27" t="n"/>
      <c r="D138" s="27" t="n"/>
      <c r="E138" s="25" t="n"/>
      <c r="F138" s="37" t="n"/>
      <c r="G138" s="7">
        <f>IF(E138="","",IF(F138="",E138,IFERROR(E138*VLOOKUP(F138,'Currency Converter'!$B$5:$C$16,2,FALSE),"")))</f>
        <v/>
      </c>
      <c r="H138" s="37" t="n"/>
      <c r="I138" s="27" t="n"/>
    </row>
    <row r="139">
      <c r="A139" s="35" t="n"/>
      <c r="B139" s="49" t="n"/>
      <c r="C139" s="27" t="n"/>
      <c r="D139" s="27" t="n"/>
      <c r="E139" s="25" t="n"/>
      <c r="F139" s="37" t="n"/>
      <c r="G139" s="7">
        <f>IF(E139="","",IF(F139="",E139,IFERROR(E139*VLOOKUP(F139,'Currency Converter'!$B$5:$C$16,2,FALSE),"")))</f>
        <v/>
      </c>
      <c r="H139" s="37" t="n"/>
      <c r="I139" s="27" t="n"/>
    </row>
    <row r="140">
      <c r="A140" s="35" t="n"/>
      <c r="B140" s="49" t="n"/>
      <c r="C140" s="27" t="n"/>
      <c r="D140" s="27" t="n"/>
      <c r="E140" s="25" t="n"/>
      <c r="F140" s="37" t="n"/>
      <c r="G140" s="7">
        <f>IF(E140="","",IF(F140="",E140,IFERROR(E140*VLOOKUP(F140,'Currency Converter'!$B$5:$C$16,2,FALSE),"")))</f>
        <v/>
      </c>
      <c r="H140" s="37" t="n"/>
      <c r="I140" s="27" t="n"/>
    </row>
    <row r="141">
      <c r="A141" s="35" t="n"/>
      <c r="B141" s="49" t="n"/>
      <c r="C141" s="27" t="n"/>
      <c r="D141" s="27" t="n"/>
      <c r="E141" s="25" t="n"/>
      <c r="F141" s="37" t="n"/>
      <c r="G141" s="7">
        <f>IF(E141="","",IF(F141="",E141,IFERROR(E141*VLOOKUP(F141,'Currency Converter'!$B$5:$C$16,2,FALSE),"")))</f>
        <v/>
      </c>
      <c r="H141" s="37" t="n"/>
      <c r="I141" s="27" t="n"/>
    </row>
    <row r="142">
      <c r="A142" s="35" t="n"/>
      <c r="B142" s="49" t="n"/>
      <c r="C142" s="27" t="n"/>
      <c r="D142" s="27" t="n"/>
      <c r="E142" s="25" t="n"/>
      <c r="F142" s="37" t="n"/>
      <c r="G142" s="7">
        <f>IF(E142="","",IF(F142="",E142,IFERROR(E142*VLOOKUP(F142,'Currency Converter'!$B$5:$C$16,2,FALSE),"")))</f>
        <v/>
      </c>
      <c r="H142" s="37" t="n"/>
      <c r="I142" s="27" t="n"/>
    </row>
    <row r="143">
      <c r="A143" s="35" t="n"/>
      <c r="B143" s="49" t="n"/>
      <c r="C143" s="27" t="n"/>
      <c r="D143" s="27" t="n"/>
      <c r="E143" s="25" t="n"/>
      <c r="F143" s="37" t="n"/>
      <c r="G143" s="7">
        <f>IF(E143="","",IF(F143="",E143,IFERROR(E143*VLOOKUP(F143,'Currency Converter'!$B$5:$C$16,2,FALSE),"")))</f>
        <v/>
      </c>
      <c r="H143" s="37" t="n"/>
      <c r="I143" s="27" t="n"/>
    </row>
    <row r="144">
      <c r="A144" s="35" t="n"/>
      <c r="B144" s="49" t="n"/>
      <c r="C144" s="27" t="n"/>
      <c r="D144" s="27" t="n"/>
      <c r="E144" s="25" t="n"/>
      <c r="F144" s="37" t="n"/>
      <c r="G144" s="7">
        <f>IF(E144="","",IF(F144="",E144,IFERROR(E144*VLOOKUP(F144,'Currency Converter'!$B$5:$C$16,2,FALSE),"")))</f>
        <v/>
      </c>
      <c r="H144" s="37" t="n"/>
      <c r="I144" s="27" t="n"/>
    </row>
    <row r="145">
      <c r="A145" s="35" t="n"/>
      <c r="B145" s="49" t="n"/>
      <c r="C145" s="27" t="n"/>
      <c r="D145" s="27" t="n"/>
      <c r="E145" s="25" t="n"/>
      <c r="F145" s="37" t="n"/>
      <c r="G145" s="7">
        <f>IF(E145="","",IF(F145="",E145,IFERROR(E145*VLOOKUP(F145,'Currency Converter'!$B$5:$C$16,2,FALSE),"")))</f>
        <v/>
      </c>
      <c r="H145" s="37" t="n"/>
      <c r="I145" s="27" t="n"/>
    </row>
    <row r="146">
      <c r="A146" s="35" t="n"/>
      <c r="B146" s="49" t="n"/>
      <c r="C146" s="27" t="n"/>
      <c r="D146" s="27" t="n"/>
      <c r="E146" s="25" t="n"/>
      <c r="F146" s="37" t="n"/>
      <c r="G146" s="7">
        <f>IF(E146="","",IF(F146="",E146,IFERROR(E146*VLOOKUP(F146,'Currency Converter'!$B$5:$C$16,2,FALSE),"")))</f>
        <v/>
      </c>
      <c r="H146" s="37" t="n"/>
      <c r="I146" s="27" t="n"/>
    </row>
    <row r="147">
      <c r="A147" s="35" t="n"/>
      <c r="B147" s="49" t="n"/>
      <c r="C147" s="27" t="n"/>
      <c r="D147" s="27" t="n"/>
      <c r="E147" s="25" t="n"/>
      <c r="F147" s="37" t="n"/>
      <c r="G147" s="7">
        <f>IF(E147="","",IF(F147="",E147,IFERROR(E147*VLOOKUP(F147,'Currency Converter'!$B$5:$C$16,2,FALSE),"")))</f>
        <v/>
      </c>
      <c r="H147" s="37" t="n"/>
      <c r="I147" s="27" t="n"/>
    </row>
    <row r="148">
      <c r="A148" s="35" t="n"/>
      <c r="B148" s="49" t="n"/>
      <c r="C148" s="27" t="n"/>
      <c r="D148" s="27" t="n"/>
      <c r="E148" s="25" t="n"/>
      <c r="F148" s="37" t="n"/>
      <c r="G148" s="7">
        <f>IF(E148="","",IF(F148="",E148,IFERROR(E148*VLOOKUP(F148,'Currency Converter'!$B$5:$C$16,2,FALSE),"")))</f>
        <v/>
      </c>
      <c r="H148" s="37" t="n"/>
      <c r="I148" s="27" t="n"/>
    </row>
    <row r="149">
      <c r="A149" s="35" t="n"/>
      <c r="B149" s="49" t="n"/>
      <c r="C149" s="27" t="n"/>
      <c r="D149" s="27" t="n"/>
      <c r="E149" s="25" t="n"/>
      <c r="F149" s="37" t="n"/>
      <c r="G149" s="7">
        <f>IF(E149="","",IF(F149="",E149,IFERROR(E149*VLOOKUP(F149,'Currency Converter'!$B$5:$C$16,2,FALSE),"")))</f>
        <v/>
      </c>
      <c r="H149" s="37" t="n"/>
      <c r="I149" s="27" t="n"/>
    </row>
    <row r="150">
      <c r="A150" s="35" t="n"/>
      <c r="B150" s="49" t="n"/>
      <c r="C150" s="27" t="n"/>
      <c r="D150" s="27" t="n"/>
      <c r="E150" s="25" t="n"/>
      <c r="F150" s="37" t="n"/>
      <c r="G150" s="7">
        <f>IF(E150="","",IF(F150="",E150,IFERROR(E150*VLOOKUP(F150,'Currency Converter'!$B$5:$C$16,2,FALSE),"")))</f>
        <v/>
      </c>
      <c r="H150" s="37" t="n"/>
      <c r="I150" s="27" t="n"/>
    </row>
    <row r="151">
      <c r="A151" s="35" t="n"/>
      <c r="B151" s="49" t="n"/>
      <c r="C151" s="27" t="n"/>
      <c r="D151" s="27" t="n"/>
      <c r="E151" s="25" t="n"/>
      <c r="F151" s="37" t="n"/>
      <c r="G151" s="7">
        <f>IF(E151="","",IF(F151="",E151,IFERROR(E151*VLOOKUP(F151,'Currency Converter'!$B$5:$C$16,2,FALSE),"")))</f>
        <v/>
      </c>
      <c r="H151" s="37" t="n"/>
      <c r="I151" s="27" t="n"/>
    </row>
    <row r="152">
      <c r="A152" s="35" t="n"/>
      <c r="B152" s="49" t="n"/>
      <c r="C152" s="27" t="n"/>
      <c r="D152" s="27" t="n"/>
      <c r="E152" s="25" t="n"/>
      <c r="F152" s="37" t="n"/>
      <c r="G152" s="7">
        <f>IF(E152="","",IF(F152="",E152,IFERROR(E152*VLOOKUP(F152,'Currency Converter'!$B$5:$C$16,2,FALSE),"")))</f>
        <v/>
      </c>
      <c r="H152" s="37" t="n"/>
      <c r="I152" s="27" t="n"/>
    </row>
    <row r="153">
      <c r="A153" s="35" t="n"/>
      <c r="B153" s="49" t="n"/>
      <c r="C153" s="27" t="n"/>
      <c r="D153" s="27" t="n"/>
      <c r="E153" s="25" t="n"/>
      <c r="F153" s="37" t="n"/>
      <c r="G153" s="7">
        <f>IF(E153="","",IF(F153="",E153,IFERROR(E153*VLOOKUP(F153,'Currency Converter'!$B$5:$C$16,2,FALSE),"")))</f>
        <v/>
      </c>
      <c r="H153" s="37" t="n"/>
      <c r="I153" s="27" t="n"/>
    </row>
    <row r="154">
      <c r="A154" s="35" t="n"/>
      <c r="B154" s="49" t="n"/>
      <c r="C154" s="27" t="n"/>
      <c r="D154" s="27" t="n"/>
      <c r="E154" s="25" t="n"/>
      <c r="F154" s="37" t="n"/>
      <c r="G154" s="7">
        <f>IF(E154="","",IF(F154="",E154,IFERROR(E154*VLOOKUP(F154,'Currency Converter'!$B$5:$C$16,2,FALSE),"")))</f>
        <v/>
      </c>
      <c r="H154" s="37" t="n"/>
      <c r="I154" s="27" t="n"/>
    </row>
    <row r="156" ht="20" customHeight="1">
      <c r="A156" s="3" t="inlineStr">
        <is>
          <t>📊 SPENDING BY CATEGORY</t>
        </is>
      </c>
    </row>
    <row r="157">
      <c r="A157" s="23" t="inlineStr">
        <is>
          <t>Category</t>
        </is>
      </c>
      <c r="B157" s="69" t="n"/>
      <c r="C157" s="23" t="inlineStr">
        <is>
          <t>Total Spent</t>
        </is>
      </c>
    </row>
    <row r="158">
      <c r="A158" s="4" t="inlineStr">
        <is>
          <t>Flights</t>
        </is>
      </c>
      <c r="B158" s="70" t="n"/>
      <c r="C158" s="7">
        <f>SUMIF($C$5:$C$154,A158,$G$5:$G$154)</f>
        <v/>
      </c>
    </row>
    <row r="159">
      <c r="A159" s="4" t="inlineStr">
        <is>
          <t>Accommodation</t>
        </is>
      </c>
      <c r="B159" s="70" t="n"/>
      <c r="C159" s="7">
        <f>SUMIF($C$5:$C$154,A159,$G$5:$G$154)</f>
        <v/>
      </c>
    </row>
    <row r="160">
      <c r="A160" s="4" t="inlineStr">
        <is>
          <t>Food &amp; Dining</t>
        </is>
      </c>
      <c r="B160" s="70" t="n"/>
      <c r="C160" s="7">
        <f>SUMIF($C$5:$C$154,A160,$G$5:$G$154)</f>
        <v/>
      </c>
    </row>
    <row r="161">
      <c r="A161" s="4" t="inlineStr">
        <is>
          <t>Local Transport</t>
        </is>
      </c>
      <c r="B161" s="70" t="n"/>
      <c r="C161" s="7">
        <f>SUMIF($C$5:$C$154,A161,$G$5:$G$154)</f>
        <v/>
      </c>
    </row>
    <row r="162">
      <c r="A162" s="4" t="inlineStr">
        <is>
          <t>Activities &amp; Tours</t>
        </is>
      </c>
      <c r="B162" s="70" t="n"/>
      <c r="C162" s="7">
        <f>SUMIF($C$5:$C$154,A162,$G$5:$G$154)</f>
        <v/>
      </c>
    </row>
    <row r="163">
      <c r="A163" s="4" t="inlineStr">
        <is>
          <t>Shopping</t>
        </is>
      </c>
      <c r="B163" s="70" t="n"/>
      <c r="C163" s="7">
        <f>SUMIF($C$5:$C$154,A163,$G$5:$G$154)</f>
        <v/>
      </c>
    </row>
    <row r="164">
      <c r="A164" s="4" t="inlineStr">
        <is>
          <t>Travel Insurance</t>
        </is>
      </c>
      <c r="B164" s="70" t="n"/>
      <c r="C164" s="7">
        <f>SUMIF($C$5:$C$154,A164,$G$5:$G$154)</f>
        <v/>
      </c>
    </row>
    <row r="165">
      <c r="A165" s="4" t="inlineStr">
        <is>
          <t>Visas &amp; Fees</t>
        </is>
      </c>
      <c r="B165" s="70" t="n"/>
      <c r="C165" s="7">
        <f>SUMIF($C$5:$C$154,A165,$G$5:$G$154)</f>
        <v/>
      </c>
    </row>
    <row r="166">
      <c r="A166" s="4" t="inlineStr">
        <is>
          <t>Souvenirs</t>
        </is>
      </c>
      <c r="B166" s="70" t="n"/>
      <c r="C166" s="7">
        <f>SUMIF($C$5:$C$154,A166,$G$5:$G$154)</f>
        <v/>
      </c>
    </row>
    <row r="167">
      <c r="A167" s="4" t="inlineStr">
        <is>
          <t>Miscellaneous</t>
        </is>
      </c>
      <c r="B167" s="70" t="n"/>
      <c r="C167" s="7">
        <f>SUMIF($C$5:$C$154,A167,$G$5:$G$154)</f>
        <v/>
      </c>
    </row>
    <row r="168">
      <c r="A168" s="28" t="inlineStr">
        <is>
          <t>TOTAL</t>
        </is>
      </c>
      <c r="B168" s="71" t="n"/>
      <c r="C168" s="29">
        <f>SUM(C158:C167)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autoFilter ref="A4:I154"/>
  <mergeCells count="16">
    <mergeCell ref="A163:B163"/>
    <mergeCell ref="A168:B168"/>
    <mergeCell ref="A2:L2"/>
    <mergeCell ref="A157:B157"/>
    <mergeCell ref="A156:I156"/>
    <mergeCell ref="A165:B165"/>
    <mergeCell ref="A166:B166"/>
    <mergeCell ref="A162:B162"/>
    <mergeCell ref="A1:L1"/>
    <mergeCell ref="A160:B160"/>
    <mergeCell ref="A161:B161"/>
    <mergeCell ref="A164:B164"/>
    <mergeCell ref="K4:L4"/>
    <mergeCell ref="A158:B158"/>
    <mergeCell ref="A159:B159"/>
    <mergeCell ref="A167:B167"/>
  </mergeCells>
  <dataValidations count="3">
    <dataValidation sqref="C5:C154" showDropDown="0" showInputMessage="0" showErrorMessage="0" allowBlank="1" type="list">
      <formula1>"Flights,Accommodation,Food &amp; Dining,Local Transport,Activities &amp; Tours,Shopping,Travel Insurance,Visas &amp; Fees,Souvenirs,Miscellaneous"</formula1>
    </dataValidation>
    <dataValidation sqref="H5:H154" showDropDown="0" showInputMessage="0" showErrorMessage="0" allowBlank="1" type="list">
      <formula1>"Cash,Card,Mobile App,Travel Money Card,Other"</formula1>
    </dataValidation>
    <dataValidation sqref="F5:F154" showDropDown="0" showInputMessage="0" showErrorMessage="0" allowBlank="1" type="list">
      <formula1>='Currency Converter'!$B$5:$B$16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E76F51"/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5" customWidth="1" min="4" max="4"/>
    <col width="14" customWidth="1" min="5" max="5"/>
    <col width="38" customWidth="1" min="6" max="6"/>
  </cols>
  <sheetData>
    <row r="1" ht="34" customHeight="1">
      <c r="A1" s="1" t="inlineStr">
        <is>
          <t>💁 TIPPING GUIDE</t>
        </is>
      </c>
    </row>
    <row r="2" ht="18" customHeight="1">
      <c r="A2" s="2" t="inlineStr">
        <is>
          <t>Country-by-country customs — never guess at the table again</t>
        </is>
      </c>
    </row>
    <row r="3" ht="6" customHeight="1"/>
    <row r="4" ht="22" customHeight="1">
      <c r="A4" s="17" t="inlineStr">
        <is>
          <t>Country / Region</t>
        </is>
      </c>
      <c r="B4" s="17" t="inlineStr">
        <is>
          <t>Restaurants</t>
        </is>
      </c>
      <c r="C4" s="17" t="inlineStr">
        <is>
          <t>Taxis</t>
        </is>
      </c>
      <c r="D4" s="17" t="inlineStr">
        <is>
          <t>Hotels</t>
        </is>
      </c>
      <c r="E4" s="17" t="inlineStr">
        <is>
          <t>Tour Guides</t>
        </is>
      </c>
      <c r="F4" s="17" t="inlineStr">
        <is>
          <t>Notes</t>
        </is>
      </c>
    </row>
    <row r="5">
      <c r="A5" s="72" t="inlineStr">
        <is>
          <t>🇺🇸 USA</t>
        </is>
      </c>
      <c r="B5" s="37" t="inlineStr">
        <is>
          <t>15–25%</t>
        </is>
      </c>
      <c r="C5" s="37" t="inlineStr">
        <is>
          <t>10–15%</t>
        </is>
      </c>
      <c r="D5" s="37" t="inlineStr">
        <is>
          <t>$1–5 / bag</t>
        </is>
      </c>
      <c r="E5" s="37" t="inlineStr">
        <is>
          <t>10–20%</t>
        </is>
      </c>
      <c r="F5" s="27" t="inlineStr">
        <is>
          <t>Tipping is expected almost everywhere</t>
        </is>
      </c>
    </row>
    <row r="6">
      <c r="A6" s="72" t="inlineStr">
        <is>
          <t>🇨🇦 Canada</t>
        </is>
      </c>
      <c r="B6" s="37" t="inlineStr">
        <is>
          <t>15–20%</t>
        </is>
      </c>
      <c r="C6" s="37" t="inlineStr">
        <is>
          <t>10–15%</t>
        </is>
      </c>
      <c r="D6" s="37" t="inlineStr">
        <is>
          <t>$1–5 / bag</t>
        </is>
      </c>
      <c r="E6" s="37" t="inlineStr">
        <is>
          <t>10–20%</t>
        </is>
      </c>
      <c r="F6" s="27" t="inlineStr">
        <is>
          <t>Similar to the US</t>
        </is>
      </c>
    </row>
    <row r="7">
      <c r="A7" s="72" t="inlineStr">
        <is>
          <t>🇲🇽 Mexico</t>
        </is>
      </c>
      <c r="B7" s="37" t="inlineStr">
        <is>
          <t>10–15%</t>
        </is>
      </c>
      <c r="C7" s="37" t="inlineStr">
        <is>
          <t>Round up</t>
        </is>
      </c>
      <c r="D7" s="37" t="inlineStr">
        <is>
          <t>20–50 MXN</t>
        </is>
      </c>
      <c r="E7" s="37" t="inlineStr">
        <is>
          <t>10–15%</t>
        </is>
      </c>
      <c r="F7" s="27" t="inlineStr">
        <is>
          <t>Cash preferred, in pesos</t>
        </is>
      </c>
    </row>
    <row r="8">
      <c r="A8" s="72" t="inlineStr">
        <is>
          <t>🇬🇧 United Kingdom</t>
        </is>
      </c>
      <c r="B8" s="37" t="inlineStr">
        <is>
          <t>10–12.5% if no service</t>
        </is>
      </c>
      <c r="C8" s="37" t="inlineStr">
        <is>
          <t>Round up</t>
        </is>
      </c>
      <c r="D8" s="37" t="inlineStr">
        <is>
          <t>£1–2 / bag</t>
        </is>
      </c>
      <c r="E8" s="37" t="inlineStr">
        <is>
          <t>10%</t>
        </is>
      </c>
      <c r="F8" s="27" t="inlineStr">
        <is>
          <t>Check bill — service often included</t>
        </is>
      </c>
    </row>
    <row r="9">
      <c r="A9" s="72" t="inlineStr">
        <is>
          <t>🇫🇷 France</t>
        </is>
      </c>
      <c r="B9" s="37" t="inlineStr">
        <is>
          <t>Round up / 5%</t>
        </is>
      </c>
      <c r="C9" s="37" t="inlineStr">
        <is>
          <t>Round up</t>
        </is>
      </c>
      <c r="D9" s="37" t="inlineStr">
        <is>
          <t>€1–2 / bag</t>
        </is>
      </c>
      <c r="E9" s="37" t="inlineStr">
        <is>
          <t>10–15%</t>
        </is>
      </c>
      <c r="F9" s="27" t="inlineStr">
        <is>
          <t>Service compris — small tips welcome</t>
        </is>
      </c>
    </row>
    <row r="10">
      <c r="A10" s="72" t="inlineStr">
        <is>
          <t>🇮🇹 Italy</t>
        </is>
      </c>
      <c r="B10" s="37" t="inlineStr">
        <is>
          <t>5–10% if no servizio</t>
        </is>
      </c>
      <c r="C10" s="37" t="inlineStr">
        <is>
          <t>Round up</t>
        </is>
      </c>
      <c r="D10" s="37" t="inlineStr">
        <is>
          <t>€1–2 / bag</t>
        </is>
      </c>
      <c r="E10" s="37" t="inlineStr">
        <is>
          <t>10%</t>
        </is>
      </c>
      <c r="F10" s="27" t="inlineStr">
        <is>
          <t>Coperto charge is not a tip</t>
        </is>
      </c>
    </row>
    <row r="11">
      <c r="A11" s="72" t="inlineStr">
        <is>
          <t>🇪🇸 Spain</t>
        </is>
      </c>
      <c r="B11" s="37" t="inlineStr">
        <is>
          <t>Round up</t>
        </is>
      </c>
      <c r="C11" s="37" t="inlineStr">
        <is>
          <t>Round up</t>
        </is>
      </c>
      <c r="D11" s="37" t="inlineStr">
        <is>
          <t>€1–2 / bag</t>
        </is>
      </c>
      <c r="E11" s="37" t="inlineStr">
        <is>
          <t>€5–10</t>
        </is>
      </c>
      <c r="F11" s="27" t="inlineStr">
        <is>
          <t>Tipping is modest and casual</t>
        </is>
      </c>
    </row>
    <row r="12">
      <c r="A12" s="72" t="inlineStr">
        <is>
          <t>🇩🇪 Germany</t>
        </is>
      </c>
      <c r="B12" s="37" t="inlineStr">
        <is>
          <t>5–10%, round up</t>
        </is>
      </c>
      <c r="C12" s="37" t="inlineStr">
        <is>
          <t>Round up</t>
        </is>
      </c>
      <c r="D12" s="37" t="inlineStr">
        <is>
          <t>€1–3 / bag</t>
        </is>
      </c>
      <c r="E12" s="37" t="inlineStr">
        <is>
          <t>€5–10</t>
        </is>
      </c>
      <c r="F12" s="27" t="inlineStr">
        <is>
          <t>Tell the server the total incl. tip</t>
        </is>
      </c>
    </row>
    <row r="13">
      <c r="A13" s="72" t="inlineStr">
        <is>
          <t>🇯🇵 Japan</t>
        </is>
      </c>
      <c r="B13" s="37" t="inlineStr">
        <is>
          <t>No tip</t>
        </is>
      </c>
      <c r="C13" s="37" t="inlineStr">
        <is>
          <t>No tip</t>
        </is>
      </c>
      <c r="D13" s="37" t="inlineStr">
        <is>
          <t>No tip</t>
        </is>
      </c>
      <c r="E13" s="37" t="inlineStr">
        <is>
          <t>No tip</t>
        </is>
      </c>
      <c r="F13" s="27" t="inlineStr">
        <is>
          <t>Tipping can cause confusion — a bow works</t>
        </is>
      </c>
    </row>
    <row r="14">
      <c r="A14" s="72" t="inlineStr">
        <is>
          <t>🇨🇳 China</t>
        </is>
      </c>
      <c r="B14" s="37" t="inlineStr">
        <is>
          <t>No tip</t>
        </is>
      </c>
      <c r="C14" s="37" t="inlineStr">
        <is>
          <t>No tip</t>
        </is>
      </c>
      <c r="D14" s="37" t="inlineStr">
        <is>
          <t>Sometimes expected</t>
        </is>
      </c>
      <c r="E14" s="37" t="inlineStr">
        <is>
          <t>Small gift</t>
        </is>
      </c>
      <c r="F14" s="27" t="inlineStr">
        <is>
          <t>Not customary in local spots</t>
        </is>
      </c>
    </row>
    <row r="15">
      <c r="A15" s="72" t="inlineStr">
        <is>
          <t>🇹🇭 Thailand</t>
        </is>
      </c>
      <c r="B15" s="37" t="inlineStr">
        <is>
          <t>10% at nicer spots</t>
        </is>
      </c>
      <c r="C15" s="37" t="inlineStr">
        <is>
          <t>Round up</t>
        </is>
      </c>
      <c r="D15" s="37" t="inlineStr">
        <is>
          <t>20–50 THB</t>
        </is>
      </c>
      <c r="E15" s="37" t="inlineStr">
        <is>
          <t>100–300 THB</t>
        </is>
      </c>
      <c r="F15" s="27" t="inlineStr">
        <is>
          <t>Small tips appreciated</t>
        </is>
      </c>
    </row>
    <row r="16">
      <c r="A16" s="72" t="inlineStr">
        <is>
          <t>🇦🇺 Australia</t>
        </is>
      </c>
      <c r="B16" s="37" t="inlineStr">
        <is>
          <t>10% optional</t>
        </is>
      </c>
      <c r="C16" s="37" t="inlineStr">
        <is>
          <t>Round up</t>
        </is>
      </c>
      <c r="D16" s="37" t="inlineStr">
        <is>
          <t>Optional</t>
        </is>
      </c>
      <c r="E16" s="37" t="inlineStr">
        <is>
          <t>10% optional</t>
        </is>
      </c>
      <c r="F16" s="27" t="inlineStr">
        <is>
          <t>Not required, always appreciated</t>
        </is>
      </c>
    </row>
    <row r="17">
      <c r="A17" s="27" t="n"/>
      <c r="B17" s="37" t="n"/>
      <c r="C17" s="37" t="n"/>
      <c r="D17" s="37" t="n"/>
      <c r="E17" s="37" t="n"/>
      <c r="F17" s="27" t="n"/>
    </row>
    <row r="18">
      <c r="A18" s="27" t="n"/>
      <c r="B18" s="37" t="n"/>
      <c r="C18" s="37" t="n"/>
      <c r="D18" s="37" t="n"/>
      <c r="E18" s="37" t="n"/>
      <c r="F18" s="27" t="n"/>
    </row>
    <row r="19">
      <c r="A19" s="27" t="n"/>
      <c r="B19" s="37" t="n"/>
      <c r="C19" s="37" t="n"/>
      <c r="D19" s="37" t="n"/>
      <c r="E19" s="37" t="n"/>
      <c r="F19" s="27" t="n"/>
    </row>
    <row r="20">
      <c r="A20" s="27" t="n"/>
      <c r="B20" s="37" t="n"/>
      <c r="C20" s="37" t="n"/>
      <c r="D20" s="37" t="n"/>
      <c r="E20" s="37" t="n"/>
      <c r="F20" s="27" t="n"/>
    </row>
    <row r="22">
      <c r="A22" s="33" t="inlineStr">
        <is>
          <t>Customs change fast — double-check for your exact destination. Blank rows below are for your own research.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E76F51"/>
    <outlinePr summaryBelow="1" summaryRight="1"/>
    <pageSetUpPr fitToPage="1"/>
  </sheetPr>
  <dimension ref="A1:C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8" customWidth="1" min="3" max="3"/>
  </cols>
  <sheetData>
    <row r="1" ht="34" customHeight="1">
      <c r="A1" s="1" t="inlineStr">
        <is>
          <t>📉 TRIP COST SUMMARY</t>
        </is>
      </c>
    </row>
    <row r="2" ht="18" customHeight="1">
      <c r="A2" s="2" t="inlineStr">
        <is>
          <t>Every total in the planner, pulled into one dashboard</t>
        </is>
      </c>
    </row>
    <row r="3" ht="6" customHeight="1"/>
    <row r="4" ht="20" customHeight="1">
      <c r="A4" s="3" t="inlineStr">
        <is>
          <t>💰 COST BREAKDOWN</t>
        </is>
      </c>
    </row>
    <row r="5">
      <c r="A5" s="4" t="inlineStr">
        <is>
          <t>Estimated budget (Budget Tracker)</t>
        </is>
      </c>
      <c r="B5" s="7">
        <f>'Budget Tracker'!B15</f>
        <v/>
      </c>
      <c r="C5" s="11" t="inlineStr">
        <is>
          <t>What you plan to spend</t>
        </is>
      </c>
    </row>
    <row r="6">
      <c r="A6" s="4" t="inlineStr">
        <is>
          <t>Actual — budget sheet (Budget Tracker)</t>
        </is>
      </c>
      <c r="B6" s="7">
        <f>'Budget Tracker'!C15</f>
        <v/>
      </c>
      <c r="C6" s="11" t="inlineStr">
        <is>
          <t>Per-category actuals you typed</t>
        </is>
      </c>
    </row>
    <row r="7">
      <c r="A7" s="4" t="inlineStr">
        <is>
          <t>Logged expenses (Expense Log)</t>
        </is>
      </c>
      <c r="B7" s="7">
        <f>'Expense Log'!L5</f>
        <v/>
      </c>
      <c r="C7" s="11" t="inlineStr">
        <is>
          <t>Every line of the daily expense log</t>
        </is>
      </c>
    </row>
    <row r="8">
      <c r="A8" s="4" t="inlineStr">
        <is>
          <t>Transportation booked (Transportation Log)</t>
        </is>
      </c>
      <c r="B8" s="7">
        <f>'Transportation Log'!N5</f>
        <v/>
      </c>
      <c r="C8" s="11" t="inlineStr">
        <is>
          <t>Flights, trains, taxis…</t>
        </is>
      </c>
    </row>
    <row r="9">
      <c r="A9" s="4" t="inlineStr">
        <is>
          <t>Accommodation booked (Accommodation)</t>
        </is>
      </c>
      <c r="B9" s="7">
        <f>'Accommodation'!F6</f>
        <v/>
      </c>
      <c r="C9" s="11" t="inlineStr">
        <is>
          <t>Nights × rate for all stays</t>
        </is>
      </c>
    </row>
    <row r="10">
      <c r="A10" s="4" t="inlineStr">
        <is>
          <t>Itinerary activities (Daily Itinerary)</t>
        </is>
      </c>
      <c r="B10" s="7">
        <f>'Daily Itinerary'!L5</f>
        <v/>
      </c>
      <c r="C10" s="11" t="inlineStr">
        <is>
          <t>Costs planned in the itinerary</t>
        </is>
      </c>
    </row>
    <row r="11">
      <c r="A11" s="4" t="inlineStr">
        <is>
          <t>Souvenirs &amp; gifts actual (Souvenir List)</t>
        </is>
      </c>
      <c r="B11" s="7">
        <f>'Souvenir List'!E25</f>
        <v/>
      </c>
      <c r="C11" s="11" t="inlineStr">
        <is>
          <t>What you actually spent on gifts</t>
        </is>
      </c>
    </row>
    <row r="13" ht="20" customHeight="1">
      <c r="A13" s="3" t="inlineStr">
        <is>
          <t>🩺 BUDGET HEALTH</t>
        </is>
      </c>
    </row>
    <row r="14">
      <c r="A14" s="4" t="inlineStr">
        <is>
          <t>Total Estimated</t>
        </is>
      </c>
      <c r="B14" s="7">
        <f>B5</f>
        <v/>
      </c>
    </row>
    <row r="15">
      <c r="A15" s="4" t="inlineStr">
        <is>
          <t>Total Actual (budget sheet)</t>
        </is>
      </c>
      <c r="B15" s="7">
        <f>B6</f>
        <v/>
      </c>
    </row>
    <row r="16">
      <c r="A16" s="4" t="inlineStr">
        <is>
          <t>Remaining vs Budget</t>
        </is>
      </c>
      <c r="B16" s="7">
        <f>IF(B5=0,"",B5-B6)</f>
        <v/>
      </c>
    </row>
    <row r="17">
      <c r="A17" s="4" t="inlineStr">
        <is>
          <t>% of Budget Used</t>
        </is>
      </c>
      <c r="B17" s="26">
        <f>IF(B5=0,"",B6/B5)</f>
        <v/>
      </c>
    </row>
    <row r="18">
      <c r="A18" s="4" t="inlineStr">
        <is>
          <t>Status</t>
        </is>
      </c>
      <c r="B18" s="5">
        <f>IF(B5=0,"Enter your budget to begin",IF(B6&gt;B5,"⚠ Over budget by "&amp;TEXT(B6-B5,"#,##0.00"),"✓ On track — "&amp;TEXT(B5-B6,"#,##0.00")&amp;" to spare"))</f>
        <v/>
      </c>
    </row>
    <row r="20">
      <c r="A20" s="33" t="inlineStr">
        <is>
          <t>Log day-to-day spending in the Expense Log — totals flow into this page automatically.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5">
    <mergeCell ref="A13:C13"/>
    <mergeCell ref="A1:C1"/>
    <mergeCell ref="A4:C4"/>
    <mergeCell ref="A20:C20"/>
    <mergeCell ref="A2:C2"/>
  </mergeCells>
  <conditionalFormatting sqref="B17">
    <cfRule type="dataBar" priority="1">
      <dataBar showValue="1">
        <cfvo type="num" val="0"/>
        <cfvo type="num" val="1"/>
        <color rgb="002A9D8F"/>
      </dataBar>
    </cfRule>
  </conditionalFormatting>
  <pageMargins left="0.75" right="0.75" top="1" bottom="1" header="0.5" footer="0.5"/>
  <pageSetup orientation="portrait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7FB069"/>
    <outlinePr summaryBelow="1" summaryRight="1"/>
    <pageSetUpPr fitToPage="1"/>
  </sheetPr>
  <dimension ref="A1:M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6" customWidth="1" min="3" max="3"/>
    <col width="9" customWidth="1" min="4" max="4"/>
    <col width="13" customWidth="1" min="5" max="5"/>
    <col width="13" customWidth="1" min="6" max="6"/>
    <col width="10" customWidth="1" min="7" max="7"/>
    <col width="10" customWidth="1" min="8" max="8"/>
    <col width="9" customWidth="1" min="9" max="9"/>
    <col width="26" customWidth="1" min="10" max="10"/>
    <col width="20" customWidth="1" min="12" max="12"/>
    <col width="15" customWidth="1" min="13" max="13"/>
  </cols>
  <sheetData>
    <row r="1" ht="34" customHeight="1">
      <c r="A1" s="1" t="inlineStr">
        <is>
          <t>🍽️ RESTAURANT WISHLIST</t>
        </is>
      </c>
    </row>
    <row r="2" ht="18" customHeight="1">
      <c r="A2" s="2" t="inlineStr">
        <is>
          <t>Save every recommendation — book, visit, rate</t>
        </is>
      </c>
    </row>
    <row r="3" ht="6" customHeight="1"/>
    <row r="4" ht="20" customHeight="1">
      <c r="A4" s="17" t="inlineStr">
        <is>
          <t>Restaurant</t>
        </is>
      </c>
      <c r="B4" s="17" t="inlineStr">
        <is>
          <t>Cuisine</t>
        </is>
      </c>
      <c r="C4" s="17" t="inlineStr">
        <is>
          <t>Address / Area</t>
        </is>
      </c>
      <c r="D4" s="17" t="inlineStr">
        <is>
          <t>Price</t>
        </is>
      </c>
      <c r="E4" s="17" t="inlineStr">
        <is>
          <t>Reservation</t>
        </is>
      </c>
      <c r="F4" s="17" t="inlineStr">
        <is>
          <t>Res. Date</t>
        </is>
      </c>
      <c r="G4" s="17" t="inlineStr">
        <is>
          <t>Priority</t>
        </is>
      </c>
      <c r="H4" s="17" t="inlineStr">
        <is>
          <t>Visited?</t>
        </is>
      </c>
      <c r="I4" s="17" t="inlineStr">
        <is>
          <t>Rating</t>
        </is>
      </c>
      <c r="J4" s="17" t="inlineStr">
        <is>
          <t>Notes</t>
        </is>
      </c>
      <c r="L4" s="23" t="inlineStr">
        <is>
          <t>📊 SUMMARY</t>
        </is>
      </c>
    </row>
    <row r="5">
      <c r="A5" s="27" t="n"/>
      <c r="B5" s="27" t="n"/>
      <c r="C5" s="27" t="n"/>
      <c r="D5" s="37" t="n"/>
      <c r="E5" s="37" t="n"/>
      <c r="F5" s="35" t="n"/>
      <c r="G5" s="37" t="n"/>
      <c r="H5" s="37" t="n"/>
      <c r="I5" s="37" t="n"/>
      <c r="J5" s="27" t="n"/>
      <c r="L5" s="4" t="inlineStr">
        <is>
          <t>Reservations Booked</t>
        </is>
      </c>
      <c r="M5" s="22">
        <f>COUNTIF(E5:E34,"Booked")</f>
        <v/>
      </c>
    </row>
    <row r="6">
      <c r="A6" s="27" t="n"/>
      <c r="B6" s="27" t="n"/>
      <c r="C6" s="27" t="n"/>
      <c r="D6" s="37" t="n"/>
      <c r="E6" s="37" t="n"/>
      <c r="F6" s="35" t="n"/>
      <c r="G6" s="37" t="n"/>
      <c r="H6" s="37" t="n"/>
      <c r="I6" s="37" t="n"/>
      <c r="J6" s="27" t="n"/>
      <c r="L6" s="4" t="inlineStr">
        <is>
          <t>Places Visited</t>
        </is>
      </c>
      <c r="M6" s="22">
        <f>COUNTIF(H5:H34,"✓")</f>
        <v/>
      </c>
    </row>
    <row r="7">
      <c r="A7" s="27" t="n"/>
      <c r="B7" s="27" t="n"/>
      <c r="C7" s="27" t="n"/>
      <c r="D7" s="37" t="n"/>
      <c r="E7" s="37" t="n"/>
      <c r="F7" s="35" t="n"/>
      <c r="G7" s="37" t="n"/>
      <c r="H7" s="37" t="n"/>
      <c r="I7" s="37" t="n"/>
      <c r="J7" s="27" t="n"/>
      <c r="L7" s="4" t="inlineStr">
        <is>
          <t>Avg Rating</t>
        </is>
      </c>
      <c r="M7" s="51">
        <f>IFERROR(ROUND(AVERAGE(I5:I34),1),"—")</f>
        <v/>
      </c>
    </row>
    <row r="8">
      <c r="A8" s="27" t="n"/>
      <c r="B8" s="27" t="n"/>
      <c r="C8" s="27" t="n"/>
      <c r="D8" s="37" t="n"/>
      <c r="E8" s="37" t="n"/>
      <c r="F8" s="35" t="n"/>
      <c r="G8" s="37" t="n"/>
      <c r="H8" s="37" t="n"/>
      <c r="I8" s="37" t="n"/>
      <c r="J8" s="27" t="n"/>
    </row>
    <row r="9">
      <c r="A9" s="27" t="n"/>
      <c r="B9" s="27" t="n"/>
      <c r="C9" s="27" t="n"/>
      <c r="D9" s="37" t="n"/>
      <c r="E9" s="37" t="n"/>
      <c r="F9" s="35" t="n"/>
      <c r="G9" s="37" t="n"/>
      <c r="H9" s="37" t="n"/>
      <c r="I9" s="37" t="n"/>
      <c r="J9" s="27" t="n"/>
    </row>
    <row r="10">
      <c r="A10" s="27" t="n"/>
      <c r="B10" s="27" t="n"/>
      <c r="C10" s="27" t="n"/>
      <c r="D10" s="37" t="n"/>
      <c r="E10" s="37" t="n"/>
      <c r="F10" s="35" t="n"/>
      <c r="G10" s="37" t="n"/>
      <c r="H10" s="37" t="n"/>
      <c r="I10" s="37" t="n"/>
      <c r="J10" s="27" t="n"/>
    </row>
    <row r="11">
      <c r="A11" s="27" t="n"/>
      <c r="B11" s="27" t="n"/>
      <c r="C11" s="27" t="n"/>
      <c r="D11" s="37" t="n"/>
      <c r="E11" s="37" t="n"/>
      <c r="F11" s="35" t="n"/>
      <c r="G11" s="37" t="n"/>
      <c r="H11" s="37" t="n"/>
      <c r="I11" s="37" t="n"/>
      <c r="J11" s="27" t="n"/>
    </row>
    <row r="12">
      <c r="A12" s="27" t="n"/>
      <c r="B12" s="27" t="n"/>
      <c r="C12" s="27" t="n"/>
      <c r="D12" s="37" t="n"/>
      <c r="E12" s="37" t="n"/>
      <c r="F12" s="35" t="n"/>
      <c r="G12" s="37" t="n"/>
      <c r="H12" s="37" t="n"/>
      <c r="I12" s="37" t="n"/>
      <c r="J12" s="27" t="n"/>
    </row>
    <row r="13">
      <c r="A13" s="27" t="n"/>
      <c r="B13" s="27" t="n"/>
      <c r="C13" s="27" t="n"/>
      <c r="D13" s="37" t="n"/>
      <c r="E13" s="37" t="n"/>
      <c r="F13" s="35" t="n"/>
      <c r="G13" s="37" t="n"/>
      <c r="H13" s="37" t="n"/>
      <c r="I13" s="37" t="n"/>
      <c r="J13" s="27" t="n"/>
    </row>
    <row r="14">
      <c r="A14" s="27" t="n"/>
      <c r="B14" s="27" t="n"/>
      <c r="C14" s="27" t="n"/>
      <c r="D14" s="37" t="n"/>
      <c r="E14" s="37" t="n"/>
      <c r="F14" s="35" t="n"/>
      <c r="G14" s="37" t="n"/>
      <c r="H14" s="37" t="n"/>
      <c r="I14" s="37" t="n"/>
      <c r="J14" s="27" t="n"/>
    </row>
    <row r="15">
      <c r="A15" s="27" t="n"/>
      <c r="B15" s="27" t="n"/>
      <c r="C15" s="27" t="n"/>
      <c r="D15" s="37" t="n"/>
      <c r="E15" s="37" t="n"/>
      <c r="F15" s="35" t="n"/>
      <c r="G15" s="37" t="n"/>
      <c r="H15" s="37" t="n"/>
      <c r="I15" s="37" t="n"/>
      <c r="J15" s="27" t="n"/>
    </row>
    <row r="16">
      <c r="A16" s="27" t="n"/>
      <c r="B16" s="27" t="n"/>
      <c r="C16" s="27" t="n"/>
      <c r="D16" s="37" t="n"/>
      <c r="E16" s="37" t="n"/>
      <c r="F16" s="35" t="n"/>
      <c r="G16" s="37" t="n"/>
      <c r="H16" s="37" t="n"/>
      <c r="I16" s="37" t="n"/>
      <c r="J16" s="27" t="n"/>
    </row>
    <row r="17">
      <c r="A17" s="27" t="n"/>
      <c r="B17" s="27" t="n"/>
      <c r="C17" s="27" t="n"/>
      <c r="D17" s="37" t="n"/>
      <c r="E17" s="37" t="n"/>
      <c r="F17" s="35" t="n"/>
      <c r="G17" s="37" t="n"/>
      <c r="H17" s="37" t="n"/>
      <c r="I17" s="37" t="n"/>
      <c r="J17" s="27" t="n"/>
    </row>
    <row r="18">
      <c r="A18" s="27" t="n"/>
      <c r="B18" s="27" t="n"/>
      <c r="C18" s="27" t="n"/>
      <c r="D18" s="37" t="n"/>
      <c r="E18" s="37" t="n"/>
      <c r="F18" s="35" t="n"/>
      <c r="G18" s="37" t="n"/>
      <c r="H18" s="37" t="n"/>
      <c r="I18" s="37" t="n"/>
      <c r="J18" s="27" t="n"/>
    </row>
    <row r="19">
      <c r="A19" s="27" t="n"/>
      <c r="B19" s="27" t="n"/>
      <c r="C19" s="27" t="n"/>
      <c r="D19" s="37" t="n"/>
      <c r="E19" s="37" t="n"/>
      <c r="F19" s="35" t="n"/>
      <c r="G19" s="37" t="n"/>
      <c r="H19" s="37" t="n"/>
      <c r="I19" s="37" t="n"/>
      <c r="J19" s="27" t="n"/>
    </row>
    <row r="20">
      <c r="A20" s="27" t="n"/>
      <c r="B20" s="27" t="n"/>
      <c r="C20" s="27" t="n"/>
      <c r="D20" s="37" t="n"/>
      <c r="E20" s="37" t="n"/>
      <c r="F20" s="35" t="n"/>
      <c r="G20" s="37" t="n"/>
      <c r="H20" s="37" t="n"/>
      <c r="I20" s="37" t="n"/>
      <c r="J20" s="27" t="n"/>
    </row>
    <row r="21">
      <c r="A21" s="27" t="n"/>
      <c r="B21" s="27" t="n"/>
      <c r="C21" s="27" t="n"/>
      <c r="D21" s="37" t="n"/>
      <c r="E21" s="37" t="n"/>
      <c r="F21" s="35" t="n"/>
      <c r="G21" s="37" t="n"/>
      <c r="H21" s="37" t="n"/>
      <c r="I21" s="37" t="n"/>
      <c r="J21" s="27" t="n"/>
    </row>
    <row r="22">
      <c r="A22" s="27" t="n"/>
      <c r="B22" s="27" t="n"/>
      <c r="C22" s="27" t="n"/>
      <c r="D22" s="37" t="n"/>
      <c r="E22" s="37" t="n"/>
      <c r="F22" s="35" t="n"/>
      <c r="G22" s="37" t="n"/>
      <c r="H22" s="37" t="n"/>
      <c r="I22" s="37" t="n"/>
      <c r="J22" s="27" t="n"/>
    </row>
    <row r="23">
      <c r="A23" s="27" t="n"/>
      <c r="B23" s="27" t="n"/>
      <c r="C23" s="27" t="n"/>
      <c r="D23" s="37" t="n"/>
      <c r="E23" s="37" t="n"/>
      <c r="F23" s="35" t="n"/>
      <c r="G23" s="37" t="n"/>
      <c r="H23" s="37" t="n"/>
      <c r="I23" s="37" t="n"/>
      <c r="J23" s="27" t="n"/>
    </row>
    <row r="24">
      <c r="A24" s="27" t="n"/>
      <c r="B24" s="27" t="n"/>
      <c r="C24" s="27" t="n"/>
      <c r="D24" s="37" t="n"/>
      <c r="E24" s="37" t="n"/>
      <c r="F24" s="35" t="n"/>
      <c r="G24" s="37" t="n"/>
      <c r="H24" s="37" t="n"/>
      <c r="I24" s="37" t="n"/>
      <c r="J24" s="27" t="n"/>
    </row>
    <row r="25">
      <c r="A25" s="27" t="n"/>
      <c r="B25" s="27" t="n"/>
      <c r="C25" s="27" t="n"/>
      <c r="D25" s="37" t="n"/>
      <c r="E25" s="37" t="n"/>
      <c r="F25" s="35" t="n"/>
      <c r="G25" s="37" t="n"/>
      <c r="H25" s="37" t="n"/>
      <c r="I25" s="37" t="n"/>
      <c r="J25" s="27" t="n"/>
    </row>
    <row r="26">
      <c r="A26" s="27" t="n"/>
      <c r="B26" s="27" t="n"/>
      <c r="C26" s="27" t="n"/>
      <c r="D26" s="37" t="n"/>
      <c r="E26" s="37" t="n"/>
      <c r="F26" s="35" t="n"/>
      <c r="G26" s="37" t="n"/>
      <c r="H26" s="37" t="n"/>
      <c r="I26" s="37" t="n"/>
      <c r="J26" s="27" t="n"/>
    </row>
    <row r="27">
      <c r="A27" s="27" t="n"/>
      <c r="B27" s="27" t="n"/>
      <c r="C27" s="27" t="n"/>
      <c r="D27" s="37" t="n"/>
      <c r="E27" s="37" t="n"/>
      <c r="F27" s="35" t="n"/>
      <c r="G27" s="37" t="n"/>
      <c r="H27" s="37" t="n"/>
      <c r="I27" s="37" t="n"/>
      <c r="J27" s="27" t="n"/>
    </row>
    <row r="28">
      <c r="A28" s="27" t="n"/>
      <c r="B28" s="27" t="n"/>
      <c r="C28" s="27" t="n"/>
      <c r="D28" s="37" t="n"/>
      <c r="E28" s="37" t="n"/>
      <c r="F28" s="35" t="n"/>
      <c r="G28" s="37" t="n"/>
      <c r="H28" s="37" t="n"/>
      <c r="I28" s="37" t="n"/>
      <c r="J28" s="27" t="n"/>
    </row>
    <row r="29">
      <c r="A29" s="27" t="n"/>
      <c r="B29" s="27" t="n"/>
      <c r="C29" s="27" t="n"/>
      <c r="D29" s="37" t="n"/>
      <c r="E29" s="37" t="n"/>
      <c r="F29" s="35" t="n"/>
      <c r="G29" s="37" t="n"/>
      <c r="H29" s="37" t="n"/>
      <c r="I29" s="37" t="n"/>
      <c r="J29" s="27" t="n"/>
    </row>
    <row r="30">
      <c r="A30" s="27" t="n"/>
      <c r="B30" s="27" t="n"/>
      <c r="C30" s="27" t="n"/>
      <c r="D30" s="37" t="n"/>
      <c r="E30" s="37" t="n"/>
      <c r="F30" s="35" t="n"/>
      <c r="G30" s="37" t="n"/>
      <c r="H30" s="37" t="n"/>
      <c r="I30" s="37" t="n"/>
      <c r="J30" s="27" t="n"/>
    </row>
    <row r="31">
      <c r="A31" s="27" t="n"/>
      <c r="B31" s="27" t="n"/>
      <c r="C31" s="27" t="n"/>
      <c r="D31" s="37" t="n"/>
      <c r="E31" s="37" t="n"/>
      <c r="F31" s="35" t="n"/>
      <c r="G31" s="37" t="n"/>
      <c r="H31" s="37" t="n"/>
      <c r="I31" s="37" t="n"/>
      <c r="J31" s="27" t="n"/>
    </row>
    <row r="32">
      <c r="A32" s="27" t="n"/>
      <c r="B32" s="27" t="n"/>
      <c r="C32" s="27" t="n"/>
      <c r="D32" s="37" t="n"/>
      <c r="E32" s="37" t="n"/>
      <c r="F32" s="35" t="n"/>
      <c r="G32" s="37" t="n"/>
      <c r="H32" s="37" t="n"/>
      <c r="I32" s="37" t="n"/>
      <c r="J32" s="27" t="n"/>
    </row>
    <row r="33">
      <c r="A33" s="27" t="n"/>
      <c r="B33" s="27" t="n"/>
      <c r="C33" s="27" t="n"/>
      <c r="D33" s="37" t="n"/>
      <c r="E33" s="37" t="n"/>
      <c r="F33" s="35" t="n"/>
      <c r="G33" s="37" t="n"/>
      <c r="H33" s="37" t="n"/>
      <c r="I33" s="37" t="n"/>
      <c r="J33" s="27" t="n"/>
    </row>
    <row r="34">
      <c r="A34" s="27" t="n"/>
      <c r="B34" s="27" t="n"/>
      <c r="C34" s="27" t="n"/>
      <c r="D34" s="37" t="n"/>
      <c r="E34" s="37" t="n"/>
      <c r="F34" s="35" t="n"/>
      <c r="G34" s="37" t="n"/>
      <c r="H34" s="37" t="n"/>
      <c r="I34" s="37" t="n"/>
      <c r="J34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autoFilter ref="A4:J34"/>
  <mergeCells count="3">
    <mergeCell ref="L4:M4"/>
    <mergeCell ref="A2:M2"/>
    <mergeCell ref="A1:M1"/>
  </mergeCells>
  <dataValidations count="5">
    <dataValidation sqref="D5:D34" showDropDown="0" showInputMessage="0" showErrorMessage="0" allowBlank="1" type="list">
      <formula1>"$,$$,$$$,$$$$"</formula1>
    </dataValidation>
    <dataValidation sqref="E5:E34" showDropDown="0" showInputMessage="0" showErrorMessage="0" allowBlank="1" type="list">
      <formula1>"Not Needed,To Book,Booked,Cancelled"</formula1>
    </dataValidation>
    <dataValidation sqref="G5:G34" showDropDown="0" showInputMessage="0" showErrorMessage="0" allowBlank="1" type="list">
      <formula1>"High,Medium,Low"</formula1>
    </dataValidation>
    <dataValidation sqref="H5:H34" showDropDown="0" showInputMessage="0" showErrorMessage="0" allowBlank="1" type="list">
      <formula1>"✓,✗"</formula1>
    </dataValidation>
    <dataValidation sqref="I5:I3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7FB069"/>
    <outlinePr summaryBelow="1" summaryRight="1"/>
    <pageSetUpPr fitToPage="1"/>
  </sheetPr>
  <dimension ref="A1:M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9" customWidth="1" min="3" max="3"/>
    <col width="11" customWidth="1" min="4" max="4"/>
    <col width="24" customWidth="1" min="5" max="5"/>
    <col width="12" customWidth="1" min="6" max="6"/>
    <col width="12" customWidth="1" min="7" max="7"/>
    <col width="16" customWidth="1" min="8" max="8"/>
    <col width="9" customWidth="1" min="9" max="9"/>
    <col width="26" customWidth="1" min="10" max="10"/>
    <col width="18" customWidth="1" min="12" max="12"/>
    <col width="15" customWidth="1" min="13" max="13"/>
  </cols>
  <sheetData>
    <row r="1" ht="34" customHeight="1">
      <c r="A1" s="1" t="inlineStr">
        <is>
          <t>🎟️ ACTIVITY &amp; EXCURSION PLANNER</t>
        </is>
      </c>
    </row>
    <row r="2" ht="18" customHeight="1">
      <c r="A2" s="2" t="inlineStr">
        <is>
          <t>From 💡 idea to ✅ booked — dates, costs and confirmations</t>
        </is>
      </c>
    </row>
    <row r="3" ht="6" customHeight="1"/>
    <row r="4" ht="20" customHeight="1">
      <c r="A4" s="17" t="inlineStr">
        <is>
          <t>Activity / Excursion</t>
        </is>
      </c>
      <c r="B4" s="17" t="inlineStr">
        <is>
          <t>Date</t>
        </is>
      </c>
      <c r="C4" s="17" t="inlineStr">
        <is>
          <t>Time</t>
        </is>
      </c>
      <c r="D4" s="17" t="inlineStr">
        <is>
          <t>Duration</t>
        </is>
      </c>
      <c r="E4" s="17" t="inlineStr">
        <is>
          <t>Location / Meet Point</t>
        </is>
      </c>
      <c r="F4" s="17" t="inlineStr">
        <is>
          <t>Cost</t>
        </is>
      </c>
      <c r="G4" s="17" t="inlineStr">
        <is>
          <t>Status</t>
        </is>
      </c>
      <c r="H4" s="17" t="inlineStr">
        <is>
          <t>Confirmation #</t>
        </is>
      </c>
      <c r="I4" s="17" t="inlineStr">
        <is>
          <t>Paid?</t>
        </is>
      </c>
      <c r="J4" s="17" t="inlineStr">
        <is>
          <t>Notes</t>
        </is>
      </c>
      <c r="L4" s="23" t="inlineStr">
        <is>
          <t>📊 SUMMARY</t>
        </is>
      </c>
    </row>
    <row r="5">
      <c r="A5" s="27" t="n"/>
      <c r="B5" s="35" t="n"/>
      <c r="C5" s="37" t="n"/>
      <c r="D5" s="37" t="n"/>
      <c r="E5" s="27" t="n"/>
      <c r="F5" s="25" t="n"/>
      <c r="G5" s="37" t="n"/>
      <c r="H5" s="37" t="n"/>
      <c r="I5" s="37" t="n"/>
      <c r="J5" s="27" t="n"/>
      <c r="L5" s="4" t="inlineStr">
        <is>
          <t>Booked</t>
        </is>
      </c>
      <c r="M5" s="22">
        <f>COUNTIF(G5:G34,"Booked")</f>
        <v/>
      </c>
    </row>
    <row r="6">
      <c r="A6" s="27" t="n"/>
      <c r="B6" s="35" t="n"/>
      <c r="C6" s="37" t="n"/>
      <c r="D6" s="37" t="n"/>
      <c r="E6" s="27" t="n"/>
      <c r="F6" s="25" t="n"/>
      <c r="G6" s="37" t="n"/>
      <c r="H6" s="37" t="n"/>
      <c r="I6" s="37" t="n"/>
      <c r="J6" s="27" t="n"/>
      <c r="L6" s="4" t="inlineStr">
        <is>
          <t>Total Cost</t>
        </is>
      </c>
      <c r="M6" s="7">
        <f>SUM(F5:F34)</f>
        <v/>
      </c>
    </row>
    <row r="7">
      <c r="A7" s="27" t="n"/>
      <c r="B7" s="35" t="n"/>
      <c r="C7" s="37" t="n"/>
      <c r="D7" s="37" t="n"/>
      <c r="E7" s="27" t="n"/>
      <c r="F7" s="25" t="n"/>
      <c r="G7" s="37" t="n"/>
      <c r="H7" s="37" t="n"/>
      <c r="I7" s="37" t="n"/>
      <c r="J7" s="27" t="n"/>
      <c r="L7" s="4" t="inlineStr">
        <is>
          <t>Still Just Ideas</t>
        </is>
      </c>
      <c r="M7" s="22">
        <f>COUNTIF(G5:G34,"Idea")</f>
        <v/>
      </c>
    </row>
    <row r="8">
      <c r="A8" s="27" t="n"/>
      <c r="B8" s="35" t="n"/>
      <c r="C8" s="37" t="n"/>
      <c r="D8" s="37" t="n"/>
      <c r="E8" s="27" t="n"/>
      <c r="F8" s="25" t="n"/>
      <c r="G8" s="37" t="n"/>
      <c r="H8" s="37" t="n"/>
      <c r="I8" s="37" t="n"/>
      <c r="J8" s="27" t="n"/>
    </row>
    <row r="9">
      <c r="A9" s="27" t="n"/>
      <c r="B9" s="35" t="n"/>
      <c r="C9" s="37" t="n"/>
      <c r="D9" s="37" t="n"/>
      <c r="E9" s="27" t="n"/>
      <c r="F9" s="25" t="n"/>
      <c r="G9" s="37" t="n"/>
      <c r="H9" s="37" t="n"/>
      <c r="I9" s="37" t="n"/>
      <c r="J9" s="27" t="n"/>
    </row>
    <row r="10">
      <c r="A10" s="27" t="n"/>
      <c r="B10" s="35" t="n"/>
      <c r="C10" s="37" t="n"/>
      <c r="D10" s="37" t="n"/>
      <c r="E10" s="27" t="n"/>
      <c r="F10" s="25" t="n"/>
      <c r="G10" s="37" t="n"/>
      <c r="H10" s="37" t="n"/>
      <c r="I10" s="37" t="n"/>
      <c r="J10" s="27" t="n"/>
    </row>
    <row r="11">
      <c r="A11" s="27" t="n"/>
      <c r="B11" s="35" t="n"/>
      <c r="C11" s="37" t="n"/>
      <c r="D11" s="37" t="n"/>
      <c r="E11" s="27" t="n"/>
      <c r="F11" s="25" t="n"/>
      <c r="G11" s="37" t="n"/>
      <c r="H11" s="37" t="n"/>
      <c r="I11" s="37" t="n"/>
      <c r="J11" s="27" t="n"/>
    </row>
    <row r="12">
      <c r="A12" s="27" t="n"/>
      <c r="B12" s="35" t="n"/>
      <c r="C12" s="37" t="n"/>
      <c r="D12" s="37" t="n"/>
      <c r="E12" s="27" t="n"/>
      <c r="F12" s="25" t="n"/>
      <c r="G12" s="37" t="n"/>
      <c r="H12" s="37" t="n"/>
      <c r="I12" s="37" t="n"/>
      <c r="J12" s="27" t="n"/>
    </row>
    <row r="13">
      <c r="A13" s="27" t="n"/>
      <c r="B13" s="35" t="n"/>
      <c r="C13" s="37" t="n"/>
      <c r="D13" s="37" t="n"/>
      <c r="E13" s="27" t="n"/>
      <c r="F13" s="25" t="n"/>
      <c r="G13" s="37" t="n"/>
      <c r="H13" s="37" t="n"/>
      <c r="I13" s="37" t="n"/>
      <c r="J13" s="27" t="n"/>
    </row>
    <row r="14">
      <c r="A14" s="27" t="n"/>
      <c r="B14" s="35" t="n"/>
      <c r="C14" s="37" t="n"/>
      <c r="D14" s="37" t="n"/>
      <c r="E14" s="27" t="n"/>
      <c r="F14" s="25" t="n"/>
      <c r="G14" s="37" t="n"/>
      <c r="H14" s="37" t="n"/>
      <c r="I14" s="37" t="n"/>
      <c r="J14" s="27" t="n"/>
    </row>
    <row r="15">
      <c r="A15" s="27" t="n"/>
      <c r="B15" s="35" t="n"/>
      <c r="C15" s="37" t="n"/>
      <c r="D15" s="37" t="n"/>
      <c r="E15" s="27" t="n"/>
      <c r="F15" s="25" t="n"/>
      <c r="G15" s="37" t="n"/>
      <c r="H15" s="37" t="n"/>
      <c r="I15" s="37" t="n"/>
      <c r="J15" s="27" t="n"/>
    </row>
    <row r="16">
      <c r="A16" s="27" t="n"/>
      <c r="B16" s="35" t="n"/>
      <c r="C16" s="37" t="n"/>
      <c r="D16" s="37" t="n"/>
      <c r="E16" s="27" t="n"/>
      <c r="F16" s="25" t="n"/>
      <c r="G16" s="37" t="n"/>
      <c r="H16" s="37" t="n"/>
      <c r="I16" s="37" t="n"/>
      <c r="J16" s="27" t="n"/>
    </row>
    <row r="17">
      <c r="A17" s="27" t="n"/>
      <c r="B17" s="35" t="n"/>
      <c r="C17" s="37" t="n"/>
      <c r="D17" s="37" t="n"/>
      <c r="E17" s="27" t="n"/>
      <c r="F17" s="25" t="n"/>
      <c r="G17" s="37" t="n"/>
      <c r="H17" s="37" t="n"/>
      <c r="I17" s="37" t="n"/>
      <c r="J17" s="27" t="n"/>
    </row>
    <row r="18">
      <c r="A18" s="27" t="n"/>
      <c r="B18" s="35" t="n"/>
      <c r="C18" s="37" t="n"/>
      <c r="D18" s="37" t="n"/>
      <c r="E18" s="27" t="n"/>
      <c r="F18" s="25" t="n"/>
      <c r="G18" s="37" t="n"/>
      <c r="H18" s="37" t="n"/>
      <c r="I18" s="37" t="n"/>
      <c r="J18" s="27" t="n"/>
    </row>
    <row r="19">
      <c r="A19" s="27" t="n"/>
      <c r="B19" s="35" t="n"/>
      <c r="C19" s="37" t="n"/>
      <c r="D19" s="37" t="n"/>
      <c r="E19" s="27" t="n"/>
      <c r="F19" s="25" t="n"/>
      <c r="G19" s="37" t="n"/>
      <c r="H19" s="37" t="n"/>
      <c r="I19" s="37" t="n"/>
      <c r="J19" s="27" t="n"/>
    </row>
    <row r="20">
      <c r="A20" s="27" t="n"/>
      <c r="B20" s="35" t="n"/>
      <c r="C20" s="37" t="n"/>
      <c r="D20" s="37" t="n"/>
      <c r="E20" s="27" t="n"/>
      <c r="F20" s="25" t="n"/>
      <c r="G20" s="37" t="n"/>
      <c r="H20" s="37" t="n"/>
      <c r="I20" s="37" t="n"/>
      <c r="J20" s="27" t="n"/>
    </row>
    <row r="21">
      <c r="A21" s="27" t="n"/>
      <c r="B21" s="35" t="n"/>
      <c r="C21" s="37" t="n"/>
      <c r="D21" s="37" t="n"/>
      <c r="E21" s="27" t="n"/>
      <c r="F21" s="25" t="n"/>
      <c r="G21" s="37" t="n"/>
      <c r="H21" s="37" t="n"/>
      <c r="I21" s="37" t="n"/>
      <c r="J21" s="27" t="n"/>
    </row>
    <row r="22">
      <c r="A22" s="27" t="n"/>
      <c r="B22" s="35" t="n"/>
      <c r="C22" s="37" t="n"/>
      <c r="D22" s="37" t="n"/>
      <c r="E22" s="27" t="n"/>
      <c r="F22" s="25" t="n"/>
      <c r="G22" s="37" t="n"/>
      <c r="H22" s="37" t="n"/>
      <c r="I22" s="37" t="n"/>
      <c r="J22" s="27" t="n"/>
    </row>
    <row r="23">
      <c r="A23" s="27" t="n"/>
      <c r="B23" s="35" t="n"/>
      <c r="C23" s="37" t="n"/>
      <c r="D23" s="37" t="n"/>
      <c r="E23" s="27" t="n"/>
      <c r="F23" s="25" t="n"/>
      <c r="G23" s="37" t="n"/>
      <c r="H23" s="37" t="n"/>
      <c r="I23" s="37" t="n"/>
      <c r="J23" s="27" t="n"/>
    </row>
    <row r="24">
      <c r="A24" s="27" t="n"/>
      <c r="B24" s="35" t="n"/>
      <c r="C24" s="37" t="n"/>
      <c r="D24" s="37" t="n"/>
      <c r="E24" s="27" t="n"/>
      <c r="F24" s="25" t="n"/>
      <c r="G24" s="37" t="n"/>
      <c r="H24" s="37" t="n"/>
      <c r="I24" s="37" t="n"/>
      <c r="J24" s="27" t="n"/>
    </row>
    <row r="25">
      <c r="A25" s="27" t="n"/>
      <c r="B25" s="35" t="n"/>
      <c r="C25" s="37" t="n"/>
      <c r="D25" s="37" t="n"/>
      <c r="E25" s="27" t="n"/>
      <c r="F25" s="25" t="n"/>
      <c r="G25" s="37" t="n"/>
      <c r="H25" s="37" t="n"/>
      <c r="I25" s="37" t="n"/>
      <c r="J25" s="27" t="n"/>
    </row>
    <row r="26">
      <c r="A26" s="27" t="n"/>
      <c r="B26" s="35" t="n"/>
      <c r="C26" s="37" t="n"/>
      <c r="D26" s="37" t="n"/>
      <c r="E26" s="27" t="n"/>
      <c r="F26" s="25" t="n"/>
      <c r="G26" s="37" t="n"/>
      <c r="H26" s="37" t="n"/>
      <c r="I26" s="37" t="n"/>
      <c r="J26" s="27" t="n"/>
    </row>
    <row r="27">
      <c r="A27" s="27" t="n"/>
      <c r="B27" s="35" t="n"/>
      <c r="C27" s="37" t="n"/>
      <c r="D27" s="37" t="n"/>
      <c r="E27" s="27" t="n"/>
      <c r="F27" s="25" t="n"/>
      <c r="G27" s="37" t="n"/>
      <c r="H27" s="37" t="n"/>
      <c r="I27" s="37" t="n"/>
      <c r="J27" s="27" t="n"/>
    </row>
    <row r="28">
      <c r="A28" s="27" t="n"/>
      <c r="B28" s="35" t="n"/>
      <c r="C28" s="37" t="n"/>
      <c r="D28" s="37" t="n"/>
      <c r="E28" s="27" t="n"/>
      <c r="F28" s="25" t="n"/>
      <c r="G28" s="37" t="n"/>
      <c r="H28" s="37" t="n"/>
      <c r="I28" s="37" t="n"/>
      <c r="J28" s="27" t="n"/>
    </row>
    <row r="29">
      <c r="A29" s="27" t="n"/>
      <c r="B29" s="35" t="n"/>
      <c r="C29" s="37" t="n"/>
      <c r="D29" s="37" t="n"/>
      <c r="E29" s="27" t="n"/>
      <c r="F29" s="25" t="n"/>
      <c r="G29" s="37" t="n"/>
      <c r="H29" s="37" t="n"/>
      <c r="I29" s="37" t="n"/>
      <c r="J29" s="27" t="n"/>
    </row>
    <row r="30">
      <c r="A30" s="27" t="n"/>
      <c r="B30" s="35" t="n"/>
      <c r="C30" s="37" t="n"/>
      <c r="D30" s="37" t="n"/>
      <c r="E30" s="27" t="n"/>
      <c r="F30" s="25" t="n"/>
      <c r="G30" s="37" t="n"/>
      <c r="H30" s="37" t="n"/>
      <c r="I30" s="37" t="n"/>
      <c r="J30" s="27" t="n"/>
    </row>
    <row r="31">
      <c r="A31" s="27" t="n"/>
      <c r="B31" s="35" t="n"/>
      <c r="C31" s="37" t="n"/>
      <c r="D31" s="37" t="n"/>
      <c r="E31" s="27" t="n"/>
      <c r="F31" s="25" t="n"/>
      <c r="G31" s="37" t="n"/>
      <c r="H31" s="37" t="n"/>
      <c r="I31" s="37" t="n"/>
      <c r="J31" s="27" t="n"/>
    </row>
    <row r="32">
      <c r="A32" s="27" t="n"/>
      <c r="B32" s="35" t="n"/>
      <c r="C32" s="37" t="n"/>
      <c r="D32" s="37" t="n"/>
      <c r="E32" s="27" t="n"/>
      <c r="F32" s="25" t="n"/>
      <c r="G32" s="37" t="n"/>
      <c r="H32" s="37" t="n"/>
      <c r="I32" s="37" t="n"/>
      <c r="J32" s="27" t="n"/>
    </row>
    <row r="33">
      <c r="A33" s="27" t="n"/>
      <c r="B33" s="35" t="n"/>
      <c r="C33" s="37" t="n"/>
      <c r="D33" s="37" t="n"/>
      <c r="E33" s="27" t="n"/>
      <c r="F33" s="25" t="n"/>
      <c r="G33" s="37" t="n"/>
      <c r="H33" s="37" t="n"/>
      <c r="I33" s="37" t="n"/>
      <c r="J33" s="27" t="n"/>
    </row>
    <row r="34">
      <c r="A34" s="27" t="n"/>
      <c r="B34" s="35" t="n"/>
      <c r="C34" s="37" t="n"/>
      <c r="D34" s="37" t="n"/>
      <c r="E34" s="27" t="n"/>
      <c r="F34" s="25" t="n"/>
      <c r="G34" s="37" t="n"/>
      <c r="H34" s="37" t="n"/>
      <c r="I34" s="37" t="n"/>
      <c r="J34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autoFilter ref="A4:J34"/>
  <mergeCells count="3">
    <mergeCell ref="L4:M4"/>
    <mergeCell ref="A2:M2"/>
    <mergeCell ref="A1:M1"/>
  </mergeCells>
  <dataValidations count="2">
    <dataValidation sqref="G5:G34" showDropDown="0" showInputMessage="0" showErrorMessage="0" allowBlank="1" type="list">
      <formula1>"Idea,To Book,Booked,Cancelled"</formula1>
    </dataValidation>
    <dataValidation sqref="I5:I34" showDropDown="0" showInputMessage="0" showErrorMessage="0" allowBlank="1" type="list">
      <formula1>"Yes,No,Deposit"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7FB069"/>
    <outlinePr summaryBelow="1" summaryRight="1"/>
    <pageSetUpPr fitToPage="1"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36" customWidth="1" min="4" max="4"/>
  </cols>
  <sheetData>
    <row r="1" ht="34" customHeight="1">
      <c r="A1" s="1" t="inlineStr">
        <is>
          <t>🗣️ LOCAL PHRASES</t>
        </is>
      </c>
    </row>
    <row r="2" ht="18" customHeight="1">
      <c r="A2" s="2" t="inlineStr">
        <is>
          <t>16 essentials — fill them in before you land</t>
        </is>
      </c>
    </row>
    <row r="3" ht="6" customHeight="1"/>
    <row r="4" ht="22" customHeight="1">
      <c r="A4" s="17" t="inlineStr">
        <is>
          <t>English</t>
        </is>
      </c>
      <c r="B4" s="17" t="inlineStr">
        <is>
          <t>Local Phrase</t>
        </is>
      </c>
      <c r="C4" s="17" t="inlineStr">
        <is>
          <t>Pronunciation</t>
        </is>
      </c>
      <c r="D4" s="17" t="inlineStr">
        <is>
          <t>Notes / When to Use</t>
        </is>
      </c>
    </row>
    <row r="5">
      <c r="A5" s="48" t="inlineStr">
        <is>
          <t>Hello / Hi</t>
        </is>
      </c>
      <c r="B5" s="27" t="n"/>
      <c r="C5" s="27" t="n"/>
      <c r="D5" s="27" t="n"/>
    </row>
    <row r="6">
      <c r="A6" s="48" t="inlineStr">
        <is>
          <t>Good morning</t>
        </is>
      </c>
      <c r="B6" s="27" t="n"/>
      <c r="C6" s="27" t="n"/>
      <c r="D6" s="27" t="n"/>
    </row>
    <row r="7">
      <c r="A7" s="48" t="inlineStr">
        <is>
          <t>Good evening</t>
        </is>
      </c>
      <c r="B7" s="27" t="n"/>
      <c r="C7" s="27" t="n"/>
      <c r="D7" s="27" t="n"/>
    </row>
    <row r="8">
      <c r="A8" s="48" t="inlineStr">
        <is>
          <t>Please</t>
        </is>
      </c>
      <c r="B8" s="27" t="n"/>
      <c r="C8" s="27" t="n"/>
      <c r="D8" s="27" t="n"/>
    </row>
    <row r="9">
      <c r="A9" s="48" t="inlineStr">
        <is>
          <t>Thank you</t>
        </is>
      </c>
      <c r="B9" s="27" t="n"/>
      <c r="C9" s="27" t="n"/>
      <c r="D9" s="27" t="n"/>
    </row>
    <row r="10">
      <c r="A10" s="48" t="inlineStr">
        <is>
          <t>Yes / No</t>
        </is>
      </c>
      <c r="B10" s="27" t="n"/>
      <c r="C10" s="27" t="n"/>
      <c r="D10" s="27" t="n"/>
    </row>
    <row r="11">
      <c r="A11" s="48" t="inlineStr">
        <is>
          <t>Excuse me / Sorry</t>
        </is>
      </c>
      <c r="B11" s="27" t="n"/>
      <c r="C11" s="27" t="n"/>
      <c r="D11" s="27" t="n"/>
    </row>
    <row r="12">
      <c r="A12" s="48" t="inlineStr">
        <is>
          <t>How much does it cost?</t>
        </is>
      </c>
      <c r="B12" s="27" t="n"/>
      <c r="C12" s="27" t="n"/>
      <c r="D12" s="27" t="n"/>
    </row>
    <row r="13">
      <c r="A13" s="48" t="inlineStr">
        <is>
          <t>Where is the bathroom?</t>
        </is>
      </c>
      <c r="B13" s="27" t="n"/>
      <c r="C13" s="27" t="n"/>
      <c r="D13" s="27" t="n"/>
    </row>
    <row r="14">
      <c r="A14" s="48" t="inlineStr">
        <is>
          <t>Can you help me?</t>
        </is>
      </c>
      <c r="B14" s="27" t="n"/>
      <c r="C14" s="27" t="n"/>
      <c r="D14" s="27" t="n"/>
    </row>
    <row r="15">
      <c r="A15" s="48" t="inlineStr">
        <is>
          <t>I need a doctor</t>
        </is>
      </c>
      <c r="B15" s="27" t="n"/>
      <c r="C15" s="27" t="n"/>
      <c r="D15" s="27" t="n"/>
    </row>
    <row r="16">
      <c r="A16" s="48" t="inlineStr">
        <is>
          <t>Do you speak English?</t>
        </is>
      </c>
      <c r="B16" s="27" t="n"/>
      <c r="C16" s="27" t="n"/>
      <c r="D16" s="27" t="n"/>
    </row>
    <row r="17">
      <c r="A17" s="48" t="inlineStr">
        <is>
          <t>I would like…</t>
        </is>
      </c>
      <c r="B17" s="27" t="n"/>
      <c r="C17" s="27" t="n"/>
      <c r="D17" s="27" t="n"/>
    </row>
    <row r="18">
      <c r="A18" s="48" t="inlineStr">
        <is>
          <t>The check, please</t>
        </is>
      </c>
      <c r="B18" s="27" t="n"/>
      <c r="C18" s="27" t="n"/>
      <c r="D18" s="27" t="n"/>
    </row>
    <row r="19">
      <c r="A19" s="48" t="inlineStr">
        <is>
          <t>Cheers! (toast)</t>
        </is>
      </c>
      <c r="B19" s="27" t="n"/>
      <c r="C19" s="27" t="n"/>
      <c r="D19" s="27" t="n"/>
    </row>
    <row r="20">
      <c r="A20" s="48" t="inlineStr">
        <is>
          <t>Goodbye</t>
        </is>
      </c>
      <c r="B20" s="27" t="n"/>
      <c r="C20" s="27" t="n"/>
      <c r="D20" s="27" t="n"/>
    </row>
    <row r="21">
      <c r="A21" s="27" t="n"/>
      <c r="B21" s="27" t="n"/>
      <c r="C21" s="27" t="n"/>
      <c r="D21" s="27" t="n"/>
    </row>
    <row r="22">
      <c r="A22" s="27" t="n"/>
      <c r="B22" s="27" t="n"/>
      <c r="C22" s="27" t="n"/>
      <c r="D22" s="27" t="n"/>
    </row>
    <row r="23">
      <c r="A23" s="27" t="n"/>
      <c r="B23" s="27" t="n"/>
      <c r="C23" s="27" t="n"/>
      <c r="D23" s="27" t="n"/>
    </row>
    <row r="24">
      <c r="A24" s="27" t="n"/>
      <c r="B24" s="27" t="n"/>
      <c r="C24" s="27" t="n"/>
      <c r="D24" s="27" t="n"/>
    </row>
    <row r="25">
      <c r="A25" s="27" t="n"/>
      <c r="B25" s="27" t="n"/>
      <c r="C25" s="27" t="n"/>
      <c r="D25" s="27" t="n"/>
    </row>
    <row r="26">
      <c r="A26" s="27" t="n"/>
      <c r="B26" s="27" t="n"/>
      <c r="C26" s="27" t="n"/>
      <c r="D26" s="27" t="n"/>
    </row>
    <row r="28">
      <c r="A28" s="33" t="inlineStr">
        <is>
          <t>Hotel front desks love helping with pronunciation — ask!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2">
    <mergeCell ref="A1:D1"/>
    <mergeCell ref="A2:D2"/>
  </mergeCell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7FB069"/>
    <outlinePr summaryBelow="1" summaryRight="1"/>
    <pageSetUpPr fitToPage="1"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2" customWidth="1" min="3" max="3"/>
    <col width="32" customWidth="1" min="4" max="4"/>
  </cols>
  <sheetData>
    <row r="1" ht="34" customHeight="1">
      <c r="A1" s="1" t="inlineStr">
        <is>
          <t>🤝 CULTURAL ETIQUETTE NOTES</t>
        </is>
      </c>
    </row>
    <row r="2" ht="18" customHeight="1">
      <c r="A2" s="2" t="inlineStr">
        <is>
          <t>Blend in, show respect — research the do's and don'ts</t>
        </is>
      </c>
    </row>
    <row r="3" ht="6" customHeight="1"/>
    <row r="4" ht="22" customHeight="1">
      <c r="A4" s="17" t="inlineStr">
        <is>
          <t>Topic</t>
        </is>
      </c>
      <c r="B4" s="17" t="inlineStr">
        <is>
          <t>Customs &amp; Tips</t>
        </is>
      </c>
      <c r="C4" s="17" t="inlineStr">
        <is>
          <t>Do ✅</t>
        </is>
      </c>
      <c r="D4" s="17" t="inlineStr">
        <is>
          <t>Don't 🚫</t>
        </is>
      </c>
    </row>
    <row r="5">
      <c r="A5" s="48" t="inlineStr">
        <is>
          <t>Greetings &amp; introductions</t>
        </is>
      </c>
      <c r="B5" s="27" t="n"/>
      <c r="C5" s="27" t="n"/>
      <c r="D5" s="27" t="n"/>
    </row>
    <row r="6">
      <c r="A6" s="48" t="inlineStr">
        <is>
          <t>Dining &amp; table manners</t>
        </is>
      </c>
      <c r="B6" s="27" t="n"/>
      <c r="C6" s="27" t="n"/>
      <c r="D6" s="27" t="n"/>
    </row>
    <row r="7">
      <c r="A7" s="48" t="inlineStr">
        <is>
          <t>Tipping customs</t>
        </is>
      </c>
      <c r="B7" s="27" t="n"/>
      <c r="C7" s="27" t="n"/>
      <c r="D7" s="27" t="n"/>
    </row>
    <row r="8">
      <c r="A8" s="48" t="inlineStr">
        <is>
          <t>Dress code (temples, churches, cities)</t>
        </is>
      </c>
      <c r="B8" s="27" t="n"/>
      <c r="C8" s="27" t="n"/>
      <c r="D8" s="27" t="n"/>
    </row>
    <row r="9">
      <c r="A9" s="48" t="inlineStr">
        <is>
          <t>Religious &amp; sacred sites</t>
        </is>
      </c>
      <c r="B9" s="27" t="n"/>
      <c r="C9" s="27" t="n"/>
      <c r="D9" s="27" t="n"/>
    </row>
    <row r="10">
      <c r="A10" s="48" t="inlineStr">
        <is>
          <t>Photography rules</t>
        </is>
      </c>
      <c r="B10" s="27" t="n"/>
      <c r="C10" s="27" t="n"/>
      <c r="D10" s="27" t="n"/>
    </row>
    <row r="11">
      <c r="A11" s="48" t="inlineStr">
        <is>
          <t>Public transport etiquette</t>
        </is>
      </c>
      <c r="B11" s="27" t="n"/>
      <c r="C11" s="27" t="n"/>
      <c r="D11" s="27" t="n"/>
    </row>
    <row r="12">
      <c r="A12" s="48" t="inlineStr">
        <is>
          <t>Gift-giving</t>
        </is>
      </c>
      <c r="B12" s="27" t="n"/>
      <c r="C12" s="27" t="n"/>
      <c r="D12" s="27" t="n"/>
    </row>
    <row r="13">
      <c r="A13" s="48" t="inlineStr">
        <is>
          <t>Punctuality &amp; time</t>
        </is>
      </c>
      <c r="B13" s="27" t="n"/>
      <c r="C13" s="27" t="n"/>
      <c r="D13" s="27" t="n"/>
    </row>
    <row r="14">
      <c r="A14" s="48" t="inlineStr">
        <is>
          <t>Gestures &amp; body language</t>
        </is>
      </c>
      <c r="B14" s="27" t="n"/>
      <c r="C14" s="27" t="n"/>
      <c r="D14" s="27" t="n"/>
    </row>
    <row r="15">
      <c r="A15" s="27" t="n"/>
      <c r="B15" s="27" t="n"/>
      <c r="C15" s="27" t="n"/>
      <c r="D15" s="27" t="n"/>
    </row>
    <row r="16">
      <c r="A16" s="27" t="n"/>
      <c r="B16" s="27" t="n"/>
      <c r="C16" s="27" t="n"/>
      <c r="D16" s="27" t="n"/>
    </row>
    <row r="17">
      <c r="A17" s="27" t="n"/>
      <c r="B17" s="27" t="n"/>
      <c r="C17" s="27" t="n"/>
      <c r="D17" s="27" t="n"/>
    </row>
    <row r="18">
      <c r="A18" s="27" t="n"/>
      <c r="B18" s="27" t="n"/>
      <c r="C18" s="27" t="n"/>
      <c r="D18" s="27" t="n"/>
    </row>
    <row r="19">
      <c r="A19" s="27" t="n"/>
      <c r="B19" s="27" t="n"/>
      <c r="C19" s="27" t="n"/>
      <c r="D19" s="27" t="n"/>
    </row>
    <row r="20">
      <c r="A20" s="27" t="n"/>
      <c r="B20" s="27" t="n"/>
      <c r="C20" s="27" t="n"/>
      <c r="D20" s="27" t="n"/>
    </row>
    <row r="21">
      <c r="A21" s="27" t="n"/>
      <c r="B21" s="27" t="n"/>
      <c r="C21" s="27" t="n"/>
      <c r="D21" s="27" t="n"/>
    </row>
    <row r="22">
      <c r="A22" s="27" t="n"/>
      <c r="B22" s="27" t="n"/>
      <c r="C22" s="27" t="n"/>
      <c r="D22" s="27" t="n"/>
    </row>
    <row r="23">
      <c r="A23" s="27" t="n"/>
      <c r="B23" s="27" t="n"/>
      <c r="C23" s="27" t="n"/>
      <c r="D23" s="27" t="n"/>
    </row>
    <row r="24">
      <c r="A24" s="27" t="n"/>
      <c r="B24" s="27" t="n"/>
      <c r="C24" s="27" t="n"/>
      <c r="D24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2">
    <mergeCell ref="A1:D1"/>
    <mergeCell ref="A2:D2"/>
  </mergeCell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9B72CF"/>
    <outlinePr summaryBelow="1" summaryRight="1"/>
    <pageSetUpPr fitToPage="1"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4" customWidth="1" min="3" max="3"/>
    <col width="28" customWidth="1" min="4" max="4"/>
  </cols>
  <sheetData>
    <row r="1" ht="34" customHeight="1">
      <c r="A1" s="1" t="inlineStr">
        <is>
          <t>🚨 EMERGENCY CONTACTS</t>
        </is>
      </c>
    </row>
    <row r="2" ht="18" customHeight="1">
      <c r="A2" s="2" t="inlineStr">
        <is>
          <t>Print this page — save it offline before you fly</t>
        </is>
      </c>
    </row>
    <row r="3" ht="6" customHeight="1"/>
    <row r="4" ht="22" customHeight="1">
      <c r="A4" s="17" t="inlineStr">
        <is>
          <t>Contact</t>
        </is>
      </c>
      <c r="B4" s="17" t="inlineStr">
        <is>
          <t>Phone / Number</t>
        </is>
      </c>
      <c r="C4" s="17" t="inlineStr">
        <is>
          <t>Address / Extra Info</t>
        </is>
      </c>
      <c r="D4" s="17" t="inlineStr">
        <is>
          <t>Notes</t>
        </is>
      </c>
    </row>
    <row r="5">
      <c r="A5" s="48" t="inlineStr">
        <is>
          <t>Local police</t>
        </is>
      </c>
      <c r="B5" s="37" t="n"/>
      <c r="C5" s="27" t="n"/>
      <c r="D5" s="27" t="n"/>
    </row>
    <row r="6">
      <c r="A6" s="48" t="inlineStr">
        <is>
          <t>Local ambulance / emergency</t>
        </is>
      </c>
      <c r="B6" s="37" t="n"/>
      <c r="C6" s="27" t="n"/>
      <c r="D6" s="27" t="n"/>
    </row>
    <row r="7">
      <c r="A7" s="48" t="inlineStr">
        <is>
          <t>Nearest hospital (name)</t>
        </is>
      </c>
      <c r="B7" s="37" t="n"/>
      <c r="C7" s="27" t="n"/>
      <c r="D7" s="27" t="n"/>
    </row>
    <row r="8">
      <c r="A8" s="48" t="inlineStr">
        <is>
          <t>Nearest hospital (address)</t>
        </is>
      </c>
      <c r="B8" s="37" t="n"/>
      <c r="C8" s="27" t="n"/>
      <c r="D8" s="27" t="n"/>
    </row>
    <row r="9">
      <c r="A9" s="48" t="inlineStr">
        <is>
          <t>Nearest pharmacy / clinic</t>
        </is>
      </c>
      <c r="B9" s="37" t="n"/>
      <c r="C9" s="27" t="n"/>
      <c r="D9" s="27" t="n"/>
    </row>
    <row r="10">
      <c r="A10" s="48" t="inlineStr">
        <is>
          <t>My country's embassy</t>
        </is>
      </c>
      <c r="B10" s="37" t="n"/>
      <c r="C10" s="27" t="n"/>
      <c r="D10" s="27" t="n"/>
    </row>
    <row r="11">
      <c r="A11" s="48" t="inlineStr">
        <is>
          <t>Embassy address</t>
        </is>
      </c>
      <c r="B11" s="37" t="n"/>
      <c r="C11" s="27" t="n"/>
      <c r="D11" s="27" t="n"/>
    </row>
    <row r="12">
      <c r="A12" s="48" t="inlineStr">
        <is>
          <t>Embassy 24/7 line</t>
        </is>
      </c>
      <c r="B12" s="37" t="n"/>
      <c r="C12" s="27" t="n"/>
      <c r="D12" s="27" t="n"/>
    </row>
    <row r="13">
      <c r="A13" s="48" t="inlineStr">
        <is>
          <t>Consulate (if different)</t>
        </is>
      </c>
      <c r="B13" s="37" t="n"/>
      <c r="C13" s="27" t="n"/>
      <c r="D13" s="27" t="n"/>
    </row>
    <row r="14">
      <c r="A14" s="48" t="inlineStr">
        <is>
          <t>Travel insurance hotline</t>
        </is>
      </c>
      <c r="B14" s="37" t="n"/>
      <c r="C14" s="27" t="n"/>
      <c r="D14" s="27" t="n"/>
    </row>
    <row r="15">
      <c r="A15" s="48" t="inlineStr">
        <is>
          <t>Insurance policy #</t>
        </is>
      </c>
      <c r="B15" s="37" t="n"/>
      <c r="C15" s="27" t="n"/>
      <c r="D15" s="27" t="n"/>
    </row>
    <row r="16">
      <c r="A16" s="48" t="inlineStr">
        <is>
          <t>Airline / travel agency 24-7 line</t>
        </is>
      </c>
      <c r="B16" s="37" t="n"/>
      <c r="C16" s="27" t="n"/>
      <c r="D16" s="27" t="n"/>
    </row>
    <row r="17">
      <c r="A17" s="48" t="inlineStr">
        <is>
          <t>Hotel front desk</t>
        </is>
      </c>
      <c r="B17" s="37" t="n"/>
      <c r="C17" s="27" t="n"/>
      <c r="D17" s="27" t="n"/>
    </row>
    <row r="18">
      <c r="A18" s="48" t="inlineStr">
        <is>
          <t>Tour operator / guide</t>
        </is>
      </c>
      <c r="B18" s="37" t="n"/>
      <c r="C18" s="27" t="n"/>
      <c r="D18" s="27" t="n"/>
    </row>
    <row r="19">
      <c r="A19" s="48" t="inlineStr">
        <is>
          <t>Roadside / rental-car assistance</t>
        </is>
      </c>
      <c r="B19" s="37" t="n"/>
      <c r="C19" s="27" t="n"/>
      <c r="D19" s="27" t="n"/>
    </row>
    <row r="20">
      <c r="A20" s="48" t="inlineStr">
        <is>
          <t>Family contact #1</t>
        </is>
      </c>
      <c r="B20" s="37" t="n"/>
      <c r="C20" s="27" t="n"/>
      <c r="D20" s="27" t="n"/>
    </row>
    <row r="21">
      <c r="A21" s="48" t="inlineStr">
        <is>
          <t>Family contact #2</t>
        </is>
      </c>
      <c r="B21" s="37" t="n"/>
      <c r="C21" s="27" t="n"/>
      <c r="D21" s="27" t="n"/>
    </row>
    <row r="22">
      <c r="A22" s="48" t="inlineStr">
        <is>
          <t>Neighbor / house sitter</t>
        </is>
      </c>
      <c r="B22" s="37" t="n"/>
      <c r="C22" s="27" t="n"/>
      <c r="D22" s="27" t="n"/>
    </row>
    <row r="23">
      <c r="A23" s="48" t="inlineStr">
        <is>
          <t>Work / manager contact</t>
        </is>
      </c>
      <c r="B23" s="37" t="n"/>
      <c r="C23" s="27" t="n"/>
      <c r="D23" s="27" t="n"/>
    </row>
    <row r="24">
      <c r="A24" s="48" t="inlineStr">
        <is>
          <t>Family doctor at home</t>
        </is>
      </c>
      <c r="B24" s="37" t="n"/>
      <c r="C24" s="27" t="n"/>
      <c r="D24" s="27" t="n"/>
    </row>
    <row r="26">
      <c r="A26" s="33" t="inlineStr">
        <is>
          <t>📞 Universal numbers: 112 (EU &amp; much of the world) • 911 (US / Canada) • 999 (UK) • 000 (Australia) • 110 (Japan) • 110 / 119 (China).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3">
    <mergeCell ref="A1:D1"/>
    <mergeCell ref="A26:D26"/>
    <mergeCell ref="A2:D2"/>
  </mergeCell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9B72CF"/>
    <outlinePr summaryBelow="1" summaryRight="1"/>
    <pageSetUpPr fitToPage="1"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4" customWidth="1" min="3" max="3"/>
    <col width="34" customWidth="1" min="4" max="4"/>
    <col width="9" customWidth="1" min="5" max="5"/>
    <col width="12" customWidth="1" min="6" max="6"/>
    <col width="32" customWidth="1" min="7" max="7"/>
    <col width="17" customWidth="1" min="9" max="9"/>
    <col width="15" customWidth="1" min="10" max="10"/>
  </cols>
  <sheetData>
    <row r="1" ht="34" customHeight="1">
      <c r="A1" s="1" t="inlineStr">
        <is>
          <t>📓 TRAVEL JOURNAL &amp; MEMORIES</t>
        </is>
      </c>
    </row>
    <row r="2" ht="18" customHeight="1">
      <c r="A2" s="2" t="inlineStr">
        <is>
          <t>One line a day — the highlights you'll want to remember</t>
        </is>
      </c>
    </row>
    <row r="3" ht="6" customHeight="1"/>
    <row r="4" ht="20" customHeight="1">
      <c r="A4" s="17" t="inlineStr">
        <is>
          <t>Date</t>
        </is>
      </c>
      <c r="B4" s="17" t="inlineStr">
        <is>
          <t>Place</t>
        </is>
      </c>
      <c r="C4" s="17" t="inlineStr">
        <is>
          <t>Highlight of the Day</t>
        </is>
      </c>
      <c r="D4" s="17" t="inlineStr">
        <is>
          <t>Favorite Moment</t>
        </is>
      </c>
      <c r="E4" s="17" t="inlineStr">
        <is>
          <t>Rating</t>
        </is>
      </c>
      <c r="F4" s="17" t="inlineStr">
        <is>
          <t>Photo to Print?</t>
        </is>
      </c>
      <c r="G4" s="17" t="inlineStr">
        <is>
          <t>Notes / Memories</t>
        </is>
      </c>
      <c r="I4" s="23" t="inlineStr">
        <is>
          <t>📊 MEMORIES</t>
        </is>
      </c>
    </row>
    <row r="5">
      <c r="A5" s="35" t="n"/>
      <c r="B5" s="27" t="n"/>
      <c r="C5" s="27" t="n"/>
      <c r="D5" s="27" t="n"/>
      <c r="E5" s="37" t="n"/>
      <c r="F5" s="37" t="n"/>
      <c r="G5" s="27" t="n"/>
      <c r="I5" s="4" t="inlineStr">
        <is>
          <t>Average Rating</t>
        </is>
      </c>
      <c r="J5" s="51">
        <f>IFERROR(ROUND(AVERAGE(E5:E34),1),"—")</f>
        <v/>
      </c>
    </row>
    <row r="6">
      <c r="A6" s="35" t="n"/>
      <c r="B6" s="27" t="n"/>
      <c r="C6" s="27" t="n"/>
      <c r="D6" s="27" t="n"/>
      <c r="E6" s="37" t="n"/>
      <c r="F6" s="37" t="n"/>
      <c r="G6" s="27" t="n"/>
      <c r="I6" s="4" t="inlineStr">
        <is>
          <t>Photos to Print</t>
        </is>
      </c>
      <c r="J6" s="22">
        <f>COUNTIF(F5:F34,"Yes")</f>
        <v/>
      </c>
    </row>
    <row r="7">
      <c r="A7" s="35" t="n"/>
      <c r="B7" s="27" t="n"/>
      <c r="C7" s="27" t="n"/>
      <c r="D7" s="27" t="n"/>
      <c r="E7" s="37" t="n"/>
      <c r="F7" s="37" t="n"/>
      <c r="G7" s="27" t="n"/>
    </row>
    <row r="8">
      <c r="A8" s="35" t="n"/>
      <c r="B8" s="27" t="n"/>
      <c r="C8" s="27" t="n"/>
      <c r="D8" s="27" t="n"/>
      <c r="E8" s="37" t="n"/>
      <c r="F8" s="37" t="n"/>
      <c r="G8" s="27" t="n"/>
    </row>
    <row r="9">
      <c r="A9" s="35" t="n"/>
      <c r="B9" s="27" t="n"/>
      <c r="C9" s="27" t="n"/>
      <c r="D9" s="27" t="n"/>
      <c r="E9" s="37" t="n"/>
      <c r="F9" s="37" t="n"/>
      <c r="G9" s="27" t="n"/>
    </row>
    <row r="10">
      <c r="A10" s="35" t="n"/>
      <c r="B10" s="27" t="n"/>
      <c r="C10" s="27" t="n"/>
      <c r="D10" s="27" t="n"/>
      <c r="E10" s="37" t="n"/>
      <c r="F10" s="37" t="n"/>
      <c r="G10" s="27" t="n"/>
    </row>
    <row r="11">
      <c r="A11" s="35" t="n"/>
      <c r="B11" s="27" t="n"/>
      <c r="C11" s="27" t="n"/>
      <c r="D11" s="27" t="n"/>
      <c r="E11" s="37" t="n"/>
      <c r="F11" s="37" t="n"/>
      <c r="G11" s="27" t="n"/>
    </row>
    <row r="12">
      <c r="A12" s="35" t="n"/>
      <c r="B12" s="27" t="n"/>
      <c r="C12" s="27" t="n"/>
      <c r="D12" s="27" t="n"/>
      <c r="E12" s="37" t="n"/>
      <c r="F12" s="37" t="n"/>
      <c r="G12" s="27" t="n"/>
    </row>
    <row r="13">
      <c r="A13" s="35" t="n"/>
      <c r="B13" s="27" t="n"/>
      <c r="C13" s="27" t="n"/>
      <c r="D13" s="27" t="n"/>
      <c r="E13" s="37" t="n"/>
      <c r="F13" s="37" t="n"/>
      <c r="G13" s="27" t="n"/>
    </row>
    <row r="14">
      <c r="A14" s="35" t="n"/>
      <c r="B14" s="27" t="n"/>
      <c r="C14" s="27" t="n"/>
      <c r="D14" s="27" t="n"/>
      <c r="E14" s="37" t="n"/>
      <c r="F14" s="37" t="n"/>
      <c r="G14" s="27" t="n"/>
    </row>
    <row r="15">
      <c r="A15" s="35" t="n"/>
      <c r="B15" s="27" t="n"/>
      <c r="C15" s="27" t="n"/>
      <c r="D15" s="27" t="n"/>
      <c r="E15" s="37" t="n"/>
      <c r="F15" s="37" t="n"/>
      <c r="G15" s="27" t="n"/>
    </row>
    <row r="16">
      <c r="A16" s="35" t="n"/>
      <c r="B16" s="27" t="n"/>
      <c r="C16" s="27" t="n"/>
      <c r="D16" s="27" t="n"/>
      <c r="E16" s="37" t="n"/>
      <c r="F16" s="37" t="n"/>
      <c r="G16" s="27" t="n"/>
    </row>
    <row r="17">
      <c r="A17" s="35" t="n"/>
      <c r="B17" s="27" t="n"/>
      <c r="C17" s="27" t="n"/>
      <c r="D17" s="27" t="n"/>
      <c r="E17" s="37" t="n"/>
      <c r="F17" s="37" t="n"/>
      <c r="G17" s="27" t="n"/>
    </row>
    <row r="18">
      <c r="A18" s="35" t="n"/>
      <c r="B18" s="27" t="n"/>
      <c r="C18" s="27" t="n"/>
      <c r="D18" s="27" t="n"/>
      <c r="E18" s="37" t="n"/>
      <c r="F18" s="37" t="n"/>
      <c r="G18" s="27" t="n"/>
    </row>
    <row r="19">
      <c r="A19" s="35" t="n"/>
      <c r="B19" s="27" t="n"/>
      <c r="C19" s="27" t="n"/>
      <c r="D19" s="27" t="n"/>
      <c r="E19" s="37" t="n"/>
      <c r="F19" s="37" t="n"/>
      <c r="G19" s="27" t="n"/>
    </row>
    <row r="20">
      <c r="A20" s="35" t="n"/>
      <c r="B20" s="27" t="n"/>
      <c r="C20" s="27" t="n"/>
      <c r="D20" s="27" t="n"/>
      <c r="E20" s="37" t="n"/>
      <c r="F20" s="37" t="n"/>
      <c r="G20" s="27" t="n"/>
    </row>
    <row r="21">
      <c r="A21" s="35" t="n"/>
      <c r="B21" s="27" t="n"/>
      <c r="C21" s="27" t="n"/>
      <c r="D21" s="27" t="n"/>
      <c r="E21" s="37" t="n"/>
      <c r="F21" s="37" t="n"/>
      <c r="G21" s="27" t="n"/>
    </row>
    <row r="22">
      <c r="A22" s="35" t="n"/>
      <c r="B22" s="27" t="n"/>
      <c r="C22" s="27" t="n"/>
      <c r="D22" s="27" t="n"/>
      <c r="E22" s="37" t="n"/>
      <c r="F22" s="37" t="n"/>
      <c r="G22" s="27" t="n"/>
    </row>
    <row r="23">
      <c r="A23" s="35" t="n"/>
      <c r="B23" s="27" t="n"/>
      <c r="C23" s="27" t="n"/>
      <c r="D23" s="27" t="n"/>
      <c r="E23" s="37" t="n"/>
      <c r="F23" s="37" t="n"/>
      <c r="G23" s="27" t="n"/>
    </row>
    <row r="24">
      <c r="A24" s="35" t="n"/>
      <c r="B24" s="27" t="n"/>
      <c r="C24" s="27" t="n"/>
      <c r="D24" s="27" t="n"/>
      <c r="E24" s="37" t="n"/>
      <c r="F24" s="37" t="n"/>
      <c r="G24" s="27" t="n"/>
    </row>
    <row r="25">
      <c r="A25" s="35" t="n"/>
      <c r="B25" s="27" t="n"/>
      <c r="C25" s="27" t="n"/>
      <c r="D25" s="27" t="n"/>
      <c r="E25" s="37" t="n"/>
      <c r="F25" s="37" t="n"/>
      <c r="G25" s="27" t="n"/>
    </row>
    <row r="26">
      <c r="A26" s="35" t="n"/>
      <c r="B26" s="27" t="n"/>
      <c r="C26" s="27" t="n"/>
      <c r="D26" s="27" t="n"/>
      <c r="E26" s="37" t="n"/>
      <c r="F26" s="37" t="n"/>
      <c r="G26" s="27" t="n"/>
    </row>
    <row r="27">
      <c r="A27" s="35" t="n"/>
      <c r="B27" s="27" t="n"/>
      <c r="C27" s="27" t="n"/>
      <c r="D27" s="27" t="n"/>
      <c r="E27" s="37" t="n"/>
      <c r="F27" s="37" t="n"/>
      <c r="G27" s="27" t="n"/>
    </row>
    <row r="28">
      <c r="A28" s="35" t="n"/>
      <c r="B28" s="27" t="n"/>
      <c r="C28" s="27" t="n"/>
      <c r="D28" s="27" t="n"/>
      <c r="E28" s="37" t="n"/>
      <c r="F28" s="37" t="n"/>
      <c r="G28" s="27" t="n"/>
    </row>
    <row r="29">
      <c r="A29" s="35" t="n"/>
      <c r="B29" s="27" t="n"/>
      <c r="C29" s="27" t="n"/>
      <c r="D29" s="27" t="n"/>
      <c r="E29" s="37" t="n"/>
      <c r="F29" s="37" t="n"/>
      <c r="G29" s="27" t="n"/>
    </row>
    <row r="30">
      <c r="A30" s="35" t="n"/>
      <c r="B30" s="27" t="n"/>
      <c r="C30" s="27" t="n"/>
      <c r="D30" s="27" t="n"/>
      <c r="E30" s="37" t="n"/>
      <c r="F30" s="37" t="n"/>
      <c r="G30" s="27" t="n"/>
    </row>
    <row r="31">
      <c r="A31" s="35" t="n"/>
      <c r="B31" s="27" t="n"/>
      <c r="C31" s="27" t="n"/>
      <c r="D31" s="27" t="n"/>
      <c r="E31" s="37" t="n"/>
      <c r="F31" s="37" t="n"/>
      <c r="G31" s="27" t="n"/>
    </row>
    <row r="32">
      <c r="A32" s="35" t="n"/>
      <c r="B32" s="27" t="n"/>
      <c r="C32" s="27" t="n"/>
      <c r="D32" s="27" t="n"/>
      <c r="E32" s="37" t="n"/>
      <c r="F32" s="37" t="n"/>
      <c r="G32" s="27" t="n"/>
    </row>
    <row r="33">
      <c r="A33" s="35" t="n"/>
      <c r="B33" s="27" t="n"/>
      <c r="C33" s="27" t="n"/>
      <c r="D33" s="27" t="n"/>
      <c r="E33" s="37" t="n"/>
      <c r="F33" s="37" t="n"/>
      <c r="G33" s="27" t="n"/>
    </row>
    <row r="34">
      <c r="A34" s="35" t="n"/>
      <c r="B34" s="27" t="n"/>
      <c r="C34" s="27" t="n"/>
      <c r="D34" s="27" t="n"/>
      <c r="E34" s="37" t="n"/>
      <c r="F34" s="37" t="n"/>
      <c r="G34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3">
    <mergeCell ref="A1:J1"/>
    <mergeCell ref="I4:J4"/>
    <mergeCell ref="A2:J2"/>
  </mergeCells>
  <dataValidations count="2">
    <dataValidation sqref="E5:E34" showDropDown="0" showInputMessage="0" showErrorMessage="0" allowBlank="1" type="whole" operator="between">
      <formula1>1</formula1>
      <formula2>5</formula2>
    </dataValidation>
    <dataValidation sqref="F5:F34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9B72CF"/>
    <outlinePr summaryBelow="1" summaryRight="1"/>
    <pageSetUpPr fitToPage="1"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6" customWidth="1" min="3" max="3"/>
    <col width="11" customWidth="1" min="4" max="4"/>
    <col width="13" customWidth="1" min="5" max="5"/>
    <col width="14" customWidth="1" min="6" max="6"/>
    <col width="38" customWidth="1" min="7" max="7"/>
    <col width="17" customWidth="1" min="9" max="9"/>
    <col width="15" customWidth="1" min="10" max="10"/>
  </cols>
  <sheetData>
    <row r="1" ht="34" customHeight="1">
      <c r="A1" s="1" t="inlineStr">
        <is>
          <t>⭐ RATINGS &amp; REVIEWS</t>
        </is>
      </c>
    </row>
    <row r="2" ht="18" customHeight="1">
      <c r="A2" s="2" t="inlineStr">
        <is>
          <t>Rate hotels, restaurants, activities — 1 (meh) to 5 (magical)</t>
        </is>
      </c>
    </row>
    <row r="3" ht="6" customHeight="1"/>
    <row r="4" ht="20" customHeight="1">
      <c r="A4" s="17" t="inlineStr">
        <is>
          <t>Type</t>
        </is>
      </c>
      <c r="B4" s="17" t="inlineStr">
        <is>
          <t>Name</t>
        </is>
      </c>
      <c r="C4" s="17" t="inlineStr">
        <is>
          <t>City</t>
        </is>
      </c>
      <c r="D4" s="17" t="inlineStr">
        <is>
          <t>Rating (1-5)</t>
        </is>
      </c>
      <c r="E4" s="17" t="inlineStr">
        <is>
          <t>Value for Money</t>
        </is>
      </c>
      <c r="F4" s="17" t="inlineStr">
        <is>
          <t>Would Recommend?</t>
        </is>
      </c>
      <c r="G4" s="17" t="inlineStr">
        <is>
          <t>Comments</t>
        </is>
      </c>
      <c r="I4" s="23" t="inlineStr">
        <is>
          <t>📊 SUMMARY</t>
        </is>
      </c>
    </row>
    <row r="5">
      <c r="A5" s="37" t="n"/>
      <c r="B5" s="27" t="n"/>
      <c r="C5" s="27" t="n"/>
      <c r="D5" s="37" t="n"/>
      <c r="E5" s="37" t="n"/>
      <c r="F5" s="37" t="n"/>
      <c r="G5" s="27" t="n"/>
      <c r="I5" s="4" t="inlineStr">
        <is>
          <t>Average Rating</t>
        </is>
      </c>
      <c r="J5" s="51">
        <f>IFERROR(ROUND(AVERAGE(D5:D34),1),"—")</f>
        <v/>
      </c>
    </row>
    <row r="6">
      <c r="A6" s="37" t="n"/>
      <c r="B6" s="27" t="n"/>
      <c r="C6" s="27" t="n"/>
      <c r="D6" s="37" t="n"/>
      <c r="E6" s="37" t="n"/>
      <c r="F6" s="37" t="n"/>
      <c r="G6" s="27" t="n"/>
      <c r="I6" s="4" t="inlineStr">
        <is>
          <t>Would Recommend</t>
        </is>
      </c>
      <c r="J6" s="22">
        <f>COUNTIF(F5:F34,"Yes")</f>
        <v/>
      </c>
    </row>
    <row r="7">
      <c r="A7" s="37" t="n"/>
      <c r="B7" s="27" t="n"/>
      <c r="C7" s="27" t="n"/>
      <c r="D7" s="37" t="n"/>
      <c r="E7" s="37" t="n"/>
      <c r="F7" s="37" t="n"/>
      <c r="G7" s="27" t="n"/>
    </row>
    <row r="8">
      <c r="A8" s="37" t="n"/>
      <c r="B8" s="27" t="n"/>
      <c r="C8" s="27" t="n"/>
      <c r="D8" s="37" t="n"/>
      <c r="E8" s="37" t="n"/>
      <c r="F8" s="37" t="n"/>
      <c r="G8" s="27" t="n"/>
    </row>
    <row r="9">
      <c r="A9" s="37" t="n"/>
      <c r="B9" s="27" t="n"/>
      <c r="C9" s="27" t="n"/>
      <c r="D9" s="37" t="n"/>
      <c r="E9" s="37" t="n"/>
      <c r="F9" s="37" t="n"/>
      <c r="G9" s="27" t="n"/>
    </row>
    <row r="10">
      <c r="A10" s="37" t="n"/>
      <c r="B10" s="27" t="n"/>
      <c r="C10" s="27" t="n"/>
      <c r="D10" s="37" t="n"/>
      <c r="E10" s="37" t="n"/>
      <c r="F10" s="37" t="n"/>
      <c r="G10" s="27" t="n"/>
    </row>
    <row r="11">
      <c r="A11" s="37" t="n"/>
      <c r="B11" s="27" t="n"/>
      <c r="C11" s="27" t="n"/>
      <c r="D11" s="37" t="n"/>
      <c r="E11" s="37" t="n"/>
      <c r="F11" s="37" t="n"/>
      <c r="G11" s="27" t="n"/>
    </row>
    <row r="12">
      <c r="A12" s="37" t="n"/>
      <c r="B12" s="27" t="n"/>
      <c r="C12" s="27" t="n"/>
      <c r="D12" s="37" t="n"/>
      <c r="E12" s="37" t="n"/>
      <c r="F12" s="37" t="n"/>
      <c r="G12" s="27" t="n"/>
    </row>
    <row r="13">
      <c r="A13" s="37" t="n"/>
      <c r="B13" s="27" t="n"/>
      <c r="C13" s="27" t="n"/>
      <c r="D13" s="37" t="n"/>
      <c r="E13" s="37" t="n"/>
      <c r="F13" s="37" t="n"/>
      <c r="G13" s="27" t="n"/>
    </row>
    <row r="14">
      <c r="A14" s="37" t="n"/>
      <c r="B14" s="27" t="n"/>
      <c r="C14" s="27" t="n"/>
      <c r="D14" s="37" t="n"/>
      <c r="E14" s="37" t="n"/>
      <c r="F14" s="37" t="n"/>
      <c r="G14" s="27" t="n"/>
    </row>
    <row r="15">
      <c r="A15" s="37" t="n"/>
      <c r="B15" s="27" t="n"/>
      <c r="C15" s="27" t="n"/>
      <c r="D15" s="37" t="n"/>
      <c r="E15" s="37" t="n"/>
      <c r="F15" s="37" t="n"/>
      <c r="G15" s="27" t="n"/>
    </row>
    <row r="16">
      <c r="A16" s="37" t="n"/>
      <c r="B16" s="27" t="n"/>
      <c r="C16" s="27" t="n"/>
      <c r="D16" s="37" t="n"/>
      <c r="E16" s="37" t="n"/>
      <c r="F16" s="37" t="n"/>
      <c r="G16" s="27" t="n"/>
    </row>
    <row r="17">
      <c r="A17" s="37" t="n"/>
      <c r="B17" s="27" t="n"/>
      <c r="C17" s="27" t="n"/>
      <c r="D17" s="37" t="n"/>
      <c r="E17" s="37" t="n"/>
      <c r="F17" s="37" t="n"/>
      <c r="G17" s="27" t="n"/>
    </row>
    <row r="18">
      <c r="A18" s="37" t="n"/>
      <c r="B18" s="27" t="n"/>
      <c r="C18" s="27" t="n"/>
      <c r="D18" s="37" t="n"/>
      <c r="E18" s="37" t="n"/>
      <c r="F18" s="37" t="n"/>
      <c r="G18" s="27" t="n"/>
    </row>
    <row r="19">
      <c r="A19" s="37" t="n"/>
      <c r="B19" s="27" t="n"/>
      <c r="C19" s="27" t="n"/>
      <c r="D19" s="37" t="n"/>
      <c r="E19" s="37" t="n"/>
      <c r="F19" s="37" t="n"/>
      <c r="G19" s="27" t="n"/>
    </row>
    <row r="20">
      <c r="A20" s="37" t="n"/>
      <c r="B20" s="27" t="n"/>
      <c r="C20" s="27" t="n"/>
      <c r="D20" s="37" t="n"/>
      <c r="E20" s="37" t="n"/>
      <c r="F20" s="37" t="n"/>
      <c r="G20" s="27" t="n"/>
    </row>
    <row r="21">
      <c r="A21" s="37" t="n"/>
      <c r="B21" s="27" t="n"/>
      <c r="C21" s="27" t="n"/>
      <c r="D21" s="37" t="n"/>
      <c r="E21" s="37" t="n"/>
      <c r="F21" s="37" t="n"/>
      <c r="G21" s="27" t="n"/>
    </row>
    <row r="22">
      <c r="A22" s="37" t="n"/>
      <c r="B22" s="27" t="n"/>
      <c r="C22" s="27" t="n"/>
      <c r="D22" s="37" t="n"/>
      <c r="E22" s="37" t="n"/>
      <c r="F22" s="37" t="n"/>
      <c r="G22" s="27" t="n"/>
    </row>
    <row r="23">
      <c r="A23" s="37" t="n"/>
      <c r="B23" s="27" t="n"/>
      <c r="C23" s="27" t="n"/>
      <c r="D23" s="37" t="n"/>
      <c r="E23" s="37" t="n"/>
      <c r="F23" s="37" t="n"/>
      <c r="G23" s="27" t="n"/>
    </row>
    <row r="24">
      <c r="A24" s="37" t="n"/>
      <c r="B24" s="27" t="n"/>
      <c r="C24" s="27" t="n"/>
      <c r="D24" s="37" t="n"/>
      <c r="E24" s="37" t="n"/>
      <c r="F24" s="37" t="n"/>
      <c r="G24" s="27" t="n"/>
    </row>
    <row r="25">
      <c r="A25" s="37" t="n"/>
      <c r="B25" s="27" t="n"/>
      <c r="C25" s="27" t="n"/>
      <c r="D25" s="37" t="n"/>
      <c r="E25" s="37" t="n"/>
      <c r="F25" s="37" t="n"/>
      <c r="G25" s="27" t="n"/>
    </row>
    <row r="26">
      <c r="A26" s="37" t="n"/>
      <c r="B26" s="27" t="n"/>
      <c r="C26" s="27" t="n"/>
      <c r="D26" s="37" t="n"/>
      <c r="E26" s="37" t="n"/>
      <c r="F26" s="37" t="n"/>
      <c r="G26" s="27" t="n"/>
    </row>
    <row r="27">
      <c r="A27" s="37" t="n"/>
      <c r="B27" s="27" t="n"/>
      <c r="C27" s="27" t="n"/>
      <c r="D27" s="37" t="n"/>
      <c r="E27" s="37" t="n"/>
      <c r="F27" s="37" t="n"/>
      <c r="G27" s="27" t="n"/>
    </row>
    <row r="28">
      <c r="A28" s="37" t="n"/>
      <c r="B28" s="27" t="n"/>
      <c r="C28" s="27" t="n"/>
      <c r="D28" s="37" t="n"/>
      <c r="E28" s="37" t="n"/>
      <c r="F28" s="37" t="n"/>
      <c r="G28" s="27" t="n"/>
    </row>
    <row r="29">
      <c r="A29" s="37" t="n"/>
      <c r="B29" s="27" t="n"/>
      <c r="C29" s="27" t="n"/>
      <c r="D29" s="37" t="n"/>
      <c r="E29" s="37" t="n"/>
      <c r="F29" s="37" t="n"/>
      <c r="G29" s="27" t="n"/>
    </row>
    <row r="30">
      <c r="A30" s="37" t="n"/>
      <c r="B30" s="27" t="n"/>
      <c r="C30" s="27" t="n"/>
      <c r="D30" s="37" t="n"/>
      <c r="E30" s="37" t="n"/>
      <c r="F30" s="37" t="n"/>
      <c r="G30" s="27" t="n"/>
    </row>
    <row r="31">
      <c r="A31" s="37" t="n"/>
      <c r="B31" s="27" t="n"/>
      <c r="C31" s="27" t="n"/>
      <c r="D31" s="37" t="n"/>
      <c r="E31" s="37" t="n"/>
      <c r="F31" s="37" t="n"/>
      <c r="G31" s="27" t="n"/>
    </row>
    <row r="32">
      <c r="A32" s="37" t="n"/>
      <c r="B32" s="27" t="n"/>
      <c r="C32" s="27" t="n"/>
      <c r="D32" s="37" t="n"/>
      <c r="E32" s="37" t="n"/>
      <c r="F32" s="37" t="n"/>
      <c r="G32" s="27" t="n"/>
    </row>
    <row r="33">
      <c r="A33" s="37" t="n"/>
      <c r="B33" s="27" t="n"/>
      <c r="C33" s="27" t="n"/>
      <c r="D33" s="37" t="n"/>
      <c r="E33" s="37" t="n"/>
      <c r="F33" s="37" t="n"/>
      <c r="G33" s="27" t="n"/>
    </row>
    <row r="34">
      <c r="A34" s="37" t="n"/>
      <c r="B34" s="27" t="n"/>
      <c r="C34" s="27" t="n"/>
      <c r="D34" s="37" t="n"/>
      <c r="E34" s="37" t="n"/>
      <c r="F34" s="37" t="n"/>
      <c r="G34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3">
    <mergeCell ref="A1:J1"/>
    <mergeCell ref="I4:J4"/>
    <mergeCell ref="A2:J2"/>
  </mergeCells>
  <dataValidations count="4">
    <dataValidation sqref="A5:A34" showDropDown="0" showInputMessage="0" showErrorMessage="0" allowBlank="1" type="list">
      <formula1>"Hotel,Restaurant,Activity,Tour,Transport,Shop,Other"</formula1>
    </dataValidation>
    <dataValidation sqref="D5:D34" showDropDown="0" showInputMessage="0" showErrorMessage="0" allowBlank="1" type="whole" operator="between">
      <formula1>1</formula1>
      <formula2>5</formula2>
    </dataValidation>
    <dataValidation sqref="E5:E34" showDropDown="0" showInputMessage="0" showErrorMessage="0" allowBlank="1" type="whole" operator="between">
      <formula1>1</formula1>
      <formula2>5</formula2>
    </dataValidation>
    <dataValidation sqref="F5:F34" showDropDown="0" showInputMessage="0" showErrorMessage="0" allowBlank="1" type="list">
      <formula1>"Yes,No,Maybe"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9B72CF"/>
    <outlinePr summaryBelow="1" summaryRight="1"/>
    <pageSetUpPr fitToPage="1"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4" customWidth="1" min="3" max="3"/>
    <col width="12" customWidth="1" min="4" max="4"/>
    <col width="12" customWidth="1" min="5" max="5"/>
    <col width="10" customWidth="1" min="6" max="6"/>
    <col width="10" customWidth="1" min="7" max="7"/>
    <col width="26" customWidth="1" min="8" max="8"/>
  </cols>
  <sheetData>
    <row r="1" ht="34" customHeight="1">
      <c r="A1" s="1" t="inlineStr">
        <is>
          <t>🎁 SOUVENIR &amp; GIFT LIST</t>
        </is>
      </c>
    </row>
    <row r="2" ht="18" customHeight="1">
      <c r="A2" s="2" t="inlineStr">
        <is>
          <t>Who's getting what — budget vs actual, ticked off as you buy</t>
        </is>
      </c>
    </row>
    <row r="3" ht="6" customHeight="1"/>
    <row r="4" ht="22" customHeight="1">
      <c r="A4" s="17" t="inlineStr">
        <is>
          <t>Item</t>
        </is>
      </c>
      <c r="B4" s="17" t="inlineStr">
        <is>
          <t>For</t>
        </is>
      </c>
      <c r="C4" s="17" t="inlineStr">
        <is>
          <t>Where to Buy</t>
        </is>
      </c>
      <c r="D4" s="17" t="inlineStr">
        <is>
          <t>Budget</t>
        </is>
      </c>
      <c r="E4" s="17" t="inlineStr">
        <is>
          <t>Actual</t>
        </is>
      </c>
      <c r="F4" s="17" t="inlineStr">
        <is>
          <t>Bought?</t>
        </is>
      </c>
      <c r="G4" s="17" t="inlineStr">
        <is>
          <t>Wrapped?</t>
        </is>
      </c>
      <c r="H4" s="17" t="inlineStr">
        <is>
          <t>Notes</t>
        </is>
      </c>
    </row>
    <row r="5">
      <c r="A5" s="27" t="n"/>
      <c r="B5" s="27" t="n"/>
      <c r="C5" s="27" t="n"/>
      <c r="D5" s="25" t="n"/>
      <c r="E5" s="25" t="n"/>
      <c r="F5" s="37" t="n"/>
      <c r="G5" s="37" t="n"/>
      <c r="H5" s="27" t="n"/>
    </row>
    <row r="6">
      <c r="A6" s="27" t="n"/>
      <c r="B6" s="27" t="n"/>
      <c r="C6" s="27" t="n"/>
      <c r="D6" s="25" t="n"/>
      <c r="E6" s="25" t="n"/>
      <c r="F6" s="37" t="n"/>
      <c r="G6" s="37" t="n"/>
      <c r="H6" s="27" t="n"/>
    </row>
    <row r="7">
      <c r="A7" s="27" t="n"/>
      <c r="B7" s="27" t="n"/>
      <c r="C7" s="27" t="n"/>
      <c r="D7" s="25" t="n"/>
      <c r="E7" s="25" t="n"/>
      <c r="F7" s="37" t="n"/>
      <c r="G7" s="37" t="n"/>
      <c r="H7" s="27" t="n"/>
    </row>
    <row r="8">
      <c r="A8" s="27" t="n"/>
      <c r="B8" s="27" t="n"/>
      <c r="C8" s="27" t="n"/>
      <c r="D8" s="25" t="n"/>
      <c r="E8" s="25" t="n"/>
      <c r="F8" s="37" t="n"/>
      <c r="G8" s="37" t="n"/>
      <c r="H8" s="27" t="n"/>
    </row>
    <row r="9">
      <c r="A9" s="27" t="n"/>
      <c r="B9" s="27" t="n"/>
      <c r="C9" s="27" t="n"/>
      <c r="D9" s="25" t="n"/>
      <c r="E9" s="25" t="n"/>
      <c r="F9" s="37" t="n"/>
      <c r="G9" s="37" t="n"/>
      <c r="H9" s="27" t="n"/>
    </row>
    <row r="10">
      <c r="A10" s="27" t="n"/>
      <c r="B10" s="27" t="n"/>
      <c r="C10" s="27" t="n"/>
      <c r="D10" s="25" t="n"/>
      <c r="E10" s="25" t="n"/>
      <c r="F10" s="37" t="n"/>
      <c r="G10" s="37" t="n"/>
      <c r="H10" s="27" t="n"/>
    </row>
    <row r="11">
      <c r="A11" s="27" t="n"/>
      <c r="B11" s="27" t="n"/>
      <c r="C11" s="27" t="n"/>
      <c r="D11" s="25" t="n"/>
      <c r="E11" s="25" t="n"/>
      <c r="F11" s="37" t="n"/>
      <c r="G11" s="37" t="n"/>
      <c r="H11" s="27" t="n"/>
    </row>
    <row r="12">
      <c r="A12" s="27" t="n"/>
      <c r="B12" s="27" t="n"/>
      <c r="C12" s="27" t="n"/>
      <c r="D12" s="25" t="n"/>
      <c r="E12" s="25" t="n"/>
      <c r="F12" s="37" t="n"/>
      <c r="G12" s="37" t="n"/>
      <c r="H12" s="27" t="n"/>
    </row>
    <row r="13">
      <c r="A13" s="27" t="n"/>
      <c r="B13" s="27" t="n"/>
      <c r="C13" s="27" t="n"/>
      <c r="D13" s="25" t="n"/>
      <c r="E13" s="25" t="n"/>
      <c r="F13" s="37" t="n"/>
      <c r="G13" s="37" t="n"/>
      <c r="H13" s="27" t="n"/>
    </row>
    <row r="14">
      <c r="A14" s="27" t="n"/>
      <c r="B14" s="27" t="n"/>
      <c r="C14" s="27" t="n"/>
      <c r="D14" s="25" t="n"/>
      <c r="E14" s="25" t="n"/>
      <c r="F14" s="37" t="n"/>
      <c r="G14" s="37" t="n"/>
      <c r="H14" s="27" t="n"/>
    </row>
    <row r="15">
      <c r="A15" s="27" t="n"/>
      <c r="B15" s="27" t="n"/>
      <c r="C15" s="27" t="n"/>
      <c r="D15" s="25" t="n"/>
      <c r="E15" s="25" t="n"/>
      <c r="F15" s="37" t="n"/>
      <c r="G15" s="37" t="n"/>
      <c r="H15" s="27" t="n"/>
    </row>
    <row r="16">
      <c r="A16" s="27" t="n"/>
      <c r="B16" s="27" t="n"/>
      <c r="C16" s="27" t="n"/>
      <c r="D16" s="25" t="n"/>
      <c r="E16" s="25" t="n"/>
      <c r="F16" s="37" t="n"/>
      <c r="G16" s="37" t="n"/>
      <c r="H16" s="27" t="n"/>
    </row>
    <row r="17">
      <c r="A17" s="27" t="n"/>
      <c r="B17" s="27" t="n"/>
      <c r="C17" s="27" t="n"/>
      <c r="D17" s="25" t="n"/>
      <c r="E17" s="25" t="n"/>
      <c r="F17" s="37" t="n"/>
      <c r="G17" s="37" t="n"/>
      <c r="H17" s="27" t="n"/>
    </row>
    <row r="18">
      <c r="A18" s="27" t="n"/>
      <c r="B18" s="27" t="n"/>
      <c r="C18" s="27" t="n"/>
      <c r="D18" s="25" t="n"/>
      <c r="E18" s="25" t="n"/>
      <c r="F18" s="37" t="n"/>
      <c r="G18" s="37" t="n"/>
      <c r="H18" s="27" t="n"/>
    </row>
    <row r="19">
      <c r="A19" s="27" t="n"/>
      <c r="B19" s="27" t="n"/>
      <c r="C19" s="27" t="n"/>
      <c r="D19" s="25" t="n"/>
      <c r="E19" s="25" t="n"/>
      <c r="F19" s="37" t="n"/>
      <c r="G19" s="37" t="n"/>
      <c r="H19" s="27" t="n"/>
    </row>
    <row r="20">
      <c r="A20" s="27" t="n"/>
      <c r="B20" s="27" t="n"/>
      <c r="C20" s="27" t="n"/>
      <c r="D20" s="25" t="n"/>
      <c r="E20" s="25" t="n"/>
      <c r="F20" s="37" t="n"/>
      <c r="G20" s="37" t="n"/>
      <c r="H20" s="27" t="n"/>
    </row>
    <row r="21">
      <c r="A21" s="27" t="n"/>
      <c r="B21" s="27" t="n"/>
      <c r="C21" s="27" t="n"/>
      <c r="D21" s="25" t="n"/>
      <c r="E21" s="25" t="n"/>
      <c r="F21" s="37" t="n"/>
      <c r="G21" s="37" t="n"/>
      <c r="H21" s="27" t="n"/>
    </row>
    <row r="22">
      <c r="A22" s="27" t="n"/>
      <c r="B22" s="27" t="n"/>
      <c r="C22" s="27" t="n"/>
      <c r="D22" s="25" t="n"/>
      <c r="E22" s="25" t="n"/>
      <c r="F22" s="37" t="n"/>
      <c r="G22" s="37" t="n"/>
      <c r="H22" s="27" t="n"/>
    </row>
    <row r="23">
      <c r="A23" s="27" t="n"/>
      <c r="B23" s="27" t="n"/>
      <c r="C23" s="27" t="n"/>
      <c r="D23" s="25" t="n"/>
      <c r="E23" s="25" t="n"/>
      <c r="F23" s="37" t="n"/>
      <c r="G23" s="37" t="n"/>
      <c r="H23" s="27" t="n"/>
    </row>
    <row r="24">
      <c r="A24" s="27" t="n"/>
      <c r="B24" s="27" t="n"/>
      <c r="C24" s="27" t="n"/>
      <c r="D24" s="25" t="n"/>
      <c r="E24" s="25" t="n"/>
      <c r="F24" s="37" t="n"/>
      <c r="G24" s="37" t="n"/>
      <c r="H24" s="27" t="n"/>
    </row>
    <row r="25">
      <c r="A25" s="28" t="inlineStr">
        <is>
          <t>TOTAL</t>
        </is>
      </c>
      <c r="B25" s="32" t="n"/>
      <c r="C25" s="32" t="n"/>
      <c r="D25" s="29">
        <f>SUM(D5:D24)</f>
        <v/>
      </c>
      <c r="E25" s="29">
        <f>SUM(E5:E24)</f>
        <v/>
      </c>
      <c r="F25" s="31">
        <f>COUNTIF(F5:F24,"✓")&amp;" bought"</f>
        <v/>
      </c>
      <c r="G25" s="32" t="n"/>
      <c r="H25" s="3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2">
    <mergeCell ref="A2:H2"/>
    <mergeCell ref="A1:H1"/>
  </mergeCells>
  <dataValidations count="2">
    <dataValidation sqref="F5:F24" showDropDown="0" showInputMessage="0" showErrorMessage="0" allowBlank="1" type="list">
      <formula1>"✓,✗"</formula1>
    </dataValidation>
    <dataValidation sqref="G5:G24" showDropDown="0" showInputMessage="0" showErrorMessage="0" allowBlank="1" type="list">
      <formula1>"✓,✗"</formula1>
    </dataValidation>
  </dataValidation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9B72CF"/>
    <outlinePr summaryBelow="1" summaryRight="1"/>
    <pageSetUpPr fitToPage="1"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34" customWidth="1" min="4" max="4"/>
  </cols>
  <sheetData>
    <row r="1" ht="34" customHeight="1">
      <c r="A1" s="1" t="inlineStr">
        <is>
          <t>📶 WI-FI &amp; PASSWORDS LOG</t>
        </is>
      </c>
    </row>
    <row r="2" ht="18" customHeight="1">
      <c r="A2" s="2" t="inlineStr">
        <is>
          <t>Every network from hotel to café — no more asking twice</t>
        </is>
      </c>
    </row>
    <row r="3" ht="6" customHeight="1"/>
    <row r="4" ht="22" customHeight="1">
      <c r="A4" s="17" t="inlineStr">
        <is>
          <t>Location</t>
        </is>
      </c>
      <c r="B4" s="17" t="inlineStr">
        <is>
          <t>Network Name (SSID)</t>
        </is>
      </c>
      <c r="C4" s="17" t="inlineStr">
        <is>
          <t>Password</t>
        </is>
      </c>
      <c r="D4" s="17" t="inlineStr">
        <is>
          <t>Notes</t>
        </is>
      </c>
    </row>
    <row r="5">
      <c r="A5" s="27" t="n"/>
      <c r="B5" s="27" t="n"/>
      <c r="C5" s="37" t="n"/>
      <c r="D5" s="27" t="n"/>
    </row>
    <row r="6">
      <c r="A6" s="27" t="n"/>
      <c r="B6" s="27" t="n"/>
      <c r="C6" s="37" t="n"/>
      <c r="D6" s="27" t="n"/>
    </row>
    <row r="7">
      <c r="A7" s="27" t="n"/>
      <c r="B7" s="27" t="n"/>
      <c r="C7" s="37" t="n"/>
      <c r="D7" s="27" t="n"/>
    </row>
    <row r="8">
      <c r="A8" s="27" t="n"/>
      <c r="B8" s="27" t="n"/>
      <c r="C8" s="37" t="n"/>
      <c r="D8" s="27" t="n"/>
    </row>
    <row r="9">
      <c r="A9" s="27" t="n"/>
      <c r="B9" s="27" t="n"/>
      <c r="C9" s="37" t="n"/>
      <c r="D9" s="27" t="n"/>
    </row>
    <row r="10">
      <c r="A10" s="27" t="n"/>
      <c r="B10" s="27" t="n"/>
      <c r="C10" s="37" t="n"/>
      <c r="D10" s="27" t="n"/>
    </row>
    <row r="11">
      <c r="A11" s="27" t="n"/>
      <c r="B11" s="27" t="n"/>
      <c r="C11" s="37" t="n"/>
      <c r="D11" s="27" t="n"/>
    </row>
    <row r="12">
      <c r="A12" s="27" t="n"/>
      <c r="B12" s="27" t="n"/>
      <c r="C12" s="37" t="n"/>
      <c r="D12" s="27" t="n"/>
    </row>
    <row r="13">
      <c r="A13" s="27" t="n"/>
      <c r="B13" s="27" t="n"/>
      <c r="C13" s="37" t="n"/>
      <c r="D13" s="27" t="n"/>
    </row>
    <row r="14">
      <c r="A14" s="27" t="n"/>
      <c r="B14" s="27" t="n"/>
      <c r="C14" s="37" t="n"/>
      <c r="D14" s="27" t="n"/>
    </row>
    <row r="15">
      <c r="A15" s="27" t="n"/>
      <c r="B15" s="27" t="n"/>
      <c r="C15" s="37" t="n"/>
      <c r="D15" s="27" t="n"/>
    </row>
    <row r="16">
      <c r="A16" s="27" t="n"/>
      <c r="B16" s="27" t="n"/>
      <c r="C16" s="37" t="n"/>
      <c r="D16" s="27" t="n"/>
    </row>
    <row r="17">
      <c r="A17" s="27" t="n"/>
      <c r="B17" s="27" t="n"/>
      <c r="C17" s="37" t="n"/>
      <c r="D17" s="27" t="n"/>
    </row>
    <row r="18">
      <c r="A18" s="27" t="n"/>
      <c r="B18" s="27" t="n"/>
      <c r="C18" s="37" t="n"/>
      <c r="D18" s="27" t="n"/>
    </row>
    <row r="19">
      <c r="A19" s="27" t="n"/>
      <c r="B19" s="27" t="n"/>
      <c r="C19" s="37" t="n"/>
      <c r="D19" s="27" t="n"/>
    </row>
    <row r="20">
      <c r="A20" s="27" t="n"/>
      <c r="B20" s="27" t="n"/>
      <c r="C20" s="37" t="n"/>
      <c r="D20" s="27" t="n"/>
    </row>
    <row r="21">
      <c r="A21" s="27" t="n"/>
      <c r="B21" s="27" t="n"/>
      <c r="C21" s="37" t="n"/>
      <c r="D21" s="27" t="n"/>
    </row>
    <row r="22">
      <c r="A22" s="27" t="n"/>
      <c r="B22" s="27" t="n"/>
      <c r="C22" s="37" t="n"/>
      <c r="D22" s="27" t="n"/>
    </row>
    <row r="23">
      <c r="A23" s="27" t="n"/>
      <c r="B23" s="27" t="n"/>
      <c r="C23" s="37" t="n"/>
      <c r="D23" s="27" t="n"/>
    </row>
    <row r="24">
      <c r="A24" s="27" t="n"/>
      <c r="B24" s="27" t="n"/>
      <c r="C24" s="37" t="n"/>
      <c r="D24" s="27" t="n"/>
    </row>
    <row r="26">
      <c r="A26" s="33" t="inlineStr">
        <is>
          <t>🔒 Avoid banking on public Wi-Fi — use a VPN or your phone's hotspot.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EC7C"/>
  <mergeCells count="3">
    <mergeCell ref="A1:D1"/>
    <mergeCell ref="A26:D26"/>
    <mergeCell ref="A2:D2"/>
  </mergeCells>
  <pageMargins left="0.75" right="0.75" top="1" bottom="1" header="0.5" footer="0.5"/>
  <pageSetup orientation="landscape" fitToHeight="0" fitToWidth="1"/>
  <headerFooter>
    <oddHeader/>
    <oddFooter>&amp;L&amp;8 &amp;K888888Travel Planner v2 - Novality store&amp;R&amp;8 &amp;K888888Page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Novality store</dc:creator>
  <dc:title>Travel Planner v2</dc:title>
  <dc:description>Travel Planner version 2 — 28 planning sheets covering budget, packing, itinerary, expenses, food and memories. Input cells editable; formula cells locked. (c) Novality store</dc:description>
  <dc:subject>Travel planning spreadsheet</dc:subject>
  <dcterms:created xsi:type="dcterms:W3CDTF">2026-08-26T11:41:09Z</dcterms:created>
  <dcterms:modified xsi:type="dcterms:W3CDTF">2026-08-26T11:41:09Z</dcterms:modified>
  <cp:lastModifiedBy>Novality store</cp:lastModifiedBy>
  <cp:category>Travel</cp:category>
  <cp:keywords>travel, planner, budget, itinerary, packing, expenses, Novality store</cp:keywords>
</cp:coreProperties>
</file>